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<sst xmlns="http://schemas.openxmlformats.org/spreadsheetml/2006/main" count="1080" uniqueCount="424">
  <si>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</si>
  <si>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</si>
  <si>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</si>
  <si>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</si>
  <si>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</si>
  <si>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</si>
  <si>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</si>
  <si>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</si>
  <si>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</si>
  <si>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Aprovechamiento Manuales</t>
  </si>
  <si>
    <t xml:space="preserve">PEGAR ACÁ EL LINK DEL GOOGLE SHEET</t>
  </si>
  <si>
    <t xml:space="preserve">parametros_manuales K33, K34, K39, K40, K41 y K43 (equivalencia del rodante)</t>
  </si>
  <si>
    <t xml:space="preserve">Aprovechamiento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</si>
  <si>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</si>
  <si>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</si>
  <si>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</si>
  <si>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</si>
  <si>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</si>
  <si>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</si>
  <si>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</si>
  <si>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</si>
  <si>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</si>
  <si>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</si>
  <si>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</si>
  <si>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</si>
  <si>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</si>
  <si>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</si>
  <si>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</si>
  <si>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</si>
  <si>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</si>
  <si>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</si>
  <si>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</si>
  <si>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</si>
  <si>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</si>
  <si>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</si>
  <si>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</si>
  <si>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</si>
  <si>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</si>
  <si>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</si>
  <si>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</si>
  <si>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</si>
  <si>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</si>
  <si>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</si>
  <si>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</si>
  <si>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</si>
  <si>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</si>
  <si>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</si>
  <si>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</si>
  <si>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</si>
  <si>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</si>
  <si>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</si>
  <si>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</si>
  <si>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</si>
  <si>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</si>
  <si>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</si>
  <si>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</si>
  <si>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</si>
  <si>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</si>
  <si>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</si>
  <si>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</si>
  <si>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</si>
  <si>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</si>
  <si>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</si>
  <si>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</si>
  <si>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</si>
  <si>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</si>
  <si>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</si>
  <si>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</si>
  <si>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</si>
  <si>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</si>
  <si>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</si>
  <si>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</si>
  <si>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</si>
  <si>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</si>
  <si>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</si>
  <si>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</si>
  <si>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</si>
  <si>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</si>
  <si>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</si>
  <si>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</si>
  <si>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</si>
  <si>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Aprovechamiento Manuales · parametros_manuales!K33: Prueba hidráulica (s/u)</t>
  </si>
  <si>
    <t xml:space="preserve">Prueba hidráulica</t>
  </si>
  <si>
    <t xml:space="preserve">Aprovechamiento Carros · parametros_carros!I29: Prueba hidráulica (min/u)</t>
  </si>
  <si>
    <t xml:space="preserve">Aprovechamiento Manuales · parametros_manuales!K34: Secado (s/u)</t>
  </si>
  <si>
    <t xml:space="preserve">Secado</t>
  </si>
  <si>
    <t xml:space="preserve">Aprovechamiento Carros · parametros_carros!I30: Secado (min/u)</t>
  </si>
  <si>
    <t xml:space="preserve">Aprovechamiento Manuales · parametros_manuales!K39: Carga de polvo y presurización (s/u)</t>
  </si>
  <si>
    <t xml:space="preserve">Carga de polvo y presurización</t>
  </si>
  <si>
    <t xml:space="preserve">Aprovechamiento Manuales · parametros_manuales!K41: Carga de polvo y presurización (s/u)</t>
  </si>
  <si>
    <t xml:space="preserve">Aprovechamiento Carros · parametros_carros!I33: Carga de polvo y presurización (min/u)</t>
  </si>
  <si>
    <t xml:space="preserve">Aprovechamiento Manuales · parametros_manuales!K40: Ensamblaje / montaje, precinto y etiquetado (s/u)</t>
  </si>
  <si>
    <t xml:space="preserve">Ensamblaje / montaje, precinto y etiquetado</t>
  </si>
  <si>
    <t xml:space="preserve">Aprovechamiento Manuales · parametros_manuales!K43: Ensamblaje / montaje, precinto y etiquetado (s/u)</t>
  </si>
  <si>
    <t xml:space="preserve">Aprovechamiento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</si>
  <si>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</si>
  <si>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</si>
  <si>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</si>
  <si>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</si>
  <si>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</si>
  <si>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</si>
  <si>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</si>
  <si>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</si>
  <si>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</si>
  <si>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</si>
  <si>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</si>
  <si>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</si>
  <si>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</si>
  <si>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</si>
  <si>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</si>
  <si>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</si>
  <si>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</si>
  <si>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</si>
  <si>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</si>
  <si>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</si>
  <si>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</si>
  <si>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</si>
  <si>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</si>
  <si>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</si>
  <si>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</si>
  <si>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</si>
  <si>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</si>
  <si>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</si>
  <si>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industrial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</si>
  <si>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</si>
  <si>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</si>
  <si>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</si>
  <si>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</si>
  <si>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</si>
  <si>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</si>
  <si>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</si>
  <si>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</si>
  <si>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</si>
  <si>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</si>
  <si>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</si>
  <si>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</si>
  <si>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</si>
  <si>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</si>
  <si>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</si>
  <si>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</si>
  <si>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</si>
  <si>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</si>
  <si>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</si>
  <si>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</si>
  <si>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</si>
  <si>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</si>
  <si>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</si>
  <si>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</si>
  <si>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</si>
  <si>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</si>
  <si>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</si>
  <si>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</si>
  <si>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</si>
  <si>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</si>
  <si>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</si>
  <si>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</si>
  <si>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</si>
  <si>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</si>
  <si>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</si>
  <si>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</si>
  <si>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</si>
  <si>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INDUSTRIAL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</si>
  <si>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</si>
  <si>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</si>
  <si>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</si>
  <si>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</si>
  <si>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</si>
  <si>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</si>
  <si>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</si>
  <si>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</si>
  <si>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</si>
  <si>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</si>
  <si>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</si>
  <si>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</si>
  <si>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</si>
  <si>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</si>
  <si>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</si>
  <si>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</si>
  <si>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</si>
  <si>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</si>
  <si>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</si>
  <si>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</si>
  <si>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</si>
  <si>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</si>
  <si>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</si>
  <si>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</si>
  <si>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</si>
  <si>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</si>
  <si>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</si>
  <si>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</si>
  <si>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</si>
  <si>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</si>
  <si>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</si>
  <si>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</si>
  <si>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</si>
  <si>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</si>
  <si>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</si>
  <si>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</si>
  <si>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</si>
  <si>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</si>
  <si>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</si>
  <si>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</si>
  <si>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</si>
  <si>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</si>
  <si>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</si>
  <si>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</si>
  <si>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</si>
  <si>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</si>
  <si>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</si>
  <si>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</si>
  <si>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</si>
  <si>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</si>
  <si>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</si>
  <si>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</si>
  <si>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</si>
  <si>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</si>
  <si>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Temporada dic.-ene., transición nov. y feb. · § 3.1</t>
  </si>
  <si>
    <t xml:space="preserve">Asambleas abr.-jun. (+); receso ene.-feb. (−) · § 3.2</t>
  </si>
  <si>
    <t xml:space="preserve">Receso de verano e inicio de clases ene.-mar. (+); receso de invierno jul. (+½) · § 3.3</t>
  </si>
  <si>
    <t xml:space="preserve">Baja ocupación may.-jun. y ago.-oct. (+); temporada ene., feb. y jul. (−) · § 3.4</t>
  </si>
  <si>
    <t xml:space="preserve">Sin estacionalidad (Res. SRT 463/09) · § 3.5</t>
  </si>
  <si>
    <t xml:space="preserve">Verano dic.-feb. (+); campaña de invierno jun.-ago. (−) · § 3.6</t>
  </si>
  <si>
    <t xml:space="preserve">Baja venta may.-ago. (+); fiestas y verano nov.-feb. (−) · § 3.7</t>
  </si>
  <si>
    <t xml:space="preserve">Dato de la estacionalidad</t>
  </si>
  <si>
    <t xml:space="preserve">Automotor: enero (% de las recargas del año)</t>
  </si>
  <si>
    <t xml:space="preserve">ITV Córdoba: 12 % en enero · § 3.1</t>
  </si>
  <si>
    <t xml:space="preserve">Automotor: diciembre (% del año)</t>
  </si>
  <si>
    <t xml:space="preserve">Igual a enero: RTO Mendoza, dic. y ene. · § 3.1</t>
  </si>
  <si>
    <t xml:space="preserve">Automotor: noviembre y febrero, parte del exceso de la temporada</t>
  </si>
  <si>
    <t xml:space="preserve">Criterio de transición · § 3.1</t>
  </si>
  <si>
    <t xml:space="preserve">Automotor: exceso de la temporada sobre un mes común</t>
  </si>
  <si>
    <t xml:space="preserve">Los 12 meses suman 100 %</t>
  </si>
  <si>
    <t xml:space="preserve">Automotor: mes común (marzo a octubre)</t>
  </si>
  <si>
    <t xml:space="preserve">Automotor: noviembre y febrero</t>
  </si>
  <si>
    <t xml:space="preserve">Rubros institucionales: un mes preferido pesa 1 + a y uno vedado 1 − a; a =</t>
  </si>
  <si>
    <t xml:space="preserve">Criterio: las fuentes dan los meses, no cuánto · § 3.8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</si>
  <si>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</si>
  <si>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</si>
  <si>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</si>
  <si>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</si>
  <si>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</si>
  <si>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</si>
  <si>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</si>
  <si>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</si>
  <si>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</si>
  <si>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</si>
  <si>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</si>
  <si>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</si>
  <si>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</si>
  <si>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</si>
  <si>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</si>
  <si>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</si>
  <si>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</si>
  <si>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</si>
  <si>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</si>
  <si>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</si>
  <si>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</si>
  <si>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</si>
  <si>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</si>
  <si>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</si>
  <si>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</si>
  <si>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</si>
  <si>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</si>
  <si>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</si>
  <si>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(ABC, BC y Clase D)</t>
  </si>
  <si>
    <t xml:space="preserve">Tambor Yukon M-000030 de ABC y Clase D + tambor exclusivo de BC</t>
  </si>
  <si>
    <t xml:space="preserve">§ 5.4</t>
  </si>
  <si>
    <t xml:space="preserve">Descarga y carga de agua / AFFF / sales K</t>
  </si>
  <si>
    <t xml:space="preserve">IBC 1.000 l (AFFF), tanque 600 l (agua) y tanque de premezcla con bomba 40 l/min + balanza</t>
  </si>
  <si>
    <t xml:space="preserve">§ 5.5</t>
  </si>
  <si>
    <t xml:space="preserve">Recuperación y carga de CO₂</t>
  </si>
  <si>
    <t xml:space="preserve">Trasvasadora CO₂ 103/D1 + manifold (recupera y carga)</t>
  </si>
  <si>
    <t xml:space="preserve">§ 5.6</t>
  </si>
  <si>
    <t xml:space="preserve">Recuperación y carga de halogenado</t>
  </si>
  <si>
    <t xml:space="preserve">Unidad THB/BP + pinza (recupera y carga)</t>
  </si>
  <si>
    <t xml:space="preserve">§ 5.7</t>
  </si>
  <si>
    <t xml:space="preserve">Desarme y limpieza — recinto</t>
  </si>
  <si>
    <t xml:space="preserve">Lanza de soplado + aspiradora industrial + llaves</t>
  </si>
  <si>
    <t xml:space="preserve">§ 5.8</t>
  </si>
  <si>
    <t xml:space="preserve">Desarme e inspección interior — zona general</t>
  </si>
  <si>
    <t xml:space="preserve">Boroscopio Klein ET19 + llaves</t>
  </si>
  <si>
    <t xml:space="preserve">§ 5.9</t>
  </si>
  <si>
    <t xml:space="preserve">Laboratorio — Puffer y mufla</t>
  </si>
  <si>
    <t xml:space="preserve">Puffer Yukon M-100150 + mufla ORL-0</t>
  </si>
  <si>
    <t xml:space="preserve">§ 5.10</t>
  </si>
  <si>
    <t xml:space="preserve">Máquina PH Yukon 300 kg/cm²</t>
  </si>
  <si>
    <t xml:space="preserve">§ 5.11</t>
  </si>
  <si>
    <t xml:space="preserve">Secadora Yukon de 6 recipientes</t>
  </si>
  <si>
    <t xml:space="preserve">§ 5.12</t>
  </si>
  <si>
    <t xml:space="preserve">Inspección interior con videoscopio</t>
  </si>
  <si>
    <t xml:space="preserve">Videoscopio + mesa con soporte en V</t>
  </si>
  <si>
    <t xml:space="preserve">§ 5.13</t>
  </si>
  <si>
    <t xml:space="preserve">Pintura</t>
  </si>
  <si>
    <t xml:space="preserve">Cabina con extracción, HVLP, lámparas IR, amoladora</t>
  </si>
  <si>
    <t xml:space="preserve">§ 5.14</t>
  </si>
  <si>
    <t xml:space="preserve">Carga de polvo ABC, BC y Clase D</t>
  </si>
  <si>
    <t xml:space="preserve">Cargadora Yukon con corte por peso (ABC); cargadora portátil BC y embudo de Clase D, exclusivos</t>
  </si>
  <si>
    <t xml:space="preserve">§ 5.15</t>
  </si>
  <si>
    <t xml:space="preserve">Ensamblaje y marbete — recinto</t>
  </si>
  <si>
    <t xml:space="preserve">Morsa + llave dinamométrica</t>
  </si>
  <si>
    <t xml:space="preserve">§ 5.16</t>
  </si>
  <si>
    <t xml:space="preserve">Presurización — recinto</t>
  </si>
  <si>
    <t xml:space="preserve">Pinza Yukon M-000150 + regulador</t>
  </si>
  <si>
    <t xml:space="preserve">§ 5.17</t>
  </si>
  <si>
    <t xml:space="preserve">Ensamblaje y presurización — zona general</t>
  </si>
  <si>
    <t xml:space="preserve">Morsa + dinamométrica + pinza Yukon</t>
  </si>
  <si>
    <t xml:space="preserve">§ 5.18</t>
  </si>
  <si>
    <t xml:space="preserve">Control de peso (CO₂ y halogenados sin recarga)</t>
  </si>
  <si>
    <t xml:space="preserve">Balanza</t>
  </si>
  <si>
    <t xml:space="preserve">§ 5.19</t>
  </si>
  <si>
    <t xml:space="preserve">Ensayo de pérdidas</t>
  </si>
  <si>
    <t xml:space="preserve">Tanque de inmersión inox (6 posiciones); spray en rodantes</t>
  </si>
  <si>
    <t xml:space="preserve">§ 5.20</t>
  </si>
  <si>
    <t xml:space="preserve">Precinto, etiqueta y despacho</t>
  </si>
  <si>
    <t xml:space="preserve">Dispensador + impresora + jaulas</t>
  </si>
  <si>
    <t xml:space="preserve">§ 5.21</t>
  </si>
  <si>
    <t xml:space="preserve">Inutilización y disposición final</t>
  </si>
  <si>
    <t xml:space="preserve">Taladro de columna con prensa en V</t>
  </si>
  <si>
    <t xml:space="preserve">§ 5.22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</si>
  <si>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</si>
  <si>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</si>
  <si>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</si>
  <si>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5.23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</si>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</sst>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/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false" outlineLevel="0" collapsed="false">
      <c r="A13" s="5" t="s">
        <v>28</v>
      </c>
      <c r="B13" s="8"/>
      <c r="C13" s="8"/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false" outlineLevel="0" collapsed="false">
      <c r="A14" s="5" t="s">
        <v>29</v>
      </c>
      <c r="B14" s="8"/>
      <c r="C14" s="8"/>
      <c r="D14" s="8"/>
      <c r="E14" s="8"/>
      <c r="F14" s="8"/>
      <c r="G14" s="8"/>
      <c r="H14" s="8"/>
      <c r="I14" s="8"/>
      <c r="J14" s="8"/>
      <c r="K14" s="8"/>
    </row>
    <row r="15" customFormat="false" ht="15" hidden="false" customHeight="false" outlineLevel="0" collapsed="false">
      <c r="A15" s="5" t="s">
        <v>30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15" hidden="false" customHeight="false" outlineLevel="0" collapsed="false">
      <c r="A16" s="5" t="s">
        <v>31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5" t="s">
        <v>32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A18" s="5" t="s">
        <v>33</v>
      </c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0" collapsed="false">
      <c r="A19" s="5" t="s">
        <v>34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5" t="s">
        <v>35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5" t="s">
        <v>36</v>
      </c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A22" s="5" t="s">
        <v>37</v>
      </c>
      <c r="B22" s="8"/>
      <c r="C22" s="8"/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false" outlineLevel="0" collapsed="false">
      <c r="A23" s="5" t="s">
        <v>38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15" hidden="false" customHeight="false" outlineLevel="0" collapsed="false">
      <c r="A24" s="5" t="s">
        <v>39</v>
      </c>
      <c r="B24" s="8"/>
      <c r="C24" s="8"/>
      <c r="D24" s="8"/>
      <c r="E24" s="8"/>
      <c r="F24" s="8"/>
      <c r="G24" s="8"/>
      <c r="H24" s="8"/>
      <c r="I24" s="8"/>
      <c r="J24" s="8"/>
      <c r="K24" s="8"/>
    </row>
    <row r="25" customFormat="false" ht="15" hidden="false" customHeight="false" outlineLevel="0" collapsed="false">
      <c r="A25" s="5" t="s">
        <v>40</v>
      </c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false" outlineLevel="0" collapsed="false">
      <c r="A26" s="5" t="s">
        <v>41</v>
      </c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false" outlineLevel="0" collapsed="false">
      <c r="A27" s="5" t="s">
        <v>42</v>
      </c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false" outlineLevel="0" collapsed="false">
      <c r="A28" s="5" t="s">
        <v>43</v>
      </c>
      <c r="B28" s="8"/>
      <c r="C28" s="8"/>
      <c r="D28" s="8"/>
      <c r="E28" s="8"/>
      <c r="F28" s="8"/>
      <c r="G28" s="8"/>
      <c r="H28" s="8"/>
      <c r="I28" s="8"/>
      <c r="J28" s="8"/>
      <c r="K28" s="8"/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/>
    </row>
    <row r="33" customFormat="false" ht="15" hidden="false" customHeight="false" outlineLevel="0" collapsed="false">
      <c r="A33" s="5" t="s">
        <v>47</v>
      </c>
      <c r="B33" s="9"/>
    </row>
    <row r="34" customFormat="false" ht="15" hidden="false" customHeight="false" outlineLevel="0" collapsed="false">
      <c r="A34" s="5" t="s">
        <v>48</v>
      </c>
      <c r="B34" s="9"/>
    </row>
    <row r="35" customFormat="false" ht="15" hidden="false" customHeight="false" outlineLevel="0" collapsed="false">
      <c r="A35" s="5" t="s">
        <v>49</v>
      </c>
      <c r="B35" s="9"/>
    </row>
    <row r="36" customFormat="false" ht="15" hidden="false" customHeight="false" outlineLevel="0" collapsed="false">
      <c r="A36" s="5" t="s">
        <v>50</v>
      </c>
      <c r="B36" s="9"/>
    </row>
    <row r="37" customFormat="false" ht="15" hidden="false" customHeight="false" outlineLevel="0" collapsed="false">
      <c r="A37" s="5" t="s">
        <v>51</v>
      </c>
      <c r="B37" s="9"/>
    </row>
    <row r="38" customFormat="false" ht="15" hidden="false" customHeight="false" outlineLevel="0" collapsed="false">
      <c r="A38" s="5" t="s">
        <v>52</v>
      </c>
      <c r="B38" s="9"/>
    </row>
    <row r="39" customFormat="false" ht="15" hidden="false" customHeight="false" outlineLevel="0" collapsed="false">
      <c r="A39" s="5" t="s">
        <v>53</v>
      </c>
      <c r="B39" s="9"/>
    </row>
    <row r="40" customFormat="false" ht="15" hidden="false" customHeight="false" outlineLevel="0" collapsed="false">
      <c r="A40" s="5" t="s">
        <v>54</v>
      </c>
      <c r="B40" s="9"/>
    </row>
    <row r="41" customFormat="false" ht="15" hidden="false" customHeight="false" outlineLevel="0" collapsed="false">
      <c r="A41" s="5" t="s">
        <v>55</v>
      </c>
      <c r="B41" s="9"/>
    </row>
    <row r="42" customFormat="false" ht="15" hidden="false" customHeight="false" outlineLevel="0" collapsed="false">
      <c r="A42" s="5" t="s">
        <v>56</v>
      </c>
      <c r="B42" s="9"/>
    </row>
    <row r="43" customFormat="false" ht="15" hidden="false" customHeight="false" outlineLevel="0" collapsed="false">
      <c r="A43" s="5" t="s">
        <v>57</v>
      </c>
      <c r="B43" s="9"/>
    </row>
    <row r="44" customFormat="false" ht="15" hidden="false" customHeight="false" outlineLevel="0" collapsed="false">
      <c r="A44" s="5" t="s">
        <v>58</v>
      </c>
      <c r="B44" s="9"/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62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0.2882365055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1188664</v>
      </c>
      <c r="C57" s="8" t="n">
        <v>0</v>
      </c>
      <c r="D57" s="8" t="n">
        <v>0</v>
      </c>
      <c r="E57" s="8" t="n">
        <v>1533.8</v>
      </c>
      <c r="F57" s="8" t="n">
        <v>0</v>
      </c>
      <c r="G57" s="8" t="n">
        <v>0</v>
      </c>
      <c r="H57" s="8" t="n">
        <v>331</v>
      </c>
      <c r="I57" s="12" t="n">
        <f aca="false">SUM(B57:H57)</f>
        <v>1190528.8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51231.6</v>
      </c>
      <c r="D58" s="8" t="n">
        <v>8719.2</v>
      </c>
      <c r="E58" s="8" t="n">
        <v>23764.4</v>
      </c>
      <c r="F58" s="8" t="n">
        <v>0</v>
      </c>
      <c r="G58" s="8" t="n">
        <v>4173.4</v>
      </c>
      <c r="H58" s="8" t="n">
        <v>3794</v>
      </c>
      <c r="I58" s="12" t="n">
        <f aca="false">SUM(B58:H58)</f>
        <v>91682.6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36760</v>
      </c>
      <c r="C59" s="8" t="n">
        <v>373689.5</v>
      </c>
      <c r="D59" s="8" t="n">
        <v>32472.3</v>
      </c>
      <c r="E59" s="8" t="n">
        <v>6552.8</v>
      </c>
      <c r="F59" s="8" t="n">
        <v>44086.3</v>
      </c>
      <c r="G59" s="8" t="n">
        <v>26680.3</v>
      </c>
      <c r="H59" s="8" t="n">
        <v>3289</v>
      </c>
      <c r="I59" s="12" t="n">
        <f aca="false">SUM(B59:H59)</f>
        <v>523530.2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22903.5</v>
      </c>
      <c r="D60" s="8" t="n">
        <v>3490</v>
      </c>
      <c r="E60" s="8" t="n">
        <v>1572.7</v>
      </c>
      <c r="F60" s="8" t="n">
        <v>0</v>
      </c>
      <c r="G60" s="8" t="n">
        <v>3566.9</v>
      </c>
      <c r="H60" s="8" t="n">
        <v>0</v>
      </c>
      <c r="I60" s="12" t="n">
        <f aca="false">SUM(B60:H60)</f>
        <v>31533.1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28930.8</v>
      </c>
      <c r="D61" s="8" t="n">
        <v>2999.8</v>
      </c>
      <c r="E61" s="8" t="n">
        <v>1048.4</v>
      </c>
      <c r="F61" s="8" t="n">
        <v>4377.3</v>
      </c>
      <c r="G61" s="8" t="n">
        <v>5096</v>
      </c>
      <c r="H61" s="8" t="n">
        <v>346</v>
      </c>
      <c r="I61" s="12" t="n">
        <f aca="false">SUM(B61:H61)</f>
        <v>42798.3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6232.7</v>
      </c>
      <c r="G62" s="8" t="n">
        <v>0</v>
      </c>
      <c r="H62" s="8" t="n">
        <v>0</v>
      </c>
      <c r="I62" s="12" t="n">
        <f aca="false">SUM(B62:H62)</f>
        <v>6232.7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3220.9</v>
      </c>
      <c r="G63" s="8" t="n">
        <v>0</v>
      </c>
      <c r="H63" s="8" t="n">
        <v>0</v>
      </c>
      <c r="I63" s="12" t="n">
        <f aca="false">SUM(B63:H63)</f>
        <v>3220.9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1816.2</v>
      </c>
      <c r="G64" s="8" t="n">
        <v>0</v>
      </c>
      <c r="H64" s="8" t="n">
        <v>0</v>
      </c>
      <c r="I64" s="12" t="n">
        <f aca="false">SUM(B64:H64)</f>
        <v>1816.2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10246.3</v>
      </c>
      <c r="D65" s="8" t="n">
        <v>2743</v>
      </c>
      <c r="E65" s="8" t="n">
        <v>2621.1</v>
      </c>
      <c r="F65" s="8" t="n">
        <v>3384.2</v>
      </c>
      <c r="G65" s="8" t="n">
        <v>1595.2</v>
      </c>
      <c r="H65" s="8" t="n">
        <v>0</v>
      </c>
      <c r="I65" s="12" t="n">
        <f aca="false">SUM(B65:H65)</f>
        <v>20589.8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93422.4</v>
      </c>
      <c r="D66" s="8" t="n">
        <v>11718.9</v>
      </c>
      <c r="E66" s="8" t="n">
        <v>2621.1</v>
      </c>
      <c r="F66" s="8" t="n">
        <v>2600.2</v>
      </c>
      <c r="G66" s="8" t="n">
        <v>6001.1</v>
      </c>
      <c r="H66" s="8" t="n">
        <v>0</v>
      </c>
      <c r="I66" s="12" t="n">
        <f aca="false">SUM(B66:H66)</f>
        <v>116363.7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13260</v>
      </c>
      <c r="D67" s="8" t="n">
        <v>548.6</v>
      </c>
      <c r="E67" s="8" t="n">
        <v>1310.5</v>
      </c>
      <c r="F67" s="8" t="n">
        <v>13536.8</v>
      </c>
      <c r="G67" s="8" t="n">
        <v>6729.6</v>
      </c>
      <c r="H67" s="8" t="n">
        <v>1558</v>
      </c>
      <c r="I67" s="12" t="n">
        <f aca="false">SUM(B67:H67)</f>
        <v>36943.5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3632.5</v>
      </c>
      <c r="G68" s="8" t="n">
        <v>1379.7</v>
      </c>
      <c r="H68" s="8" t="n">
        <v>0</v>
      </c>
      <c r="I68" s="12" t="n">
        <f aca="false">SUM(B68:H68)</f>
        <v>5012.2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1568</v>
      </c>
      <c r="G69" s="8" t="n">
        <v>0</v>
      </c>
      <c r="H69" s="8" t="n">
        <v>0</v>
      </c>
      <c r="I69" s="12" t="n">
        <f aca="false">SUM(B69:H69)</f>
        <v>1568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2260.2</v>
      </c>
      <c r="D70" s="8" t="n">
        <v>122.6</v>
      </c>
      <c r="E70" s="8" t="n">
        <v>131.1</v>
      </c>
      <c r="F70" s="8" t="n">
        <v>1589.2</v>
      </c>
      <c r="G70" s="8" t="n">
        <v>776.1</v>
      </c>
      <c r="H70" s="8" t="n">
        <v>0</v>
      </c>
      <c r="I70" s="12" t="n">
        <f aca="false">SUM(B70:H70)</f>
        <v>4879.2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4972.5</v>
      </c>
      <c r="D71" s="8" t="n">
        <v>269.6</v>
      </c>
      <c r="E71" s="8" t="n">
        <v>288.3</v>
      </c>
      <c r="F71" s="8" t="n">
        <v>3496.3</v>
      </c>
      <c r="G71" s="8" t="n">
        <v>1707.4</v>
      </c>
      <c r="H71" s="8" t="n">
        <v>0</v>
      </c>
      <c r="I71" s="12" t="n">
        <f aca="false">SUM(B71:H71)</f>
        <v>10734.1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1084.9</v>
      </c>
      <c r="D72" s="8" t="n">
        <v>58.8</v>
      </c>
      <c r="E72" s="8" t="n">
        <v>62.9</v>
      </c>
      <c r="F72" s="8" t="n">
        <v>762.8</v>
      </c>
      <c r="G72" s="8" t="n">
        <v>372.5</v>
      </c>
      <c r="H72" s="8" t="n">
        <v>0</v>
      </c>
      <c r="I72" s="12" t="n">
        <f aca="false">SUM(B72:H72)</f>
        <v>2341.9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723.3</v>
      </c>
      <c r="D73" s="8" t="n">
        <v>39.2</v>
      </c>
      <c r="E73" s="8" t="n">
        <v>41.9</v>
      </c>
      <c r="F73" s="8" t="n">
        <v>508.5</v>
      </c>
      <c r="G73" s="8" t="n">
        <v>248.3</v>
      </c>
      <c r="H73" s="8" t="n">
        <v>0</v>
      </c>
      <c r="I73" s="12" t="n">
        <f aca="false">SUM(B73:H73)</f>
        <v>1561.2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1002.33729536048</v>
      </c>
      <c r="C2" s="8" t="n">
        <f aca="false">PROY_Indexado!C4*PROY_Indexado!$B$52</f>
        <v>4891.54230116208</v>
      </c>
      <c r="D2" s="8" t="n">
        <f aca="false">PROY_Indexado!D4*PROY_Indexado!$B$52</f>
        <v>8804.49809705261</v>
      </c>
      <c r="E2" s="8" t="n">
        <f aca="false">PROY_Indexado!E4*PROY_Indexado!$B$52</f>
        <v>16155.1693191114</v>
      </c>
      <c r="F2" s="8" t="n">
        <f aca="false">PROY_Indexado!F4*PROY_Indexado!$B$52</f>
        <v>24289.755497406</v>
      </c>
      <c r="G2" s="8" t="n">
        <f aca="false">PROY_Indexado!G4*PROY_Indexado!$B$52</f>
        <v>33841.2206487062</v>
      </c>
      <c r="H2" s="8" t="n">
        <f aca="false">PROY_Indexado!H4*PROY_Indexado!$B$52</f>
        <v>42546.7737799779</v>
      </c>
      <c r="I2" s="8" t="n">
        <f aca="false">PROY_Indexado!I4*PROY_Indexado!$B$52</f>
        <v>49404.9939556295</v>
      </c>
      <c r="J2" s="8" t="n">
        <f aca="false">PROY_Indexado!J4*PROY_Indexado!$B$52</f>
        <v>52946.3268371571</v>
      </c>
      <c r="K2" s="8" t="n">
        <f aca="false">PROY_Indexado!K4*PROY_Indexado!$B$52</f>
        <v>56575.8368575054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95.1170864109637</v>
      </c>
      <c r="C3" s="8" t="n">
        <f aca="false">PROY_Indexado!C5*PROY_Indexado!$B$52</f>
        <v>371.079719409453</v>
      </c>
      <c r="D3" s="8" t="n">
        <f aca="false">PROY_Indexado!D5*PROY_Indexado!$B$52</f>
        <v>849.481755937015</v>
      </c>
      <c r="E3" s="8" t="n">
        <f aca="false">PROY_Indexado!E5*PROY_Indexado!$B$52</f>
        <v>1563.98375054836</v>
      </c>
      <c r="F3" s="8" t="n">
        <f aca="false">PROY_Indexado!F5*PROY_Indexado!$B$52</f>
        <v>2262.90900743594</v>
      </c>
      <c r="G3" s="8" t="n">
        <f aca="false">PROY_Indexado!G5*PROY_Indexado!$B$52</f>
        <v>3004.56109120492</v>
      </c>
      <c r="H3" s="8" t="n">
        <f aca="false">PROY_Indexado!H5*PROY_Indexado!$B$52</f>
        <v>3692.27957526984</v>
      </c>
      <c r="I3" s="8" t="n">
        <f aca="false">PROY_Indexado!I5*PROY_Indexado!$B$52</f>
        <v>4111.13696738219</v>
      </c>
      <c r="J3" s="8" t="n">
        <f aca="false">PROY_Indexado!J5*PROY_Indexado!$B$52</f>
        <v>4448.31646963558</v>
      </c>
      <c r="K3" s="8" t="n">
        <f aca="false">PROY_Indexado!K5*PROY_Indexado!$B$52</f>
        <v>4790.71011839089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562.174778867108</v>
      </c>
      <c r="C4" s="8" t="n">
        <f aca="false">PROY_Indexado!C6*PROY_Indexado!$B$52</f>
        <v>2263.41132122938</v>
      </c>
      <c r="D4" s="8" t="n">
        <f aca="false">PROY_Indexado!D6*PROY_Indexado!$B$52</f>
        <v>5123.65090683008</v>
      </c>
      <c r="E4" s="8" t="n">
        <f aca="false">PROY_Indexado!E6*PROY_Indexado!$B$52</f>
        <v>9686.3515865454</v>
      </c>
      <c r="F4" s="8" t="n">
        <f aca="false">PROY_Indexado!F6*PROY_Indexado!$B$52</f>
        <v>13952.8293613136</v>
      </c>
      <c r="G4" s="8" t="n">
        <f aca="false">PROY_Indexado!G6*PROY_Indexado!$B$52</f>
        <v>18540.2490682695</v>
      </c>
      <c r="H4" s="8" t="n">
        <f aca="false">PROY_Indexado!H6*PROY_Indexado!$B$52</f>
        <v>22690.2948855283</v>
      </c>
      <c r="I4" s="8" t="n">
        <f aca="false">PROY_Indexado!I6*PROY_Indexado!$B$52</f>
        <v>25144.9492517373</v>
      </c>
      <c r="J4" s="8" t="n">
        <f aca="false">PROY_Indexado!J6*PROY_Indexado!$B$52</f>
        <v>27124.1123066399</v>
      </c>
      <c r="K4" s="8" t="n">
        <f aca="false">PROY_Indexado!K6*PROY_Indexado!$B$52</f>
        <v>29139.3203107948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34.110954935858</v>
      </c>
      <c r="C5" s="8" t="n">
        <f aca="false">PROY_Indexado!C7*PROY_Indexado!$B$52</f>
        <v>126.165896842138</v>
      </c>
      <c r="D5" s="8" t="n">
        <f aca="false">PROY_Indexado!D7*PROY_Indexado!$B$52</f>
        <v>295.435160630528</v>
      </c>
      <c r="E5" s="8" t="n">
        <f aca="false">PROY_Indexado!E7*PROY_Indexado!$B$52</f>
        <v>565.061687970617</v>
      </c>
      <c r="F5" s="8" t="n">
        <f aca="false">PROY_Indexado!F7*PROY_Indexado!$B$52</f>
        <v>820.026184319452</v>
      </c>
      <c r="G5" s="8" t="n">
        <f aca="false">PROY_Indexado!G7*PROY_Indexado!$B$52</f>
        <v>1098.29367747525</v>
      </c>
      <c r="H5" s="8" t="n">
        <f aca="false">PROY_Indexado!H7*PROY_Indexado!$B$52</f>
        <v>1344.24226967378</v>
      </c>
      <c r="I5" s="8" t="n">
        <f aca="false">PROY_Indexado!I7*PROY_Indexado!$B$52</f>
        <v>1488.60163629595</v>
      </c>
      <c r="J5" s="8" t="n">
        <f aca="false">PROY_Indexado!J7*PROY_Indexado!$B$52</f>
        <v>1605.92246734107</v>
      </c>
      <c r="K5" s="8" t="n">
        <f aca="false">PROY_Indexado!K7*PROY_Indexado!$B$52</f>
        <v>1725.36955653994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45.9185933602621</v>
      </c>
      <c r="C6" s="8" t="n">
        <f aca="false">PROY_Indexado!C8*PROY_Indexado!$B$52</f>
        <v>185.458153302513</v>
      </c>
      <c r="D6" s="8" t="n">
        <f aca="false">PROY_Indexado!D8*PROY_Indexado!$B$52</f>
        <v>424.965164305242</v>
      </c>
      <c r="E6" s="8" t="n">
        <f aca="false">PROY_Indexado!E8*PROY_Indexado!$B$52</f>
        <v>797.392227965464</v>
      </c>
      <c r="F6" s="8" t="n">
        <f aca="false">PROY_Indexado!F8*PROY_Indexado!$B$52</f>
        <v>1150.48598712583</v>
      </c>
      <c r="G6" s="8" t="n">
        <f aca="false">PROY_Indexado!G8*PROY_Indexado!$B$52</f>
        <v>1537.95960022863</v>
      </c>
      <c r="H6" s="8" t="n">
        <f aca="false">PROY_Indexado!H8*PROY_Indexado!$B$52</f>
        <v>1884.76665919705</v>
      </c>
      <c r="I6" s="8" t="n">
        <f aca="false">PROY_Indexado!I8*PROY_Indexado!$B$52</f>
        <v>2095.42742046657</v>
      </c>
      <c r="J6" s="8" t="n">
        <f aca="false">PROY_Indexado!J8*PROY_Indexado!$B$52</f>
        <v>2264.22497541366</v>
      </c>
      <c r="K6" s="8" t="n">
        <f aca="false">PROY_Indexado!K8*PROY_Indexado!$B$52</f>
        <v>2435.83311933763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6.55979909264265</v>
      </c>
      <c r="C7" s="8" t="n">
        <f aca="false">PROY_Indexado!C9*PROY_Indexado!$B$52</f>
        <v>46.4970883503481</v>
      </c>
      <c r="D7" s="8" t="n">
        <f aca="false">PROY_Indexado!D9*PROY_Indexado!$B$52</f>
        <v>91.257774850114</v>
      </c>
      <c r="E7" s="8" t="n">
        <f aca="false">PROY_Indexado!E9*PROY_Indexado!$B$52</f>
        <v>152.0143822883</v>
      </c>
      <c r="F7" s="8" t="n">
        <f aca="false">PROY_Indexado!F9*PROY_Indexado!$B$52</f>
        <v>214.387126624568</v>
      </c>
      <c r="G7" s="8" t="n">
        <f aca="false">PROY_Indexado!G9*PROY_Indexado!$B$52</f>
        <v>277.535533556036</v>
      </c>
      <c r="H7" s="8" t="n">
        <f aca="false">PROY_Indexado!H9*PROY_Indexado!$B$52</f>
        <v>344.425966020138</v>
      </c>
      <c r="I7" s="8" t="n">
        <f aca="false">PROY_Indexado!I9*PROY_Indexado!$B$52</f>
        <v>389.585413601674</v>
      </c>
      <c r="J7" s="8" t="n">
        <f aca="false">PROY_Indexado!J9*PROY_Indexado!$B$52</f>
        <v>425.883520111909</v>
      </c>
      <c r="K7" s="8" t="n">
        <f aca="false">PROY_Indexado!K9*PROY_Indexado!$B$52</f>
        <v>462.458588756731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3.27989940220307</v>
      </c>
      <c r="C8" s="8" t="n">
        <f aca="false">PROY_Indexado!C10*PROY_Indexado!$B$52</f>
        <v>23.9880565802094</v>
      </c>
      <c r="D8" s="8" t="n">
        <f aca="false">PROY_Indexado!D10*PROY_Indexado!$B$52</f>
        <v>47.4044807932921</v>
      </c>
      <c r="E8" s="8" t="n">
        <f aca="false">PROY_Indexado!E10*PROY_Indexado!$B$52</f>
        <v>81.0927884881688</v>
      </c>
      <c r="F8" s="8" t="n">
        <f aca="false">PROY_Indexado!F10*PROY_Indexado!$B$52</f>
        <v>114.978265229342</v>
      </c>
      <c r="G8" s="8" t="n">
        <f aca="false">PROY_Indexado!G10*PROY_Indexado!$B$52</f>
        <v>148.305546324566</v>
      </c>
      <c r="H8" s="8" t="n">
        <f aca="false">PROY_Indexado!H10*PROY_Indexado!$B$52</f>
        <v>181.319642891793</v>
      </c>
      <c r="I8" s="8" t="n">
        <f aca="false">PROY_Indexado!I10*PROY_Indexado!$B$52</f>
        <v>204.987468426155</v>
      </c>
      <c r="J8" s="8" t="n">
        <f aca="false">PROY_Indexado!J10*PROY_Indexado!$B$52</f>
        <v>222.92527819053</v>
      </c>
      <c r="K8" s="8" t="n">
        <f aca="false">PROY_Indexado!K10*PROY_Indexado!$B$52</f>
        <v>241.066833405312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1.96793964132184</v>
      </c>
      <c r="C9" s="8" t="n">
        <f aca="false">PROY_Indexado!C11*PROY_Indexado!$B$52</f>
        <v>13.5681893058901</v>
      </c>
      <c r="D9" s="8" t="n">
        <f aca="false">PROY_Indexado!D11*PROY_Indexado!$B$52</f>
        <v>25.6212495852672</v>
      </c>
      <c r="E9" s="8" t="n">
        <f aca="false">PROY_Indexado!E11*PROY_Indexado!$B$52</f>
        <v>45.9744406243852</v>
      </c>
      <c r="F9" s="8" t="n">
        <f aca="false">PROY_Indexado!F11*PROY_Indexado!$B$52</f>
        <v>63.3532891866521</v>
      </c>
      <c r="G9" s="8" t="n">
        <f aca="false">PROY_Indexado!G11*PROY_Indexado!$B$52</f>
        <v>84.1275464895187</v>
      </c>
      <c r="H9" s="8" t="n">
        <f aca="false">PROY_Indexado!H11*PROY_Indexado!$B$52</f>
        <v>106.314354346611</v>
      </c>
      <c r="I9" s="8" t="n">
        <f aca="false">PROY_Indexado!I11*PROY_Indexado!$B$52</f>
        <v>117.718369427634</v>
      </c>
      <c r="J9" s="8" t="n">
        <f aca="false">PROY_Indexado!J11*PROY_Indexado!$B$52</f>
        <v>128.490629753557</v>
      </c>
      <c r="K9" s="8" t="n">
        <f aca="false">PROY_Indexado!K11*PROY_Indexado!$B$52</f>
        <v>139.356355954645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23.6152765605716</v>
      </c>
      <c r="C10" s="8" t="n">
        <f aca="false">PROY_Indexado!C12*PROY_Indexado!$B$52</f>
        <v>96.6741939139012</v>
      </c>
      <c r="D10" s="8" t="n">
        <f aca="false">PROY_Indexado!D12*PROY_Indexado!$B$52</f>
        <v>215.196899992539</v>
      </c>
      <c r="E10" s="8" t="n">
        <f aca="false">PROY_Indexado!E12*PROY_Indexado!$B$52</f>
        <v>391.6845403414</v>
      </c>
      <c r="F10" s="8" t="n">
        <f aca="false">PROY_Indexado!F12*PROY_Indexado!$B$52</f>
        <v>565.267967308143</v>
      </c>
      <c r="G10" s="8" t="n">
        <f aca="false">PROY_Indexado!G12*PROY_Indexado!$B$52</f>
        <v>748.994495991916</v>
      </c>
      <c r="H10" s="8" t="n">
        <f aca="false">PROY_Indexado!H12*PROY_Indexado!$B$52</f>
        <v>921.56805177326</v>
      </c>
      <c r="I10" s="8" t="n">
        <f aca="false">PROY_Indexado!I12*PROY_Indexado!$B$52</f>
        <v>1031.46570643837</v>
      </c>
      <c r="J10" s="8" t="n">
        <f aca="false">PROY_Indexado!J12*PROY_Indexado!$B$52</f>
        <v>1115.6908763264</v>
      </c>
      <c r="K10" s="8" t="n">
        <f aca="false">PROY_Indexado!K12*PROY_Indexado!$B$52</f>
        <v>1201.24282190818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129.884021227262</v>
      </c>
      <c r="C11" s="8" t="n">
        <f aca="false">PROY_Indexado!C13*PROY_Indexado!$B$52</f>
        <v>489.189661876883</v>
      </c>
      <c r="D11" s="8" t="n">
        <f aca="false">PROY_Indexado!D13*PROY_Indexado!$B$52</f>
        <v>1140.0321209145</v>
      </c>
      <c r="E11" s="8" t="n">
        <f aca="false">PROY_Indexado!E13*PROY_Indexado!$B$52</f>
        <v>2179.43125469498</v>
      </c>
      <c r="F11" s="8" t="n">
        <f aca="false">PROY_Indexado!F13*PROY_Indexado!$B$52</f>
        <v>3147.58437958836</v>
      </c>
      <c r="G11" s="8" t="n">
        <f aca="false">PROY_Indexado!G13*PROY_Indexado!$B$52</f>
        <v>4183.7197935464</v>
      </c>
      <c r="H11" s="8" t="n">
        <f aca="false">PROY_Indexado!H13*PROY_Indexado!$B$52</f>
        <v>5115.1889344431</v>
      </c>
      <c r="I11" s="8" t="n">
        <f aca="false">PROY_Indexado!I13*PROY_Indexado!$B$52</f>
        <v>5654.39474946592</v>
      </c>
      <c r="J11" s="8" t="n">
        <f aca="false">PROY_Indexado!J13*PROY_Indexado!$B$52</f>
        <v>6099.60508356806</v>
      </c>
      <c r="K11" s="8" t="n">
        <f aca="false">PROY_Indexado!K13*PROY_Indexado!$B$52</f>
        <v>6552.91332717418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36.0788948654163</v>
      </c>
      <c r="C12" s="8" t="n">
        <f aca="false">PROY_Indexado!C14*PROY_Indexado!$B$52</f>
        <v>185.517768970709</v>
      </c>
      <c r="D12" s="8" t="n">
        <f aca="false">PROY_Indexado!D14*PROY_Indexado!$B$52</f>
        <v>396.505838356991</v>
      </c>
      <c r="E12" s="8" t="n">
        <f aca="false">PROY_Indexado!E14*PROY_Indexado!$B$52</f>
        <v>709.143739080236</v>
      </c>
      <c r="F12" s="8" t="n">
        <f aca="false">PROY_Indexado!F14*PROY_Indexado!$B$52</f>
        <v>1021.87268564495</v>
      </c>
      <c r="G12" s="8" t="n">
        <f aca="false">PROY_Indexado!G14*PROY_Indexado!$B$52</f>
        <v>1361.47411848296</v>
      </c>
      <c r="H12" s="8" t="n">
        <f aca="false">PROY_Indexado!H14*PROY_Indexado!$B$52</f>
        <v>1687.30917203508</v>
      </c>
      <c r="I12" s="8" t="n">
        <f aca="false">PROY_Indexado!I14*PROY_Indexado!$B$52</f>
        <v>1904.79939090701</v>
      </c>
      <c r="J12" s="8" t="n">
        <f aca="false">PROY_Indexado!J14*PROY_Indexado!$B$52</f>
        <v>2071.18347789329</v>
      </c>
      <c r="K12" s="8" t="n">
        <f aca="false">PROY_Indexado!K14*PROY_Indexado!$B$52</f>
        <v>2239.47576029921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5.24783933176142</v>
      </c>
      <c r="C13" s="8" t="n">
        <f aca="false">PROY_Indexado!C15*PROY_Indexado!$B$52</f>
        <v>32.3041415187662</v>
      </c>
      <c r="D13" s="8" t="n">
        <f aca="false">PROY_Indexado!D15*PROY_Indexado!$B$52</f>
        <v>66.5405620583937</v>
      </c>
      <c r="E13" s="8" t="n">
        <f aca="false">PROY_Indexado!E15*PROY_Indexado!$B$52</f>
        <v>115.500787572425</v>
      </c>
      <c r="F13" s="8" t="n">
        <f aca="false">PROY_Indexado!F15*PROY_Indexado!$B$52</f>
        <v>165.594117483891</v>
      </c>
      <c r="G13" s="8" t="n">
        <f aca="false">PROY_Indexado!G15*PROY_Indexado!$B$52</f>
        <v>217.42994631274</v>
      </c>
      <c r="H13" s="8" t="n">
        <f aca="false">PROY_Indexado!H15*PROY_Indexado!$B$52</f>
        <v>272.339927867329</v>
      </c>
      <c r="I13" s="8" t="n">
        <f aca="false">PROY_Indexado!I15*PROY_Indexado!$B$52</f>
        <v>309.057174644982</v>
      </c>
      <c r="J13" s="8" t="n">
        <f aca="false">PROY_Indexado!J15*PROY_Indexado!$B$52</f>
        <v>337.725489353911</v>
      </c>
      <c r="K13" s="8" t="n">
        <f aca="false">PROY_Indexado!K15*PROY_Indexado!$B$52</f>
        <v>366.61985757759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1.96793964132184</v>
      </c>
      <c r="C14" s="8" t="n">
        <f aca="false">PROY_Indexado!C16*PROY_Indexado!$B$52</f>
        <v>13.5681893058901</v>
      </c>
      <c r="D14" s="8" t="n">
        <f aca="false">PROY_Indexado!D16*PROY_Indexado!$B$52</f>
        <v>25.6212495852672</v>
      </c>
      <c r="E14" s="8" t="n">
        <f aca="false">PROY_Indexado!E16*PROY_Indexado!$B$52</f>
        <v>42.7394732580785</v>
      </c>
      <c r="F14" s="8" t="n">
        <f aca="false">PROY_Indexado!F16*PROY_Indexado!$B$52</f>
        <v>59.1536403542778</v>
      </c>
      <c r="G14" s="8" t="n">
        <f aca="false">PROY_Indexado!G16*PROY_Indexado!$B$52</f>
        <v>73.7208516235008</v>
      </c>
      <c r="H14" s="8" t="n">
        <f aca="false">PROY_Indexado!H16*PROY_Indexado!$B$52</f>
        <v>94.6620284161215</v>
      </c>
      <c r="I14" s="8" t="n">
        <f aca="false">PROY_Indexado!I16*PROY_Indexado!$B$52</f>
        <v>105.756300224786</v>
      </c>
      <c r="J14" s="8" t="n">
        <f aca="false">PROY_Indexado!J16*PROY_Indexado!$B$52</f>
        <v>115.779331548955</v>
      </c>
      <c r="K14" s="8" t="n">
        <f aca="false">PROY_Indexado!K16*PROY_Indexado!$B$52</f>
        <v>125.86907204172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5.08384428959214</v>
      </c>
      <c r="C15" s="8" t="n">
        <f aca="false">PROY_Indexado!C17*PROY_Indexado!$B$52</f>
        <v>24.7848284641265</v>
      </c>
      <c r="D15" s="8" t="n">
        <f aca="false">PROY_Indexado!D17*PROY_Indexado!$B$52</f>
        <v>53.8626309763781</v>
      </c>
      <c r="E15" s="8" t="n">
        <f aca="false">PROY_Indexado!E17*PROY_Indexado!$B$52</f>
        <v>97.0156867255764</v>
      </c>
      <c r="F15" s="8" t="n">
        <f aca="false">PROY_Indexado!F17*PROY_Indexado!$B$52</f>
        <v>139.544688246156</v>
      </c>
      <c r="G15" s="8" t="n">
        <f aca="false">PROY_Indexado!G17*PROY_Indexado!$B$52</f>
        <v>185.399596038765</v>
      </c>
      <c r="H15" s="8" t="n">
        <f aca="false">PROY_Indexado!H17*PROY_Indexado!$B$52</f>
        <v>228.407756161358</v>
      </c>
      <c r="I15" s="8" t="n">
        <f aca="false">PROY_Indexado!I17*PROY_Indexado!$B$52</f>
        <v>256.437593286933</v>
      </c>
      <c r="J15" s="8" t="n">
        <f aca="false">PROY_Indexado!J17*PROY_Indexado!$B$52</f>
        <v>278.237901066726</v>
      </c>
      <c r="K15" s="8" t="n">
        <f aca="false">PROY_Indexado!K17*PROY_Indexado!$B$52</f>
        <v>300.325058646191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11.1844572641608</v>
      </c>
      <c r="C16" s="8" t="n">
        <f aca="false">PROY_Indexado!C18*PROY_Indexado!$B$52</f>
        <v>54.5266229669621</v>
      </c>
      <c r="D16" s="8" t="n">
        <f aca="false">PROY_Indexado!D18*PROY_Indexado!$B$52</f>
        <v>118.497788320974</v>
      </c>
      <c r="E16" s="8" t="n">
        <f aca="false">PROY_Indexado!E18*PROY_Indexado!$B$52</f>
        <v>213.434510738621</v>
      </c>
      <c r="F16" s="8" t="n">
        <f aca="false">PROY_Indexado!F18*PROY_Indexado!$B$52</f>
        <v>306.998313968602</v>
      </c>
      <c r="G16" s="8" t="n">
        <f aca="false">PROY_Indexado!G18*PROY_Indexado!$B$52</f>
        <v>407.879111573519</v>
      </c>
      <c r="H16" s="8" t="n">
        <f aca="false">PROY_Indexado!H18*PROY_Indexado!$B$52</f>
        <v>502.497063727929</v>
      </c>
      <c r="I16" s="8" t="n">
        <f aca="false">PROY_Indexado!I18*PROY_Indexado!$B$52</f>
        <v>564.162705115958</v>
      </c>
      <c r="J16" s="8" t="n">
        <f aca="false">PROY_Indexado!J18*PROY_Indexado!$B$52</f>
        <v>612.123382058561</v>
      </c>
      <c r="K16" s="8" t="n">
        <f aca="false">PROY_Indexado!K18*PROY_Indexado!$B$52</f>
        <v>660.71512861809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2.44024513218017</v>
      </c>
      <c r="C17" s="8" t="n">
        <f aca="false">PROY_Indexado!C19*PROY_Indexado!$B$52</f>
        <v>11.8967176281923</v>
      </c>
      <c r="D17" s="8" t="n">
        <f aca="false">PROY_Indexado!D19*PROY_Indexado!$B$52</f>
        <v>25.8540628225437</v>
      </c>
      <c r="E17" s="8" t="n">
        <f aca="false">PROY_Indexado!E19*PROY_Indexado!$B$52</f>
        <v>46.5675296052178</v>
      </c>
      <c r="F17" s="8" t="n">
        <f aca="false">PROY_Indexado!F19*PROY_Indexado!$B$52</f>
        <v>66.9814503466256</v>
      </c>
      <c r="G17" s="8" t="n">
        <f aca="false">PROY_Indexado!G19*PROY_Indexado!$B$52</f>
        <v>88.9918061562543</v>
      </c>
      <c r="H17" s="8" t="n">
        <f aca="false">PROY_Indexado!H19*PROY_Indexado!$B$52</f>
        <v>109.635722911334</v>
      </c>
      <c r="I17" s="8" t="n">
        <f aca="false">PROY_Indexado!I19*PROY_Indexado!$B$52</f>
        <v>123.090044673963</v>
      </c>
      <c r="J17" s="8" t="n">
        <f aca="false">PROY_Indexado!J19*PROY_Indexado!$B$52</f>
        <v>133.554192569676</v>
      </c>
      <c r="K17" s="8" t="n">
        <f aca="false">PROY_Indexado!K19*PROY_Indexado!$B$52</f>
        <v>144.156028161701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1.62683018419895</v>
      </c>
      <c r="C18" s="8" t="n">
        <f aca="false">PROY_Indexado!C20*PROY_Indexado!$B$52</f>
        <v>7.93114508546156</v>
      </c>
      <c r="D18" s="8" t="n">
        <f aca="false">PROY_Indexado!D20*PROY_Indexado!$B$52</f>
        <v>17.2360420738534</v>
      </c>
      <c r="E18" s="8" t="n">
        <f aca="false">PROY_Indexado!E20*PROY_Indexado!$B$52</f>
        <v>31.0450198328907</v>
      </c>
      <c r="F18" s="8" t="n">
        <f aca="false">PROY_Indexado!F20*PROY_Indexado!$B$52</f>
        <v>44.6543001350049</v>
      </c>
      <c r="G18" s="8" t="n">
        <f aca="false">PROY_Indexado!G20*PROY_Indexado!$B$52</f>
        <v>59.3278706747574</v>
      </c>
      <c r="H18" s="8" t="n">
        <f aca="false">PROY_Indexado!H20*PROY_Indexado!$B$52</f>
        <v>73.0904821330469</v>
      </c>
      <c r="I18" s="8" t="n">
        <f aca="false">PROY_Indexado!I20*PROY_Indexado!$B$52</f>
        <v>82.0600297826418</v>
      </c>
      <c r="J18" s="8" t="n">
        <f aca="false">PROY_Indexado!J20*PROY_Indexado!$B$52</f>
        <v>89.0361282837051</v>
      </c>
      <c r="K18" s="8" t="n">
        <f aca="false">PROY_Indexado!K20*PROY_Indexado!$B$52</f>
        <v>96.1040185823099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1968.5956955673</v>
      </c>
      <c r="C19" s="12" t="n">
        <f aca="false">SUM(C2:C18)</f>
        <v>8838.10399591291</v>
      </c>
      <c r="D19" s="12" t="n">
        <f aca="false">SUM(D2:D18)</f>
        <v>17721.6617850856</v>
      </c>
      <c r="E19" s="12" t="n">
        <f aca="false">SUM(E2:E18)</f>
        <v>32873.6027253915</v>
      </c>
      <c r="F19" s="12" t="n">
        <f aca="false">SUM(F2:F18)</f>
        <v>48386.3762617174</v>
      </c>
      <c r="G19" s="12" t="n">
        <f aca="false">SUM(G2:G18)</f>
        <v>65859.1903026554</v>
      </c>
      <c r="H19" s="12" t="n">
        <f aca="false">SUM(H2:H18)</f>
        <v>81795.116272374</v>
      </c>
      <c r="I19" s="12" t="n">
        <f aca="false">SUM(I2:I18)</f>
        <v>92988.6241775075</v>
      </c>
      <c r="J19" s="12" t="n">
        <f aca="false">SUM(J2:J18)</f>
        <v>100019.138346913</v>
      </c>
      <c r="K19" s="12" t="n">
        <f aca="false">SUM(K2:K18)</f>
        <v>107197.372813694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$B$44</f>
        <v>0.12</v>
      </c>
      <c r="F35" s="9" t="n">
        <f aca="false">$B$49</f>
        <v>0.0955555555555556</v>
      </c>
      <c r="G35" s="9" t="n">
        <f aca="false">$B$48</f>
        <v>0.0711111111111111</v>
      </c>
      <c r="H35" s="9" t="n">
        <f aca="false">$B$48</f>
        <v>0.0711111111111111</v>
      </c>
      <c r="I35" s="9" t="n">
        <f aca="false">$B$48</f>
        <v>0.0711111111111111</v>
      </c>
      <c r="J35" s="9" t="n">
        <f aca="false">$B$48</f>
        <v>0.0711111111111111</v>
      </c>
      <c r="K35" s="9" t="n">
        <f aca="false">$B$48</f>
        <v>0.0711111111111111</v>
      </c>
      <c r="L35" s="9" t="n">
        <f aca="false">$B$48</f>
        <v>0.0711111111111111</v>
      </c>
      <c r="M35" s="9" t="n">
        <f aca="false">$B$48</f>
        <v>0.0711111111111111</v>
      </c>
      <c r="N35" s="9" t="n">
        <f aca="false">$B$48</f>
        <v>0.0711111111111111</v>
      </c>
      <c r="O35" s="9" t="n">
        <f aca="false">$B$49</f>
        <v>0.0955555555555556</v>
      </c>
      <c r="P35" s="9" t="n">
        <f aca="false">$B$45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(1+$B$50*-1)/(12+$B$50*1)</f>
        <v>0.0540540540540541</v>
      </c>
      <c r="F36" s="9" t="n">
        <f aca="false">(1+$B$50*-1)/(12+$B$50*1)</f>
        <v>0.0540540540540541</v>
      </c>
      <c r="G36" s="9" t="n">
        <f aca="false">(1+$B$50*0)/(12+$B$50*1)</f>
        <v>0.0810810810810811</v>
      </c>
      <c r="H36" s="9" t="n">
        <f aca="false">(1+$B$50*1)/(12+$B$50*1)</f>
        <v>0.108108108108108</v>
      </c>
      <c r="I36" s="9" t="n">
        <f aca="false">(1+$B$50*1)/(12+$B$50*1)</f>
        <v>0.108108108108108</v>
      </c>
      <c r="J36" s="9" t="n">
        <f aca="false">(1+$B$50*1)/(12+$B$50*1)</f>
        <v>0.108108108108108</v>
      </c>
      <c r="K36" s="9" t="n">
        <f aca="false">(1+$B$50*0)/(12+$B$50*1)</f>
        <v>0.0810810810810811</v>
      </c>
      <c r="L36" s="9" t="n">
        <f aca="false">(1+$B$50*0)/(12+$B$50*1)</f>
        <v>0.0810810810810811</v>
      </c>
      <c r="M36" s="9" t="n">
        <f aca="false">(1+$B$50*0)/(12+$B$50*1)</f>
        <v>0.0810810810810811</v>
      </c>
      <c r="N36" s="9" t="n">
        <f aca="false">(1+$B$50*0)/(12+$B$50*1)</f>
        <v>0.0810810810810811</v>
      </c>
      <c r="O36" s="9" t="n">
        <f aca="false">(1+$B$50*0)/(12+$B$50*1)</f>
        <v>0.0810810810810811</v>
      </c>
      <c r="P36" s="9" t="n">
        <f aca="false">(1+$B$50*0)/(12+$B$50*1)</f>
        <v>0.0810810810810811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(1+$B$50*1)/(12+$B$50*3.5)</f>
        <v>0.10126582278481</v>
      </c>
      <c r="F37" s="9" t="n">
        <f aca="false">(1+$B$50*1)/(12+$B$50*3.5)</f>
        <v>0.10126582278481</v>
      </c>
      <c r="G37" s="9" t="n">
        <f aca="false">(1+$B$50*1)/(12+$B$50*3.5)</f>
        <v>0.10126582278481</v>
      </c>
      <c r="H37" s="9" t="n">
        <f aca="false">(1+$B$50*0)/(12+$B$50*3.5)</f>
        <v>0.0759493670886076</v>
      </c>
      <c r="I37" s="9" t="n">
        <f aca="false">(1+$B$50*0)/(12+$B$50*3.5)</f>
        <v>0.0759493670886076</v>
      </c>
      <c r="J37" s="9" t="n">
        <f aca="false">(1+$B$50*0)/(12+$B$50*3.5)</f>
        <v>0.0759493670886076</v>
      </c>
      <c r="K37" s="9" t="n">
        <f aca="false">(1+$B$50*0.5)/(12+$B$50*3.5)</f>
        <v>0.0886075949367089</v>
      </c>
      <c r="L37" s="9" t="n">
        <f aca="false">(1+$B$50*0)/(12+$B$50*3.5)</f>
        <v>0.0759493670886076</v>
      </c>
      <c r="M37" s="9" t="n">
        <f aca="false">(1+$B$50*0)/(12+$B$50*3.5)</f>
        <v>0.0759493670886076</v>
      </c>
      <c r="N37" s="9" t="n">
        <f aca="false">(1+$B$50*0)/(12+$B$50*3.5)</f>
        <v>0.0759493670886076</v>
      </c>
      <c r="O37" s="9" t="n">
        <f aca="false">(1+$B$50*0)/(12+$B$50*3.5)</f>
        <v>0.0759493670886076</v>
      </c>
      <c r="P37" s="9" t="n">
        <f aca="false">(1+$B$50*0)/(12+$B$50*3.5)</f>
        <v>0.0759493670886076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(1+$B$50*-1)/(12+$B$50*2)</f>
        <v>0.0526315789473684</v>
      </c>
      <c r="F38" s="9" t="n">
        <f aca="false">(1+$B$50*-1)/(12+$B$50*2)</f>
        <v>0.0526315789473684</v>
      </c>
      <c r="G38" s="9" t="n">
        <f aca="false">(1+$B$50*0)/(12+$B$50*2)</f>
        <v>0.0789473684210526</v>
      </c>
      <c r="H38" s="9" t="n">
        <f aca="false">(1+$B$50*0)/(12+$B$50*2)</f>
        <v>0.0789473684210526</v>
      </c>
      <c r="I38" s="9" t="n">
        <f aca="false">(1+$B$50*1)/(12+$B$50*2)</f>
        <v>0.105263157894737</v>
      </c>
      <c r="J38" s="9" t="n">
        <f aca="false">(1+$B$50*1)/(12+$B$50*2)</f>
        <v>0.105263157894737</v>
      </c>
      <c r="K38" s="9" t="n">
        <f aca="false">(1+$B$50*-1)/(12+$B$50*2)</f>
        <v>0.0526315789473684</v>
      </c>
      <c r="L38" s="9" t="n">
        <f aca="false">(1+$B$50*1)/(12+$B$50*2)</f>
        <v>0.105263157894737</v>
      </c>
      <c r="M38" s="9" t="n">
        <f aca="false">(1+$B$50*1)/(12+$B$50*2)</f>
        <v>0.105263157894737</v>
      </c>
      <c r="N38" s="9" t="n">
        <f aca="false">(1+$B$50*1)/(12+$B$50*2)</f>
        <v>0.105263157894737</v>
      </c>
      <c r="O38" s="9" t="n">
        <f aca="false">(1+$B$50*0)/(12+$B$50*2)</f>
        <v>0.0789473684210526</v>
      </c>
      <c r="P38" s="9" t="n">
        <f aca="false">(1+$B$50*0)/(12+$B$50*2)</f>
        <v>0.0789473684210526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(1+$B$50*1)/(12+$B$50*0)</f>
        <v>0.111111111111111</v>
      </c>
      <c r="F40" s="9" t="n">
        <f aca="false">(1+$B$50*1)/(12+$B$50*0)</f>
        <v>0.111111111111111</v>
      </c>
      <c r="G40" s="9" t="n">
        <f aca="false">(1+$B$50*0)/(12+$B$50*0)</f>
        <v>0.0833333333333333</v>
      </c>
      <c r="H40" s="9" t="n">
        <f aca="false">(1+$B$50*0)/(12+$B$50*0)</f>
        <v>0.0833333333333333</v>
      </c>
      <c r="I40" s="9" t="n">
        <f aca="false">(1+$B$50*0)/(12+$B$50*0)</f>
        <v>0.0833333333333333</v>
      </c>
      <c r="J40" s="9" t="n">
        <f aca="false">(1+$B$50*-1)/(12+$B$50*0)</f>
        <v>0.0555555555555556</v>
      </c>
      <c r="K40" s="9" t="n">
        <f aca="false">(1+$B$50*-1)/(12+$B$50*0)</f>
        <v>0.0555555555555556</v>
      </c>
      <c r="L40" s="9" t="n">
        <f aca="false">(1+$B$50*-1)/(12+$B$50*0)</f>
        <v>0.0555555555555556</v>
      </c>
      <c r="M40" s="9" t="n">
        <f aca="false">(1+$B$50*0)/(12+$B$50*0)</f>
        <v>0.0833333333333333</v>
      </c>
      <c r="N40" s="9" t="n">
        <f aca="false">(1+$B$50*0)/(12+$B$50*0)</f>
        <v>0.0833333333333333</v>
      </c>
      <c r="O40" s="9" t="n">
        <f aca="false">(1+$B$50*0)/(12+$B$50*0)</f>
        <v>0.0833333333333333</v>
      </c>
      <c r="P40" s="9" t="n">
        <f aca="false">(1+$B$50*1)/(12+$B$50*0)</f>
        <v>0.111111111111111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(1+$B$50*-1)/(12+$B$50*0)</f>
        <v>0.0555555555555556</v>
      </c>
      <c r="F41" s="9" t="n">
        <f aca="false">(1+$B$50*-1)/(12+$B$50*0)</f>
        <v>0.0555555555555556</v>
      </c>
      <c r="G41" s="9" t="n">
        <f aca="false">(1+$B$50*0)/(12+$B$50*0)</f>
        <v>0.0833333333333333</v>
      </c>
      <c r="H41" s="9" t="n">
        <f aca="false">(1+$B$50*0)/(12+$B$50*0)</f>
        <v>0.0833333333333333</v>
      </c>
      <c r="I41" s="9" t="n">
        <f aca="false">(1+$B$50*1)/(12+$B$50*0)</f>
        <v>0.111111111111111</v>
      </c>
      <c r="J41" s="9" t="n">
        <f aca="false">(1+$B$50*1)/(12+$B$50*0)</f>
        <v>0.111111111111111</v>
      </c>
      <c r="K41" s="9" t="n">
        <f aca="false">(1+$B$50*1)/(12+$B$50*0)</f>
        <v>0.111111111111111</v>
      </c>
      <c r="L41" s="9" t="n">
        <f aca="false">(1+$B$50*1)/(12+$B$50*0)</f>
        <v>0.111111111111111</v>
      </c>
      <c r="M41" s="9" t="n">
        <f aca="false">(1+$B$50*0)/(12+$B$50*0)</f>
        <v>0.0833333333333333</v>
      </c>
      <c r="N41" s="9" t="n">
        <f aca="false">(1+$B$50*0)/(12+$B$50*0)</f>
        <v>0.0833333333333333</v>
      </c>
      <c r="O41" s="9" t="n">
        <f aca="false">(1+$B$50*-1)/(12+$B$50*0)</f>
        <v>0.0555555555555556</v>
      </c>
      <c r="P41" s="9" t="n">
        <f aca="false">(1+$B$50*-1)/(12+$B$50*0)</f>
        <v>0.0555555555555556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0.12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13" t="n">
        <f aca="false">B44</f>
        <v>0.12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9" t="n">
        <v>0.5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13" t="n">
        <f aca="false">(12*B44-1)/(10-2*B46)</f>
        <v>0.0488888888888889</v>
      </c>
      <c r="C47" s="5" t="s">
        <v>231</v>
      </c>
      <c r="D47" s="5"/>
    </row>
    <row r="48" customFormat="false" ht="15" hidden="false" customHeight="false" outlineLevel="0" collapsed="false">
      <c r="A48" s="5" t="s">
        <v>232</v>
      </c>
      <c r="B48" s="13" t="n">
        <f aca="false">B44-B47</f>
        <v>0.0711111111111111</v>
      </c>
      <c r="C48" s="5"/>
      <c r="D48" s="5"/>
    </row>
    <row r="49" customFormat="false" ht="15" hidden="false" customHeight="false" outlineLevel="0" collapsed="false">
      <c r="A49" s="5" t="s">
        <v>233</v>
      </c>
      <c r="B49" s="13" t="n">
        <f aca="false">B48+B46*B47</f>
        <v>0.0955555555555556</v>
      </c>
      <c r="C49" s="5"/>
      <c r="D49" s="5"/>
    </row>
    <row r="50" customFormat="false" ht="15" hidden="false" customHeight="true" outlineLevel="0" collapsed="false">
      <c r="A50" s="5" t="s">
        <v>234</v>
      </c>
      <c r="B50" s="19" t="n">
        <v>0.333333333333333</v>
      </c>
      <c r="C50" s="5" t="s">
        <v>235</v>
      </c>
      <c r="D50" s="5"/>
    </row>
    <row r="53" customFormat="false" ht="15" hidden="false" customHeight="false" outlineLevel="0" collapsed="false">
      <c r="A53" s="1" t="s">
        <v>236</v>
      </c>
    </row>
    <row r="54" customFormat="false" ht="35.05" hidden="false" customHeight="false" outlineLevel="0" collapsed="false">
      <c r="A54" s="3" t="s">
        <v>124</v>
      </c>
      <c r="B54" s="3" t="s">
        <v>237</v>
      </c>
      <c r="C54" s="3" t="s">
        <v>238</v>
      </c>
      <c r="D54" s="3" t="s">
        <v>239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240</v>
      </c>
      <c r="R54" s="3" t="s">
        <v>241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0.119895289559294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0.0954891339827875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0.071124604952686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0.071124604952686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0.0711662314990906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0.0711662314990906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0.0710984243903592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0.0711662314990906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0.0711585085070517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0.0711585085070517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0.0955230375371532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0.119929193113659</v>
      </c>
      <c r="Q55" s="13" t="n">
        <f aca="false">MAX(E55:P55)</f>
        <v>0.119929193113659</v>
      </c>
      <c r="R55" s="22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0.0608346558815601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0.0608346558815601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0.082643351275423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0.0953382202836263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0.103308847602848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0.10204440072004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0.0745034484311485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0.0869418857625907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0.0870568354792096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0.0870568354792096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0.0790862081599875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0.080350655042796</v>
      </c>
      <c r="Q56" s="13" t="n">
        <f aca="false">MAX(E56:P56)</f>
        <v>0.103308847602848</v>
      </c>
      <c r="R56" s="22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0.0669778155176287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0.0652614335824934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0.0819248891202413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0.0996461832727322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0.100150076298148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0.0987344570187928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0.0795692614778467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0.0794428932919701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0.0806840028465543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0.0806840028465543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0.0818964917562743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0.0850284929707643</v>
      </c>
      <c r="Q57" s="13" t="n">
        <f aca="false">MAX(E57:P57)</f>
        <v>0.100150076298148</v>
      </c>
      <c r="R57" s="22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0.0656624516770873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0.0656624516770873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0.0834634227222184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0.100292059397134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0.101604548245527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0.0984624354955731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0.0776078419879838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0.0788318405488818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0.0819739532988352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0.0819739532988352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0.0806614644504421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0.0838035772003955</v>
      </c>
      <c r="Q58" s="13" t="n">
        <f aca="false">MAX(E58:P58)</f>
        <v>0.101604548245527</v>
      </c>
      <c r="R58" s="22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0.0671288961017088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0.0671288961017088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0.082960331994099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0.0994555948834204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0.100324801949947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0.0970172977837637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0.0783455208911489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0.078747564791717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0.0818305013673391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0.0818305013673391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0.0809612943008125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0.0842687984669957</v>
      </c>
      <c r="Q59" s="13" t="n">
        <f aca="false">MAX(E59:P59)</f>
        <v>0.100324801949947</v>
      </c>
      <c r="R59" s="22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2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2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2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0.0693955234457278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0.0693955234457278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0.0840431757641277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0.0941202036639783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0.0974702272576739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0.095318136848291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0.076854716143931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0.0818684177142039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0.0840205081235868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0.0840205081235868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0.0806704845298912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0.082822574939274</v>
      </c>
      <c r="Q63" s="13" t="n">
        <f aca="false">MAX(E63:P63)</f>
        <v>0.0974702272576739</v>
      </c>
      <c r="R63" s="22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0.0623734752667158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0.0623734752667158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0.0832322896847601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0.102381291624983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0.10297405651463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0.101541503044586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0.0799321707959588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0.0798429000461445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0.081275453516189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0.081275453516189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0.0806826886265415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0.0821152420965861</v>
      </c>
      <c r="Q64" s="13" t="n">
        <f aca="false">MAX(E64:P64)</f>
        <v>0.10297405651463</v>
      </c>
      <c r="R64" s="22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0.0758899515991334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0.0758899515991334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0.082635648810499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0.0919604223371936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0.094065383152575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0.0890054041756688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0.0776256551320905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0.0793046888027784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0.0831932092611961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0.0831932092611961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0.0810882484458147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0.0861482274227209</v>
      </c>
      <c r="Q65" s="13" t="n">
        <f aca="false">MAX(E65:P65)</f>
        <v>0.094065383152575</v>
      </c>
      <c r="R65" s="22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0.0909796762566006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0.0909796762566006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0.0756869904100661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0.0756869904100661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0.0756869904100661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0.0909796762566006</v>
      </c>
      <c r="Q66" s="13" t="n">
        <f aca="false">MAX(E66:P66)</f>
        <v>0.0909796762566006</v>
      </c>
      <c r="R66" s="22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2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0.0738143198706873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0.0738143198706873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0.0826227624746291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0.0945064091827231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0.0952134923111048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0.0907950767238501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0.0771791995816322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0.0782753016610352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0.0826937172482899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0.0826937172482899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0.0819866341199082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0.0864050497071629</v>
      </c>
      <c r="Q68" s="13" t="n">
        <f aca="false">MAX(E68:P68)</f>
        <v>0.0952134923111048</v>
      </c>
      <c r="R68" s="22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0.0738141230528446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0.0738141230528446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0.0826225891766349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0.0945068249706181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0.0952136231283829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0.0907952016698743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0.077179442745086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0.0782751122453402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0.0826935337038488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0.0826935337038488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0.081986735546084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0.0864051570045927</v>
      </c>
      <c r="Q69" s="13" t="n">
        <f aca="false">MAX(E69:P69)</f>
        <v>0.0952136231283829</v>
      </c>
      <c r="R69" s="22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0.0738134657732333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0.0738134657732333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0.0826224083229981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0.0945072087101559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0.0952140122277676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0.0907957098996484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0.0771794819907101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0.0782752685393762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0.0826935708674953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0.0826935708674953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0.0819867673498837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0.0864050696780028</v>
      </c>
      <c r="Q70" s="13" t="n">
        <f aca="false">MAX(E70:P70)</f>
        <v>0.0952140122277676</v>
      </c>
      <c r="R70" s="22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0.0738124965393579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0.0738124965393579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0.0826224235220467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0.0945083084729547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0.0952145803016424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0.0907966823883564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0.0771804197218833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0.0782751293210692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0.0826930272343553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0.0826930272343553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0.0819867554056675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0.0864046533189536</v>
      </c>
      <c r="Q71" s="13" t="n">
        <f aca="false">MAX(E71:P71)</f>
        <v>0.0952145803016424</v>
      </c>
      <c r="R71" s="22" t="n">
        <v>100</v>
      </c>
    </row>
    <row r="72" customFormat="false" ht="15" hidden="false" customHeight="false" outlineLevel="0" collapsed="false">
      <c r="A72" s="4" t="s">
        <v>242</v>
      </c>
      <c r="E72" s="13" t="n">
        <f aca="false">SUMPRODUCT(datos_base!$K$2:$K$18,E55:E71)/SUM(datos_base!$K$2:$K$18)</f>
        <v>0.0948522483704821</v>
      </c>
      <c r="F72" s="13" t="n">
        <f aca="false">SUMPRODUCT(datos_base!$K$2:$K$18,F55:F71)/SUM(datos_base!$K$2:$K$18)</f>
        <v>0.0815047861926023</v>
      </c>
      <c r="G72" s="13" t="n">
        <f aca="false">SUMPRODUCT(datos_base!$K$2:$K$18,G55:G71)/SUM(datos_base!$K$2:$K$18)</f>
        <v>0.0764490653204335</v>
      </c>
      <c r="H72" s="13" t="n">
        <f aca="false">SUMPRODUCT(datos_base!$K$2:$K$18,H55:H71)/SUM(datos_base!$K$2:$K$18)</f>
        <v>0.0840907184461371</v>
      </c>
      <c r="I72" s="13" t="n">
        <f aca="false">SUMPRODUCT(datos_base!$K$2:$K$18,I55:I71)/SUM(datos_base!$K$2:$K$18)</f>
        <v>0.0847724193282586</v>
      </c>
      <c r="J72" s="13" t="n">
        <f aca="false">SUMPRODUCT(datos_base!$K$2:$K$18,J55:J71)/SUM(datos_base!$K$2:$K$18)</f>
        <v>0.0839123144737292</v>
      </c>
      <c r="K72" s="13" t="n">
        <f aca="false">SUMPRODUCT(datos_base!$K$2:$K$18,K55:K71)/SUM(datos_base!$K$2:$K$18)</f>
        <v>0.0747579341668873</v>
      </c>
      <c r="L72" s="13" t="n">
        <f aca="false">SUMPRODUCT(datos_base!$K$2:$K$18,L55:L71)/SUM(datos_base!$K$2:$K$18)</f>
        <v>0.0754421691956102</v>
      </c>
      <c r="M72" s="13" t="n">
        <f aca="false">SUMPRODUCT(datos_base!$K$2:$K$18,M55:M71)/SUM(datos_base!$K$2:$K$18)</f>
        <v>0.0761698137204834</v>
      </c>
      <c r="N72" s="13" t="n">
        <f aca="false">SUMPRODUCT(datos_base!$K$2:$K$18,N55:N71)/SUM(datos_base!$K$2:$K$18)</f>
        <v>0.0761698137204834</v>
      </c>
      <c r="O72" s="13" t="n">
        <f aca="false">SUMPRODUCT(datos_base!$K$2:$K$18,O55:O71)/SUM(datos_base!$K$2:$K$18)</f>
        <v>0.0888355750162418</v>
      </c>
      <c r="P72" s="13" t="n">
        <f aca="false">SUMPRODUCT(datos_base!$K$2:$K$18,P55:P71)/SUM(datos_base!$K$2:$K$18)</f>
        <v>0.103043142048651</v>
      </c>
      <c r="Q72" s="13" t="n">
        <f aca="false">MAX(E72:P72)</f>
        <v>0.103043142048651</v>
      </c>
    </row>
    <row r="74" customFormat="false" ht="15" hidden="false" customHeight="false" outlineLevel="0" collapsed="false">
      <c r="A74" s="1" t="s">
        <v>243</v>
      </c>
    </row>
    <row r="75" customFormat="false" ht="35.05" hidden="false" customHeight="false" outlineLevel="0" collapsed="false">
      <c r="A75" s="3" t="s">
        <v>244</v>
      </c>
      <c r="B75" s="3" t="s">
        <v>245</v>
      </c>
      <c r="C75" s="3" t="s">
        <v>246</v>
      </c>
      <c r="D75" s="3" t="s">
        <v>247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248</v>
      </c>
      <c r="N75" s="3" t="s">
        <v>249</v>
      </c>
      <c r="O75" s="3" t="s">
        <v>250</v>
      </c>
      <c r="P75" s="3" t="s">
        <v>251</v>
      </c>
      <c r="Q75" s="3" t="s">
        <v>252</v>
      </c>
    </row>
    <row r="76" customFormat="false" ht="23.85" hidden="false" customHeight="false" outlineLevel="0" collapsed="false">
      <c r="A76" s="23" t="n">
        <v>1</v>
      </c>
      <c r="B76" s="5" t="s">
        <v>253</v>
      </c>
      <c r="C76" s="5" t="s">
        <v>254</v>
      </c>
      <c r="D76" s="6" t="s">
        <v>255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256</v>
      </c>
    </row>
    <row r="77" customFormat="false" ht="15" hidden="false" customHeight="false" outlineLevel="0" collapsed="false">
      <c r="A77" s="23" t="n">
        <v>2</v>
      </c>
      <c r="B77" s="5" t="s">
        <v>257</v>
      </c>
      <c r="C77" s="5" t="s">
        <v>258</v>
      </c>
      <c r="D77" s="6" t="s">
        <v>255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259</v>
      </c>
    </row>
    <row r="78" customFormat="false" ht="15" hidden="false" customHeight="false" outlineLevel="0" collapsed="false">
      <c r="A78" s="23" t="n">
        <v>3</v>
      </c>
      <c r="B78" s="5" t="s">
        <v>260</v>
      </c>
      <c r="C78" s="5" t="s">
        <v>261</v>
      </c>
      <c r="D78" s="6" t="s">
        <v>262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263</v>
      </c>
    </row>
    <row r="79" customFormat="false" ht="23.85" hidden="false" customHeight="false" outlineLevel="0" collapsed="false">
      <c r="A79" s="23" t="n">
        <v>4</v>
      </c>
      <c r="B79" s="5" t="s">
        <v>264</v>
      </c>
      <c r="C79" s="5" t="s">
        <v>265</v>
      </c>
      <c r="D79" s="6" t="s">
        <v>262</v>
      </c>
      <c r="E79" s="9" t="n">
        <f aca="false">(1-E$22)*E$23</f>
        <v>0.095</v>
      </c>
      <c r="F79" s="9" t="n">
        <f aca="false">(1-F$22)*F$23</f>
        <v>0.95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266</v>
      </c>
    </row>
    <row r="80" customFormat="false" ht="23.85" hidden="false" customHeight="false" outlineLevel="0" collapsed="false">
      <c r="A80" s="23" t="n">
        <v>5</v>
      </c>
      <c r="B80" s="5" t="s">
        <v>267</v>
      </c>
      <c r="C80" s="5" t="s">
        <v>268</v>
      </c>
      <c r="D80" s="6" t="s">
        <v>262</v>
      </c>
      <c r="E80" s="9" t="n">
        <v>0</v>
      </c>
      <c r="F80" s="9" t="n">
        <v>0</v>
      </c>
      <c r="G80" s="9" t="n">
        <v>0</v>
      </c>
      <c r="H80" s="9" t="n">
        <f aca="false">(1-H$22)*H$23</f>
        <v>0.95</v>
      </c>
      <c r="I80" s="9" t="n">
        <f aca="false">(1-I$22)*I$23</f>
        <v>0.95</v>
      </c>
      <c r="J80" s="9" t="n">
        <f aca="false">(1-J$22)*J$23</f>
        <v>0.95</v>
      </c>
      <c r="K80" s="9" t="n">
        <v>0</v>
      </c>
      <c r="L80" s="9" t="n">
        <v>0</v>
      </c>
      <c r="M80" s="10" t="n">
        <v>0</v>
      </c>
      <c r="N80" s="10" t="n">
        <f aca="false">10+10+15+60+10+20+10+30+15+15+10</f>
        <v>205</v>
      </c>
      <c r="O80" s="18" t="n">
        <f aca="false">IF(N80&gt;0,3600/N80,0)</f>
        <v>17.5609756097561</v>
      </c>
      <c r="P80" s="12" t="n">
        <f aca="false">O80*$B$6</f>
        <v>2634.14634146342</v>
      </c>
      <c r="Q80" s="6" t="s">
        <v>269</v>
      </c>
    </row>
    <row r="81" customFormat="false" ht="23.85" hidden="false" customHeight="false" outlineLevel="0" collapsed="false">
      <c r="A81" s="23" t="n">
        <v>6</v>
      </c>
      <c r="B81" s="5" t="s">
        <v>270</v>
      </c>
      <c r="C81" s="5" t="s">
        <v>271</v>
      </c>
      <c r="D81" s="6" t="s">
        <v>262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f aca="false">(K$16+K$24+K$22)+(K$16+K$24)*(20+20+120+20+15+10)/(30+10+15+150+25+10)</f>
        <v>0.60625</v>
      </c>
      <c r="L81" s="9" t="n">
        <v>0</v>
      </c>
      <c r="M81" s="10" t="n">
        <v>0</v>
      </c>
      <c r="N81" s="10" t="n">
        <f aca="false">30+10+15+150+25+10</f>
        <v>240</v>
      </c>
      <c r="O81" s="18" t="n">
        <f aca="false">IF(N81&gt;0,3600/N81,0)</f>
        <v>15</v>
      </c>
      <c r="P81" s="12" t="n">
        <f aca="false">O81*$B$6</f>
        <v>2250</v>
      </c>
      <c r="Q81" s="6" t="s">
        <v>272</v>
      </c>
    </row>
    <row r="82" customFormat="false" ht="15" hidden="false" customHeight="false" outlineLevel="0" collapsed="false">
      <c r="A82" s="23" t="n">
        <v>7</v>
      </c>
      <c r="B82" s="5" t="s">
        <v>273</v>
      </c>
      <c r="C82" s="5" t="s">
        <v>274</v>
      </c>
      <c r="D82" s="6" t="s">
        <v>262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f aca="false">L$16+L$22+L$24</f>
        <v>0.35</v>
      </c>
      <c r="M82" s="10" t="n">
        <v>0</v>
      </c>
      <c r="N82" s="10" t="n">
        <f aca="false">60+20+30+300+40+15+300+40+60+30</f>
        <v>895</v>
      </c>
      <c r="O82" s="18" t="n">
        <f aca="false">IF(N82&gt;0,3600/N82,0)</f>
        <v>4.02234636871508</v>
      </c>
      <c r="P82" s="12" t="n">
        <f aca="false">O82*$B$6</f>
        <v>603.351955307263</v>
      </c>
      <c r="Q82" s="6" t="s">
        <v>275</v>
      </c>
    </row>
    <row r="83" customFormat="false" ht="15" hidden="false" customHeight="false" outlineLevel="0" collapsed="false">
      <c r="A83" s="23" t="n">
        <v>8</v>
      </c>
      <c r="B83" s="5" t="s">
        <v>276</v>
      </c>
      <c r="C83" s="5" t="s">
        <v>277</v>
      </c>
      <c r="D83" s="6" t="s">
        <v>255</v>
      </c>
      <c r="E83" s="9" t="n">
        <v>1</v>
      </c>
      <c r="F83" s="9" t="n">
        <v>1</v>
      </c>
      <c r="G83" s="9" t="n">
        <v>1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v>0</v>
      </c>
      <c r="M83" s="10" t="n">
        <v>0</v>
      </c>
      <c r="N83" s="10" t="n">
        <f aca="false">5+30+5+10+20+120*$E$16+5</f>
        <v>105</v>
      </c>
      <c r="O83" s="18" t="n">
        <f aca="false">IF(N83&gt;0,3600/N83,0)</f>
        <v>34.2857142857143</v>
      </c>
      <c r="P83" s="12" t="n">
        <f aca="false">O83*$B$6</f>
        <v>5142.85714285714</v>
      </c>
      <c r="Q83" s="6" t="s">
        <v>278</v>
      </c>
    </row>
    <row r="84" customFormat="false" ht="15" hidden="false" customHeight="false" outlineLevel="0" collapsed="false">
      <c r="A84" s="23" t="n">
        <v>9</v>
      </c>
      <c r="B84" s="5" t="s">
        <v>279</v>
      </c>
      <c r="C84" s="5" t="s">
        <v>280</v>
      </c>
      <c r="D84" s="6" t="s">
        <v>255</v>
      </c>
      <c r="E84" s="9" t="n">
        <v>0</v>
      </c>
      <c r="F84" s="9" t="n">
        <v>0</v>
      </c>
      <c r="G84" s="9" t="n">
        <v>0</v>
      </c>
      <c r="H84" s="9" t="n">
        <v>1</v>
      </c>
      <c r="I84" s="9" t="n">
        <v>1</v>
      </c>
      <c r="J84" s="9" t="n">
        <v>1</v>
      </c>
      <c r="K84" s="9" t="n">
        <f aca="false">K$16+K$24</f>
        <v>0.3</v>
      </c>
      <c r="L84" s="9" t="n">
        <f aca="false">L$16+L$22+L$24</f>
        <v>0.35</v>
      </c>
      <c r="M84" s="10" t="n">
        <v>0</v>
      </c>
      <c r="N84" s="10" t="n">
        <f aca="false">10+40+60+90*0.4+15+15</f>
        <v>176</v>
      </c>
      <c r="O84" s="18" t="n">
        <f aca="false">IF(N84&gt;0,3600/N84,0)</f>
        <v>20.4545454545455</v>
      </c>
      <c r="P84" s="12" t="n">
        <f aca="false">O84*$B$6</f>
        <v>3068.18181818182</v>
      </c>
      <c r="Q84" s="6" t="s">
        <v>281</v>
      </c>
    </row>
    <row r="85" customFormat="false" ht="15" hidden="false" customHeight="false" outlineLevel="0" collapsed="false">
      <c r="A85" s="23" t="n">
        <v>10</v>
      </c>
      <c r="B85" s="5" t="s">
        <v>282</v>
      </c>
      <c r="C85" s="5" t="s">
        <v>283</v>
      </c>
      <c r="D85" s="6" t="s">
        <v>262</v>
      </c>
      <c r="E85" s="9" t="n">
        <f aca="false">E$28</f>
        <v>0.0104067919524976</v>
      </c>
      <c r="F85" s="9" t="n">
        <f aca="false">F$28</f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  <c r="L85" s="9" t="n">
        <v>0</v>
      </c>
      <c r="M85" s="10" t="n">
        <v>0</v>
      </c>
      <c r="N85" s="10" t="n">
        <f aca="false">300+600+1800+60+120+300</f>
        <v>3180</v>
      </c>
      <c r="O85" s="18" t="n">
        <f aca="false">IF(N85&gt;0,3600/N85,0)</f>
        <v>1.13207547169811</v>
      </c>
      <c r="P85" s="12" t="n">
        <f aca="false">O85*$B$6</f>
        <v>169.811320754717</v>
      </c>
      <c r="Q85" s="6" t="s">
        <v>284</v>
      </c>
    </row>
    <row r="86" customFormat="false" ht="15" hidden="false" customHeight="false" outlineLevel="0" collapsed="false">
      <c r="A86" s="23" t="n">
        <v>11</v>
      </c>
      <c r="B86" s="5" t="s">
        <v>82</v>
      </c>
      <c r="C86" s="5" t="s">
        <v>285</v>
      </c>
      <c r="D86" s="6" t="s">
        <v>262</v>
      </c>
      <c r="E86" s="9" t="n">
        <f aca="false">E$16</f>
        <v>0.25</v>
      </c>
      <c r="F86" s="9" t="n">
        <f aca="false">F$16</f>
        <v>0.25</v>
      </c>
      <c r="G86" s="9" t="n">
        <f aca="false">G$16</f>
        <v>0.25</v>
      </c>
      <c r="H86" s="9" t="n">
        <f aca="false">H$16</f>
        <v>0.55</v>
      </c>
      <c r="I86" s="9" t="n">
        <f aca="false">I$16</f>
        <v>0.55</v>
      </c>
      <c r="J86" s="9" t="n">
        <f aca="false">J$16</f>
        <v>0.55</v>
      </c>
      <c r="K86" s="9" t="n">
        <f aca="false">K$16</f>
        <v>0.25</v>
      </c>
      <c r="L86" s="9" t="n">
        <f aca="false">L$16</f>
        <v>0.25</v>
      </c>
      <c r="M86" s="10" t="n">
        <v>0</v>
      </c>
      <c r="N86" s="10" t="n">
        <f aca="false">12+20+90+90+75+15</f>
        <v>302</v>
      </c>
      <c r="O86" s="18" t="n">
        <f aca="false">IF(N86&gt;0,3600/N86,0)</f>
        <v>11.9205298013245</v>
      </c>
      <c r="P86" s="12" t="n">
        <f aca="false">O86*$B$6</f>
        <v>1788.07947019868</v>
      </c>
      <c r="Q86" s="6" t="s">
        <v>286</v>
      </c>
    </row>
    <row r="87" customFormat="false" ht="15" hidden="false" customHeight="false" outlineLevel="0" collapsed="false">
      <c r="A87" s="23" t="n">
        <v>12</v>
      </c>
      <c r="B87" s="5" t="s">
        <v>85</v>
      </c>
      <c r="C87" s="5" t="s">
        <v>287</v>
      </c>
      <c r="D87" s="6" t="s">
        <v>262</v>
      </c>
      <c r="E87" s="9" t="n">
        <f aca="false">E$16+E$26</f>
        <v>0.26</v>
      </c>
      <c r="F87" s="9" t="n">
        <f aca="false">F$16+F$26</f>
        <v>0.26</v>
      </c>
      <c r="G87" s="9" t="n">
        <f aca="false">G$16+G$26</f>
        <v>0.26</v>
      </c>
      <c r="H87" s="9" t="n">
        <v>0</v>
      </c>
      <c r="I87" s="9" t="n">
        <v>0</v>
      </c>
      <c r="J87" s="9" t="n">
        <v>0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15+15*60/6+15</f>
        <v>180</v>
      </c>
      <c r="O87" s="18" t="n">
        <f aca="false">IF(N87&gt;0,3600/N87,0)</f>
        <v>20</v>
      </c>
      <c r="P87" s="12" t="n">
        <f aca="false">O87*$B$6</f>
        <v>3000</v>
      </c>
      <c r="Q87" s="6" t="s">
        <v>288</v>
      </c>
    </row>
    <row r="88" customFormat="false" ht="15" hidden="false" customHeight="false" outlineLevel="0" collapsed="false">
      <c r="A88" s="23" t="n">
        <v>13</v>
      </c>
      <c r="B88" s="5" t="s">
        <v>289</v>
      </c>
      <c r="C88" s="5" t="s">
        <v>290</v>
      </c>
      <c r="D88" s="6" t="s">
        <v>255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60+15+10</f>
        <v>85</v>
      </c>
      <c r="O88" s="18" t="n">
        <f aca="false">IF(N88&gt;0,3600/N88,0)</f>
        <v>42.3529411764706</v>
      </c>
      <c r="P88" s="12" t="n">
        <f aca="false">O88*$B$6</f>
        <v>6352.94117647059</v>
      </c>
      <c r="Q88" s="6" t="s">
        <v>291</v>
      </c>
    </row>
    <row r="89" customFormat="false" ht="23.85" hidden="false" customHeight="false" outlineLevel="0" collapsed="false">
      <c r="A89" s="23" t="n">
        <v>14</v>
      </c>
      <c r="B89" s="5" t="s">
        <v>292</v>
      </c>
      <c r="C89" s="5" t="s">
        <v>293</v>
      </c>
      <c r="D89" s="6" t="s">
        <v>262</v>
      </c>
      <c r="E89" s="9" t="n">
        <f aca="false">E$25</f>
        <v>0.15</v>
      </c>
      <c r="F89" s="9" t="n">
        <f aca="false">F$25</f>
        <v>0.15</v>
      </c>
      <c r="G89" s="9" t="n">
        <f aca="false">G$25</f>
        <v>0.15</v>
      </c>
      <c r="H89" s="9" t="n">
        <f aca="false">H$25</f>
        <v>0.15</v>
      </c>
      <c r="I89" s="9" t="n">
        <f aca="false">I$25</f>
        <v>0.15</v>
      </c>
      <c r="J89" s="9" t="n">
        <f aca="false">J$25</f>
        <v>0.15</v>
      </c>
      <c r="K89" s="9" t="n">
        <f aca="false">K$25</f>
        <v>0.15</v>
      </c>
      <c r="L89" s="9" t="n">
        <f aca="false">L$25</f>
        <v>0.15</v>
      </c>
      <c r="M89" s="10" t="n">
        <v>0</v>
      </c>
      <c r="N89" s="10" t="n">
        <f aca="false">120+30+30+45+60+1800/6+30</f>
        <v>615</v>
      </c>
      <c r="O89" s="18" t="n">
        <f aca="false">IF(N89&gt;0,3600/N89,0)</f>
        <v>5.85365853658537</v>
      </c>
      <c r="P89" s="12" t="n">
        <f aca="false">O89*$B$6</f>
        <v>878.048780487805</v>
      </c>
      <c r="Q89" s="6" t="s">
        <v>294</v>
      </c>
    </row>
    <row r="90" customFormat="false" ht="35.05" hidden="false" customHeight="false" outlineLevel="0" collapsed="false">
      <c r="A90" s="23" t="n">
        <v>15</v>
      </c>
      <c r="B90" s="5" t="s">
        <v>295</v>
      </c>
      <c r="C90" s="5" t="s">
        <v>296</v>
      </c>
      <c r="D90" s="6" t="s">
        <v>262</v>
      </c>
      <c r="E90" s="9" t="n">
        <v>1</v>
      </c>
      <c r="F90" s="9" t="n">
        <f aca="false">(10+15+75+15+15+10)/(15+45+15+15+10)</f>
        <v>1.4</v>
      </c>
      <c r="G90" s="9" t="n">
        <f aca="false">(15+9*15+30+15+10)/(15+45+15+15+10)</f>
        <v>2.05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10" t="n">
        <v>1</v>
      </c>
      <c r="N90" s="10" t="n">
        <f aca="false">15+45+15+15+10</f>
        <v>100</v>
      </c>
      <c r="O90" s="18" t="n">
        <f aca="false">IF(N90&gt;0,3600/N90,0)</f>
        <v>36</v>
      </c>
      <c r="P90" s="12" t="n">
        <f aca="false">O90*$B$6</f>
        <v>5400</v>
      </c>
      <c r="Q90" s="6" t="s">
        <v>297</v>
      </c>
    </row>
    <row r="91" customFormat="false" ht="15" hidden="false" customHeight="false" outlineLevel="0" collapsed="false">
      <c r="A91" s="23" t="n">
        <v>16</v>
      </c>
      <c r="B91" s="5" t="s">
        <v>298</v>
      </c>
      <c r="C91" s="5" t="s">
        <v>299</v>
      </c>
      <c r="D91" s="6" t="s">
        <v>255</v>
      </c>
      <c r="E91" s="9" t="n">
        <v>1</v>
      </c>
      <c r="F91" s="9" t="n">
        <v>1</v>
      </c>
      <c r="G91" s="9" t="n">
        <v>1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10+30+20+10+30+20</f>
        <v>120</v>
      </c>
      <c r="O91" s="18" t="n">
        <f aca="false">IF(N91&gt;0,3600/N91,0)</f>
        <v>30</v>
      </c>
      <c r="P91" s="12" t="n">
        <f aca="false">O91*$B$6</f>
        <v>4500</v>
      </c>
      <c r="Q91" s="6" t="s">
        <v>300</v>
      </c>
    </row>
    <row r="92" customFormat="false" ht="15" hidden="false" customHeight="false" outlineLevel="0" collapsed="false">
      <c r="A92" s="23" t="n">
        <v>17</v>
      </c>
      <c r="B92" s="5" t="s">
        <v>301</v>
      </c>
      <c r="C92" s="5" t="s">
        <v>302</v>
      </c>
      <c r="D92" s="6" t="s">
        <v>262</v>
      </c>
      <c r="E92" s="9" t="n">
        <v>1</v>
      </c>
      <c r="F92" s="9" t="n">
        <v>1</v>
      </c>
      <c r="G92" s="9" t="n">
        <v>1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1</v>
      </c>
      <c r="N92" s="10" t="n">
        <f aca="false">3+15+10+20+15+10</f>
        <v>73</v>
      </c>
      <c r="O92" s="18" t="n">
        <f aca="false">IF(N92&gt;0,3600/N92,0)</f>
        <v>49.3150684931507</v>
      </c>
      <c r="P92" s="12" t="n">
        <f aca="false">O92*$B$6</f>
        <v>7397.2602739726</v>
      </c>
      <c r="Q92" s="6" t="s">
        <v>303</v>
      </c>
    </row>
    <row r="93" customFormat="false" ht="15" hidden="false" customHeight="false" outlineLevel="0" collapsed="false">
      <c r="A93" s="23" t="n">
        <v>18</v>
      </c>
      <c r="B93" s="5" t="s">
        <v>304</v>
      </c>
      <c r="C93" s="5" t="s">
        <v>305</v>
      </c>
      <c r="D93" s="6" t="s">
        <v>255</v>
      </c>
      <c r="E93" s="9" t="n">
        <v>0</v>
      </c>
      <c r="F93" s="9" t="n">
        <v>0</v>
      </c>
      <c r="G93" s="9" t="n">
        <v>0</v>
      </c>
      <c r="H93" s="9" t="n">
        <v>1</v>
      </c>
      <c r="I93" s="9" t="n">
        <v>1</v>
      </c>
      <c r="J93" s="9" t="n">
        <v>1</v>
      </c>
      <c r="K93" s="9" t="n">
        <f aca="false">K$16+K$24</f>
        <v>0.3</v>
      </c>
      <c r="L93" s="9" t="n">
        <f aca="false">L$16+L$22+L$24</f>
        <v>0.35</v>
      </c>
      <c r="M93" s="10" t="n">
        <v>0</v>
      </c>
      <c r="N93" s="10" t="n">
        <f aca="false">120+50</f>
        <v>170</v>
      </c>
      <c r="O93" s="18" t="n">
        <f aca="false">IF(N93&gt;0,3600/N93,0)</f>
        <v>21.1764705882353</v>
      </c>
      <c r="P93" s="12" t="n">
        <f aca="false">O93*$B$6</f>
        <v>3176.47058823529</v>
      </c>
      <c r="Q93" s="6" t="s">
        <v>306</v>
      </c>
    </row>
    <row r="94" customFormat="false" ht="23.85" hidden="false" customHeight="false" outlineLevel="0" collapsed="false">
      <c r="A94" s="23" t="n">
        <v>19</v>
      </c>
      <c r="B94" s="5" t="s">
        <v>307</v>
      </c>
      <c r="C94" s="5" t="s">
        <v>308</v>
      </c>
      <c r="D94" s="6" t="s">
        <v>255</v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f aca="false">1-(K$16+K$24+K$22)</f>
        <v>0.65</v>
      </c>
      <c r="L94" s="9" t="n">
        <f aca="false">1-(L$16+L$22+L$24)</f>
        <v>0.65</v>
      </c>
      <c r="M94" s="10" t="n">
        <v>0</v>
      </c>
      <c r="N94" s="10" t="n">
        <f aca="false">30+10</f>
        <v>40</v>
      </c>
      <c r="O94" s="18" t="n">
        <f aca="false">IF(N94&gt;0,3600/N94,0)</f>
        <v>90</v>
      </c>
      <c r="P94" s="12" t="n">
        <f aca="false">O94*$B$6</f>
        <v>13500</v>
      </c>
      <c r="Q94" s="6" t="s">
        <v>309</v>
      </c>
    </row>
    <row r="95" customFormat="false" ht="23.85" hidden="false" customHeight="false" outlineLevel="0" collapsed="false">
      <c r="A95" s="23" t="n">
        <v>20</v>
      </c>
      <c r="B95" s="5" t="s">
        <v>310</v>
      </c>
      <c r="C95" s="5" t="s">
        <v>311</v>
      </c>
      <c r="D95" s="6" t="s">
        <v>262</v>
      </c>
      <c r="E95" s="9" t="n">
        <v>1</v>
      </c>
      <c r="F95" s="9" t="n">
        <v>1</v>
      </c>
      <c r="G95" s="9" t="n">
        <v>1</v>
      </c>
      <c r="H95" s="9" t="n">
        <v>1</v>
      </c>
      <c r="I95" s="9" t="n">
        <v>1</v>
      </c>
      <c r="J95" s="9" t="n">
        <v>1</v>
      </c>
      <c r="K95" s="9" t="n">
        <v>1</v>
      </c>
      <c r="L95" s="9" t="n">
        <v>1</v>
      </c>
      <c r="M95" s="10" t="n">
        <v>1</v>
      </c>
      <c r="N95" s="10" t="n">
        <f aca="false">5+45+10+10+10</f>
        <v>80</v>
      </c>
      <c r="O95" s="18" t="n">
        <f aca="false">IF(N95&gt;0,3600/N95,0)</f>
        <v>45</v>
      </c>
      <c r="P95" s="12" t="n">
        <f aca="false">O95*$B$6</f>
        <v>6750</v>
      </c>
      <c r="Q95" s="6" t="s">
        <v>312</v>
      </c>
    </row>
    <row r="96" customFormat="false" ht="15" hidden="false" customHeight="false" outlineLevel="0" collapsed="false">
      <c r="A96" s="23" t="n">
        <v>21</v>
      </c>
      <c r="B96" s="5" t="s">
        <v>313</v>
      </c>
      <c r="C96" s="5" t="s">
        <v>314</v>
      </c>
      <c r="D96" s="6" t="s">
        <v>255</v>
      </c>
      <c r="E96" s="9" t="n">
        <v>1</v>
      </c>
      <c r="F96" s="9" t="n">
        <v>1</v>
      </c>
      <c r="G96" s="9" t="n">
        <v>1</v>
      </c>
      <c r="H96" s="9" t="n">
        <v>1</v>
      </c>
      <c r="I96" s="9" t="n">
        <v>1</v>
      </c>
      <c r="J96" s="9" t="n">
        <v>1</v>
      </c>
      <c r="K96" s="9" t="n">
        <v>1</v>
      </c>
      <c r="L96" s="9" t="n">
        <v>1</v>
      </c>
      <c r="M96" s="10" t="n">
        <v>1</v>
      </c>
      <c r="N96" s="10" t="n">
        <f aca="false">15+25+15+10+15+6</f>
        <v>86</v>
      </c>
      <c r="O96" s="18" t="n">
        <f aca="false">IF(N96&gt;0,3600/N96,0)</f>
        <v>41.8604651162791</v>
      </c>
      <c r="P96" s="12" t="n">
        <f aca="false">O96*$B$6</f>
        <v>6279.06976744186</v>
      </c>
      <c r="Q96" s="6" t="s">
        <v>315</v>
      </c>
    </row>
    <row r="97" customFormat="false" ht="15" hidden="false" customHeight="false" outlineLevel="0" collapsed="false">
      <c r="A97" s="23" t="n">
        <v>22</v>
      </c>
      <c r="B97" s="5" t="s">
        <v>316</v>
      </c>
      <c r="C97" s="5" t="s">
        <v>317</v>
      </c>
      <c r="D97" s="6" t="s">
        <v>262</v>
      </c>
      <c r="E97" s="9" t="n">
        <f aca="false">E$21</f>
        <v>0.08</v>
      </c>
      <c r="F97" s="9" t="n">
        <f aca="false">F$21</f>
        <v>0.08</v>
      </c>
      <c r="G97" s="9" t="n">
        <f aca="false">G$21</f>
        <v>0.08</v>
      </c>
      <c r="H97" s="9" t="n">
        <f aca="false">H$21</f>
        <v>0.08</v>
      </c>
      <c r="I97" s="9" t="n">
        <f aca="false">I$21</f>
        <v>0.08</v>
      </c>
      <c r="J97" s="9" t="n">
        <f aca="false">J$21</f>
        <v>0.08</v>
      </c>
      <c r="K97" s="9" t="n">
        <f aca="false">K$21</f>
        <v>0.0633333333333333</v>
      </c>
      <c r="L97" s="9" t="n">
        <f aca="false">L$21</f>
        <v>0.08</v>
      </c>
      <c r="M97" s="10" t="n">
        <v>0</v>
      </c>
      <c r="N97" s="10" t="n">
        <f aca="false">30+120+90+60+90</f>
        <v>390</v>
      </c>
      <c r="O97" s="18" t="n">
        <f aca="false">IF(N97&gt;0,3600/N97,0)</f>
        <v>9.23076923076923</v>
      </c>
      <c r="P97" s="12" t="n">
        <f aca="false">O97*$B$6</f>
        <v>1384.61538461538</v>
      </c>
      <c r="Q97" s="6" t="s">
        <v>318</v>
      </c>
    </row>
    <row r="98" customFormat="false" ht="23.85" hidden="false" customHeight="false" outlineLevel="0" collapsed="false">
      <c r="A98" s="23" t="n">
        <v>23</v>
      </c>
      <c r="B98" s="5" t="s">
        <v>319</v>
      </c>
      <c r="C98" s="5" t="s">
        <v>320</v>
      </c>
      <c r="D98" s="6" t="s">
        <v>262</v>
      </c>
      <c r="E98" s="6" t="s">
        <v>321</v>
      </c>
      <c r="F98" s="6" t="s">
        <v>321</v>
      </c>
      <c r="G98" s="6" t="s">
        <v>321</v>
      </c>
      <c r="H98" s="6" t="s">
        <v>321</v>
      </c>
      <c r="I98" s="6" t="s">
        <v>321</v>
      </c>
      <c r="J98" s="6" t="s">
        <v>321</v>
      </c>
      <c r="K98" s="6" t="s">
        <v>321</v>
      </c>
      <c r="L98" s="6" t="s">
        <v>321</v>
      </c>
      <c r="M98" s="10" t="n">
        <v>0</v>
      </c>
      <c r="N98" s="10" t="n">
        <f aca="false">20+10+20+15+30+30+60+20+60+20+15</f>
        <v>300</v>
      </c>
      <c r="O98" s="18" t="n">
        <f aca="false">IF(N98&gt;0,3600/N98,0)</f>
        <v>12</v>
      </c>
      <c r="P98" s="12" t="n">
        <f aca="false">O98*$B$6</f>
        <v>1800</v>
      </c>
      <c r="Q98" s="6" t="s">
        <v>322</v>
      </c>
    </row>
    <row r="106" customFormat="false" ht="15" hidden="false" customHeight="false" outlineLevel="0" collapsed="false">
      <c r="A106" s="1" t="s">
        <v>323</v>
      </c>
    </row>
    <row r="107" customFormat="false" ht="15" hidden="false" customHeight="false" outlineLevel="0" collapsed="false">
      <c r="A107" s="2" t="s">
        <v>324</v>
      </c>
    </row>
    <row r="108" customFormat="false" ht="15" hidden="false" customHeight="true" outlineLevel="0" collapsed="false">
      <c r="A108" s="3" t="s">
        <v>325</v>
      </c>
      <c r="B108" s="3" t="s">
        <v>326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327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328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329</v>
      </c>
    </row>
    <row r="114" customFormat="false" ht="15" hidden="false" customHeight="false" outlineLevel="0" collapsed="false">
      <c r="A114" s="2" t="s">
        <v>330</v>
      </c>
    </row>
    <row r="115" customFormat="false" ht="15" hidden="false" customHeight="true" outlineLevel="0" collapsed="false">
      <c r="A115" s="3" t="s">
        <v>331</v>
      </c>
      <c r="B115" s="3" t="s">
        <v>332</v>
      </c>
      <c r="C115" s="3" t="s">
        <v>333</v>
      </c>
      <c r="D115" s="3" t="s">
        <v>334</v>
      </c>
      <c r="E115" s="3" t="s">
        <v>335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336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337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338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339</v>
      </c>
      <c r="F119" s="5"/>
      <c r="G119" s="5"/>
      <c r="H119" s="5"/>
    </row>
    <row r="120" customFormat="false" ht="15" hidden="false" customHeight="false" outlineLevel="0" collapsed="false">
      <c r="A120" s="4" t="s">
        <v>340</v>
      </c>
      <c r="D120" s="18" t="n">
        <f aca="false">AVERAGE(D116:D119)</f>
        <v>6.360853875</v>
      </c>
    </row>
  </sheetData>
  <mergeCells count="35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C49:D49"/>
    <mergeCell ref="C50:D50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98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341</v>
      </c>
    </row>
    <row r="2" customFormat="false" ht="15" hidden="false" customHeight="false" outlineLevel="0" collapsed="false">
      <c r="A2" s="2" t="s">
        <v>342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343</v>
      </c>
      <c r="B6" s="23" t="n">
        <v>1</v>
      </c>
      <c r="C6" s="5" t="s">
        <v>344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345</v>
      </c>
      <c r="B7" s="23" t="n">
        <v>1</v>
      </c>
      <c r="C7" s="5" t="s">
        <v>346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347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5" t="str">
        <f aca="false">PROY_Indexado!B51</f>
        <v>Industrial</v>
      </c>
      <c r="C9" s="5" t="s">
        <v>348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349</v>
      </c>
      <c r="B10" s="24" t="n">
        <f aca="false">parametros_recargas!B8</f>
        <v>2</v>
      </c>
      <c r="C10" s="5" t="s">
        <v>350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351</v>
      </c>
      <c r="B11" s="24" t="n">
        <f aca="false">parametros_recargas!B10</f>
        <v>2032</v>
      </c>
      <c r="C11" s="5" t="s">
        <v>352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353</v>
      </c>
      <c r="B12" s="23" t="n">
        <v>200</v>
      </c>
      <c r="C12" s="5" t="s">
        <v>354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355</v>
      </c>
    </row>
    <row r="15" customFormat="false" ht="15" hidden="false" customHeight="false" outlineLevel="0" collapsed="false">
      <c r="A15" s="2" t="s">
        <v>356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357</v>
      </c>
      <c r="B17" s="9" t="n">
        <f aca="false">SUM(PROY_Indexado!B$57:B$73)/SUM(PROY_Indexado!$B$57:$H$73)</f>
        <v>0.58595259949571</v>
      </c>
      <c r="C17" s="9" t="n">
        <f aca="false">SUM(PROY_Indexado!C$57:C$73)/SUM(PROY_Indexado!$B$57:$H$73)</f>
        <v>0.288200884372309</v>
      </c>
      <c r="D17" s="9" t="n">
        <f aca="false">SUM(PROY_Indexado!D$57:D$73)/SUM(PROY_Indexado!$B$57:$H$73)</f>
        <v>0.0302113041211352</v>
      </c>
      <c r="E17" s="9" t="n">
        <f aca="false">SUM(PROY_Indexado!E$57:E$73)/SUM(PROY_Indexado!$B$57:$H$73)</f>
        <v>0.0198672007047742</v>
      </c>
      <c r="F17" s="9" t="n">
        <f aca="false">SUM(PROY_Indexado!F$57:F$73)/SUM(PROY_Indexado!$B$57:$H$73)</f>
        <v>0.0434229041296274</v>
      </c>
      <c r="G17" s="9" t="n">
        <f aca="false">SUM(PROY_Indexado!G$57:G$73)/SUM(PROY_Indexado!$B$57:$H$73)</f>
        <v>0.0278895829480135</v>
      </c>
      <c r="H17" s="9" t="n">
        <f aca="false">SUM(PROY_Indexado!H$57:H$73)/SUM(PROY_Indexado!$B$57:$H$73)</f>
        <v>0.00445552422843116</v>
      </c>
    </row>
    <row r="18" customFormat="false" ht="15" hidden="false" customHeight="false" outlineLevel="0" collapsed="false">
      <c r="A18" s="5" t="s">
        <v>358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359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360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19.5151581739966</v>
      </c>
      <c r="D20" s="14" t="n">
        <f aca="false">IF(SUM(PROY_Indexado!D$57:D$73)=0,0,SUMPRODUCT(PROY_Indexado!D$57:D$73,$C$30:$C$46)/SUM(PROY_Indexado!D$57:D$73))</f>
        <v>18.645299925121</v>
      </c>
      <c r="E20" s="14" t="n">
        <f aca="false">IF(SUM(PROY_Indexado!E$57:E$73)=0,0,SUMPRODUCT(PROY_Indexado!E$57:E$73,$C$30:$C$46)/SUM(PROY_Indexado!E$57:E$73))</f>
        <v>19.6713823192979</v>
      </c>
      <c r="F20" s="14" t="n">
        <f aca="false">IF(SUM(PROY_Indexado!F$57:F$73)=0,0,SUMPRODUCT(PROY_Indexado!F$57:F$73,$C$30:$C$46)/SUM(PROY_Indexado!F$57:F$73))</f>
        <v>29.8300814163244</v>
      </c>
      <c r="G20" s="14" t="n">
        <f aca="false">IF(SUM(PROY_Indexado!G$57:G$73)=0,0,SUMPRODUCT(PROY_Indexado!G$57:G$73,$C$30:$C$46)/SUM(PROY_Indexado!G$57:G$73))</f>
        <v>23.8179136701972</v>
      </c>
      <c r="H20" s="14" t="n">
        <f aca="false">IF(SUM(PROY_Indexado!H$57:H$73)=0,0,SUMPRODUCT(PROY_Indexado!H$57:H$73,$C$30:$C$46)/SUM(PROY_Indexado!H$57:H$73))</f>
        <v>18.694215744802</v>
      </c>
    </row>
    <row r="21" customFormat="false" ht="15" hidden="false" customHeight="false" outlineLevel="0" collapsed="false">
      <c r="A21" s="5" t="s">
        <v>361</v>
      </c>
      <c r="B21" s="8" t="n">
        <f aca="false">B18*B20</f>
        <v>166.604039761341</v>
      </c>
      <c r="C21" s="8" t="n">
        <f aca="false">C18*C20</f>
        <v>292.727372609949</v>
      </c>
      <c r="D21" s="8" t="n">
        <f aca="false">D18*D20</f>
        <v>223.743599101453</v>
      </c>
      <c r="E21" s="8" t="n">
        <f aca="false">E18*E20</f>
        <v>216.385205512277</v>
      </c>
      <c r="F21" s="8" t="n">
        <f aca="false">F18*F20</f>
        <v>298.300814163244</v>
      </c>
      <c r="G21" s="8" t="n">
        <f aca="false">G18*G20</f>
        <v>1452.89273388203</v>
      </c>
      <c r="H21" s="8" t="n">
        <f aca="false">H18*H20</f>
        <v>112.165294468812</v>
      </c>
    </row>
    <row r="22" customFormat="false" ht="15" hidden="false" customHeight="false" outlineLevel="0" collapsed="false">
      <c r="A22" s="5" t="s">
        <v>362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363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364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365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366</v>
      </c>
    </row>
    <row r="29" customFormat="false" ht="35.05" hidden="false" customHeight="true" outlineLevel="0" collapsed="false">
      <c r="A29" s="3" t="s">
        <v>124</v>
      </c>
      <c r="B29" s="3" t="s">
        <v>367</v>
      </c>
      <c r="C29" s="3" t="s">
        <v>368</v>
      </c>
      <c r="D29" s="3" t="s">
        <v>369</v>
      </c>
      <c r="E29" s="3" t="s">
        <v>370</v>
      </c>
      <c r="F29" s="3" t="s">
        <v>371</v>
      </c>
      <c r="G29" s="3" t="s">
        <v>372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(SUMPRODUCT(INDEX(parametros_recargas!$E$76:$L$97,0,MATCH(parametros_recargas!$B$55,parametros_recargas!$E$75:$L$75,0)),parametros_recargas!$N$76:$N$97)*parametros_recargas!$C$55+parametros_recargas!$D$55*parametros_recargas!$N$98)/60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terminado</v>
      </c>
      <c r="G30" s="5" t="s">
        <v>373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(SUMPRODUCT(INDEX(parametros_recargas!$E$76:$L$97,0,MATCH(parametros_recargas!$B$56,parametros_recargas!$E$75:$L$75,0)),parametros_recargas!$N$76:$N$97)*parametros_recargas!$C$56+parametros_recargas!$D$56*parametros_recargas!$N$98)/60</f>
        <v>18.5115599734824</v>
      </c>
      <c r="D31" s="18" t="n">
        <f aca="false">IF(SUM(PROY_Indexado!$B$58:$H$58)=0,$B$6+1+$B$7,SUMPRODUCT(PROY_Indexado!$B$58:$H$58,$B$24:$H$24)/SUM(PROY_Indexado!$B$58:$H$58))</f>
        <v>3.13656026334332</v>
      </c>
      <c r="E31" s="18" t="n">
        <f aca="false">IF(SUM(PROY_Indexado!$B$58:$H$58)=0,$B$6+1+$B$7,SUMPRODUCT(PROY_Indexado!$B$58:$H$58,$B$25:$H$25)/SUM(PROY_Indexado!$B$58:$H$58))</f>
        <v>3.04552008778111</v>
      </c>
      <c r="F31" s="6" t="str">
        <f aca="false">IF(LEFT(A31,3)="ABC",IF($B$9="Comercial","Fábrica: cilindro vacío","Fábrica: terminado"),"Compra")</f>
        <v>Fábrica: terminado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(SUMPRODUCT(INDEX(parametros_recargas!$E$76:$L$97,0,MATCH(parametros_recargas!$B$57,parametros_recargas!$E$75:$L$75,0)),parametros_recargas!$N$76:$N$97)*parametros_recargas!$C$57+parametros_recargas!$D$57*parametros_recargas!$N$98)/60</f>
        <v>18.5115599734824</v>
      </c>
      <c r="D32" s="18" t="n">
        <f aca="false">IF(SUM(PROY_Indexado!$B$59:$H$59)=0,$B$6+1+$B$7,SUMPRODUCT(PROY_Indexado!$B$59:$H$59,$B$24:$H$24)/SUM(PROY_Indexado!$B$59:$H$59))</f>
        <v>3.15288688217031</v>
      </c>
      <c r="E32" s="18" t="n">
        <f aca="false">IF(SUM(PROY_Indexado!$B$59:$H$59)=0,$B$6+1+$B$7,SUMPRODUCT(PROY_Indexado!$B$59:$H$59,$B$25:$H$25)/SUM(PROY_Indexado!$B$59:$H$59))</f>
        <v>3.05096229405677</v>
      </c>
      <c r="F32" s="6" t="str">
        <f aca="false">IF(LEFT(A32,3)="ABC",IF($B$9="Comercial","Fábrica: cilindro vacío","Fábrica: terminado"),"Compra")</f>
        <v>Fábrica: terminado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(SUMPRODUCT(INDEX(parametros_recargas!$E$76:$L$97,0,MATCH(parametros_recargas!$B$58,parametros_recargas!$E$75:$L$75,0)),parametros_recargas!$N$76:$N$97)*parametros_recargas!$C$58+parametros_recargas!$D$58*parametros_recargas!$N$98)/60</f>
        <v>18.5115599734824</v>
      </c>
      <c r="D33" s="18" t="n">
        <f aca="false">IF(SUM(PROY_Indexado!$B$60:$H$60)=0,$B$6+1+$B$7,SUMPRODUCT(PROY_Indexado!$B$60:$H$60,$B$24:$H$24)/SUM(PROY_Indexado!$B$60:$H$60))</f>
        <v>3.33934817699497</v>
      </c>
      <c r="E33" s="18" t="n">
        <f aca="false">IF(SUM(PROY_Indexado!$B$60:$H$60)=0,$B$6+1+$B$7,SUMPRODUCT(PROY_Indexado!$B$60:$H$60,$B$25:$H$25)/SUM(PROY_Indexado!$B$60:$H$60))</f>
        <v>3.11311605899832</v>
      </c>
      <c r="F33" s="6" t="str">
        <f aca="false">IF(LEFT(A33,3)="ABC",IF($B$9="Comercial","Fábrica: cilindro vacío","Fábrica: terminado"),"Compra")</f>
        <v>Fábrica: terminado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(SUMPRODUCT(INDEX(parametros_recargas!$E$76:$L$97,0,MATCH(parametros_recargas!$B$59,parametros_recargas!$E$75:$L$75,0)),parametros_recargas!$N$76:$N$97)*parametros_recargas!$C$59+parametros_recargas!$D$59*parametros_recargas!$N$98)/60</f>
        <v>19.355</v>
      </c>
      <c r="D34" s="18" t="n">
        <f aca="false">IF(SUM(PROY_Indexado!$B$61:$H$61)=0,$B$6+1+$B$7,SUMPRODUCT(PROY_Indexado!$B$61:$H$61,$B$24:$H$24)/SUM(PROY_Indexado!$B$61:$H$61))</f>
        <v>3.35721044994778</v>
      </c>
      <c r="E34" s="18" t="n">
        <f aca="false">IF(SUM(PROY_Indexado!$B$61:$H$61)=0,$B$6+1+$B$7,SUMPRODUCT(PROY_Indexado!$B$61:$H$61,$B$25:$H$25)/SUM(PROY_Indexado!$B$61:$H$61))</f>
        <v>3.11907014998259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(SUMPRODUCT(INDEX(parametros_recargas!$E$76:$L$97,0,MATCH(parametros_recargas!$B$60,parametros_recargas!$E$75:$L$75,0)),parametros_recargas!$N$76:$N$97)*parametros_recargas!$C$60+parametros_recargas!$D$60*parametros_recargas!$N$98)/60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(SUMPRODUCT(INDEX(parametros_recargas!$E$76:$L$97,0,MATCH(parametros_recargas!$B$61,parametros_recargas!$E$75:$L$75,0)),parametros_recargas!$N$76:$N$97)*parametros_recargas!$C$61+parametros_recargas!$D$61*parametros_recargas!$N$98)/60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(SUMPRODUCT(INDEX(parametros_recargas!$E$76:$L$97,0,MATCH(parametros_recargas!$B$62,parametros_recargas!$E$75:$L$75,0)),parametros_recargas!$N$76:$N$97)*parametros_recargas!$C$62+parametros_recargas!$D$62*parametros_recargas!$N$98)/60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(SUMPRODUCT(INDEX(parametros_recargas!$E$76:$L$97,0,MATCH(parametros_recargas!$B$63,parametros_recargas!$E$75:$L$75,0)),parametros_recargas!$N$76:$N$97)*parametros_recargas!$C$63+parametros_recargas!$D$63*parametros_recargas!$N$98)/60</f>
        <v>19.355</v>
      </c>
      <c r="D38" s="18" t="n">
        <f aca="false">IF(SUM(PROY_Indexado!$B$65:$H$65)=0,$B$6+1+$B$7,SUMPRODUCT(PROY_Indexado!$B$65:$H$65,$B$24:$H$24)/SUM(PROY_Indexado!$B$65:$H$65))</f>
        <v>3.23242576421335</v>
      </c>
      <c r="E38" s="18" t="n">
        <f aca="false">IF(SUM(PROY_Indexado!$B$65:$H$65)=0,$B$6+1+$B$7,SUMPRODUCT(PROY_Indexado!$B$65:$H$65,$B$25:$H$25)/SUM(PROY_Indexado!$B$65:$H$65))</f>
        <v>3.07747525473778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(SUMPRODUCT(INDEX(parametros_recargas!$E$76:$L$97,0,MATCH(parametros_recargas!$B$64,parametros_recargas!$E$75:$L$75,0)),parametros_recargas!$N$76:$N$97)*parametros_recargas!$C$64+parametros_recargas!$D$64*parametros_recargas!$N$98)/60</f>
        <v>14.4166666666667</v>
      </c>
      <c r="D39" s="18" t="n">
        <f aca="false">IF(SUM(PROY_Indexado!$B$66:$H$66)=0,$B$6+1+$B$7,SUMPRODUCT(PROY_Indexado!$B$66:$H$66,$B$24:$H$24)/SUM(PROY_Indexado!$B$66:$H$66))</f>
        <v>3.15471577476481</v>
      </c>
      <c r="E39" s="18" t="n">
        <f aca="false">IF(SUM(PROY_Indexado!$B$66:$H$66)=0,$B$6+1+$B$7,SUMPRODUCT(PROY_Indexado!$B$66:$H$66,$B$25:$H$25)/SUM(PROY_Indexado!$B$66:$H$66))</f>
        <v>3.0515719249216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(SUMPRODUCT(INDEX(parametros_recargas!$E$76:$L$97,0,MATCH(parametros_recargas!$B$65,parametros_recargas!$E$75:$L$75,0)),parametros_recargas!$N$76:$N$97)*parametros_recargas!$C$65+parametros_recargas!$D$65*parametros_recargas!$N$98)/60</f>
        <v>19.4166666666667</v>
      </c>
      <c r="D40" s="18" t="n">
        <f aca="false">IF(SUM(PROY_Indexado!$B$67:$H$67)=0,$B$6+1+$B$7,SUMPRODUCT(PROY_Indexado!$B$67:$H$67,$B$24:$H$24)/SUM(PROY_Indexado!$B$67:$H$67))</f>
        <v>3.54647772950587</v>
      </c>
      <c r="E40" s="18" t="n">
        <f aca="false">IF(SUM(PROY_Indexado!$B$67:$H$67)=0,$B$6+1+$B$7,SUMPRODUCT(PROY_Indexado!$B$67:$H$67,$B$25:$H$25)/SUM(PROY_Indexado!$B$67:$H$67))</f>
        <v>3.18215924316862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(SUMPRODUCT(INDEX(parametros_recargas!$E$76:$L$97,0,MATCH(parametros_recargas!$B$66,parametros_recargas!$E$75:$L$75,0)),parametros_recargas!$N$76:$N$97)*parametros_recargas!$C$66+parametros_recargas!$D$66*parametros_recargas!$N$98)/60</f>
        <v>17.6091666666667</v>
      </c>
      <c r="D41" s="18" t="n">
        <f aca="false">IF(SUM(PROY_Indexado!$B$68:$H$68)=0,$B$6+1+$B$7,SUMPRODUCT(PROY_Indexado!$B$68:$H$68,$B$24:$H$24)/SUM(PROY_Indexado!$B$68:$H$68))</f>
        <v>3.82580503571286</v>
      </c>
      <c r="E41" s="18" t="n">
        <f aca="false">IF(SUM(PROY_Indexado!$B$68:$H$68)=0,$B$6+1+$B$7,SUMPRODUCT(PROY_Indexado!$B$68:$H$68,$B$25:$H$25)/SUM(PROY_Indexado!$B$68:$H$68))</f>
        <v>3.27526834523762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(SUMPRODUCT(INDEX(parametros_recargas!$E$76:$L$97,0,MATCH(parametros_recargas!$B$67,parametros_recargas!$E$75:$L$75,0)),parametros_recargas!$N$76:$N$97)*parametros_recargas!$C$67+parametros_recargas!$D$67*parametros_recargas!$N$98)/60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(SUMPRODUCT(INDEX(parametros_recargas!$E$76:$L$97,0,MATCH(parametros_recargas!$B$68,parametros_recargas!$E$75:$L$75,0)),parametros_recargas!$N$76:$N$97)*parametros_recargas!$C$68+parametros_recargas!$D$68*parametros_recargas!$N$98)/60</f>
        <v>122.74932798962</v>
      </c>
      <c r="D43" s="18" t="n">
        <f aca="false">IF(SUM(PROY_Indexado!$B$70:$H$70)=0,$B$6+1+$B$7,SUMPRODUCT(PROY_Indexado!$B$70:$H$70,$B$24:$H$24)/SUM(PROY_Indexado!$B$70:$H$70))</f>
        <v>3.47718888342351</v>
      </c>
      <c r="E43" s="18" t="n">
        <f aca="false">IF(SUM(PROY_Indexado!$B$70:$H$70)=0,$B$6+1+$B$7,SUMPRODUCT(PROY_Indexado!$B$70:$H$70,$B$25:$H$25)/SUM(PROY_Indexado!$B$70:$H$70))</f>
        <v>3.15906296114117</v>
      </c>
      <c r="F43" s="6" t="str">
        <f aca="false">IF(LEFT(A43,3)="ABC",IF($B$9="Comercial","Fábrica: cilindro vacío","Fábrica: terminado"),"Compra")</f>
        <v>Fábrica: terminado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(SUMPRODUCT(INDEX(parametros_recargas!$E$76:$L$97,0,MATCH(parametros_recargas!$B$69,parametros_recargas!$E$75:$L$75,0)),parametros_recargas!$N$76:$N$97)*parametros_recargas!$C$69+parametros_recargas!$D$69*parametros_recargas!$N$98)/60</f>
        <v>122.74932798962</v>
      </c>
      <c r="D44" s="18" t="n">
        <f aca="false">IF(SUM(PROY_Indexado!$B$71:$H$71)=0,$B$6+1+$B$7,SUMPRODUCT(PROY_Indexado!$B$71:$H$71,$B$24:$H$24)/SUM(PROY_Indexado!$B$71:$H$71))</f>
        <v>3.47718951751894</v>
      </c>
      <c r="E44" s="18" t="n">
        <f aca="false">IF(SUM(PROY_Indexado!$B$71:$H$71)=0,$B$6+1+$B$7,SUMPRODUCT(PROY_Indexado!$B$71:$H$71,$B$25:$H$25)/SUM(PROY_Indexado!$B$71:$H$71))</f>
        <v>3.15906317250631</v>
      </c>
      <c r="F44" s="6" t="str">
        <f aca="false">IF(LEFT(A44,3)="ABC",IF($B$9="Comercial","Fábrica: cilindro vacío","Fábrica: terminado"),"Compra")</f>
        <v>Fábrica: terminado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(SUMPRODUCT(INDEX(parametros_recargas!$E$76:$L$97,0,MATCH(parametros_recargas!$B$70,parametros_recargas!$E$75:$L$75,0)),parametros_recargas!$N$76:$N$97)*parametros_recargas!$C$70+parametros_recargas!$D$70*parametros_recargas!$N$98)/60</f>
        <v>122.74932798962</v>
      </c>
      <c r="D45" s="18" t="n">
        <f aca="false">IF(SUM(PROY_Indexado!$B$72:$H$72)=0,$B$6+1+$B$7,SUMPRODUCT(PROY_Indexado!$B$72:$H$72,$B$24:$H$24)/SUM(PROY_Indexado!$B$72:$H$72))</f>
        <v>3.47717665143687</v>
      </c>
      <c r="E45" s="18" t="n">
        <f aca="false">IF(SUM(PROY_Indexado!$B$72:$H$72)=0,$B$6+1+$B$7,SUMPRODUCT(PROY_Indexado!$B$72:$H$72,$B$25:$H$25)/SUM(PROY_Indexado!$B$72:$H$72))</f>
        <v>3.15905888381229</v>
      </c>
      <c r="F45" s="6" t="str">
        <f aca="false">IF(LEFT(A45,3)="ABC",IF($B$9="Comercial","Fábrica: cilindro vacío","Fábrica: terminado"),"Compra")</f>
        <v>Fábrica: terminado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(SUMPRODUCT(INDEX(parametros_recargas!$E$76:$L$97,0,MATCH(parametros_recargas!$B$71,parametros_recargas!$E$75:$L$75,0)),parametros_recargas!$N$76:$N$97)*parametros_recargas!$C$71+parametros_recargas!$D$71*parametros_recargas!$N$98)/60</f>
        <v>122.74932798962</v>
      </c>
      <c r="D46" s="18" t="n">
        <f aca="false">IF(SUM(PROY_Indexado!$B$73:$H$73)=0,$B$6+1+$B$7,SUMPRODUCT(PROY_Indexado!$B$73:$H$73,$B$24:$H$24)/SUM(PROY_Indexado!$B$73:$H$73))</f>
        <v>3.4771329746349</v>
      </c>
      <c r="E46" s="18" t="n">
        <f aca="false">IF(SUM(PROY_Indexado!$B$73:$H$73)=0,$B$6+1+$B$7,SUMPRODUCT(PROY_Indexado!$B$73:$H$73,$B$25:$H$25)/SUM(PROY_Indexado!$B$73:$H$73))</f>
        <v>3.1590443248783</v>
      </c>
      <c r="F46" s="6" t="str">
        <f aca="false">IF(LEFT(A46,3)="ABC",IF($B$9="Comercial","Fábrica: cilindro vacío","Fábrica: terminado"),"Compra")</f>
        <v>Fábrica: terminado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374</v>
      </c>
    </row>
    <row r="49" customFormat="false" ht="15" hidden="false" customHeight="false" outlineLevel="0" collapsed="false">
      <c r="A49" s="2" t="s">
        <v>375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2</v>
      </c>
      <c r="C52" s="8" t="n">
        <f aca="false">ROUNDUP(datos_base!C3*$B$31*IF(C$50&gt;=$B$11,$E$31,$D$31)*parametros_recargas!$Q$56/$B$5,0)</f>
        <v>7</v>
      </c>
      <c r="D52" s="8" t="n">
        <f aca="false">ROUNDUP(datos_base!D3*$B$31*IF(D$50&gt;=$B$11,$E$31,$D$31)*parametros_recargas!$Q$56/$B$5,0)</f>
        <v>14</v>
      </c>
      <c r="E52" s="8" t="n">
        <f aca="false">ROUNDUP(datos_base!E3*$B$31*IF(E$50&gt;=$B$11,$E$31,$D$31)*parametros_recargas!$Q$56/$B$5,0)</f>
        <v>26</v>
      </c>
      <c r="F52" s="8" t="n">
        <f aca="false">ROUNDUP(datos_base!F3*$B$31*IF(F$50&gt;=$B$11,$E$31,$D$31)*parametros_recargas!$Q$56/$B$5,0)</f>
        <v>37</v>
      </c>
      <c r="G52" s="8" t="n">
        <f aca="false">ROUNDUP(datos_base!G3*$B$31*IF(G$50&gt;=$B$11,$E$31,$D$31)*parametros_recargas!$Q$56/$B$5,0)</f>
        <v>49</v>
      </c>
      <c r="H52" s="8" t="n">
        <f aca="false">ROUNDUP(datos_base!H3*$B$31*IF(H$50&gt;=$B$11,$E$31,$D$31)*parametros_recargas!$Q$56/$B$5,0)</f>
        <v>59</v>
      </c>
      <c r="I52" s="8" t="n">
        <f aca="false">ROUNDUP(datos_base!I3*$B$31*IF(I$50&gt;=$B$11,$E$31,$D$31)*parametros_recargas!$Q$56/$B$5,0)</f>
        <v>65</v>
      </c>
      <c r="J52" s="8" t="n">
        <f aca="false">ROUNDUP(datos_base!J3*$B$31*IF(J$50&gt;=$B$11,$E$31,$D$31)*parametros_recargas!$Q$56/$B$5,0)</f>
        <v>70</v>
      </c>
      <c r="K52" s="8" t="n">
        <f aca="false">ROUNDUP(datos_base!K3*$B$31*IF(K$50&gt;=$B$11,$E$31,$D$31)*parametros_recargas!$Q$56/$B$5,0)</f>
        <v>76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9</v>
      </c>
      <c r="C53" s="8" t="n">
        <f aca="false">ROUNDUP(datos_base!C4*$B$32*IF(C$50&gt;=$B$11,$E$32,$D$32)*parametros_recargas!$Q$57/$B$5,0)</f>
        <v>36</v>
      </c>
      <c r="D53" s="8" t="n">
        <f aca="false">ROUNDUP(datos_base!D4*$B$32*IF(D$50&gt;=$B$11,$E$32,$D$32)*parametros_recargas!$Q$57/$B$5,0)</f>
        <v>81</v>
      </c>
      <c r="E53" s="8" t="n">
        <f aca="false">ROUNDUP(datos_base!E4*$B$32*IF(E$50&gt;=$B$11,$E$32,$D$32)*parametros_recargas!$Q$57/$B$5,0)</f>
        <v>153</v>
      </c>
      <c r="F53" s="8" t="n">
        <f aca="false">ROUNDUP(datos_base!F4*$B$32*IF(F$50&gt;=$B$11,$E$32,$D$32)*parametros_recargas!$Q$57/$B$5,0)</f>
        <v>221</v>
      </c>
      <c r="G53" s="8" t="n">
        <f aca="false">ROUNDUP(datos_base!G4*$B$32*IF(G$50&gt;=$B$11,$E$32,$D$32)*parametros_recargas!$Q$57/$B$5,0)</f>
        <v>293</v>
      </c>
      <c r="H53" s="8" t="n">
        <f aca="false">ROUNDUP(datos_base!H4*$B$32*IF(H$50&gt;=$B$11,$E$32,$D$32)*parametros_recargas!$Q$57/$B$5,0)</f>
        <v>347</v>
      </c>
      <c r="I53" s="8" t="n">
        <f aca="false">ROUNDUP(datos_base!I4*$B$32*IF(I$50&gt;=$B$11,$E$32,$D$32)*parametros_recargas!$Q$57/$B$5,0)</f>
        <v>385</v>
      </c>
      <c r="J53" s="8" t="n">
        <f aca="false">ROUNDUP(datos_base!J4*$B$32*IF(J$50&gt;=$B$11,$E$32,$D$32)*parametros_recargas!$Q$57/$B$5,0)</f>
        <v>415</v>
      </c>
      <c r="K53" s="8" t="n">
        <f aca="false">ROUNDUP(datos_base!K4*$B$32*IF(K$50&gt;=$B$11,$E$32,$D$32)*parametros_recargas!$Q$57/$B$5,0)</f>
        <v>446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1</v>
      </c>
      <c r="C54" s="8" t="n">
        <f aca="false">ROUNDUP(datos_base!C5*$B$33*IF(C$50&gt;=$B$11,$E$33,$D$33)*parametros_recargas!$Q$58/$B$5,0)</f>
        <v>3</v>
      </c>
      <c r="D54" s="8" t="n">
        <f aca="false">ROUNDUP(datos_base!D5*$B$33*IF(D$50&gt;=$B$11,$E$33,$D$33)*parametros_recargas!$Q$58/$B$5,0)</f>
        <v>6</v>
      </c>
      <c r="E54" s="8" t="n">
        <f aca="false">ROUNDUP(datos_base!E5*$B$33*IF(E$50&gt;=$B$11,$E$33,$D$33)*parametros_recargas!$Q$58/$B$5,0)</f>
        <v>10</v>
      </c>
      <c r="F54" s="8" t="n">
        <f aca="false">ROUNDUP(datos_base!F5*$B$33*IF(F$50&gt;=$B$11,$E$33,$D$33)*parametros_recargas!$Q$58/$B$5,0)</f>
        <v>14</v>
      </c>
      <c r="G54" s="8" t="n">
        <f aca="false">ROUNDUP(datos_base!G5*$B$33*IF(G$50&gt;=$B$11,$E$33,$D$33)*parametros_recargas!$Q$58/$B$5,0)</f>
        <v>19</v>
      </c>
      <c r="H54" s="8" t="n">
        <f aca="false">ROUNDUP(datos_base!H5*$B$33*IF(H$50&gt;=$B$11,$E$33,$D$33)*parametros_recargas!$Q$58/$B$5,0)</f>
        <v>22</v>
      </c>
      <c r="I54" s="8" t="n">
        <f aca="false">ROUNDUP(datos_base!I5*$B$33*IF(I$50&gt;=$B$11,$E$33,$D$33)*parametros_recargas!$Q$58/$B$5,0)</f>
        <v>24</v>
      </c>
      <c r="J54" s="8" t="n">
        <f aca="false">ROUNDUP(datos_base!J5*$B$33*IF(J$50&gt;=$B$11,$E$33,$D$33)*parametros_recargas!$Q$58/$B$5,0)</f>
        <v>26</v>
      </c>
      <c r="K54" s="8" t="n">
        <f aca="false">ROUNDUP(datos_base!K5*$B$33*IF(K$50&gt;=$B$11,$E$33,$D$33)*parametros_recargas!$Q$58/$B$5,0)</f>
        <v>28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1</v>
      </c>
      <c r="C55" s="8" t="n">
        <f aca="false">ROUNDUP(datos_base!C6*$B$34*IF(C$50&gt;=$B$11,$E$34,$D$34)*parametros_recargas!$Q$59/$B$5,0)</f>
        <v>4</v>
      </c>
      <c r="D55" s="8" t="n">
        <f aca="false">ROUNDUP(datos_base!D6*$B$34*IF(D$50&gt;=$B$11,$E$34,$D$34)*parametros_recargas!$Q$59/$B$5,0)</f>
        <v>8</v>
      </c>
      <c r="E55" s="8" t="n">
        <f aca="false">ROUNDUP(datos_base!E6*$B$34*IF(E$50&gt;=$B$11,$E$34,$D$34)*parametros_recargas!$Q$59/$B$5,0)</f>
        <v>14</v>
      </c>
      <c r="F55" s="8" t="n">
        <f aca="false">ROUNDUP(datos_base!F6*$B$34*IF(F$50&gt;=$B$11,$E$34,$D$34)*parametros_recargas!$Q$59/$B$5,0)</f>
        <v>20</v>
      </c>
      <c r="G55" s="8" t="n">
        <f aca="false">ROUNDUP(datos_base!G6*$B$34*IF(G$50&gt;=$B$11,$E$34,$D$34)*parametros_recargas!$Q$59/$B$5,0)</f>
        <v>26</v>
      </c>
      <c r="H55" s="8" t="n">
        <f aca="false">ROUNDUP(datos_base!H6*$B$34*IF(H$50&gt;=$B$11,$E$34,$D$34)*parametros_recargas!$Q$59/$B$5,0)</f>
        <v>30</v>
      </c>
      <c r="I55" s="8" t="n">
        <f aca="false">ROUNDUP(datos_base!I6*$B$34*IF(I$50&gt;=$B$11,$E$34,$D$34)*parametros_recargas!$Q$59/$B$5,0)</f>
        <v>33</v>
      </c>
      <c r="J55" s="8" t="n">
        <f aca="false">ROUNDUP(datos_base!J6*$B$34*IF(J$50&gt;=$B$11,$E$34,$D$34)*parametros_recargas!$Q$59/$B$5,0)</f>
        <v>36</v>
      </c>
      <c r="K55" s="8" t="n">
        <f aca="false">ROUNDUP(datos_base!K6*$B$34*IF(K$50&gt;=$B$11,$E$34,$D$34)*parametros_recargas!$Q$59/$B$5,0)</f>
        <v>39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1</v>
      </c>
      <c r="D56" s="8" t="n">
        <f aca="false">ROUNDUP(datos_base!D7*$B$35*IF(D$50&gt;=$B$11,$E$35,$D$35)*parametros_recargas!$Q$60/$B$5,0)</f>
        <v>2</v>
      </c>
      <c r="E56" s="8" t="n">
        <f aca="false">ROUNDUP(datos_base!E7*$B$35*IF(E$50&gt;=$B$11,$E$35,$D$35)*parametros_recargas!$Q$60/$B$5,0)</f>
        <v>2</v>
      </c>
      <c r="F56" s="8" t="n">
        <f aca="false">ROUNDUP(datos_base!F7*$B$35*IF(F$50&gt;=$B$11,$E$35,$D$35)*parametros_recargas!$Q$60/$B$5,0)</f>
        <v>3</v>
      </c>
      <c r="G56" s="8" t="n">
        <f aca="false">ROUNDUP(datos_base!G7*$B$35*IF(G$50&gt;=$B$11,$E$35,$D$35)*parametros_recargas!$Q$60/$B$5,0)</f>
        <v>4</v>
      </c>
      <c r="H56" s="8" t="n">
        <f aca="false">ROUNDUP(datos_base!H7*$B$35*IF(H$50&gt;=$B$11,$E$35,$D$35)*parametros_recargas!$Q$60/$B$5,0)</f>
        <v>5</v>
      </c>
      <c r="I56" s="8" t="n">
        <f aca="false">ROUNDUP(datos_base!I7*$B$35*IF(I$50&gt;=$B$11,$E$35,$D$35)*parametros_recargas!$Q$60/$B$5,0)</f>
        <v>5</v>
      </c>
      <c r="J56" s="8" t="n">
        <f aca="false">ROUNDUP(datos_base!J7*$B$35*IF(J$50&gt;=$B$11,$E$35,$D$35)*parametros_recargas!$Q$60/$B$5,0)</f>
        <v>6</v>
      </c>
      <c r="K56" s="8" t="n">
        <f aca="false">ROUNDUP(datos_base!K7*$B$35*IF(K$50&gt;=$B$11,$E$35,$D$35)*parametros_recargas!$Q$60/$B$5,0)</f>
        <v>6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1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2</v>
      </c>
      <c r="G57" s="8" t="n">
        <f aca="false">ROUNDUP(datos_base!G8*$B$36*IF(G$50&gt;=$B$11,$E$36,$D$36)*parametros_recargas!$Q$61/$B$5,0)</f>
        <v>2</v>
      </c>
      <c r="H57" s="8" t="n">
        <f aca="false">ROUNDUP(datos_base!H8*$B$36*IF(H$50&gt;=$B$11,$E$36,$D$36)*parametros_recargas!$Q$61/$B$5,0)</f>
        <v>3</v>
      </c>
      <c r="I57" s="8" t="n">
        <f aca="false">ROUNDUP(datos_base!I8*$B$36*IF(I$50&gt;=$B$11,$E$36,$D$36)*parametros_recargas!$Q$61/$B$5,0)</f>
        <v>3</v>
      </c>
      <c r="J57" s="8" t="n">
        <f aca="false">ROUNDUP(datos_base!J8*$B$36*IF(J$50&gt;=$B$11,$E$36,$D$36)*parametros_recargas!$Q$61/$B$5,0)</f>
        <v>3</v>
      </c>
      <c r="K57" s="8" t="n">
        <f aca="false">ROUNDUP(datos_base!K8*$B$36*IF(K$50&gt;=$B$11,$E$36,$D$36)*parametros_recargas!$Q$61/$B$5,0)</f>
        <v>4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1</v>
      </c>
      <c r="F58" s="8" t="n">
        <f aca="false">ROUNDUP(datos_base!F9*$B$37*IF(F$50&gt;=$B$11,$E$37,$D$37)*parametros_recargas!$Q$62/$B$5,0)</f>
        <v>1</v>
      </c>
      <c r="G58" s="8" t="n">
        <f aca="false">ROUNDUP(datos_base!G9*$B$37*IF(G$50&gt;=$B$11,$E$37,$D$37)*parametros_recargas!$Q$62/$B$5,0)</f>
        <v>2</v>
      </c>
      <c r="H58" s="8" t="n">
        <f aca="false">ROUNDUP(datos_base!H9*$B$37*IF(H$50&gt;=$B$11,$E$37,$D$37)*parametros_recargas!$Q$62/$B$5,0)</f>
        <v>2</v>
      </c>
      <c r="I58" s="8" t="n">
        <f aca="false">ROUNDUP(datos_base!I9*$B$37*IF(I$50&gt;=$B$11,$E$37,$D$37)*parametros_recargas!$Q$62/$B$5,0)</f>
        <v>2</v>
      </c>
      <c r="J58" s="8" t="n">
        <f aca="false">ROUNDUP(datos_base!J9*$B$37*IF(J$50&gt;=$B$11,$E$37,$D$37)*parametros_recargas!$Q$62/$B$5,0)</f>
        <v>2</v>
      </c>
      <c r="K58" s="8" t="n">
        <f aca="false">ROUNDUP(datos_base!K9*$B$37*IF(K$50&gt;=$B$11,$E$37,$D$37)*parametros_recargas!$Q$62/$B$5,0)</f>
        <v>2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1</v>
      </c>
      <c r="C59" s="8" t="n">
        <f aca="false">ROUNDUP(datos_base!C10*$B$38*IF(C$50&gt;=$B$11,$E$38,$D$38)*parametros_recargas!$Q$63/$B$5,0)</f>
        <v>2</v>
      </c>
      <c r="D59" s="8" t="n">
        <f aca="false">ROUNDUP(datos_base!D10*$B$38*IF(D$50&gt;=$B$11,$E$38,$D$38)*parametros_recargas!$Q$63/$B$5,0)</f>
        <v>4</v>
      </c>
      <c r="E59" s="8" t="n">
        <f aca="false">ROUNDUP(datos_base!E10*$B$38*IF(E$50&gt;=$B$11,$E$38,$D$38)*parametros_recargas!$Q$63/$B$5,0)</f>
        <v>7</v>
      </c>
      <c r="F59" s="8" t="n">
        <f aca="false">ROUNDUP(datos_base!F10*$B$38*IF(F$50&gt;=$B$11,$E$38,$D$38)*parametros_recargas!$Q$63/$B$5,0)</f>
        <v>9</v>
      </c>
      <c r="G59" s="8" t="n">
        <f aca="false">ROUNDUP(datos_base!G10*$B$38*IF(G$50&gt;=$B$11,$E$38,$D$38)*parametros_recargas!$Q$63/$B$5,0)</f>
        <v>12</v>
      </c>
      <c r="H59" s="8" t="n">
        <f aca="false">ROUNDUP(datos_base!H10*$B$38*IF(H$50&gt;=$B$11,$E$38,$D$38)*parametros_recargas!$Q$63/$B$5,0)</f>
        <v>14</v>
      </c>
      <c r="I59" s="8" t="n">
        <f aca="false">ROUNDUP(datos_base!I10*$B$38*IF(I$50&gt;=$B$11,$E$38,$D$38)*parametros_recargas!$Q$63/$B$5,0)</f>
        <v>16</v>
      </c>
      <c r="J59" s="8" t="n">
        <f aca="false">ROUNDUP(datos_base!J10*$B$38*IF(J$50&gt;=$B$11,$E$38,$D$38)*parametros_recargas!$Q$63/$B$5,0)</f>
        <v>17</v>
      </c>
      <c r="K59" s="8" t="n">
        <f aca="false">ROUNDUP(datos_base!K10*$B$38*IF(K$50&gt;=$B$11,$E$38,$D$38)*parametros_recargas!$Q$63/$B$5,0)</f>
        <v>19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3</v>
      </c>
      <c r="C60" s="8" t="n">
        <f aca="false">ROUNDUP(datos_base!C11*$B$39*IF(C$50&gt;=$B$11,$E$39,$D$39)*parametros_recargas!$Q$64/$B$5,0)</f>
        <v>8</v>
      </c>
      <c r="D60" s="8" t="n">
        <f aca="false">ROUNDUP(datos_base!D11*$B$39*IF(D$50&gt;=$B$11,$E$39,$D$39)*parametros_recargas!$Q$64/$B$5,0)</f>
        <v>19</v>
      </c>
      <c r="E60" s="8" t="n">
        <f aca="false">ROUNDUP(datos_base!E11*$B$39*IF(E$50&gt;=$B$11,$E$39,$D$39)*parametros_recargas!$Q$64/$B$5,0)</f>
        <v>36</v>
      </c>
      <c r="F60" s="8" t="n">
        <f aca="false">ROUNDUP(datos_base!F11*$B$39*IF(F$50&gt;=$B$11,$E$39,$D$39)*parametros_recargas!$Q$64/$B$5,0)</f>
        <v>52</v>
      </c>
      <c r="G60" s="8" t="n">
        <f aca="false">ROUNDUP(datos_base!G11*$B$39*IF(G$50&gt;=$B$11,$E$39,$D$39)*parametros_recargas!$Q$64/$B$5,0)</f>
        <v>68</v>
      </c>
      <c r="H60" s="8" t="n">
        <f aca="false">ROUNDUP(datos_base!H11*$B$39*IF(H$50&gt;=$B$11,$E$39,$D$39)*parametros_recargas!$Q$64/$B$5,0)</f>
        <v>81</v>
      </c>
      <c r="I60" s="8" t="n">
        <f aca="false">ROUNDUP(datos_base!I11*$B$39*IF(I$50&gt;=$B$11,$E$39,$D$39)*parametros_recargas!$Q$64/$B$5,0)</f>
        <v>89</v>
      </c>
      <c r="J60" s="8" t="n">
        <f aca="false">ROUNDUP(datos_base!J11*$B$39*IF(J$50&gt;=$B$11,$E$39,$D$39)*parametros_recargas!$Q$64/$B$5,0)</f>
        <v>96</v>
      </c>
      <c r="K60" s="8" t="n">
        <f aca="false">ROUNDUP(datos_base!K11*$B$39*IF(K$50&gt;=$B$11,$E$39,$D$39)*parametros_recargas!$Q$64/$B$5,0)</f>
        <v>103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1</v>
      </c>
      <c r="C61" s="8" t="n">
        <f aca="false">ROUNDUP(datos_base!C12*$B$40*IF(C$50&gt;=$B$11,$E$40,$D$40)*parametros_recargas!$Q$65/$B$5,0)</f>
        <v>4</v>
      </c>
      <c r="D61" s="8" t="n">
        <f aca="false">ROUNDUP(datos_base!D12*$B$40*IF(D$50&gt;=$B$11,$E$40,$D$40)*parametros_recargas!$Q$65/$B$5,0)</f>
        <v>7</v>
      </c>
      <c r="E61" s="8" t="n">
        <f aca="false">ROUNDUP(datos_base!E12*$B$40*IF(E$50&gt;=$B$11,$E$40,$D$40)*parametros_recargas!$Q$65/$B$5,0)</f>
        <v>12</v>
      </c>
      <c r="F61" s="8" t="n">
        <f aca="false">ROUNDUP(datos_base!F12*$B$40*IF(F$50&gt;=$B$11,$E$40,$D$40)*parametros_recargas!$Q$65/$B$5,0)</f>
        <v>18</v>
      </c>
      <c r="G61" s="8" t="n">
        <f aca="false">ROUNDUP(datos_base!G12*$B$40*IF(G$50&gt;=$B$11,$E$40,$D$40)*parametros_recargas!$Q$65/$B$5,0)</f>
        <v>23</v>
      </c>
      <c r="H61" s="8" t="n">
        <f aca="false">ROUNDUP(datos_base!H12*$B$40*IF(H$50&gt;=$B$11,$E$40,$D$40)*parametros_recargas!$Q$65/$B$5,0)</f>
        <v>26</v>
      </c>
      <c r="I61" s="8" t="n">
        <f aca="false">ROUNDUP(datos_base!I12*$B$40*IF(I$50&gt;=$B$11,$E$40,$D$40)*parametros_recargas!$Q$65/$B$5,0)</f>
        <v>29</v>
      </c>
      <c r="J61" s="8" t="n">
        <f aca="false">ROUNDUP(datos_base!J12*$B$40*IF(J$50&gt;=$B$11,$E$40,$D$40)*parametros_recargas!$Q$65/$B$5,0)</f>
        <v>31</v>
      </c>
      <c r="K61" s="8" t="n">
        <f aca="false">ROUNDUP(datos_base!K12*$B$40*IF(K$50&gt;=$B$11,$E$40,$D$40)*parametros_recargas!$Q$65/$B$5,0)</f>
        <v>34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3</v>
      </c>
      <c r="F62" s="8" t="n">
        <f aca="false">ROUNDUP(datos_base!F13*$B$41*IF(F$50&gt;=$B$11,$E$41,$D$41)*parametros_recargas!$Q$66/$B$5,0)</f>
        <v>3</v>
      </c>
      <c r="G62" s="8" t="n">
        <f aca="false">ROUNDUP(datos_base!G13*$B$41*IF(G$50&gt;=$B$11,$E$41,$D$41)*parametros_recargas!$Q$66/$B$5,0)</f>
        <v>4</v>
      </c>
      <c r="H62" s="8" t="n">
        <f aca="false">ROUNDUP(datos_base!H13*$B$41*IF(H$50&gt;=$B$11,$E$41,$D$41)*parametros_recargas!$Q$66/$B$5,0)</f>
        <v>5</v>
      </c>
      <c r="I62" s="8" t="n">
        <f aca="false">ROUNDUP(datos_base!I13*$B$41*IF(I$50&gt;=$B$11,$E$41,$D$41)*parametros_recargas!$Q$66/$B$5,0)</f>
        <v>5</v>
      </c>
      <c r="J62" s="8" t="n">
        <f aca="false">ROUNDUP(datos_base!J13*$B$41*IF(J$50&gt;=$B$11,$E$41,$D$41)*parametros_recargas!$Q$66/$B$5,0)</f>
        <v>6</v>
      </c>
      <c r="K62" s="8" t="n">
        <f aca="false">ROUNDUP(datos_base!K13*$B$41*IF(K$50&gt;=$B$11,$E$41,$D$41)*parametros_recargas!$Q$66/$B$5,0)</f>
        <v>6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1</v>
      </c>
      <c r="F63" s="8" t="n">
        <f aca="false">ROUNDUP(datos_base!F14*$B$42*IF(F$50&gt;=$B$11,$E$42,$D$42)*parametros_recargas!$Q$67/$B$5,0)</f>
        <v>1</v>
      </c>
      <c r="G63" s="8" t="n">
        <f aca="false">ROUNDUP(datos_base!G14*$B$42*IF(G$50&gt;=$B$11,$E$42,$D$42)*parametros_recargas!$Q$67/$B$5,0)</f>
        <v>1</v>
      </c>
      <c r="H63" s="8" t="n">
        <f aca="false">ROUNDUP(datos_base!H14*$B$42*IF(H$50&gt;=$B$11,$E$42,$D$42)*parametros_recargas!$Q$67/$B$5,0)</f>
        <v>2</v>
      </c>
      <c r="I63" s="8" t="n">
        <f aca="false">ROUNDUP(datos_base!I14*$B$42*IF(I$50&gt;=$B$11,$E$42,$D$42)*parametros_recargas!$Q$67/$B$5,0)</f>
        <v>2</v>
      </c>
      <c r="J63" s="8" t="n">
        <f aca="false">ROUNDUP(datos_base!J14*$B$42*IF(J$50&gt;=$B$11,$E$42,$D$42)*parametros_recargas!$Q$67/$B$5,0)</f>
        <v>2</v>
      </c>
      <c r="K63" s="8" t="n">
        <f aca="false">ROUNDUP(datos_base!K14*$B$42*IF(K$50&gt;=$B$11,$E$42,$D$42)*parametros_recargas!$Q$67/$B$5,0)</f>
        <v>2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1</v>
      </c>
      <c r="E64" s="8" t="n">
        <f aca="false">ROUNDUP(datos_base!E15*$B$43*IF(E$50&gt;=$B$11,$E$43,$D$43)*parametros_recargas!$Q$68/$B$5,0)</f>
        <v>2</v>
      </c>
      <c r="F64" s="8" t="n">
        <f aca="false">ROUNDUP(datos_base!F15*$B$43*IF(F$50&gt;=$B$11,$E$43,$D$43)*parametros_recargas!$Q$68/$B$5,0)</f>
        <v>3</v>
      </c>
      <c r="G64" s="8" t="n">
        <f aca="false">ROUNDUP(datos_base!G15*$B$43*IF(G$50&gt;=$B$11,$E$43,$D$43)*parametros_recargas!$Q$68/$B$5,0)</f>
        <v>4</v>
      </c>
      <c r="H64" s="8" t="n">
        <f aca="false">ROUNDUP(datos_base!H15*$B$43*IF(H$50&gt;=$B$11,$E$43,$D$43)*parametros_recargas!$Q$68/$B$5,0)</f>
        <v>4</v>
      </c>
      <c r="I64" s="8" t="n">
        <f aca="false">ROUNDUP(datos_base!I15*$B$43*IF(I$50&gt;=$B$11,$E$43,$D$43)*parametros_recargas!$Q$68/$B$5,0)</f>
        <v>4</v>
      </c>
      <c r="J64" s="8" t="n">
        <f aca="false">ROUNDUP(datos_base!J15*$B$43*IF(J$50&gt;=$B$11,$E$43,$D$43)*parametros_recargas!$Q$68/$B$5,0)</f>
        <v>5</v>
      </c>
      <c r="K64" s="8" t="n">
        <f aca="false">ROUNDUP(datos_base!K15*$B$43*IF(K$50&gt;=$B$11,$E$43,$D$43)*parametros_recargas!$Q$68/$B$5,0)</f>
        <v>5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1</v>
      </c>
      <c r="D65" s="8" t="n">
        <f aca="false">ROUNDUP(datos_base!D16*$B$44*IF(D$50&gt;=$B$11,$E$44,$D$44)*parametros_recargas!$Q$69/$B$5,0)</f>
        <v>2</v>
      </c>
      <c r="E65" s="8" t="n">
        <f aca="false">ROUNDUP(datos_base!E16*$B$44*IF(E$50&gt;=$B$11,$E$44,$D$44)*parametros_recargas!$Q$69/$B$5,0)</f>
        <v>4</v>
      </c>
      <c r="F65" s="8" t="n">
        <f aca="false">ROUNDUP(datos_base!F16*$B$44*IF(F$50&gt;=$B$11,$E$44,$D$44)*parametros_recargas!$Q$69/$B$5,0)</f>
        <v>6</v>
      </c>
      <c r="G65" s="8" t="n">
        <f aca="false">ROUNDUP(datos_base!G16*$B$44*IF(G$50&gt;=$B$11,$E$44,$D$44)*parametros_recargas!$Q$69/$B$5,0)</f>
        <v>7</v>
      </c>
      <c r="H65" s="8" t="n">
        <f aca="false">ROUNDUP(datos_base!H16*$B$44*IF(H$50&gt;=$B$11,$E$44,$D$44)*parametros_recargas!$Q$69/$B$5,0)</f>
        <v>8</v>
      </c>
      <c r="I65" s="8" t="n">
        <f aca="false">ROUNDUP(datos_base!I16*$B$44*IF(I$50&gt;=$B$11,$E$44,$D$44)*parametros_recargas!$Q$69/$B$5,0)</f>
        <v>9</v>
      </c>
      <c r="J65" s="8" t="n">
        <f aca="false">ROUNDUP(datos_base!J16*$B$44*IF(J$50&gt;=$B$11,$E$44,$D$44)*parametros_recargas!$Q$69/$B$5,0)</f>
        <v>10</v>
      </c>
      <c r="K65" s="8" t="n">
        <f aca="false">ROUNDUP(datos_base!K16*$B$44*IF(K$50&gt;=$B$11,$E$44,$D$44)*parametros_recargas!$Q$69/$B$5,0)</f>
        <v>10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1</v>
      </c>
      <c r="F66" s="8" t="n">
        <f aca="false">ROUNDUP(datos_base!F17*$B$45*IF(F$50&gt;=$B$11,$E$45,$D$45)*parametros_recargas!$Q$70/$B$5,0)</f>
        <v>2</v>
      </c>
      <c r="G66" s="8" t="n">
        <f aca="false">ROUNDUP(datos_base!G17*$B$45*IF(G$50&gt;=$B$11,$E$45,$D$45)*parametros_recargas!$Q$70/$B$5,0)</f>
        <v>2</v>
      </c>
      <c r="H66" s="8" t="n">
        <f aca="false">ROUNDUP(datos_base!H17*$B$45*IF(H$50&gt;=$B$11,$E$45,$D$45)*parametros_recargas!$Q$70/$B$5,0)</f>
        <v>2</v>
      </c>
      <c r="I66" s="8" t="n">
        <f aca="false">ROUNDUP(datos_base!I17*$B$45*IF(I$50&gt;=$B$11,$E$45,$D$45)*parametros_recargas!$Q$70/$B$5,0)</f>
        <v>2</v>
      </c>
      <c r="J66" s="8" t="n">
        <f aca="false">ROUNDUP(datos_base!J17*$B$45*IF(J$50&gt;=$B$11,$E$45,$D$45)*parametros_recargas!$Q$70/$B$5,0)</f>
        <v>3</v>
      </c>
      <c r="K66" s="8" t="n">
        <f aca="false">ROUNDUP(datos_base!K17*$B$45*IF(K$50&gt;=$B$11,$E$45,$D$45)*parametros_recargas!$Q$70/$B$5,0)</f>
        <v>3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1</v>
      </c>
      <c r="G67" s="8" t="n">
        <f aca="false">ROUNDUP(datos_base!G18*$B$46*IF(G$50&gt;=$B$11,$E$46,$D$46)*parametros_recargas!$Q$71/$B$5,0)</f>
        <v>1</v>
      </c>
      <c r="H67" s="8" t="n">
        <f aca="false">ROUNDUP(datos_base!H18*$B$46*IF(H$50&gt;=$B$11,$E$46,$D$46)*parametros_recargas!$Q$71/$B$5,0)</f>
        <v>2</v>
      </c>
      <c r="I67" s="8" t="n">
        <f aca="false">ROUNDUP(datos_base!I18*$B$46*IF(I$50&gt;=$B$11,$E$46,$D$46)*parametros_recargas!$Q$71/$B$5,0)</f>
        <v>2</v>
      </c>
      <c r="J67" s="8" t="n">
        <f aca="false">ROUNDUP(datos_base!J18*$B$46*IF(J$50&gt;=$B$11,$E$46,$D$46)*parametros_recargas!$Q$71/$B$5,0)</f>
        <v>2</v>
      </c>
      <c r="K67" s="8" t="n">
        <f aca="false">ROUNDUP(datos_base!K18*$B$46*IF(K$50&gt;=$B$11,$E$46,$D$46)*parametros_recargas!$Q$71/$B$5,0)</f>
        <v>2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27</v>
      </c>
      <c r="C68" s="12" t="n">
        <f aca="false">SUM(C51:C67)</f>
        <v>73</v>
      </c>
      <c r="D68" s="12" t="n">
        <f aca="false">SUM(D51:D67)</f>
        <v>151</v>
      </c>
      <c r="E68" s="12" t="n">
        <f aca="false">SUM(E51:E67)</f>
        <v>275</v>
      </c>
      <c r="F68" s="12" t="n">
        <f aca="false">SUM(F51:F67)</f>
        <v>393</v>
      </c>
      <c r="G68" s="12" t="n">
        <f aca="false">SUM(G51:G67)</f>
        <v>517</v>
      </c>
      <c r="H68" s="12" t="n">
        <f aca="false">SUM(H51:H67)</f>
        <v>612</v>
      </c>
      <c r="I68" s="12" t="n">
        <f aca="false">SUM(I51:I67)</f>
        <v>675</v>
      </c>
      <c r="J68" s="12" t="n">
        <f aca="false">SUM(J51:J67)</f>
        <v>730</v>
      </c>
      <c r="K68" s="12" t="n">
        <f aca="false">SUM(K51:K67)</f>
        <v>785</v>
      </c>
    </row>
    <row r="70" customFormat="false" ht="15" hidden="false" customHeight="false" outlineLevel="0" collapsed="false">
      <c r="A70" s="1" t="s">
        <v>376</v>
      </c>
    </row>
    <row r="71" customFormat="false" ht="15" hidden="false" customHeight="false" outlineLevel="0" collapsed="false">
      <c r="A71" s="2" t="s">
        <v>377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6" t="n">
        <f aca="false">B52</f>
        <v>2</v>
      </c>
      <c r="C74" s="26" t="n">
        <f aca="false">MAX(0,C52-B52)+B52*INDEX(parametros_recargas!$E$21:$L$21,MATCH(parametros_recargas!$B$56,parametros_recargas!$E$12:$L$12,0))</f>
        <v>5.16</v>
      </c>
      <c r="D74" s="26" t="n">
        <f aca="false">MAX(0,D52-C52)+C52*INDEX(parametros_recargas!$E$21:$L$21,MATCH(parametros_recargas!$B$56,parametros_recargas!$E$12:$L$12,0))</f>
        <v>7.56</v>
      </c>
      <c r="E74" s="26" t="n">
        <f aca="false">MAX(0,E52-D52)+D52*INDEX(parametros_recargas!$E$21:$L$21,MATCH(parametros_recargas!$B$56,parametros_recargas!$E$12:$L$12,0))</f>
        <v>13.12</v>
      </c>
      <c r="F74" s="26" t="n">
        <f aca="false">MAX(0,F52-E52)+E52*INDEX(parametros_recargas!$E$21:$L$21,MATCH(parametros_recargas!$B$56,parametros_recargas!$E$12:$L$12,0))</f>
        <v>13.08</v>
      </c>
      <c r="G74" s="26" t="n">
        <f aca="false">MAX(0,G52-F52)+F52*INDEX(parametros_recargas!$E$21:$L$21,MATCH(parametros_recargas!$B$56,parametros_recargas!$E$12:$L$12,0))</f>
        <v>14.96</v>
      </c>
      <c r="H74" s="26" t="n">
        <f aca="false">MAX(0,H52-G52)+G52*INDEX(parametros_recargas!$E$21:$L$21,MATCH(parametros_recargas!$B$56,parametros_recargas!$E$12:$L$12,0))</f>
        <v>13.92</v>
      </c>
      <c r="I74" s="26" t="n">
        <f aca="false">MAX(0,I52-H52)+H52*INDEX(parametros_recargas!$E$21:$L$21,MATCH(parametros_recargas!$B$56,parametros_recargas!$E$12:$L$12,0))</f>
        <v>10.72</v>
      </c>
      <c r="J74" s="26" t="n">
        <f aca="false">MAX(0,J52-I52)+I52*INDEX(parametros_recargas!$E$21:$L$21,MATCH(parametros_recargas!$B$56,parametros_recargas!$E$12:$L$12,0))</f>
        <v>10.2</v>
      </c>
      <c r="K74" s="26" t="n">
        <f aca="false">MAX(0,K52-J52)+J52*INDEX(parametros_recargas!$E$21:$L$21,MATCH(parametros_recargas!$B$56,parametros_recargas!$E$12:$L$12,0))</f>
        <v>11.6</v>
      </c>
    </row>
    <row r="75" customFormat="false" ht="15" hidden="false" customHeight="false" outlineLevel="0" collapsed="false">
      <c r="A75" s="6" t="str">
        <f aca="false">datos_base!A4</f>
        <v>ABC 5 kg</v>
      </c>
      <c r="B75" s="26" t="n">
        <f aca="false">B53</f>
        <v>9</v>
      </c>
      <c r="C75" s="26" t="n">
        <f aca="false">MAX(0,C53-B53)+B53*INDEX(parametros_recargas!$E$21:$L$21,MATCH(parametros_recargas!$B$57,parametros_recargas!$E$12:$L$12,0))</f>
        <v>27.72</v>
      </c>
      <c r="D75" s="26" t="n">
        <f aca="false">MAX(0,D53-C53)+C53*INDEX(parametros_recargas!$E$21:$L$21,MATCH(parametros_recargas!$B$57,parametros_recargas!$E$12:$L$12,0))</f>
        <v>47.88</v>
      </c>
      <c r="E75" s="26" t="n">
        <f aca="false">MAX(0,E53-D53)+D53*INDEX(parametros_recargas!$E$21:$L$21,MATCH(parametros_recargas!$B$57,parametros_recargas!$E$12:$L$12,0))</f>
        <v>78.48</v>
      </c>
      <c r="F75" s="26" t="n">
        <f aca="false">MAX(0,F53-E53)+E53*INDEX(parametros_recargas!$E$21:$L$21,MATCH(parametros_recargas!$B$57,parametros_recargas!$E$12:$L$12,0))</f>
        <v>80.24</v>
      </c>
      <c r="G75" s="26" t="n">
        <f aca="false">MAX(0,G53-F53)+F53*INDEX(parametros_recargas!$E$21:$L$21,MATCH(parametros_recargas!$B$57,parametros_recargas!$E$12:$L$12,0))</f>
        <v>89.68</v>
      </c>
      <c r="H75" s="26" t="n">
        <f aca="false">MAX(0,H53-G53)+G53*INDEX(parametros_recargas!$E$21:$L$21,MATCH(parametros_recargas!$B$57,parametros_recargas!$E$12:$L$12,0))</f>
        <v>77.44</v>
      </c>
      <c r="I75" s="26" t="n">
        <f aca="false">MAX(0,I53-H53)+H53*INDEX(parametros_recargas!$E$21:$L$21,MATCH(parametros_recargas!$B$57,parametros_recargas!$E$12:$L$12,0))</f>
        <v>65.76</v>
      </c>
      <c r="J75" s="26" t="n">
        <f aca="false">MAX(0,J53-I53)+I53*INDEX(parametros_recargas!$E$21:$L$21,MATCH(parametros_recargas!$B$57,parametros_recargas!$E$12:$L$12,0))</f>
        <v>60.8</v>
      </c>
      <c r="K75" s="26" t="n">
        <f aca="false">MAX(0,K53-J53)+J53*INDEX(parametros_recargas!$E$21:$L$21,MATCH(parametros_recargas!$B$57,parametros_recargas!$E$12:$L$12,0))</f>
        <v>64.2</v>
      </c>
    </row>
    <row r="76" customFormat="false" ht="15" hidden="false" customHeight="false" outlineLevel="0" collapsed="false">
      <c r="A76" s="6" t="str">
        <f aca="false">datos_base!A5</f>
        <v>ABC 10 kg</v>
      </c>
      <c r="B76" s="26" t="n">
        <f aca="false">B54</f>
        <v>1</v>
      </c>
      <c r="C76" s="26" t="n">
        <f aca="false">MAX(0,C54-B54)+B54*INDEX(parametros_recargas!$E$21:$L$21,MATCH(parametros_recargas!$B$58,parametros_recargas!$E$12:$L$12,0))</f>
        <v>2.08</v>
      </c>
      <c r="D76" s="26" t="n">
        <f aca="false">MAX(0,D54-C54)+C54*INDEX(parametros_recargas!$E$21:$L$21,MATCH(parametros_recargas!$B$58,parametros_recargas!$E$12:$L$12,0))</f>
        <v>3.24</v>
      </c>
      <c r="E76" s="26" t="n">
        <f aca="false">MAX(0,E54-D54)+D54*INDEX(parametros_recargas!$E$21:$L$21,MATCH(parametros_recargas!$B$58,parametros_recargas!$E$12:$L$12,0))</f>
        <v>4.48</v>
      </c>
      <c r="F76" s="26" t="n">
        <f aca="false">MAX(0,F54-E54)+E54*INDEX(parametros_recargas!$E$21:$L$21,MATCH(parametros_recargas!$B$58,parametros_recargas!$E$12:$L$12,0))</f>
        <v>4.8</v>
      </c>
      <c r="G76" s="26" t="n">
        <f aca="false">MAX(0,G54-F54)+F54*INDEX(parametros_recargas!$E$21:$L$21,MATCH(parametros_recargas!$B$58,parametros_recargas!$E$12:$L$12,0))</f>
        <v>6.12</v>
      </c>
      <c r="H76" s="26" t="n">
        <f aca="false">MAX(0,H54-G54)+G54*INDEX(parametros_recargas!$E$21:$L$21,MATCH(parametros_recargas!$B$58,parametros_recargas!$E$12:$L$12,0))</f>
        <v>4.52</v>
      </c>
      <c r="I76" s="26" t="n">
        <f aca="false">MAX(0,I54-H54)+H54*INDEX(parametros_recargas!$E$21:$L$21,MATCH(parametros_recargas!$B$58,parametros_recargas!$E$12:$L$12,0))</f>
        <v>3.76</v>
      </c>
      <c r="J76" s="26" t="n">
        <f aca="false">MAX(0,J54-I54)+I54*INDEX(parametros_recargas!$E$21:$L$21,MATCH(parametros_recargas!$B$58,parametros_recargas!$E$12:$L$12,0))</f>
        <v>3.92</v>
      </c>
      <c r="K76" s="26" t="n">
        <f aca="false">MAX(0,K54-J54)+J54*INDEX(parametros_recargas!$E$21:$L$21,MATCH(parametros_recargas!$B$58,parametros_recargas!$E$12:$L$12,0))</f>
        <v>4.08</v>
      </c>
    </row>
    <row r="77" customFormat="false" ht="15" hidden="false" customHeight="false" outlineLevel="0" collapsed="false">
      <c r="A77" s="6" t="str">
        <f aca="false">datos_base!A6</f>
        <v>Agua 10 l</v>
      </c>
      <c r="B77" s="26" t="n">
        <f aca="false">B55</f>
        <v>1</v>
      </c>
      <c r="C77" s="26" t="n">
        <f aca="false">MAX(0,C55-B55)+B55*INDEX(parametros_recargas!$E$21:$L$21,MATCH(parametros_recargas!$B$59,parametros_recargas!$E$12:$L$12,0))</f>
        <v>3.08</v>
      </c>
      <c r="D77" s="26" t="n">
        <f aca="false">MAX(0,D55-C55)+C55*INDEX(parametros_recargas!$E$21:$L$21,MATCH(parametros_recargas!$B$59,parametros_recargas!$E$12:$L$12,0))</f>
        <v>4.32</v>
      </c>
      <c r="E77" s="26" t="n">
        <f aca="false">MAX(0,E55-D55)+D55*INDEX(parametros_recargas!$E$21:$L$21,MATCH(parametros_recargas!$B$59,parametros_recargas!$E$12:$L$12,0))</f>
        <v>6.64</v>
      </c>
      <c r="F77" s="26" t="n">
        <f aca="false">MAX(0,F55-E55)+E55*INDEX(parametros_recargas!$E$21:$L$21,MATCH(parametros_recargas!$B$59,parametros_recargas!$E$12:$L$12,0))</f>
        <v>7.12</v>
      </c>
      <c r="G77" s="26" t="n">
        <f aca="false">MAX(0,G55-F55)+F55*INDEX(parametros_recargas!$E$21:$L$21,MATCH(parametros_recargas!$B$59,parametros_recargas!$E$12:$L$12,0))</f>
        <v>7.6</v>
      </c>
      <c r="H77" s="26" t="n">
        <f aca="false">MAX(0,H55-G55)+G55*INDEX(parametros_recargas!$E$21:$L$21,MATCH(parametros_recargas!$B$59,parametros_recargas!$E$12:$L$12,0))</f>
        <v>6.08</v>
      </c>
      <c r="I77" s="26" t="n">
        <f aca="false">MAX(0,I55-H55)+H55*INDEX(parametros_recargas!$E$21:$L$21,MATCH(parametros_recargas!$B$59,parametros_recargas!$E$12:$L$12,0))</f>
        <v>5.4</v>
      </c>
      <c r="J77" s="26" t="n">
        <f aca="false">MAX(0,J55-I55)+I55*INDEX(parametros_recargas!$E$21:$L$21,MATCH(parametros_recargas!$B$59,parametros_recargas!$E$12:$L$12,0))</f>
        <v>5.64</v>
      </c>
      <c r="K77" s="26" t="n">
        <f aca="false">MAX(0,K55-J55)+J55*INDEX(parametros_recargas!$E$21:$L$21,MATCH(parametros_recargas!$B$59,parametros_recargas!$E$12:$L$12,0))</f>
        <v>5.88</v>
      </c>
    </row>
    <row r="78" customFormat="false" ht="15" hidden="false" customHeight="false" outlineLevel="0" collapsed="false">
      <c r="A78" s="6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0.08</v>
      </c>
      <c r="D78" s="26" t="n">
        <f aca="false">MAX(0,D56-C56)+C56*INDEX(parametros_recargas!$E$21:$L$21,MATCH(parametros_recargas!$B$60,parametros_recargas!$E$12:$L$12,0))</f>
        <v>1.08</v>
      </c>
      <c r="E78" s="26" t="n">
        <f aca="false">MAX(0,E56-D56)+D56*INDEX(parametros_recargas!$E$21:$L$21,MATCH(parametros_recargas!$B$60,parametros_recargas!$E$12:$L$12,0))</f>
        <v>0.16</v>
      </c>
      <c r="F78" s="26" t="n">
        <f aca="false">MAX(0,F56-E56)+E56*INDEX(parametros_recargas!$E$21:$L$21,MATCH(parametros_recargas!$B$60,parametros_recargas!$E$12:$L$12,0))</f>
        <v>1.16</v>
      </c>
      <c r="G78" s="26" t="n">
        <f aca="false">MAX(0,G56-F56)+F56*INDEX(parametros_recargas!$E$21:$L$21,MATCH(parametros_recargas!$B$60,parametros_recargas!$E$12:$L$12,0))</f>
        <v>1.24</v>
      </c>
      <c r="H78" s="26" t="n">
        <f aca="false">MAX(0,H56-G56)+G56*INDEX(parametros_recargas!$E$21:$L$21,MATCH(parametros_recargas!$B$60,parametros_recargas!$E$12:$L$12,0))</f>
        <v>1.32</v>
      </c>
      <c r="I78" s="26" t="n">
        <f aca="false">MAX(0,I56-H56)+H56*INDEX(parametros_recargas!$E$21:$L$21,MATCH(parametros_recargas!$B$60,parametros_recargas!$E$12:$L$12,0))</f>
        <v>0.4</v>
      </c>
      <c r="J78" s="26" t="n">
        <f aca="false">MAX(0,J56-I56)+I56*INDEX(parametros_recargas!$E$21:$L$21,MATCH(parametros_recargas!$B$60,parametros_recargas!$E$12:$L$12,0))</f>
        <v>1.4</v>
      </c>
      <c r="K78" s="26" t="n">
        <f aca="false">MAX(0,K56-J56)+J56*INDEX(parametros_recargas!$E$21:$L$21,MATCH(parametros_recargas!$B$60,parametros_recargas!$E$12:$L$12,0))</f>
        <v>0.48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0.08</v>
      </c>
      <c r="E79" s="26" t="n">
        <f aca="false">MAX(0,E57-D57)+D57*INDEX(parametros_recargas!$E$21:$L$21,MATCH(parametros_recargas!$B$61,parametros_recargas!$E$12:$L$12,0))</f>
        <v>1.08</v>
      </c>
      <c r="F79" s="26" t="n">
        <f aca="false">MAX(0,F57-E57)+E57*INDEX(parametros_recargas!$E$21:$L$21,MATCH(parametros_recargas!$B$61,parametros_recargas!$E$12:$L$12,0))</f>
        <v>0.16</v>
      </c>
      <c r="G79" s="26" t="n">
        <f aca="false">MAX(0,G57-F57)+F57*INDEX(parametros_recargas!$E$21:$L$21,MATCH(parametros_recargas!$B$61,parametros_recargas!$E$12:$L$12,0))</f>
        <v>0.16</v>
      </c>
      <c r="H79" s="26" t="n">
        <f aca="false">MAX(0,H57-G57)+G57*INDEX(parametros_recargas!$E$21:$L$21,MATCH(parametros_recargas!$B$61,parametros_recargas!$E$12:$L$12,0))</f>
        <v>1.16</v>
      </c>
      <c r="I79" s="26" t="n">
        <f aca="false">MAX(0,I57-H57)+H57*INDEX(parametros_recargas!$E$21:$L$21,MATCH(parametros_recargas!$B$61,parametros_recargas!$E$12:$L$12,0))</f>
        <v>0.24</v>
      </c>
      <c r="J79" s="26" t="n">
        <f aca="false">MAX(0,J57-I57)+I57*INDEX(parametros_recargas!$E$21:$L$21,MATCH(parametros_recargas!$B$61,parametros_recargas!$E$12:$L$12,0))</f>
        <v>0.24</v>
      </c>
      <c r="K79" s="26" t="n">
        <f aca="false">MAX(0,K57-J57)+J57*INDEX(parametros_recargas!$E$21:$L$21,MATCH(parametros_recargas!$B$61,parametros_recargas!$E$12:$L$12,0))</f>
        <v>1.24</v>
      </c>
    </row>
    <row r="80" customFormat="false" ht="15" hidden="false" customHeight="false" outlineLevel="0" collapsed="false">
      <c r="A80" s="6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0.08</v>
      </c>
      <c r="F80" s="26" t="n">
        <f aca="false">MAX(0,F58-E58)+E58*INDEX(parametros_recargas!$E$21:$L$21,MATCH(parametros_recargas!$B$62,parametros_recargas!$E$12:$L$12,0))</f>
        <v>0.08</v>
      </c>
      <c r="G80" s="26" t="n">
        <f aca="false">MAX(0,G58-F58)+F58*INDEX(parametros_recargas!$E$21:$L$21,MATCH(parametros_recargas!$B$62,parametros_recargas!$E$12:$L$12,0))</f>
        <v>1.08</v>
      </c>
      <c r="H80" s="26" t="n">
        <f aca="false">MAX(0,H58-G58)+G58*INDEX(parametros_recargas!$E$21:$L$21,MATCH(parametros_recargas!$B$62,parametros_recargas!$E$12:$L$12,0))</f>
        <v>0.16</v>
      </c>
      <c r="I80" s="26" t="n">
        <f aca="false">MAX(0,I58-H58)+H58*INDEX(parametros_recargas!$E$21:$L$21,MATCH(parametros_recargas!$B$62,parametros_recargas!$E$12:$L$12,0))</f>
        <v>0.16</v>
      </c>
      <c r="J80" s="26" t="n">
        <f aca="false">MAX(0,J58-I58)+I58*INDEX(parametros_recargas!$E$21:$L$21,MATCH(parametros_recargas!$B$62,parametros_recargas!$E$12:$L$12,0))</f>
        <v>0.16</v>
      </c>
      <c r="K80" s="26" t="n">
        <f aca="false">MAX(0,K58-J58)+J58*INDEX(parametros_recargas!$E$21:$L$21,MATCH(parametros_recargas!$B$62,parametros_recargas!$E$12:$L$12,0))</f>
        <v>0.16</v>
      </c>
    </row>
    <row r="81" customFormat="false" ht="15" hidden="false" customHeight="false" outlineLevel="0" collapsed="false">
      <c r="A81" s="6" t="str">
        <f aca="false">datos_base!A10</f>
        <v>Sales K 6 l</v>
      </c>
      <c r="B81" s="26" t="n">
        <f aca="false">B59</f>
        <v>1</v>
      </c>
      <c r="C81" s="26" t="n">
        <f aca="false">MAX(0,C59-B59)+B59*INDEX(parametros_recargas!$E$21:$L$21,MATCH(parametros_recargas!$B$63,parametros_recargas!$E$12:$L$12,0))</f>
        <v>1.08</v>
      </c>
      <c r="D81" s="26" t="n">
        <f aca="false">MAX(0,D59-C59)+C59*INDEX(parametros_recargas!$E$21:$L$21,MATCH(parametros_recargas!$B$63,parametros_recargas!$E$12:$L$12,0))</f>
        <v>2.16</v>
      </c>
      <c r="E81" s="26" t="n">
        <f aca="false">MAX(0,E59-D59)+D59*INDEX(parametros_recargas!$E$21:$L$21,MATCH(parametros_recargas!$B$63,parametros_recargas!$E$12:$L$12,0))</f>
        <v>3.32</v>
      </c>
      <c r="F81" s="26" t="n">
        <f aca="false">MAX(0,F59-E59)+E59*INDEX(parametros_recargas!$E$21:$L$21,MATCH(parametros_recargas!$B$63,parametros_recargas!$E$12:$L$12,0))</f>
        <v>2.56</v>
      </c>
      <c r="G81" s="26" t="n">
        <f aca="false">MAX(0,G59-F59)+F59*INDEX(parametros_recargas!$E$21:$L$21,MATCH(parametros_recargas!$B$63,parametros_recargas!$E$12:$L$12,0))</f>
        <v>3.72</v>
      </c>
      <c r="H81" s="26" t="n">
        <f aca="false">MAX(0,H59-G59)+G59*INDEX(parametros_recargas!$E$21:$L$21,MATCH(parametros_recargas!$B$63,parametros_recargas!$E$12:$L$12,0))</f>
        <v>2.96</v>
      </c>
      <c r="I81" s="26" t="n">
        <f aca="false">MAX(0,I59-H59)+H59*INDEX(parametros_recargas!$E$21:$L$21,MATCH(parametros_recargas!$B$63,parametros_recargas!$E$12:$L$12,0))</f>
        <v>3.12</v>
      </c>
      <c r="J81" s="26" t="n">
        <f aca="false">MAX(0,J59-I59)+I59*INDEX(parametros_recargas!$E$21:$L$21,MATCH(parametros_recargas!$B$63,parametros_recargas!$E$12:$L$12,0))</f>
        <v>2.28</v>
      </c>
      <c r="K81" s="26" t="n">
        <f aca="false">MAX(0,K59-J59)+J59*INDEX(parametros_recargas!$E$21:$L$21,MATCH(parametros_recargas!$B$63,parametros_recargas!$E$12:$L$12,0))</f>
        <v>3.36</v>
      </c>
    </row>
    <row r="82" customFormat="false" ht="15" hidden="false" customHeight="false" outlineLevel="0" collapsed="false">
      <c r="A82" s="6" t="str">
        <f aca="false">datos_base!A11</f>
        <v>CO₂ 2 kg</v>
      </c>
      <c r="B82" s="26" t="n">
        <f aca="false">B60</f>
        <v>3</v>
      </c>
      <c r="C82" s="26" t="n">
        <f aca="false">MAX(0,C60-B60)+B60*INDEX(parametros_recargas!$E$21:$L$21,MATCH(parametros_recargas!$B$64,parametros_recargas!$E$12:$L$12,0))</f>
        <v>5.19</v>
      </c>
      <c r="D82" s="26" t="n">
        <f aca="false">MAX(0,D60-C60)+C60*INDEX(parametros_recargas!$E$21:$L$21,MATCH(parametros_recargas!$B$64,parametros_recargas!$E$12:$L$12,0))</f>
        <v>11.5066666666667</v>
      </c>
      <c r="E82" s="26" t="n">
        <f aca="false">MAX(0,E60-D60)+D60*INDEX(parametros_recargas!$E$21:$L$21,MATCH(parametros_recargas!$B$64,parametros_recargas!$E$12:$L$12,0))</f>
        <v>18.2033333333333</v>
      </c>
      <c r="F82" s="26" t="n">
        <f aca="false">MAX(0,F60-E60)+E60*INDEX(parametros_recargas!$E$21:$L$21,MATCH(parametros_recargas!$B$64,parametros_recargas!$E$12:$L$12,0))</f>
        <v>18.28</v>
      </c>
      <c r="G82" s="26" t="n">
        <f aca="false">MAX(0,G60-F60)+F60*INDEX(parametros_recargas!$E$21:$L$21,MATCH(parametros_recargas!$B$64,parametros_recargas!$E$12:$L$12,0))</f>
        <v>19.2933333333333</v>
      </c>
      <c r="H82" s="26" t="n">
        <f aca="false">MAX(0,H60-G60)+G60*INDEX(parametros_recargas!$E$21:$L$21,MATCH(parametros_recargas!$B$64,parametros_recargas!$E$12:$L$12,0))</f>
        <v>17.3066666666667</v>
      </c>
      <c r="I82" s="26" t="n">
        <f aca="false">MAX(0,I60-H60)+H60*INDEX(parametros_recargas!$E$21:$L$21,MATCH(parametros_recargas!$B$64,parametros_recargas!$E$12:$L$12,0))</f>
        <v>13.13</v>
      </c>
      <c r="J82" s="26" t="n">
        <f aca="false">MAX(0,J60-I60)+I60*INDEX(parametros_recargas!$E$21:$L$21,MATCH(parametros_recargas!$B$64,parametros_recargas!$E$12:$L$12,0))</f>
        <v>12.6366666666667</v>
      </c>
      <c r="K82" s="26" t="n">
        <f aca="false">MAX(0,K60-J60)+J60*INDEX(parametros_recargas!$E$21:$L$21,MATCH(parametros_recargas!$B$64,parametros_recargas!$E$12:$L$12,0))</f>
        <v>13.08</v>
      </c>
    </row>
    <row r="83" customFormat="false" ht="15" hidden="false" customHeight="false" outlineLevel="0" collapsed="false">
      <c r="A83" s="6" t="str">
        <f aca="false">datos_base!A12</f>
        <v>CO₂ 5 kg</v>
      </c>
      <c r="B83" s="26" t="n">
        <f aca="false">B61</f>
        <v>1</v>
      </c>
      <c r="C83" s="26" t="n">
        <f aca="false">MAX(0,C61-B61)+B61*INDEX(parametros_recargas!$E$21:$L$21,MATCH(parametros_recargas!$B$65,parametros_recargas!$E$12:$L$12,0))</f>
        <v>3.06333333333333</v>
      </c>
      <c r="D83" s="26" t="n">
        <f aca="false">MAX(0,D61-C61)+C61*INDEX(parametros_recargas!$E$21:$L$21,MATCH(parametros_recargas!$B$65,parametros_recargas!$E$12:$L$12,0))</f>
        <v>3.25333333333333</v>
      </c>
      <c r="E83" s="26" t="n">
        <f aca="false">MAX(0,E61-D61)+D61*INDEX(parametros_recargas!$E$21:$L$21,MATCH(parametros_recargas!$B$65,parametros_recargas!$E$12:$L$12,0))</f>
        <v>5.44333333333333</v>
      </c>
      <c r="F83" s="26" t="n">
        <f aca="false">MAX(0,F61-E61)+E61*INDEX(parametros_recargas!$E$21:$L$21,MATCH(parametros_recargas!$B$65,parametros_recargas!$E$12:$L$12,0))</f>
        <v>6.76</v>
      </c>
      <c r="G83" s="26" t="n">
        <f aca="false">MAX(0,G61-F61)+F61*INDEX(parametros_recargas!$E$21:$L$21,MATCH(parametros_recargas!$B$65,parametros_recargas!$E$12:$L$12,0))</f>
        <v>6.14</v>
      </c>
      <c r="H83" s="26" t="n">
        <f aca="false">MAX(0,H61-G61)+G61*INDEX(parametros_recargas!$E$21:$L$21,MATCH(parametros_recargas!$B$65,parametros_recargas!$E$12:$L$12,0))</f>
        <v>4.45666666666667</v>
      </c>
      <c r="I83" s="26" t="n">
        <f aca="false">MAX(0,I61-H61)+H61*INDEX(parametros_recargas!$E$21:$L$21,MATCH(parametros_recargas!$B$65,parametros_recargas!$E$12:$L$12,0))</f>
        <v>4.64666666666667</v>
      </c>
      <c r="J83" s="26" t="n">
        <f aca="false">MAX(0,J61-I61)+I61*INDEX(parametros_recargas!$E$21:$L$21,MATCH(parametros_recargas!$B$65,parametros_recargas!$E$12:$L$12,0))</f>
        <v>3.83666666666667</v>
      </c>
      <c r="K83" s="26" t="n">
        <f aca="false">MAX(0,K61-J61)+J61*INDEX(parametros_recargas!$E$21:$L$21,MATCH(parametros_recargas!$B$65,parametros_recargas!$E$12:$L$12,0))</f>
        <v>4.96333333333333</v>
      </c>
    </row>
    <row r="84" customFormat="false" ht="15" hidden="false" customHeight="false" outlineLevel="0" collapsed="false">
      <c r="A84" s="6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1.16</v>
      </c>
      <c r="F84" s="26" t="n">
        <f aca="false">MAX(0,F62-E62)+E62*INDEX(parametros_recargas!$E$21:$L$21,MATCH(parametros_recargas!$B$66,parametros_recargas!$E$12:$L$12,0))</f>
        <v>0.24</v>
      </c>
      <c r="G84" s="26" t="n">
        <f aca="false">MAX(0,G62-F62)+F62*INDEX(parametros_recargas!$E$21:$L$21,MATCH(parametros_recargas!$B$66,parametros_recargas!$E$12:$L$12,0))</f>
        <v>1.24</v>
      </c>
      <c r="H84" s="26" t="n">
        <f aca="false">MAX(0,H62-G62)+G62*INDEX(parametros_recargas!$E$21:$L$21,MATCH(parametros_recargas!$B$66,parametros_recargas!$E$12:$L$12,0))</f>
        <v>1.32</v>
      </c>
      <c r="I84" s="26" t="n">
        <f aca="false">MAX(0,I62-H62)+H62*INDEX(parametros_recargas!$E$21:$L$21,MATCH(parametros_recargas!$B$66,parametros_recargas!$E$12:$L$12,0))</f>
        <v>0.4</v>
      </c>
      <c r="J84" s="26" t="n">
        <f aca="false">MAX(0,J62-I62)+I62*INDEX(parametros_recargas!$E$21:$L$21,MATCH(parametros_recargas!$B$66,parametros_recargas!$E$12:$L$12,0))</f>
        <v>1.4</v>
      </c>
      <c r="K84" s="26" t="n">
        <f aca="false">MAX(0,K62-J62)+J62*INDEX(parametros_recargas!$E$21:$L$21,MATCH(parametros_recargas!$B$66,parametros_recargas!$E$12:$L$12,0))</f>
        <v>0.48</v>
      </c>
    </row>
    <row r="85" customFormat="false" ht="15" hidden="false" customHeight="false" outlineLevel="0" collapsed="false">
      <c r="A85" s="6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0.08</v>
      </c>
      <c r="F85" s="26" t="n">
        <f aca="false">MAX(0,F63-E63)+E63*INDEX(parametros_recargas!$E$21:$L$21,MATCH(parametros_recargas!$B$67,parametros_recargas!$E$12:$L$12,0))</f>
        <v>0.08</v>
      </c>
      <c r="G85" s="26" t="n">
        <f aca="false">MAX(0,G63-F63)+F63*INDEX(parametros_recargas!$E$21:$L$21,MATCH(parametros_recargas!$B$67,parametros_recargas!$E$12:$L$12,0))</f>
        <v>0.08</v>
      </c>
      <c r="H85" s="26" t="n">
        <f aca="false">MAX(0,H63-G63)+G63*INDEX(parametros_recargas!$E$21:$L$21,MATCH(parametros_recargas!$B$67,parametros_recargas!$E$12:$L$12,0))</f>
        <v>1.08</v>
      </c>
      <c r="I85" s="26" t="n">
        <f aca="false">MAX(0,I63-H63)+H63*INDEX(parametros_recargas!$E$21:$L$21,MATCH(parametros_recargas!$B$67,parametros_recargas!$E$12:$L$12,0))</f>
        <v>0.16</v>
      </c>
      <c r="J85" s="26" t="n">
        <f aca="false">MAX(0,J63-I63)+I63*INDEX(parametros_recargas!$E$21:$L$21,MATCH(parametros_recargas!$B$67,parametros_recargas!$E$12:$L$12,0))</f>
        <v>0.16</v>
      </c>
      <c r="K85" s="26" t="n">
        <f aca="false">MAX(0,K63-J63)+J63*INDEX(parametros_recargas!$E$21:$L$21,MATCH(parametros_recargas!$B$67,parametros_recargas!$E$12:$L$12,0))</f>
        <v>0.16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0.08</v>
      </c>
      <c r="E86" s="26" t="n">
        <f aca="false">MAX(0,E64-D64)+D64*INDEX(parametros_recargas!$E$21:$L$21,MATCH(parametros_recargas!$B$68,parametros_recargas!$E$12:$L$12,0))</f>
        <v>1.08</v>
      </c>
      <c r="F86" s="26" t="n">
        <f aca="false">MAX(0,F64-E64)+E64*INDEX(parametros_recargas!$E$21:$L$21,MATCH(parametros_recargas!$B$68,parametros_recargas!$E$12:$L$12,0))</f>
        <v>1.16</v>
      </c>
      <c r="G86" s="26" t="n">
        <f aca="false">MAX(0,G64-F64)+F64*INDEX(parametros_recargas!$E$21:$L$21,MATCH(parametros_recargas!$B$68,parametros_recargas!$E$12:$L$12,0))</f>
        <v>1.24</v>
      </c>
      <c r="H86" s="26" t="n">
        <f aca="false">MAX(0,H64-G64)+G64*INDEX(parametros_recargas!$E$21:$L$21,MATCH(parametros_recargas!$B$68,parametros_recargas!$E$12:$L$12,0))</f>
        <v>0.32</v>
      </c>
      <c r="I86" s="26" t="n">
        <f aca="false">MAX(0,I64-H64)+H64*INDEX(parametros_recargas!$E$21:$L$21,MATCH(parametros_recargas!$B$68,parametros_recargas!$E$12:$L$12,0))</f>
        <v>0.32</v>
      </c>
      <c r="J86" s="26" t="n">
        <f aca="false">MAX(0,J64-I64)+I64*INDEX(parametros_recargas!$E$21:$L$21,MATCH(parametros_recargas!$B$68,parametros_recargas!$E$12:$L$12,0))</f>
        <v>1.32</v>
      </c>
      <c r="K86" s="26" t="n">
        <f aca="false">MAX(0,K64-J64)+J64*INDEX(parametros_recargas!$E$21:$L$21,MATCH(parametros_recargas!$B$68,parametros_recargas!$E$12:$L$12,0))</f>
        <v>0.4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0.08</v>
      </c>
      <c r="D87" s="26" t="n">
        <f aca="false">MAX(0,D65-C65)+C65*INDEX(parametros_recargas!$E$21:$L$21,MATCH(parametros_recargas!$B$69,parametros_recargas!$E$12:$L$12,0))</f>
        <v>1.08</v>
      </c>
      <c r="E87" s="26" t="n">
        <f aca="false">MAX(0,E65-D65)+D65*INDEX(parametros_recargas!$E$21:$L$21,MATCH(parametros_recargas!$B$69,parametros_recargas!$E$12:$L$12,0))</f>
        <v>2.16</v>
      </c>
      <c r="F87" s="26" t="n">
        <f aca="false">MAX(0,F65-E65)+E65*INDEX(parametros_recargas!$E$21:$L$21,MATCH(parametros_recargas!$B$69,parametros_recargas!$E$12:$L$12,0))</f>
        <v>2.32</v>
      </c>
      <c r="G87" s="26" t="n">
        <f aca="false">MAX(0,G65-F65)+F65*INDEX(parametros_recargas!$E$21:$L$21,MATCH(parametros_recargas!$B$69,parametros_recargas!$E$12:$L$12,0))</f>
        <v>1.48</v>
      </c>
      <c r="H87" s="26" t="n">
        <f aca="false">MAX(0,H65-G65)+G65*INDEX(parametros_recargas!$E$21:$L$21,MATCH(parametros_recargas!$B$69,parametros_recargas!$E$12:$L$12,0))</f>
        <v>1.56</v>
      </c>
      <c r="I87" s="26" t="n">
        <f aca="false">MAX(0,I65-H65)+H65*INDEX(parametros_recargas!$E$21:$L$21,MATCH(parametros_recargas!$B$69,parametros_recargas!$E$12:$L$12,0))</f>
        <v>1.64</v>
      </c>
      <c r="J87" s="26" t="n">
        <f aca="false">MAX(0,J65-I65)+I65*INDEX(parametros_recargas!$E$21:$L$21,MATCH(parametros_recargas!$B$69,parametros_recargas!$E$12:$L$12,0))</f>
        <v>1.72</v>
      </c>
      <c r="K87" s="26" t="n">
        <f aca="false">MAX(0,K65-J65)+J65*INDEX(parametros_recargas!$E$21:$L$21,MATCH(parametros_recargas!$B$69,parametros_recargas!$E$12:$L$12,0))</f>
        <v>0.8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0.08</v>
      </c>
      <c r="F88" s="26" t="n">
        <f aca="false">MAX(0,F66-E66)+E66*INDEX(parametros_recargas!$E$21:$L$21,MATCH(parametros_recargas!$B$70,parametros_recargas!$E$12:$L$12,0))</f>
        <v>1.08</v>
      </c>
      <c r="G88" s="26" t="n">
        <f aca="false">MAX(0,G66-F66)+F66*INDEX(parametros_recargas!$E$21:$L$21,MATCH(parametros_recargas!$B$70,parametros_recargas!$E$12:$L$12,0))</f>
        <v>0.16</v>
      </c>
      <c r="H88" s="26" t="n">
        <f aca="false">MAX(0,H66-G66)+G66*INDEX(parametros_recargas!$E$21:$L$21,MATCH(parametros_recargas!$B$70,parametros_recargas!$E$12:$L$12,0))</f>
        <v>0.16</v>
      </c>
      <c r="I88" s="26" t="n">
        <f aca="false">MAX(0,I66-H66)+H66*INDEX(parametros_recargas!$E$21:$L$21,MATCH(parametros_recargas!$B$70,parametros_recargas!$E$12:$L$12,0))</f>
        <v>0.16</v>
      </c>
      <c r="J88" s="26" t="n">
        <f aca="false">MAX(0,J66-I66)+I66*INDEX(parametros_recargas!$E$21:$L$21,MATCH(parametros_recargas!$B$70,parametros_recargas!$E$12:$L$12,0))</f>
        <v>1.16</v>
      </c>
      <c r="K88" s="26" t="n">
        <f aca="false">MAX(0,K66-J66)+J66*INDEX(parametros_recargas!$E$21:$L$21,MATCH(parametros_recargas!$B$70,parametros_recargas!$E$12:$L$12,0))</f>
        <v>0.24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0.08</v>
      </c>
      <c r="G89" s="26" t="n">
        <f aca="false">MAX(0,G67-F67)+F67*INDEX(parametros_recargas!$E$21:$L$21,MATCH(parametros_recargas!$B$71,parametros_recargas!$E$12:$L$12,0))</f>
        <v>0.08</v>
      </c>
      <c r="H89" s="26" t="n">
        <f aca="false">MAX(0,H67-G67)+G67*INDEX(parametros_recargas!$E$21:$L$21,MATCH(parametros_recargas!$B$71,parametros_recargas!$E$12:$L$12,0))</f>
        <v>1.08</v>
      </c>
      <c r="I89" s="26" t="n">
        <f aca="false">MAX(0,I67-H67)+H67*INDEX(parametros_recargas!$E$21:$L$21,MATCH(parametros_recargas!$B$71,parametros_recargas!$E$12:$L$12,0))</f>
        <v>0.16</v>
      </c>
      <c r="J89" s="26" t="n">
        <f aca="false">MAX(0,J67-I67)+I67*INDEX(parametros_recargas!$E$21:$L$21,MATCH(parametros_recargas!$B$71,parametros_recargas!$E$12:$L$12,0))</f>
        <v>0.16</v>
      </c>
      <c r="K89" s="26" t="n">
        <f aca="false">MAX(0,K67-J67)+J67*INDEX(parametros_recargas!$E$21:$L$21,MATCH(parametros_recargas!$B$71,parametros_recargas!$E$12:$L$12,0))</f>
        <v>0.16</v>
      </c>
    </row>
    <row r="90" customFormat="false" ht="15" hidden="false" customHeight="false" outlineLevel="0" collapsed="false">
      <c r="A90" s="4" t="s">
        <v>378</v>
      </c>
      <c r="B90" s="27" t="n">
        <f aca="false">SUMIF($F$30:$F$46,"Fábrica: cilindro vacío",B73:B89)</f>
        <v>0</v>
      </c>
      <c r="C90" s="27" t="n">
        <f aca="false">SUMIF($F$30:$F$46,"Fábrica: cilindro vacío",C73:C89)</f>
        <v>0</v>
      </c>
      <c r="D90" s="27" t="n">
        <f aca="false">SUMIF($F$30:$F$46,"Fábrica: cilindro vacío",D73:D89)</f>
        <v>0</v>
      </c>
      <c r="E90" s="27" t="n">
        <f aca="false">SUMIF($F$30:$F$46,"Fábrica: cilindro vacío",E73:E89)</f>
        <v>0</v>
      </c>
      <c r="F90" s="27" t="n">
        <f aca="false">SUMIF($F$30:$F$46,"Fábrica: cilindro vacío",F73:F89)</f>
        <v>0</v>
      </c>
      <c r="G90" s="27" t="n">
        <f aca="false">SUMIF($F$30:$F$46,"Fábrica: cilindro vacío",G73:G89)</f>
        <v>0</v>
      </c>
      <c r="H90" s="27" t="n">
        <f aca="false">SUMIF($F$30:$F$46,"Fábrica: cilindro vacío",H73:H89)</f>
        <v>0</v>
      </c>
      <c r="I90" s="27" t="n">
        <f aca="false">SUMIF($F$30:$F$46,"Fábrica: cilindro vacío",I73:I89)</f>
        <v>0</v>
      </c>
      <c r="J90" s="27" t="n">
        <f aca="false">SUMIF($F$30:$F$46,"Fábrica: cilindro vacío",J73:J89)</f>
        <v>0</v>
      </c>
      <c r="K90" s="27" t="n">
        <f aca="false">SUMIF($F$30:$F$46,"Fábrica: cilindro vacío",K73:K89)</f>
        <v>0</v>
      </c>
    </row>
    <row r="91" customFormat="false" ht="15" hidden="false" customHeight="false" outlineLevel="0" collapsed="false">
      <c r="A91" s="4" t="s">
        <v>379</v>
      </c>
      <c r="B91" s="27" t="n">
        <f aca="false">SUMIF($F$30:$F$46,"Fábrica: terminado",B73:B89)</f>
        <v>16</v>
      </c>
      <c r="C91" s="27" t="n">
        <f aca="false">SUMIF($F$30:$F$46,"Fábrica: terminado",C73:C89)</f>
        <v>35.28</v>
      </c>
      <c r="D91" s="27" t="n">
        <f aca="false">SUMIF($F$30:$F$46,"Fábrica: terminado",D73:D89)</f>
        <v>60</v>
      </c>
      <c r="E91" s="27" t="n">
        <f aca="false">SUMIF($F$30:$F$46,"Fábrica: terminado",E73:E89)</f>
        <v>99.48</v>
      </c>
      <c r="F91" s="27" t="n">
        <f aca="false">SUMIF($F$30:$F$46,"Fábrica: terminado",F73:F89)</f>
        <v>102.76</v>
      </c>
      <c r="G91" s="27" t="n">
        <f aca="false">SUMIF($F$30:$F$46,"Fábrica: terminado",G73:G89)</f>
        <v>113.72</v>
      </c>
      <c r="H91" s="27" t="n">
        <f aca="false">SUMIF($F$30:$F$46,"Fábrica: terminado",H73:H89)</f>
        <v>99</v>
      </c>
      <c r="I91" s="27" t="n">
        <f aca="false">SUMIF($F$30:$F$46,"Fábrica: terminado",I73:I89)</f>
        <v>82.52</v>
      </c>
      <c r="J91" s="27" t="n">
        <f aca="false">SUMIF($F$30:$F$46,"Fábrica: terminado",J73:J89)</f>
        <v>79.28</v>
      </c>
      <c r="K91" s="27" t="n">
        <f aca="false">SUMIF($F$30:$F$46,"Fábrica: terminado",K73:K89)</f>
        <v>81.48</v>
      </c>
    </row>
    <row r="92" customFormat="false" ht="15" hidden="false" customHeight="false" outlineLevel="0" collapsed="false">
      <c r="A92" s="4" t="s">
        <v>380</v>
      </c>
      <c r="B92" s="27" t="n">
        <f aca="false">SUMIF($F$30:$F$46,"Compra",B73:B89)</f>
        <v>11</v>
      </c>
      <c r="C92" s="27" t="n">
        <f aca="false">SUMIF($F$30:$F$46,"Compra",C73:C89)</f>
        <v>12.8133333333333</v>
      </c>
      <c r="D92" s="27" t="n">
        <f aca="false">SUMIF($F$30:$F$46,"Compra",D73:D89)</f>
        <v>23.64</v>
      </c>
      <c r="E92" s="27" t="n">
        <f aca="false">SUMIF($F$30:$F$46,"Compra",E73:E89)</f>
        <v>36.1666666666667</v>
      </c>
      <c r="F92" s="27" t="n">
        <f aca="false">SUMIF($F$30:$F$46,"Compra",F73:F89)</f>
        <v>36.44</v>
      </c>
      <c r="G92" s="27" t="n">
        <f aca="false">SUMIF($F$30:$F$46,"Compra",G73:G89)</f>
        <v>40.5533333333333</v>
      </c>
      <c r="H92" s="27" t="n">
        <f aca="false">SUMIF($F$30:$F$46,"Compra",H73:H89)</f>
        <v>35.8433333333333</v>
      </c>
      <c r="I92" s="27" t="n">
        <f aca="false">SUMIF($F$30:$F$46,"Compra",I73:I89)</f>
        <v>27.6566666666667</v>
      </c>
      <c r="J92" s="27" t="n">
        <f aca="false">SUMIF($F$30:$F$46,"Compra",J73:J89)</f>
        <v>27.7533333333333</v>
      </c>
      <c r="K92" s="27" t="n">
        <f aca="false">SUMIF($F$30:$F$46,"Compra",K73:K89)</f>
        <v>29.8033333333333</v>
      </c>
    </row>
    <row r="93" customFormat="false" ht="15" hidden="false" customHeight="false" outlineLevel="0" collapsed="false">
      <c r="A93" s="4" t="s">
        <v>381</v>
      </c>
      <c r="B93" s="27" t="n">
        <f aca="false">SUM(B73:B89)</f>
        <v>27</v>
      </c>
      <c r="C93" s="27" t="n">
        <f aca="false">SUM(C73:C89)</f>
        <v>48.0933333333333</v>
      </c>
      <c r="D93" s="27" t="n">
        <f aca="false">SUM(D73:D89)</f>
        <v>83.64</v>
      </c>
      <c r="E93" s="27" t="n">
        <f aca="false">SUM(E73:E89)</f>
        <v>135.646666666667</v>
      </c>
      <c r="F93" s="27" t="n">
        <f aca="false">SUM(F73:F89)</f>
        <v>139.2</v>
      </c>
      <c r="G93" s="27" t="n">
        <f aca="false">SUM(G73:G89)</f>
        <v>154.273333333333</v>
      </c>
      <c r="H93" s="27" t="n">
        <f aca="false">SUM(H73:H89)</f>
        <v>134.843333333333</v>
      </c>
      <c r="I93" s="27" t="n">
        <f aca="false">SUM(I73:I89)</f>
        <v>110.176666666667</v>
      </c>
      <c r="J93" s="27" t="n">
        <f aca="false">SUM(J73:J89)</f>
        <v>107.033333333333</v>
      </c>
      <c r="K93" s="27" t="n">
        <f aca="false">SUM(K73:K89)</f>
        <v>111.283333333333</v>
      </c>
    </row>
    <row r="95" customFormat="false" ht="15" hidden="false" customHeight="false" outlineLevel="0" collapsed="false">
      <c r="A95" s="2" t="s">
        <v>382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3" t="s">
        <v>383</v>
      </c>
      <c r="C1" s="3" t="s">
        <v>384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6" t="n">
        <f aca="false">datos_base!$B$2*parametros_recargas!E$55</f>
        <v>120.175520263324</v>
      </c>
      <c r="E2" s="26" t="n">
        <f aca="false">datos_base!$B$2*parametros_recargas!F$55</f>
        <v>95.7123202926215</v>
      </c>
      <c r="F2" s="26" t="n">
        <f aca="false">datos_base!$B$2*parametros_recargas!G$55</f>
        <v>71.2908441618577</v>
      </c>
      <c r="G2" s="26" t="n">
        <f aca="false">datos_base!$B$2*parametros_recargas!H$55</f>
        <v>71.2908441618577</v>
      </c>
      <c r="H2" s="26" t="n">
        <f aca="false">datos_base!$B$2*parametros_recargas!I$55</f>
        <v>71.3325680017961</v>
      </c>
      <c r="I2" s="26" t="n">
        <f aca="false">datos_base!$B$2*parametros_recargas!J$55</f>
        <v>71.3325680017961</v>
      </c>
      <c r="J2" s="26" t="n">
        <f aca="false">datos_base!$B$2*parametros_recargas!K$55</f>
        <v>71.264602407824</v>
      </c>
      <c r="K2" s="26" t="n">
        <f aca="false">datos_base!$B$2*parametros_recargas!L$55</f>
        <v>71.3325680017961</v>
      </c>
      <c r="L2" s="26" t="n">
        <f aca="false">datos_base!$B$2*parametros_recargas!M$55</f>
        <v>71.3248269588438</v>
      </c>
      <c r="M2" s="26" t="n">
        <f aca="false">datos_base!$B$2*parametros_recargas!N$55</f>
        <v>71.3248269588438</v>
      </c>
      <c r="N2" s="26" t="n">
        <f aca="false">datos_base!$B$2*parametros_recargas!O$55</f>
        <v>95.7463030896076</v>
      </c>
      <c r="O2" s="26" t="n">
        <f aca="false">datos_base!$B$2*parametros_recargas!P$55</f>
        <v>120.20950306031</v>
      </c>
      <c r="P2" s="12" t="n">
        <f aca="false">SUM(D2:O2)</f>
        <v>1002.33729536048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6" t="n">
        <f aca="false">datos_base!$B$3*parametros_recargas!E$56</f>
        <v>5.78641522026759</v>
      </c>
      <c r="E3" s="26" t="n">
        <f aca="false">datos_base!$B$3*parametros_recargas!F$56</f>
        <v>5.78641522026759</v>
      </c>
      <c r="F3" s="26" t="n">
        <f aca="false">datos_base!$B$3*parametros_recargas!G$56</f>
        <v>7.86079478455603</v>
      </c>
      <c r="G3" s="26" t="n">
        <f aca="false">datos_base!$B$3*parametros_recargas!H$56</f>
        <v>9.06829373698518</v>
      </c>
      <c r="H3" s="26" t="n">
        <f aca="false">datos_base!$B$3*parametros_recargas!I$56</f>
        <v>9.82643658445721</v>
      </c>
      <c r="I3" s="26" t="n">
        <f aca="false">datos_base!$B$3*parametros_recargas!J$56</f>
        <v>9.70616608104304</v>
      </c>
      <c r="J3" s="26" t="n">
        <f aca="false">datos_base!$B$3*parametros_recargas!K$56</f>
        <v>7.08655094234033</v>
      </c>
      <c r="K3" s="26" t="n">
        <f aca="false">datos_base!$B$3*parametros_recargas!L$56</f>
        <v>8.26965886081247</v>
      </c>
      <c r="L3" s="26" t="n">
        <f aca="false">datos_base!$B$3*parametros_recargas!M$56</f>
        <v>8.28059254294103</v>
      </c>
      <c r="M3" s="26" t="n">
        <f aca="false">datos_base!$B$3*parametros_recargas!N$56</f>
        <v>8.28059254294103</v>
      </c>
      <c r="N3" s="26" t="n">
        <f aca="false">datos_base!$B$3*parametros_recargas!O$56</f>
        <v>7.522449695469</v>
      </c>
      <c r="O3" s="26" t="n">
        <f aca="false">datos_base!$B$3*parametros_recargas!P$56</f>
        <v>7.64272019888316</v>
      </c>
      <c r="P3" s="12" t="n">
        <f aca="false">SUM(D3:O3)</f>
        <v>95.1170864109637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6" t="n">
        <f aca="false">datos_base!$B$4*parametros_recargas!E$57</f>
        <v>37.6532386276249</v>
      </c>
      <c r="E4" s="26" t="n">
        <f aca="false">datos_base!$B$4*parametros_recargas!F$57</f>
        <v>36.6883319927887</v>
      </c>
      <c r="F4" s="26" t="n">
        <f aca="false">datos_base!$B$4*parametros_recargas!G$57</f>
        <v>46.056106424884</v>
      </c>
      <c r="G4" s="26" t="n">
        <f aca="false">datos_base!$B$4*parametros_recargas!H$57</f>
        <v>56.0185710462996</v>
      </c>
      <c r="H4" s="26" t="n">
        <f aca="false">datos_base!$B$4*parametros_recargas!I$57</f>
        <v>56.3018469964351</v>
      </c>
      <c r="I4" s="26" t="n">
        <f aca="false">datos_base!$B$4*parametros_recargas!J$57</f>
        <v>55.5060215411038</v>
      </c>
      <c r="J4" s="26" t="n">
        <f aca="false">datos_base!$B$4*parametros_recargas!K$57</f>
        <v>44.7318319759276</v>
      </c>
      <c r="K4" s="26" t="n">
        <f aca="false">datos_base!$B$4*parametros_recargas!L$57</f>
        <v>44.6607909689766</v>
      </c>
      <c r="L4" s="26" t="n">
        <f aca="false">datos_base!$B$4*parametros_recargas!M$57</f>
        <v>45.3585114583748</v>
      </c>
      <c r="M4" s="26" t="n">
        <f aca="false">datos_base!$B$4*parametros_recargas!N$57</f>
        <v>45.3585114583748</v>
      </c>
      <c r="N4" s="26" t="n">
        <f aca="false">datos_base!$B$4*parametros_recargas!O$57</f>
        <v>46.0401421430754</v>
      </c>
      <c r="O4" s="26" t="n">
        <f aca="false">datos_base!$B$4*parametros_recargas!P$57</f>
        <v>47.8008742332429</v>
      </c>
      <c r="P4" s="12" t="n">
        <f aca="false">SUM(D4:O4)</f>
        <v>562.174778867108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6" t="n">
        <f aca="false">datos_base!$B$5*parametros_recargas!E$58</f>
        <v>2.23980893013508</v>
      </c>
      <c r="E5" s="26" t="n">
        <f aca="false">datos_base!$B$5*parametros_recargas!F$58</f>
        <v>2.23980893013508</v>
      </c>
      <c r="F5" s="26" t="n">
        <f aca="false">datos_base!$B$5*parametros_recargas!G$58</f>
        <v>2.84701705127006</v>
      </c>
      <c r="G5" s="26" t="n">
        <f aca="false">datos_base!$B$5*parametros_recargas!H$58</f>
        <v>3.42105791852001</v>
      </c>
      <c r="H5" s="26" t="n">
        <f aca="false">datos_base!$B$5*parametros_recargas!I$58</f>
        <v>3.46582816648136</v>
      </c>
      <c r="I5" s="26" t="n">
        <f aca="false">datos_base!$B$5*parametros_recargas!J$58</f>
        <v>3.35864770006432</v>
      </c>
      <c r="J5" s="26" t="n">
        <f aca="false">datos_base!$B$5*parametros_recargas!K$58</f>
        <v>2.6472776007213</v>
      </c>
      <c r="K5" s="26" t="n">
        <f aca="false">datos_base!$B$5*parametros_recargas!L$58</f>
        <v>2.68902936047365</v>
      </c>
      <c r="L5" s="26" t="n">
        <f aca="false">datos_base!$B$5*parametros_recargas!M$58</f>
        <v>2.79620982689069</v>
      </c>
      <c r="M5" s="26" t="n">
        <f aca="false">datos_base!$B$5*parametros_recargas!N$58</f>
        <v>2.79620982689069</v>
      </c>
      <c r="N5" s="26" t="n">
        <f aca="false">datos_base!$B$5*parametros_recargas!O$58</f>
        <v>2.75143957892934</v>
      </c>
      <c r="O5" s="26" t="n">
        <f aca="false">datos_base!$B$5*parametros_recargas!P$58</f>
        <v>2.85862004534639</v>
      </c>
      <c r="P5" s="12" t="n">
        <f aca="false">SUM(D5:O5)</f>
        <v>34.110954935858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6" t="n">
        <f aca="false">datos_base!$B$6*parametros_recargas!E$59</f>
        <v>3.08246448281765</v>
      </c>
      <c r="E6" s="26" t="n">
        <f aca="false">datos_base!$B$6*parametros_recargas!F$59</f>
        <v>3.08246448281765</v>
      </c>
      <c r="F6" s="26" t="n">
        <f aca="false">datos_base!$B$6*parametros_recargas!G$59</f>
        <v>3.80942174986937</v>
      </c>
      <c r="G6" s="26" t="n">
        <f aca="false">datos_base!$B$6*parametros_recargas!H$59</f>
        <v>4.56686101885474</v>
      </c>
      <c r="H6" s="26" t="n">
        <f aca="false">datos_base!$B$6*parametros_recargas!I$59</f>
        <v>4.60677378468844</v>
      </c>
      <c r="I6" s="26" t="n">
        <f aca="false">datos_base!$B$6*parametros_recargas!J$59</f>
        <v>4.4548978458441</v>
      </c>
      <c r="J6" s="26" t="n">
        <f aca="false">datos_base!$B$6*parametros_recargas!K$59</f>
        <v>3.59751611539858</v>
      </c>
      <c r="K6" s="26" t="n">
        <f aca="false">datos_base!$B$6*parametros_recargas!L$59</f>
        <v>3.61597740578174</v>
      </c>
      <c r="L6" s="26" t="n">
        <f aca="false">datos_base!$B$6*parametros_recargas!M$59</f>
        <v>3.75754151675321</v>
      </c>
      <c r="M6" s="26" t="n">
        <f aca="false">datos_base!$B$6*parametros_recargas!N$59</f>
        <v>3.75754151675321</v>
      </c>
      <c r="N6" s="26" t="n">
        <f aca="false">datos_base!$B$6*parametros_recargas!O$59</f>
        <v>3.71762875091951</v>
      </c>
      <c r="O6" s="26" t="n">
        <f aca="false">datos_base!$B$6*parametros_recargas!P$59</f>
        <v>3.86950468976385</v>
      </c>
      <c r="P6" s="12" t="n">
        <f aca="false">SUM(D6:O6)</f>
        <v>45.918593360262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6" t="n">
        <f aca="false">datos_base!$B$7*parametros_recargas!E$60</f>
        <v>0.546649924386888</v>
      </c>
      <c r="E7" s="26" t="n">
        <f aca="false">datos_base!$B$7*parametros_recargas!F$60</f>
        <v>0.546649924386888</v>
      </c>
      <c r="F7" s="26" t="n">
        <f aca="false">datos_base!$B$7*parametros_recargas!G$60</f>
        <v>0.546649924386888</v>
      </c>
      <c r="G7" s="26" t="n">
        <f aca="false">datos_base!$B$7*parametros_recargas!H$60</f>
        <v>0.546649924386888</v>
      </c>
      <c r="H7" s="26" t="n">
        <f aca="false">datos_base!$B$7*parametros_recargas!I$60</f>
        <v>0.546649924386888</v>
      </c>
      <c r="I7" s="26" t="n">
        <f aca="false">datos_base!$B$7*parametros_recargas!J$60</f>
        <v>0.546649924386888</v>
      </c>
      <c r="J7" s="26" t="n">
        <f aca="false">datos_base!$B$7*parametros_recargas!K$60</f>
        <v>0.546649924386888</v>
      </c>
      <c r="K7" s="26" t="n">
        <f aca="false">datos_base!$B$7*parametros_recargas!L$60</f>
        <v>0.546649924386888</v>
      </c>
      <c r="L7" s="26" t="n">
        <f aca="false">datos_base!$B$7*parametros_recargas!M$60</f>
        <v>0.546649924386888</v>
      </c>
      <c r="M7" s="26" t="n">
        <f aca="false">datos_base!$B$7*parametros_recargas!N$60</f>
        <v>0.546649924386888</v>
      </c>
      <c r="N7" s="26" t="n">
        <f aca="false">datos_base!$B$7*parametros_recargas!O$60</f>
        <v>0.546649924386888</v>
      </c>
      <c r="O7" s="26" t="n">
        <f aca="false">datos_base!$B$7*parametros_recargas!P$60</f>
        <v>0.546649924386888</v>
      </c>
      <c r="P7" s="12" t="n">
        <f aca="false">SUM(D7:O7)</f>
        <v>6.55979909264265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6" t="n">
        <f aca="false">datos_base!$B$8*parametros_recargas!E$61</f>
        <v>0.273324950183589</v>
      </c>
      <c r="E8" s="26" t="n">
        <f aca="false">datos_base!$B$8*parametros_recargas!F$61</f>
        <v>0.273324950183589</v>
      </c>
      <c r="F8" s="26" t="n">
        <f aca="false">datos_base!$B$8*parametros_recargas!G$61</f>
        <v>0.273324950183589</v>
      </c>
      <c r="G8" s="26" t="n">
        <f aca="false">datos_base!$B$8*parametros_recargas!H$61</f>
        <v>0.273324950183589</v>
      </c>
      <c r="H8" s="26" t="n">
        <f aca="false">datos_base!$B$8*parametros_recargas!I$61</f>
        <v>0.273324950183589</v>
      </c>
      <c r="I8" s="26" t="n">
        <f aca="false">datos_base!$B$8*parametros_recargas!J$61</f>
        <v>0.273324950183589</v>
      </c>
      <c r="J8" s="26" t="n">
        <f aca="false">datos_base!$B$8*parametros_recargas!K$61</f>
        <v>0.273324950183589</v>
      </c>
      <c r="K8" s="26" t="n">
        <f aca="false">datos_base!$B$8*parametros_recargas!L$61</f>
        <v>0.273324950183589</v>
      </c>
      <c r="L8" s="26" t="n">
        <f aca="false">datos_base!$B$8*parametros_recargas!M$61</f>
        <v>0.273324950183589</v>
      </c>
      <c r="M8" s="26" t="n">
        <f aca="false">datos_base!$B$8*parametros_recargas!N$61</f>
        <v>0.273324950183589</v>
      </c>
      <c r="N8" s="26" t="n">
        <f aca="false">datos_base!$B$8*parametros_recargas!O$61</f>
        <v>0.273324950183589</v>
      </c>
      <c r="O8" s="26" t="n">
        <f aca="false">datos_base!$B$8*parametros_recargas!P$61</f>
        <v>0.273324950183589</v>
      </c>
      <c r="P8" s="12" t="n">
        <f aca="false">SUM(D8:O8)</f>
        <v>3.27989940220307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6" t="n">
        <f aca="false">datos_base!$B$9*parametros_recargas!E$62</f>
        <v>0.163994970110154</v>
      </c>
      <c r="E9" s="26" t="n">
        <f aca="false">datos_base!$B$9*parametros_recargas!F$62</f>
        <v>0.163994970110154</v>
      </c>
      <c r="F9" s="26" t="n">
        <f aca="false">datos_base!$B$9*parametros_recargas!G$62</f>
        <v>0.163994970110154</v>
      </c>
      <c r="G9" s="26" t="n">
        <f aca="false">datos_base!$B$9*parametros_recargas!H$62</f>
        <v>0.163994970110154</v>
      </c>
      <c r="H9" s="26" t="n">
        <f aca="false">datos_base!$B$9*parametros_recargas!I$62</f>
        <v>0.163994970110154</v>
      </c>
      <c r="I9" s="26" t="n">
        <f aca="false">datos_base!$B$9*parametros_recargas!J$62</f>
        <v>0.163994970110154</v>
      </c>
      <c r="J9" s="26" t="n">
        <f aca="false">datos_base!$B$9*parametros_recargas!K$62</f>
        <v>0.163994970110154</v>
      </c>
      <c r="K9" s="26" t="n">
        <f aca="false">datos_base!$B$9*parametros_recargas!L$62</f>
        <v>0.163994970110154</v>
      </c>
      <c r="L9" s="26" t="n">
        <f aca="false">datos_base!$B$9*parametros_recargas!M$62</f>
        <v>0.163994970110154</v>
      </c>
      <c r="M9" s="26" t="n">
        <f aca="false">datos_base!$B$9*parametros_recargas!N$62</f>
        <v>0.163994970110154</v>
      </c>
      <c r="N9" s="26" t="n">
        <f aca="false">datos_base!$B$9*parametros_recargas!O$62</f>
        <v>0.163994970110154</v>
      </c>
      <c r="O9" s="26" t="n">
        <f aca="false">datos_base!$B$9*parametros_recargas!P$62</f>
        <v>0.163994970110154</v>
      </c>
      <c r="P9" s="12" t="n">
        <f aca="false">SUM(D9:O9)</f>
        <v>1.96793964132184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6" t="n">
        <f aca="false">datos_base!$B$10*parametros_recargas!E$63</f>
        <v>1.6387944782365</v>
      </c>
      <c r="E10" s="26" t="n">
        <f aca="false">datos_base!$B$10*parametros_recargas!F$63</f>
        <v>1.6387944782365</v>
      </c>
      <c r="F10" s="26" t="n">
        <f aca="false">datos_base!$B$10*parametros_recargas!G$63</f>
        <v>1.98470283869861</v>
      </c>
      <c r="G10" s="26" t="n">
        <f aca="false">datos_base!$B$10*parametros_recargas!H$63</f>
        <v>2.22267463946218</v>
      </c>
      <c r="H10" s="26" t="n">
        <f aca="false">datos_base!$B$10*parametros_recargas!I$63</f>
        <v>2.30178637311174</v>
      </c>
      <c r="I10" s="26" t="n">
        <f aca="false">datos_base!$B$10*parametros_recargas!J$63</f>
        <v>2.25096416291081</v>
      </c>
      <c r="J10" s="26" t="n">
        <f aca="false">datos_base!$B$10*parametros_recargas!K$63</f>
        <v>1.81494537672316</v>
      </c>
      <c r="K10" s="26" t="n">
        <f aca="false">datos_base!$B$10*parametros_recargas!L$63</f>
        <v>1.93334532589733</v>
      </c>
      <c r="L10" s="26" t="n">
        <f aca="false">datos_base!$B$10*parametros_recargas!M$63</f>
        <v>1.98416753609826</v>
      </c>
      <c r="M10" s="26" t="n">
        <f aca="false">datos_base!$B$10*parametros_recargas!N$63</f>
        <v>1.98416753609826</v>
      </c>
      <c r="N10" s="26" t="n">
        <f aca="false">datos_base!$B$10*parametros_recargas!O$63</f>
        <v>1.9050558024487</v>
      </c>
      <c r="O10" s="26" t="n">
        <f aca="false">datos_base!$B$10*parametros_recargas!P$63</f>
        <v>1.95587801264963</v>
      </c>
      <c r="P10" s="12" t="n">
        <f aca="false">SUM(D10:O10)</f>
        <v>23.6152765605716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6" t="n">
        <f aca="false">datos_base!$B$11*parametros_recargas!E$64</f>
        <v>8.10131778556024</v>
      </c>
      <c r="E11" s="26" t="n">
        <f aca="false">datos_base!$B$11*parametros_recargas!F$64</f>
        <v>8.10131778556024</v>
      </c>
      <c r="F11" s="26" t="n">
        <f aca="false">datos_base!$B$11*parametros_recargas!G$64</f>
        <v>10.810544480209</v>
      </c>
      <c r="G11" s="26" t="n">
        <f aca="false">datos_base!$B$11*parametros_recargas!H$64</f>
        <v>13.2976938546938</v>
      </c>
      <c r="H11" s="26" t="n">
        <f aca="false">datos_base!$B$11*parametros_recargas!I$64</f>
        <v>13.3746845422036</v>
      </c>
      <c r="I11" s="26" t="n">
        <f aca="false">datos_base!$B$11*parametros_recargas!J$64</f>
        <v>13.1886187368911</v>
      </c>
      <c r="J11" s="26" t="n">
        <f aca="false">datos_base!$B$11*parametros_recargas!K$64</f>
        <v>10.3819117684035</v>
      </c>
      <c r="K11" s="26" t="n">
        <f aca="false">datos_base!$B$11*parametros_recargas!L$64</f>
        <v>10.3703169244396</v>
      </c>
      <c r="L11" s="26" t="n">
        <f aca="false">datos_base!$B$11*parametros_recargas!M$64</f>
        <v>10.5563827297521</v>
      </c>
      <c r="M11" s="26" t="n">
        <f aca="false">datos_base!$B$11*parametros_recargas!N$64</f>
        <v>10.5563827297521</v>
      </c>
      <c r="N11" s="26" t="n">
        <f aca="false">datos_base!$B$11*parametros_recargas!O$64</f>
        <v>10.4793920422423</v>
      </c>
      <c r="O11" s="26" t="n">
        <f aca="false">datos_base!$B$11*parametros_recargas!P$64</f>
        <v>10.6654578475548</v>
      </c>
      <c r="P11" s="12" t="n">
        <f aca="false">SUM(D11:O11)</f>
        <v>129.884021227262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6" t="n">
        <f aca="false">datos_base!$B$12*parametros_recargas!E$65</f>
        <v>2.73802558508667</v>
      </c>
      <c r="E12" s="26" t="n">
        <f aca="false">datos_base!$B$12*parametros_recargas!F$65</f>
        <v>2.73802558508667</v>
      </c>
      <c r="F12" s="26" t="n">
        <f aca="false">datos_base!$B$12*parametros_recargas!G$65</f>
        <v>2.98140288556946</v>
      </c>
      <c r="G12" s="26" t="n">
        <f aca="false">datos_base!$B$12*parametros_recargas!H$65</f>
        <v>3.31783040928289</v>
      </c>
      <c r="H12" s="26" t="n">
        <f aca="false">datos_base!$B$12*parametros_recargas!I$65</f>
        <v>3.39377506923686</v>
      </c>
      <c r="I12" s="26" t="n">
        <f aca="false">datos_base!$B$12*parametros_recargas!J$65</f>
        <v>3.21121661970784</v>
      </c>
      <c r="J12" s="26" t="n">
        <f aca="false">datos_base!$B$12*parametros_recargas!K$65</f>
        <v>2.80064785036976</v>
      </c>
      <c r="K12" s="26" t="n">
        <f aca="false">datos_base!$B$12*parametros_recargas!L$65</f>
        <v>2.86122552965</v>
      </c>
      <c r="L12" s="26" t="n">
        <f aca="false">datos_base!$B$12*parametros_recargas!M$65</f>
        <v>3.00151905045127</v>
      </c>
      <c r="M12" s="26" t="n">
        <f aca="false">datos_base!$B$12*parametros_recargas!N$65</f>
        <v>3.00151905045127</v>
      </c>
      <c r="N12" s="26" t="n">
        <f aca="false">datos_base!$B$12*parametros_recargas!O$65</f>
        <v>2.92557439049731</v>
      </c>
      <c r="O12" s="26" t="n">
        <f aca="false">datos_base!$B$12*parametros_recargas!P$65</f>
        <v>3.10813284002632</v>
      </c>
      <c r="P12" s="12" t="n">
        <f aca="false">SUM(D12:O12)</f>
        <v>36.0788948654163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6" t="n">
        <f aca="false">datos_base!$B$13*parametros_recargas!E$66</f>
        <v>0.477446723450309</v>
      </c>
      <c r="E13" s="26" t="n">
        <f aca="false">datos_base!$B$13*parametros_recargas!F$66</f>
        <v>0.477446723450309</v>
      </c>
      <c r="F13" s="26" t="n">
        <f aca="false">datos_base!$B$13*parametros_recargas!G$66</f>
        <v>0.437319944313452</v>
      </c>
      <c r="G13" s="26" t="n">
        <f aca="false">datos_base!$B$13*parametros_recargas!H$66</f>
        <v>0.437319944313452</v>
      </c>
      <c r="H13" s="26" t="n">
        <f aca="false">datos_base!$B$13*parametros_recargas!I$66</f>
        <v>0.437319944313452</v>
      </c>
      <c r="I13" s="26" t="n">
        <f aca="false">datos_base!$B$13*parametros_recargas!J$66</f>
        <v>0.397193165176595</v>
      </c>
      <c r="J13" s="26" t="n">
        <f aca="false">datos_base!$B$13*parametros_recargas!K$66</f>
        <v>0.397193165176595</v>
      </c>
      <c r="K13" s="26" t="n">
        <f aca="false">datos_base!$B$13*parametros_recargas!L$66</f>
        <v>0.397193165176595</v>
      </c>
      <c r="L13" s="26" t="n">
        <f aca="false">datos_base!$B$13*parametros_recargas!M$66</f>
        <v>0.437319944313452</v>
      </c>
      <c r="M13" s="26" t="n">
        <f aca="false">datos_base!$B$13*parametros_recargas!N$66</f>
        <v>0.437319944313452</v>
      </c>
      <c r="N13" s="26" t="n">
        <f aca="false">datos_base!$B$13*parametros_recargas!O$66</f>
        <v>0.437319944313452</v>
      </c>
      <c r="O13" s="26" t="n">
        <f aca="false">datos_base!$B$13*parametros_recargas!P$66</f>
        <v>0.477446723450309</v>
      </c>
      <c r="P13" s="12" t="n">
        <f aca="false">SUM(D13:O13)</f>
        <v>5.24783933176142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6" t="n">
        <f aca="false">datos_base!$B$14*parametros_recargas!E$67</f>
        <v>0.163994970110154</v>
      </c>
      <c r="E14" s="26" t="n">
        <f aca="false">datos_base!$B$14*parametros_recargas!F$67</f>
        <v>0.163994970110154</v>
      </c>
      <c r="F14" s="26" t="n">
        <f aca="false">datos_base!$B$14*parametros_recargas!G$67</f>
        <v>0.163994970110154</v>
      </c>
      <c r="G14" s="26" t="n">
        <f aca="false">datos_base!$B$14*parametros_recargas!H$67</f>
        <v>0.163994970110154</v>
      </c>
      <c r="H14" s="26" t="n">
        <f aca="false">datos_base!$B$14*parametros_recargas!I$67</f>
        <v>0.163994970110154</v>
      </c>
      <c r="I14" s="26" t="n">
        <f aca="false">datos_base!$B$14*parametros_recargas!J$67</f>
        <v>0.163994970110154</v>
      </c>
      <c r="J14" s="26" t="n">
        <f aca="false">datos_base!$B$14*parametros_recargas!K$67</f>
        <v>0.163994970110154</v>
      </c>
      <c r="K14" s="26" t="n">
        <f aca="false">datos_base!$B$14*parametros_recargas!L$67</f>
        <v>0.163994970110154</v>
      </c>
      <c r="L14" s="26" t="n">
        <f aca="false">datos_base!$B$14*parametros_recargas!M$67</f>
        <v>0.163994970110154</v>
      </c>
      <c r="M14" s="26" t="n">
        <f aca="false">datos_base!$B$14*parametros_recargas!N$67</f>
        <v>0.163994970110154</v>
      </c>
      <c r="N14" s="26" t="n">
        <f aca="false">datos_base!$B$14*parametros_recargas!O$67</f>
        <v>0.163994970110154</v>
      </c>
      <c r="O14" s="26" t="n">
        <f aca="false">datos_base!$B$14*parametros_recargas!P$67</f>
        <v>0.163994970110154</v>
      </c>
      <c r="P14" s="12" t="n">
        <f aca="false">SUM(D14:O14)</f>
        <v>1.96793964132184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6" t="n">
        <f aca="false">datos_base!$B$15*parametros_recargas!E$68</f>
        <v>0.375260508564721</v>
      </c>
      <c r="E15" s="26" t="n">
        <f aca="false">datos_base!$B$15*parametros_recargas!F$68</f>
        <v>0.375260508564721</v>
      </c>
      <c r="F15" s="26" t="n">
        <f aca="false">datos_base!$B$15*parametros_recargas!G$68</f>
        <v>0.420041259196971</v>
      </c>
      <c r="G15" s="26" t="n">
        <f aca="false">datos_base!$B$15*parametros_recargas!H$68</f>
        <v>0.480455868653445</v>
      </c>
      <c r="H15" s="26" t="n">
        <f aca="false">datos_base!$B$15*parametros_recargas!I$68</f>
        <v>0.484050569177935</v>
      </c>
      <c r="I15" s="26" t="n">
        <f aca="false">datos_base!$B$15*parametros_recargas!J$68</f>
        <v>0.461588032325626</v>
      </c>
      <c r="J15" s="26" t="n">
        <f aca="false">datos_base!$B$15*parametros_recargas!K$68</f>
        <v>0.392367033068373</v>
      </c>
      <c r="K15" s="26" t="n">
        <f aca="false">datos_base!$B$15*parametros_recargas!L$68</f>
        <v>0.397939445365556</v>
      </c>
      <c r="L15" s="26" t="n">
        <f aca="false">datos_base!$B$15*parametros_recargas!M$68</f>
        <v>0.420401982217866</v>
      </c>
      <c r="M15" s="26" t="n">
        <f aca="false">datos_base!$B$15*parametros_recargas!N$68</f>
        <v>0.420401982217866</v>
      </c>
      <c r="N15" s="26" t="n">
        <f aca="false">datos_base!$B$15*parametros_recargas!O$68</f>
        <v>0.416807281693376</v>
      </c>
      <c r="O15" s="26" t="n">
        <f aca="false">datos_base!$B$15*parametros_recargas!P$68</f>
        <v>0.439269818545685</v>
      </c>
      <c r="P15" s="12" t="n">
        <f aca="false">SUM(D15:O15)</f>
        <v>5.08384428959214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6" t="n">
        <f aca="false">datos_base!$B$16*parametros_recargas!E$69</f>
        <v>0.825570904776048</v>
      </c>
      <c r="E16" s="26" t="n">
        <f aca="false">datos_base!$B$16*parametros_recargas!F$69</f>
        <v>0.825570904776048</v>
      </c>
      <c r="F16" s="26" t="n">
        <f aca="false">datos_base!$B$16*parametros_recargas!G$69</f>
        <v>0.924088817700388</v>
      </c>
      <c r="G16" s="26" t="n">
        <f aca="false">datos_base!$B$16*parametros_recargas!H$69</f>
        <v>1.0570075450554</v>
      </c>
      <c r="H16" s="26" t="n">
        <f aca="false">datos_base!$B$16*parametros_recargas!I$69</f>
        <v>1.06491269884531</v>
      </c>
      <c r="I16" s="26" t="n">
        <f aca="false">datos_base!$B$16*parametros_recargas!J$69</f>
        <v>1.01549505286757</v>
      </c>
      <c r="J16" s="26" t="n">
        <f aca="false">datos_base!$B$16*parametros_recargas!K$69</f>
        <v>0.86321017905416</v>
      </c>
      <c r="K16" s="26" t="n">
        <f aca="false">datos_base!$B$16*parametros_recargas!L$69</f>
        <v>0.875464647755398</v>
      </c>
      <c r="L16" s="26" t="n">
        <f aca="false">datos_base!$B$16*parametros_recargas!M$69</f>
        <v>0.924882293733139</v>
      </c>
      <c r="M16" s="26" t="n">
        <f aca="false">datos_base!$B$16*parametros_recargas!N$69</f>
        <v>0.924882293733139</v>
      </c>
      <c r="N16" s="26" t="n">
        <f aca="false">datos_base!$B$16*parametros_recargas!O$69</f>
        <v>0.91697713994323</v>
      </c>
      <c r="O16" s="26" t="n">
        <f aca="false">datos_base!$B$16*parametros_recargas!P$69</f>
        <v>0.966394785920972</v>
      </c>
      <c r="P16" s="12" t="n">
        <f aca="false">SUM(D16:O16)</f>
        <v>11.1844572641608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6" t="n">
        <f aca="false">datos_base!$B$17*parametros_recargas!E$70</f>
        <v>0.18012295054248</v>
      </c>
      <c r="E17" s="26" t="n">
        <f aca="false">datos_base!$B$17*parametros_recargas!F$70</f>
        <v>0.18012295054248</v>
      </c>
      <c r="F17" s="26" t="n">
        <f aca="false">datos_base!$B$17*parametros_recargas!G$70</f>
        <v>0.201618929719198</v>
      </c>
      <c r="G17" s="26" t="n">
        <f aca="false">datos_base!$B$17*parametros_recargas!H$70</f>
        <v>0.230620756010893</v>
      </c>
      <c r="H17" s="26" t="n">
        <f aca="false">datos_base!$B$17*parametros_recargas!I$70</f>
        <v>0.232345529854153</v>
      </c>
      <c r="I17" s="26" t="n">
        <f aca="false">datos_base!$B$17*parametros_recargas!J$70</f>
        <v>0.22156378910546</v>
      </c>
      <c r="J17" s="26" t="n">
        <f aca="false">datos_base!$B$17*parametros_recargas!K$70</f>
        <v>0.188336855232017</v>
      </c>
      <c r="K17" s="26" t="n">
        <f aca="false">datos_base!$B$17*parametros_recargas!L$70</f>
        <v>0.191010843023308</v>
      </c>
      <c r="L17" s="26" t="n">
        <f aca="false">datos_base!$B$17*parametros_recargas!M$70</f>
        <v>0.201792583772001</v>
      </c>
      <c r="M17" s="26" t="n">
        <f aca="false">datos_base!$B$17*parametros_recargas!N$70</f>
        <v>0.201792583772001</v>
      </c>
      <c r="N17" s="26" t="n">
        <f aca="false">datos_base!$B$17*parametros_recargas!O$70</f>
        <v>0.200067809928741</v>
      </c>
      <c r="O17" s="26" t="n">
        <f aca="false">datos_base!$B$17*parametros_recargas!P$70</f>
        <v>0.210849550677434</v>
      </c>
      <c r="P17" s="12" t="n">
        <f aca="false">SUM(D17:O17)</f>
        <v>2.44024513218017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6" t="n">
        <f aca="false">datos_base!$B$18*parametros_recargas!E$71</f>
        <v>0.120080397341308</v>
      </c>
      <c r="E18" s="26" t="n">
        <f aca="false">datos_base!$B$18*parametros_recargas!F$71</f>
        <v>0.120080397341308</v>
      </c>
      <c r="F18" s="26" t="n">
        <f aca="false">datos_base!$B$18*parametros_recargas!G$71</f>
        <v>0.134412652477334</v>
      </c>
      <c r="G18" s="26" t="n">
        <f aca="false">datos_base!$B$18*parametros_recargas!H$71</f>
        <v>0.153748968881388</v>
      </c>
      <c r="H18" s="26" t="n">
        <f aca="false">datos_base!$B$18*parametros_recargas!I$71</f>
        <v>0.154897953210546</v>
      </c>
      <c r="I18" s="26" t="n">
        <f aca="false">datos_base!$B$18*parametros_recargas!J$71</f>
        <v>0.147710783534503</v>
      </c>
      <c r="J18" s="26" t="n">
        <f aca="false">datos_base!$B$18*parametros_recargas!K$71</f>
        <v>0.125559436432703</v>
      </c>
      <c r="K18" s="26" t="n">
        <f aca="false">datos_base!$B$18*parametros_recargas!L$71</f>
        <v>0.127340343051591</v>
      </c>
      <c r="L18" s="26" t="n">
        <f aca="false">datos_base!$B$18*parametros_recargas!M$71</f>
        <v>0.134527512727635</v>
      </c>
      <c r="M18" s="26" t="n">
        <f aca="false">datos_base!$B$18*parametros_recargas!N$71</f>
        <v>0.134527512727635</v>
      </c>
      <c r="N18" s="26" t="n">
        <f aca="false">datos_base!$B$18*parametros_recargas!O$71</f>
        <v>0.133378528398476</v>
      </c>
      <c r="O18" s="26" t="n">
        <f aca="false">datos_base!$B$18*parametros_recargas!P$71</f>
        <v>0.140565698074519</v>
      </c>
      <c r="P18" s="12" t="n">
        <f aca="false">SUM(D18:O18)</f>
        <v>1.62683018419895</v>
      </c>
    </row>
    <row r="19" customFormat="false" ht="15" hidden="false" customHeight="false" outlineLevel="0" collapsed="false">
      <c r="A19" s="4" t="s">
        <v>385</v>
      </c>
      <c r="D19" s="12" t="n">
        <f aca="false">SUM(D2:D18)</f>
        <v>184.542031672518</v>
      </c>
      <c r="E19" s="12" t="n">
        <f aca="false">SUM(E2:E18)</f>
        <v>159.11392506698</v>
      </c>
      <c r="F19" s="12" t="n">
        <f aca="false">SUM(F2:F18)</f>
        <v>150.906280795112</v>
      </c>
      <c r="G19" s="12" t="n">
        <f aca="false">SUM(G2:G18)</f>
        <v>166.710944683661</v>
      </c>
      <c r="H19" s="12" t="n">
        <f aca="false">SUM(H2:H18)</f>
        <v>168.125191028603</v>
      </c>
      <c r="I19" s="12" t="n">
        <f aca="false">SUM(I2:I18)</f>
        <v>166.400616327162</v>
      </c>
      <c r="J19" s="12" t="n">
        <f aca="false">SUM(J2:J18)</f>
        <v>147.439915521463</v>
      </c>
      <c r="K19" s="12" t="n">
        <f aca="false">SUM(K2:K18)</f>
        <v>148.869825636991</v>
      </c>
      <c r="L19" s="12" t="n">
        <f aca="false">SUM(L2:L18)</f>
        <v>150.32664075166</v>
      </c>
      <c r="M19" s="12" t="n">
        <f aca="false">SUM(M2:M18)</f>
        <v>150.32664075166</v>
      </c>
      <c r="N19" s="12" t="n">
        <f aca="false">SUM(N2:N18)</f>
        <v>174.340501012257</v>
      </c>
      <c r="O19" s="12" t="n">
        <f aca="false">SUM(O2:O18)</f>
        <v>201.493182319236</v>
      </c>
      <c r="P19" s="12" t="n">
        <f aca="false">SUM(P2:P18)</f>
        <v>1968.5956955673</v>
      </c>
    </row>
    <row r="20" customFormat="false" ht="15" hidden="false" customHeight="false" outlineLevel="0" collapsed="false">
      <c r="A20" s="4" t="s">
        <v>386</v>
      </c>
    </row>
    <row r="21" customFormat="false" ht="15" hidden="false" customHeight="false" outlineLevel="0" collapsed="false">
      <c r="A21" s="5" t="s">
        <v>165</v>
      </c>
      <c r="D21" s="26" t="n">
        <f aca="false">SUMPRODUCT(($B$2:$B$18=$A21)*D$2:D$18*$C$2:$C$18)</f>
        <v>175.402845818796</v>
      </c>
      <c r="E21" s="26" t="n">
        <f aca="false">SUMPRODUCT(($B$2:$B$18=$A21)*E$2:E$18*$C$2:$C$18)</f>
        <v>149.974739213258</v>
      </c>
      <c r="F21" s="26" t="n">
        <f aca="false">SUMPRODUCT(($B$2:$B$18=$A21)*F$2:F$18*$C$2:$C$18)</f>
        <v>138.742025222442</v>
      </c>
      <c r="G21" s="26" t="n">
        <f aca="false">SUMPRODUCT(($B$2:$B$18=$A21)*G$2:G$18*$C$2:$C$18)</f>
        <v>152.023266630437</v>
      </c>
      <c r="H21" s="26" t="n">
        <f aca="false">SUMPRODUCT(($B$2:$B$18=$A21)*H$2:H$18*$C$2:$C$18)</f>
        <v>153.242607964629</v>
      </c>
      <c r="I21" s="26" t="n">
        <f aca="false">SUMPRODUCT(($B$2:$B$18=$A21)*I$2:I$18*$C$2:$C$18)</f>
        <v>151.647814586471</v>
      </c>
      <c r="J21" s="26" t="n">
        <f aca="false">SUMPRODUCT(($B$2:$B$18=$A21)*J$2:J$18*$C$2:$C$18)</f>
        <v>135.713454545088</v>
      </c>
      <c r="K21" s="26" t="n">
        <f aca="false">SUMPRODUCT(($B$2:$B$18=$A21)*K$2:K$18*$C$2:$C$18)</f>
        <v>137.076969927783</v>
      </c>
      <c r="L21" s="26" t="n">
        <f aca="false">SUMPRODUCT(($B$2:$B$18=$A21)*L$2:L$18*$C$2:$C$18)</f>
        <v>138.45658047577</v>
      </c>
      <c r="M21" s="26" t="n">
        <f aca="false">SUMPRODUCT(($B$2:$B$18=$A21)*M$2:M$18*$C$2:$C$18)</f>
        <v>138.45658047577</v>
      </c>
      <c r="N21" s="26" t="n">
        <f aca="false">SUMPRODUCT(($B$2:$B$18=$A21)*N$2:N$18*$C$2:$C$18)</f>
        <v>162.665345747116</v>
      </c>
      <c r="O21" s="26" t="n">
        <f aca="false">SUMPRODUCT(($B$2:$B$18=$A21)*O$2:O$18*$C$2:$C$18)</f>
        <v>189.688245730812</v>
      </c>
      <c r="P21" s="26" t="n">
        <f aca="false">SUMPRODUCT(($B$2:$B$18=$A21)*P$2:P$18*$C$2:$C$18)</f>
        <v>1823.09047633837</v>
      </c>
    </row>
    <row r="22" customFormat="false" ht="15" hidden="false" customHeight="false" outlineLevel="0" collapsed="false">
      <c r="A22" s="5" t="s">
        <v>166</v>
      </c>
      <c r="D22" s="26" t="n">
        <f aca="false">SUMPRODUCT(($B$2:$B$18=$A22)*D$2:D$18*$C$2:$C$18)</f>
        <v>0.163994970110154</v>
      </c>
      <c r="E22" s="26" t="n">
        <f aca="false">SUMPRODUCT(($B$2:$B$18=$A22)*E$2:E$18*$C$2:$C$18)</f>
        <v>0.163994970110154</v>
      </c>
      <c r="F22" s="26" t="n">
        <f aca="false">SUMPRODUCT(($B$2:$B$18=$A22)*F$2:F$18*$C$2:$C$18)</f>
        <v>0.163994970110154</v>
      </c>
      <c r="G22" s="26" t="n">
        <f aca="false">SUMPRODUCT(($B$2:$B$18=$A22)*G$2:G$18*$C$2:$C$18)</f>
        <v>0.163994970110154</v>
      </c>
      <c r="H22" s="26" t="n">
        <f aca="false">SUMPRODUCT(($B$2:$B$18=$A22)*H$2:H$18*$C$2:$C$18)</f>
        <v>0.163994970110154</v>
      </c>
      <c r="I22" s="26" t="n">
        <f aca="false">SUMPRODUCT(($B$2:$B$18=$A22)*I$2:I$18*$C$2:$C$18)</f>
        <v>0.163994970110154</v>
      </c>
      <c r="J22" s="26" t="n">
        <f aca="false">SUMPRODUCT(($B$2:$B$18=$A22)*J$2:J$18*$C$2:$C$18)</f>
        <v>0.163994970110154</v>
      </c>
      <c r="K22" s="26" t="n">
        <f aca="false">SUMPRODUCT(($B$2:$B$18=$A22)*K$2:K$18*$C$2:$C$18)</f>
        <v>0.163994970110154</v>
      </c>
      <c r="L22" s="26" t="n">
        <f aca="false">SUMPRODUCT(($B$2:$B$18=$A22)*L$2:L$18*$C$2:$C$18)</f>
        <v>0.163994970110154</v>
      </c>
      <c r="M22" s="26" t="n">
        <f aca="false">SUMPRODUCT(($B$2:$B$18=$A22)*M$2:M$18*$C$2:$C$18)</f>
        <v>0.163994970110154</v>
      </c>
      <c r="N22" s="26" t="n">
        <f aca="false">SUMPRODUCT(($B$2:$B$18=$A22)*N$2:N$18*$C$2:$C$18)</f>
        <v>0.163994970110154</v>
      </c>
      <c r="O22" s="26" t="n">
        <f aca="false">SUMPRODUCT(($B$2:$B$18=$A22)*O$2:O$18*$C$2:$C$18)</f>
        <v>0.163994970110154</v>
      </c>
      <c r="P22" s="26" t="n">
        <f aca="false">SUMPRODUCT(($B$2:$B$18=$A22)*P$2:P$18*$C$2:$C$18)</f>
        <v>1.96793964132184</v>
      </c>
    </row>
    <row r="23" customFormat="false" ht="15" hidden="false" customHeight="false" outlineLevel="0" collapsed="false">
      <c r="A23" s="5" t="s">
        <v>167</v>
      </c>
      <c r="D23" s="26" t="n">
        <f aca="false">SUMPRODUCT(($B$2:$B$18=$A23)*D$2:D$18*$C$2:$C$18)</f>
        <v>0.163994970110154</v>
      </c>
      <c r="E23" s="26" t="n">
        <f aca="false">SUMPRODUCT(($B$2:$B$18=$A23)*E$2:E$18*$C$2:$C$18)</f>
        <v>0.163994970110154</v>
      </c>
      <c r="F23" s="26" t="n">
        <f aca="false">SUMPRODUCT(($B$2:$B$18=$A23)*F$2:F$18*$C$2:$C$18)</f>
        <v>0.163994970110154</v>
      </c>
      <c r="G23" s="26" t="n">
        <f aca="false">SUMPRODUCT(($B$2:$B$18=$A23)*G$2:G$18*$C$2:$C$18)</f>
        <v>0.163994970110154</v>
      </c>
      <c r="H23" s="26" t="n">
        <f aca="false">SUMPRODUCT(($B$2:$B$18=$A23)*H$2:H$18*$C$2:$C$18)</f>
        <v>0.163994970110154</v>
      </c>
      <c r="I23" s="26" t="n">
        <f aca="false">SUMPRODUCT(($B$2:$B$18=$A23)*I$2:I$18*$C$2:$C$18)</f>
        <v>0.163994970110154</v>
      </c>
      <c r="J23" s="26" t="n">
        <f aca="false">SUMPRODUCT(($B$2:$B$18=$A23)*J$2:J$18*$C$2:$C$18)</f>
        <v>0.163994970110154</v>
      </c>
      <c r="K23" s="26" t="n">
        <f aca="false">SUMPRODUCT(($B$2:$B$18=$A23)*K$2:K$18*$C$2:$C$18)</f>
        <v>0.163994970110154</v>
      </c>
      <c r="L23" s="26" t="n">
        <f aca="false">SUMPRODUCT(($B$2:$B$18=$A23)*L$2:L$18*$C$2:$C$18)</f>
        <v>0.163994970110154</v>
      </c>
      <c r="M23" s="26" t="n">
        <f aca="false">SUMPRODUCT(($B$2:$B$18=$A23)*M$2:M$18*$C$2:$C$18)</f>
        <v>0.163994970110154</v>
      </c>
      <c r="N23" s="26" t="n">
        <f aca="false">SUMPRODUCT(($B$2:$B$18=$A23)*N$2:N$18*$C$2:$C$18)</f>
        <v>0.163994970110154</v>
      </c>
      <c r="O23" s="26" t="n">
        <f aca="false">SUMPRODUCT(($B$2:$B$18=$A23)*O$2:O$18*$C$2:$C$18)</f>
        <v>0.163994970110154</v>
      </c>
      <c r="P23" s="26" t="n">
        <f aca="false">SUMPRODUCT(($B$2:$B$18=$A23)*P$2:P$18*$C$2:$C$18)</f>
        <v>1.96793964132184</v>
      </c>
    </row>
    <row r="24" customFormat="false" ht="15" hidden="false" customHeight="false" outlineLevel="0" collapsed="false">
      <c r="A24" s="5" t="s">
        <v>168</v>
      </c>
      <c r="D24" s="26" t="n">
        <f aca="false">SUMPRODUCT(($B$2:$B$18=$A24)*D$2:D$18*$C$2:$C$18)</f>
        <v>3.08246448281765</v>
      </c>
      <c r="E24" s="26" t="n">
        <f aca="false">SUMPRODUCT(($B$2:$B$18=$A24)*E$2:E$18*$C$2:$C$18)</f>
        <v>3.08246448281765</v>
      </c>
      <c r="F24" s="26" t="n">
        <f aca="false">SUMPRODUCT(($B$2:$B$18=$A24)*F$2:F$18*$C$2:$C$18)</f>
        <v>3.80942174986937</v>
      </c>
      <c r="G24" s="26" t="n">
        <f aca="false">SUMPRODUCT(($B$2:$B$18=$A24)*G$2:G$18*$C$2:$C$18)</f>
        <v>4.56686101885474</v>
      </c>
      <c r="H24" s="26" t="n">
        <f aca="false">SUMPRODUCT(($B$2:$B$18=$A24)*H$2:H$18*$C$2:$C$18)</f>
        <v>4.60677378468844</v>
      </c>
      <c r="I24" s="26" t="n">
        <f aca="false">SUMPRODUCT(($B$2:$B$18=$A24)*I$2:I$18*$C$2:$C$18)</f>
        <v>4.4548978458441</v>
      </c>
      <c r="J24" s="26" t="n">
        <f aca="false">SUMPRODUCT(($B$2:$B$18=$A24)*J$2:J$18*$C$2:$C$18)</f>
        <v>3.59751611539858</v>
      </c>
      <c r="K24" s="26" t="n">
        <f aca="false">SUMPRODUCT(($B$2:$B$18=$A24)*K$2:K$18*$C$2:$C$18)</f>
        <v>3.61597740578174</v>
      </c>
      <c r="L24" s="26" t="n">
        <f aca="false">SUMPRODUCT(($B$2:$B$18=$A24)*L$2:L$18*$C$2:$C$18)</f>
        <v>3.75754151675321</v>
      </c>
      <c r="M24" s="26" t="n">
        <f aca="false">SUMPRODUCT(($B$2:$B$18=$A24)*M$2:M$18*$C$2:$C$18)</f>
        <v>3.75754151675321</v>
      </c>
      <c r="N24" s="26" t="n">
        <f aca="false">SUMPRODUCT(($B$2:$B$18=$A24)*N$2:N$18*$C$2:$C$18)</f>
        <v>3.71762875091951</v>
      </c>
      <c r="O24" s="26" t="n">
        <f aca="false">SUMPRODUCT(($B$2:$B$18=$A24)*O$2:O$18*$C$2:$C$18)</f>
        <v>3.86950468976385</v>
      </c>
      <c r="P24" s="26" t="n">
        <f aca="false">SUMPRODUCT(($B$2:$B$18=$A24)*P$2:P$18*$C$2:$C$18)</f>
        <v>45.918593360262</v>
      </c>
    </row>
    <row r="25" customFormat="false" ht="15" hidden="false" customHeight="false" outlineLevel="0" collapsed="false">
      <c r="A25" s="5" t="s">
        <v>169</v>
      </c>
      <c r="D25" s="26" t="n">
        <f aca="false">SUMPRODUCT(($B$2:$B$18=$A25)*D$2:D$18*$C$2:$C$18)</f>
        <v>2.28522999289635</v>
      </c>
      <c r="E25" s="26" t="n">
        <f aca="false">SUMPRODUCT(($B$2:$B$18=$A25)*E$2:E$18*$C$2:$C$18)</f>
        <v>2.28522999289635</v>
      </c>
      <c r="F25" s="26" t="n">
        <f aca="false">SUMPRODUCT(($B$2:$B$18=$A25)*F$2:F$18*$C$2:$C$18)</f>
        <v>2.28522999289635</v>
      </c>
      <c r="G25" s="26" t="n">
        <f aca="false">SUMPRODUCT(($B$2:$B$18=$A25)*G$2:G$18*$C$2:$C$18)</f>
        <v>2.28522999289635</v>
      </c>
      <c r="H25" s="26" t="n">
        <f aca="false">SUMPRODUCT(($B$2:$B$18=$A25)*H$2:H$18*$C$2:$C$18)</f>
        <v>2.28522999289635</v>
      </c>
      <c r="I25" s="26" t="n">
        <f aca="false">SUMPRODUCT(($B$2:$B$18=$A25)*I$2:I$18*$C$2:$C$18)</f>
        <v>2.28522999289635</v>
      </c>
      <c r="J25" s="26" t="n">
        <f aca="false">SUMPRODUCT(($B$2:$B$18=$A25)*J$2:J$18*$C$2:$C$18)</f>
        <v>2.28522999289635</v>
      </c>
      <c r="K25" s="26" t="n">
        <f aca="false">SUMPRODUCT(($B$2:$B$18=$A25)*K$2:K$18*$C$2:$C$18)</f>
        <v>2.28522999289635</v>
      </c>
      <c r="L25" s="26" t="n">
        <f aca="false">SUMPRODUCT(($B$2:$B$18=$A25)*L$2:L$18*$C$2:$C$18)</f>
        <v>2.28522999289635</v>
      </c>
      <c r="M25" s="26" t="n">
        <f aca="false">SUMPRODUCT(($B$2:$B$18=$A25)*M$2:M$18*$C$2:$C$18)</f>
        <v>2.28522999289635</v>
      </c>
      <c r="N25" s="26" t="n">
        <f aca="false">SUMPRODUCT(($B$2:$B$18=$A25)*N$2:N$18*$C$2:$C$18)</f>
        <v>2.28522999289635</v>
      </c>
      <c r="O25" s="26" t="n">
        <f aca="false">SUMPRODUCT(($B$2:$B$18=$A25)*O$2:O$18*$C$2:$C$18)</f>
        <v>2.28522999289635</v>
      </c>
      <c r="P25" s="26" t="n">
        <f aca="false">SUMPRODUCT(($B$2:$B$18=$A25)*P$2:P$18*$C$2:$C$18)</f>
        <v>27.4227599147562</v>
      </c>
    </row>
    <row r="26" customFormat="false" ht="15" hidden="false" customHeight="false" outlineLevel="0" collapsed="false">
      <c r="A26" s="5" t="s">
        <v>170</v>
      </c>
      <c r="D26" s="26" t="n">
        <f aca="false">SUMPRODUCT(($B$2:$B$18=$A26)*D$2:D$18*$C$2:$C$18)</f>
        <v>1.6387944782365</v>
      </c>
      <c r="E26" s="26" t="n">
        <f aca="false">SUMPRODUCT(($B$2:$B$18=$A26)*E$2:E$18*$C$2:$C$18)</f>
        <v>1.6387944782365</v>
      </c>
      <c r="F26" s="26" t="n">
        <f aca="false">SUMPRODUCT(($B$2:$B$18=$A26)*F$2:F$18*$C$2:$C$18)</f>
        <v>1.98470283869861</v>
      </c>
      <c r="G26" s="26" t="n">
        <f aca="false">SUMPRODUCT(($B$2:$B$18=$A26)*G$2:G$18*$C$2:$C$18)</f>
        <v>2.22267463946218</v>
      </c>
      <c r="H26" s="26" t="n">
        <f aca="false">SUMPRODUCT(($B$2:$B$18=$A26)*H$2:H$18*$C$2:$C$18)</f>
        <v>2.30178637311174</v>
      </c>
      <c r="I26" s="26" t="n">
        <f aca="false">SUMPRODUCT(($B$2:$B$18=$A26)*I$2:I$18*$C$2:$C$18)</f>
        <v>2.25096416291081</v>
      </c>
      <c r="J26" s="26" t="n">
        <f aca="false">SUMPRODUCT(($B$2:$B$18=$A26)*J$2:J$18*$C$2:$C$18)</f>
        <v>1.81494537672316</v>
      </c>
      <c r="K26" s="26" t="n">
        <f aca="false">SUMPRODUCT(($B$2:$B$18=$A26)*K$2:K$18*$C$2:$C$18)</f>
        <v>1.93334532589733</v>
      </c>
      <c r="L26" s="26" t="n">
        <f aca="false">SUMPRODUCT(($B$2:$B$18=$A26)*L$2:L$18*$C$2:$C$18)</f>
        <v>1.98416753609826</v>
      </c>
      <c r="M26" s="26" t="n">
        <f aca="false">SUMPRODUCT(($B$2:$B$18=$A26)*M$2:M$18*$C$2:$C$18)</f>
        <v>1.98416753609826</v>
      </c>
      <c r="N26" s="26" t="n">
        <f aca="false">SUMPRODUCT(($B$2:$B$18=$A26)*N$2:N$18*$C$2:$C$18)</f>
        <v>1.9050558024487</v>
      </c>
      <c r="O26" s="26" t="n">
        <f aca="false">SUMPRODUCT(($B$2:$B$18=$A26)*O$2:O$18*$C$2:$C$18)</f>
        <v>1.95587801264963</v>
      </c>
      <c r="P26" s="26" t="n">
        <f aca="false">SUMPRODUCT(($B$2:$B$18=$A26)*P$2:P$18*$C$2:$C$18)</f>
        <v>23.6152765605716</v>
      </c>
    </row>
    <row r="27" customFormat="false" ht="15" hidden="false" customHeight="false" outlineLevel="0" collapsed="false">
      <c r="A27" s="5" t="s">
        <v>171</v>
      </c>
      <c r="D27" s="26" t="n">
        <f aca="false">SUMPRODUCT(($B$2:$B$18=$A27)*D$2:D$18*$C$2:$C$18)</f>
        <v>10.8393433706469</v>
      </c>
      <c r="E27" s="26" t="n">
        <f aca="false">SUMPRODUCT(($B$2:$B$18=$A27)*E$2:E$18*$C$2:$C$18)</f>
        <v>10.8393433706469</v>
      </c>
      <c r="F27" s="26" t="n">
        <f aca="false">SUMPRODUCT(($B$2:$B$18=$A27)*F$2:F$18*$C$2:$C$18)</f>
        <v>13.7919473657785</v>
      </c>
      <c r="G27" s="26" t="n">
        <f aca="false">SUMPRODUCT(($B$2:$B$18=$A27)*G$2:G$18*$C$2:$C$18)</f>
        <v>16.6155242639767</v>
      </c>
      <c r="H27" s="26" t="n">
        <f aca="false">SUMPRODUCT(($B$2:$B$18=$A27)*H$2:H$18*$C$2:$C$18)</f>
        <v>16.7684596114404</v>
      </c>
      <c r="I27" s="26" t="n">
        <f aca="false">SUMPRODUCT(($B$2:$B$18=$A27)*I$2:I$18*$C$2:$C$18)</f>
        <v>16.3998353565989</v>
      </c>
      <c r="J27" s="26" t="n">
        <f aca="false">SUMPRODUCT(($B$2:$B$18=$A27)*J$2:J$18*$C$2:$C$18)</f>
        <v>13.1825596187732</v>
      </c>
      <c r="K27" s="26" t="n">
        <f aca="false">SUMPRODUCT(($B$2:$B$18=$A27)*K$2:K$18*$C$2:$C$18)</f>
        <v>13.2315424540896</v>
      </c>
      <c r="L27" s="26" t="n">
        <f aca="false">SUMPRODUCT(($B$2:$B$18=$A27)*L$2:L$18*$C$2:$C$18)</f>
        <v>13.5579017802033</v>
      </c>
      <c r="M27" s="26" t="n">
        <f aca="false">SUMPRODUCT(($B$2:$B$18=$A27)*M$2:M$18*$C$2:$C$18)</f>
        <v>13.5579017802033</v>
      </c>
      <c r="N27" s="26" t="n">
        <f aca="false">SUMPRODUCT(($B$2:$B$18=$A27)*N$2:N$18*$C$2:$C$18)</f>
        <v>13.4049664327396</v>
      </c>
      <c r="O27" s="26" t="n">
        <f aca="false">SUMPRODUCT(($B$2:$B$18=$A27)*O$2:O$18*$C$2:$C$18)</f>
        <v>13.7735906875811</v>
      </c>
      <c r="P27" s="26" t="n">
        <f aca="false">SUMPRODUCT(($B$2:$B$18=$A27)*P$2:P$18*$C$2:$C$18)</f>
        <v>165.962916092679</v>
      </c>
    </row>
    <row r="28" customFormat="false" ht="15" hidden="false" customHeight="false" outlineLevel="0" collapsed="false">
      <c r="A28" s="5" t="s">
        <v>172</v>
      </c>
      <c r="D28" s="26" t="n">
        <f aca="false">SUMPRODUCT(($B$2:$B$18=$A28)*D$2:D$18*$C$2:$C$18)</f>
        <v>0.477446723450309</v>
      </c>
      <c r="E28" s="26" t="n">
        <f aca="false">SUMPRODUCT(($B$2:$B$18=$A28)*E$2:E$18*$C$2:$C$18)</f>
        <v>0.477446723450309</v>
      </c>
      <c r="F28" s="26" t="n">
        <f aca="false">SUMPRODUCT(($B$2:$B$18=$A28)*F$2:F$18*$C$2:$C$18)</f>
        <v>0.437319944313452</v>
      </c>
      <c r="G28" s="26" t="n">
        <f aca="false">SUMPRODUCT(($B$2:$B$18=$A28)*G$2:G$18*$C$2:$C$18)</f>
        <v>0.437319944313452</v>
      </c>
      <c r="H28" s="26" t="n">
        <f aca="false">SUMPRODUCT(($B$2:$B$18=$A28)*H$2:H$18*$C$2:$C$18)</f>
        <v>0.437319944313452</v>
      </c>
      <c r="I28" s="26" t="n">
        <f aca="false">SUMPRODUCT(($B$2:$B$18=$A28)*I$2:I$18*$C$2:$C$18)</f>
        <v>0.397193165176595</v>
      </c>
      <c r="J28" s="26" t="n">
        <f aca="false">SUMPRODUCT(($B$2:$B$18=$A28)*J$2:J$18*$C$2:$C$18)</f>
        <v>0.397193165176595</v>
      </c>
      <c r="K28" s="26" t="n">
        <f aca="false">SUMPRODUCT(($B$2:$B$18=$A28)*K$2:K$18*$C$2:$C$18)</f>
        <v>0.397193165176595</v>
      </c>
      <c r="L28" s="26" t="n">
        <f aca="false">SUMPRODUCT(($B$2:$B$18=$A28)*L$2:L$18*$C$2:$C$18)</f>
        <v>0.437319944313452</v>
      </c>
      <c r="M28" s="26" t="n">
        <f aca="false">SUMPRODUCT(($B$2:$B$18=$A28)*M$2:M$18*$C$2:$C$18)</f>
        <v>0.437319944313452</v>
      </c>
      <c r="N28" s="26" t="n">
        <f aca="false">SUMPRODUCT(($B$2:$B$18=$A28)*N$2:N$18*$C$2:$C$18)</f>
        <v>0.437319944313452</v>
      </c>
      <c r="O28" s="26" t="n">
        <f aca="false">SUMPRODUCT(($B$2:$B$18=$A28)*O$2:O$18*$C$2:$C$18)</f>
        <v>0.477446723450309</v>
      </c>
      <c r="P28" s="26" t="n">
        <f aca="false">SUMPRODUCT(($B$2:$B$18=$A28)*P$2:P$18*$C$2:$C$18)</f>
        <v>5.24783933176142</v>
      </c>
    </row>
    <row r="29" customFormat="false" ht="15" hidden="false" customHeight="false" outlineLevel="0" collapsed="false">
      <c r="A29" s="4" t="s">
        <v>387</v>
      </c>
      <c r="D29" s="27" t="n">
        <f aca="false">SUMPRODUCT(D$2:D$18*parametros_recargas!$D$55:$D$71)</f>
        <v>4.51238529649481</v>
      </c>
      <c r="E29" s="27" t="n">
        <f aca="false">SUMPRODUCT(E$2:E$18*parametros_recargas!$D$55:$D$71)</f>
        <v>4.51238529649481</v>
      </c>
      <c r="F29" s="27" t="n">
        <f aca="false">SUMPRODUCT(F$2:F$18*parametros_recargas!$D$55:$D$71)</f>
        <v>4.93488949484694</v>
      </c>
      <c r="G29" s="27" t="n">
        <f aca="false">SUMPRODUCT(G$2:G$18*parametros_recargas!$D$55:$D$71)</f>
        <v>5.51298849806761</v>
      </c>
      <c r="H29" s="27" t="n">
        <f aca="false">SUMPRODUCT(H$2:H$18*parametros_recargas!$D$55:$D$71)</f>
        <v>5.60330677050839</v>
      </c>
      <c r="I29" s="27" t="n">
        <f aca="false">SUMPRODUCT(I$2:I$18*parametros_recargas!$D$55:$D$71)</f>
        <v>5.33089922772459</v>
      </c>
      <c r="J29" s="27" t="n">
        <f aca="false">SUMPRODUCT(J$2:J$18*parametros_recargas!$D$55:$D$71)</f>
        <v>4.6434463043406</v>
      </c>
      <c r="K29" s="27" t="n">
        <f aca="false">SUMPRODUCT(K$2:K$18*parametros_recargas!$D$55:$D$71)</f>
        <v>4.72630575902944</v>
      </c>
      <c r="L29" s="27" t="n">
        <f aca="false">SUMPRODUCT(L$2:L$18*parametros_recargas!$D$55:$D$71)</f>
        <v>4.9564483730855</v>
      </c>
      <c r="M29" s="27" t="n">
        <f aca="false">SUMPRODUCT(M$2:M$18*parametros_recargas!$D$55:$D$71)</f>
        <v>4.9564483730855</v>
      </c>
      <c r="N29" s="27" t="n">
        <f aca="false">SUMPRODUCT(N$2:N$18*parametros_recargas!$D$55:$D$71)</f>
        <v>4.86613010064472</v>
      </c>
      <c r="O29" s="27" t="n">
        <f aca="false">SUMPRODUCT(O$2:O$18*parametros_recargas!$D$55:$D$71)</f>
        <v>5.13853764342852</v>
      </c>
      <c r="P29" s="27" t="n">
        <f aca="false">SUMPRODUCT(P$2:P$18*parametros_recargas!$D$55:$D$71)</f>
        <v>59.6941711377515</v>
      </c>
    </row>
    <row r="30" customFormat="false" ht="15" hidden="false" customHeight="false" outlineLevel="0" collapsed="false">
      <c r="A30" s="4" t="s">
        <v>388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0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0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0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0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0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0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0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0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0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0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0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0</v>
      </c>
      <c r="P30" s="12" t="n">
        <f aca="false">SUM(D30:O30)</f>
        <v>0</v>
      </c>
    </row>
    <row r="33" customFormat="false" ht="15" hidden="false" customHeight="false" outlineLevel="0" collapsed="false">
      <c r="A33" s="28" t="n">
        <v>2027</v>
      </c>
      <c r="B33" s="3" t="s">
        <v>383</v>
      </c>
      <c r="C33" s="3" t="s">
        <v>384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6" t="n">
        <f aca="false">datos_base!$C$2*parametros_recargas!E$55+sobrestock_sustitutos!$B$51/12</f>
        <v>586.472880589361</v>
      </c>
      <c r="E34" s="26" t="n">
        <f aca="false">datos_base!$C$2*parametros_recargas!F$55+sobrestock_sustitutos!$B$51/12</f>
        <v>467.089138178139</v>
      </c>
      <c r="F34" s="26" t="n">
        <f aca="false">datos_base!$C$2*parametros_recargas!G$55+sobrestock_sustitutos!$B$51/12</f>
        <v>347.909013779506</v>
      </c>
      <c r="G34" s="26" t="n">
        <f aca="false">datos_base!$C$2*parametros_recargas!H$55+sobrestock_sustitutos!$B$51/12</f>
        <v>347.909013779506</v>
      </c>
      <c r="H34" s="26" t="n">
        <f aca="false">datos_base!$C$2*parametros_recargas!I$55+sobrestock_sustitutos!$B$51/12</f>
        <v>348.112631792095</v>
      </c>
      <c r="I34" s="26" t="n">
        <f aca="false">datos_base!$C$2*parametros_recargas!J$55+sobrestock_sustitutos!$B$51/12</f>
        <v>348.112631792095</v>
      </c>
      <c r="J34" s="26" t="n">
        <f aca="false">datos_base!$C$2*parametros_recargas!K$55+sobrestock_sustitutos!$B$51/12</f>
        <v>347.780950451416</v>
      </c>
      <c r="K34" s="26" t="n">
        <f aca="false">datos_base!$C$2*parametros_recargas!L$55+sobrestock_sustitutos!$B$51/12</f>
        <v>348.112631792095</v>
      </c>
      <c r="L34" s="26" t="n">
        <f aca="false">datos_base!$C$2*parametros_recargas!M$55+sobrestock_sustitutos!$B$51/12</f>
        <v>348.074854449845</v>
      </c>
      <c r="M34" s="26" t="n">
        <f aca="false">datos_base!$C$2*parametros_recargas!N$55+sobrestock_sustitutos!$B$51/12</f>
        <v>348.074854449845</v>
      </c>
      <c r="N34" s="26" t="n">
        <f aca="false">datos_base!$C$2*parametros_recargas!O$55+sobrestock_sustitutos!$B$51/12</f>
        <v>467.254978848478</v>
      </c>
      <c r="O34" s="26" t="n">
        <f aca="false">datos_base!$C$2*parametros_recargas!P$55+sobrestock_sustitutos!$B$51/12</f>
        <v>586.638721259701</v>
      </c>
      <c r="P34" s="12" t="n">
        <f aca="false">SUM(D34:O34)</f>
        <v>4891.54230116208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6" t="n">
        <f aca="false">datos_base!$C$3*parametros_recargas!E$56+sobrestock_sustitutos!$B$52/12</f>
        <v>22.7411737015666</v>
      </c>
      <c r="E35" s="26" t="n">
        <f aca="false">datos_base!$C$3*parametros_recargas!F$56+sobrestock_sustitutos!$B$52/12</f>
        <v>22.7411737015666</v>
      </c>
      <c r="F35" s="26" t="n">
        <f aca="false">datos_base!$C$3*parametros_recargas!G$56+sobrestock_sustitutos!$B$52/12</f>
        <v>30.8339382690075</v>
      </c>
      <c r="G35" s="26" t="n">
        <f aca="false">datos_base!$C$3*parametros_recargas!H$56+sobrestock_sustitutos!$B$52/12</f>
        <v>35.5447466985114</v>
      </c>
      <c r="H35" s="26" t="n">
        <f aca="false">datos_base!$C$3*parametros_recargas!I$56+sobrestock_sustitutos!$B$52/12</f>
        <v>38.5024848476456</v>
      </c>
      <c r="I35" s="26" t="n">
        <f aca="false">datos_base!$C$3*parametros_recargas!J$56+sobrestock_sustitutos!$B$52/12</f>
        <v>38.0332742531649</v>
      </c>
      <c r="J35" s="26" t="n">
        <f aca="false">datos_base!$C$3*parametros_recargas!K$56+sobrestock_sustitutos!$B$52/12</f>
        <v>27.8133854055339</v>
      </c>
      <c r="K35" s="26" t="n">
        <f aca="false">datos_base!$C$3*parametros_recargas!L$56+sobrestock_sustitutos!$B$52/12</f>
        <v>32.4290372403775</v>
      </c>
      <c r="L35" s="26" t="n">
        <f aca="false">datos_base!$C$3*parametros_recargas!M$56+sobrestock_sustitutos!$B$52/12</f>
        <v>32.4716927489667</v>
      </c>
      <c r="M35" s="26" t="n">
        <f aca="false">datos_base!$C$3*parametros_recargas!N$56+sobrestock_sustitutos!$B$52/12</f>
        <v>32.4716927489667</v>
      </c>
      <c r="N35" s="26" t="n">
        <f aca="false">datos_base!$C$3*parametros_recargas!O$56+sobrestock_sustitutos!$B$52/12</f>
        <v>29.5139545998324</v>
      </c>
      <c r="O35" s="26" t="n">
        <f aca="false">datos_base!$C$3*parametros_recargas!P$56+sobrestock_sustitutos!$B$52/12</f>
        <v>29.9831651943132</v>
      </c>
      <c r="P35" s="12" t="n">
        <f aca="false">SUM(D35:O35)</f>
        <v>373.079719409453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6" t="n">
        <f aca="false">datos_base!$C$4*parametros_recargas!E$57+sobrestock_sustitutos!$B$53/12</f>
        <v>152.348345913814</v>
      </c>
      <c r="E36" s="26" t="n">
        <f aca="false">datos_base!$C$4*parametros_recargas!F$57+sobrestock_sustitutos!$B$53/12</f>
        <v>148.463467610275</v>
      </c>
      <c r="F36" s="26" t="n">
        <f aca="false">datos_base!$C$4*parametros_recargas!G$57+sobrestock_sustitutos!$B$53/12</f>
        <v>186.179721525216</v>
      </c>
      <c r="G36" s="26" t="n">
        <f aca="false">datos_base!$C$4*parametros_recargas!H$57+sobrestock_sustitutos!$B$53/12</f>
        <v>226.2902993368</v>
      </c>
      <c r="H36" s="26" t="n">
        <f aca="false">datos_base!$C$4*parametros_recargas!I$57+sobrestock_sustitutos!$B$53/12</f>
        <v>227.430816515214</v>
      </c>
      <c r="I36" s="26" t="n">
        <f aca="false">datos_base!$C$4*parametros_recargas!J$57+sobrestock_sustitutos!$B$53/12</f>
        <v>224.226687811771</v>
      </c>
      <c r="J36" s="26" t="n">
        <f aca="false">datos_base!$C$4*parametros_recargas!K$57+sobrestock_sustitutos!$B$53/12</f>
        <v>180.847967250819</v>
      </c>
      <c r="K36" s="26" t="n">
        <f aca="false">datos_base!$C$4*parametros_recargas!L$57+sobrestock_sustitutos!$B$53/12</f>
        <v>180.561944068263</v>
      </c>
      <c r="L36" s="26" t="n">
        <f aca="false">datos_base!$C$4*parametros_recargas!M$57+sobrestock_sustitutos!$B$53/12</f>
        <v>183.371085484995</v>
      </c>
      <c r="M36" s="26" t="n">
        <f aca="false">datos_base!$C$4*parametros_recargas!N$57+sobrestock_sustitutos!$B$53/12</f>
        <v>183.371085484995</v>
      </c>
      <c r="N36" s="26" t="n">
        <f aca="false">datos_base!$C$4*parametros_recargas!O$57+sobrestock_sustitutos!$B$53/12</f>
        <v>186.11544661012</v>
      </c>
      <c r="O36" s="26" t="n">
        <f aca="false">datos_base!$C$4*parametros_recargas!P$57+sobrestock_sustitutos!$B$53/12</f>
        <v>193.204453617101</v>
      </c>
      <c r="P36" s="12" t="n">
        <f aca="false">SUM(D36:O36)</f>
        <v>2272.41132122938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6" t="n">
        <f aca="false">datos_base!$C$5*parametros_recargas!E$58+sobrestock_sustitutos!$B$54/12</f>
        <v>8.36769543802662</v>
      </c>
      <c r="E37" s="26" t="n">
        <f aca="false">datos_base!$C$5*parametros_recargas!F$58+sobrestock_sustitutos!$B$54/12</f>
        <v>8.36769543802662</v>
      </c>
      <c r="F37" s="26" t="n">
        <f aca="false">datos_base!$C$5*parametros_recargas!G$58+sobrestock_sustitutos!$B$54/12</f>
        <v>10.6135709145965</v>
      </c>
      <c r="G37" s="26" t="n">
        <f aca="false">datos_base!$C$5*parametros_recargas!H$58+sobrestock_sustitutos!$B$54/12</f>
        <v>12.7367709533177</v>
      </c>
      <c r="H37" s="26" t="n">
        <f aca="false">datos_base!$C$5*parametros_recargas!I$58+sobrestock_sustitutos!$B$54/12</f>
        <v>12.9023622859705</v>
      </c>
      <c r="I37" s="26" t="n">
        <f aca="false">datos_base!$C$5*parametros_recargas!J$58+sobrestock_sustitutos!$B$54/12</f>
        <v>12.5059348128935</v>
      </c>
      <c r="J37" s="26" t="n">
        <f aca="false">datos_base!$C$5*parametros_recargas!K$58+sobrestock_sustitutos!$B$54/12</f>
        <v>9.87479631973026</v>
      </c>
      <c r="K37" s="26" t="n">
        <f aca="false">datos_base!$C$5*parametros_recargas!L$58+sobrestock_sustitutos!$B$54/12</f>
        <v>10.0292231958994</v>
      </c>
      <c r="L37" s="26" t="n">
        <f aca="false">datos_base!$C$5*parametros_recargas!M$58+sobrestock_sustitutos!$B$54/12</f>
        <v>10.4256506689764</v>
      </c>
      <c r="M37" s="26" t="n">
        <f aca="false">datos_base!$C$5*parametros_recargas!N$58+sobrestock_sustitutos!$B$54/12</f>
        <v>10.4256506689764</v>
      </c>
      <c r="N37" s="26" t="n">
        <f aca="false">datos_base!$C$5*parametros_recargas!O$58+sobrestock_sustitutos!$B$54/12</f>
        <v>10.2600593363236</v>
      </c>
      <c r="O37" s="26" t="n">
        <f aca="false">datos_base!$C$5*parametros_recargas!P$58+sobrestock_sustitutos!$B$54/12</f>
        <v>10.6564868094006</v>
      </c>
      <c r="P37" s="12" t="n">
        <f aca="false">SUM(D37:O37)</f>
        <v>127.165896842138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6" t="n">
        <f aca="false">datos_base!$C$6*parametros_recargas!E$59+sobrestock_sustitutos!$B$55/12</f>
        <v>12.5329344375925</v>
      </c>
      <c r="E38" s="26" t="n">
        <f aca="false">datos_base!$C$6*parametros_recargas!F$59+sobrestock_sustitutos!$B$55/12</f>
        <v>12.5329344375925</v>
      </c>
      <c r="F38" s="26" t="n">
        <f aca="false">datos_base!$C$6*parametros_recargas!G$59+sobrestock_sustitutos!$B$55/12</f>
        <v>15.4690033023223</v>
      </c>
      <c r="G38" s="26" t="n">
        <f aca="false">datos_base!$C$6*parametros_recargas!H$59+sobrestock_sustitutos!$B$55/12</f>
        <v>18.5281842960153</v>
      </c>
      <c r="H38" s="26" t="n">
        <f aca="false">datos_base!$C$6*parametros_recargas!I$59+sobrestock_sustitutos!$B$55/12</f>
        <v>18.6893858334108</v>
      </c>
      <c r="I38" s="26" t="n">
        <f aca="false">datos_base!$C$6*parametros_recargas!J$59+sobrestock_sustitutos!$B$55/12</f>
        <v>18.0759822187101</v>
      </c>
      <c r="J38" s="26" t="n">
        <f aca="false">datos_base!$C$6*parametros_recargas!K$59+sobrestock_sustitutos!$B$55/12</f>
        <v>14.6131489573292</v>
      </c>
      <c r="K38" s="26" t="n">
        <f aca="false">datos_base!$C$6*parametros_recargas!L$59+sobrestock_sustitutos!$B$55/12</f>
        <v>14.6877112766751</v>
      </c>
      <c r="L38" s="26" t="n">
        <f aca="false">datos_base!$C$6*parametros_recargas!M$59+sobrestock_sustitutos!$B$55/12</f>
        <v>15.2594670007388</v>
      </c>
      <c r="M38" s="26" t="n">
        <f aca="false">datos_base!$C$6*parametros_recargas!N$59+sobrestock_sustitutos!$B$55/12</f>
        <v>15.2594670007388</v>
      </c>
      <c r="N38" s="26" t="n">
        <f aca="false">datos_base!$C$6*parametros_recargas!O$59+sobrestock_sustitutos!$B$55/12</f>
        <v>15.0982654633433</v>
      </c>
      <c r="O38" s="26" t="n">
        <f aca="false">datos_base!$C$6*parametros_recargas!P$59+sobrestock_sustitutos!$B$55/12</f>
        <v>15.711669078044</v>
      </c>
      <c r="P38" s="12" t="n">
        <f aca="false">SUM(D38:O38)</f>
        <v>186.458153302512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6" t="n">
        <f aca="false">datos_base!$C$7*parametros_recargas!E$60+sobrestock_sustitutos!$B$56/12</f>
        <v>3.95809069586234</v>
      </c>
      <c r="E39" s="26" t="n">
        <f aca="false">datos_base!$C$7*parametros_recargas!F$60+sobrestock_sustitutos!$B$56/12</f>
        <v>3.95809069586234</v>
      </c>
      <c r="F39" s="26" t="n">
        <f aca="false">datos_base!$C$7*parametros_recargas!G$60+sobrestock_sustitutos!$B$56/12</f>
        <v>3.95809069586234</v>
      </c>
      <c r="G39" s="26" t="n">
        <f aca="false">datos_base!$C$7*parametros_recargas!H$60+sobrestock_sustitutos!$B$56/12</f>
        <v>3.95809069586234</v>
      </c>
      <c r="H39" s="26" t="n">
        <f aca="false">datos_base!$C$7*parametros_recargas!I$60+sobrestock_sustitutos!$B$56/12</f>
        <v>3.95809069586234</v>
      </c>
      <c r="I39" s="26" t="n">
        <f aca="false">datos_base!$C$7*parametros_recargas!J$60+sobrestock_sustitutos!$B$56/12</f>
        <v>3.95809069586234</v>
      </c>
      <c r="J39" s="26" t="n">
        <f aca="false">datos_base!$C$7*parametros_recargas!K$60+sobrestock_sustitutos!$B$56/12</f>
        <v>3.95809069586234</v>
      </c>
      <c r="K39" s="26" t="n">
        <f aca="false">datos_base!$C$7*parametros_recargas!L$60+sobrestock_sustitutos!$B$56/12</f>
        <v>3.95809069586234</v>
      </c>
      <c r="L39" s="26" t="n">
        <f aca="false">datos_base!$C$7*parametros_recargas!M$60+sobrestock_sustitutos!$B$56/12</f>
        <v>3.95809069586234</v>
      </c>
      <c r="M39" s="26" t="n">
        <f aca="false">datos_base!$C$7*parametros_recargas!N$60+sobrestock_sustitutos!$B$56/12</f>
        <v>3.95809069586234</v>
      </c>
      <c r="N39" s="26" t="n">
        <f aca="false">datos_base!$C$7*parametros_recargas!O$60+sobrestock_sustitutos!$B$56/12</f>
        <v>3.95809069586234</v>
      </c>
      <c r="O39" s="26" t="n">
        <f aca="false">datos_base!$C$7*parametros_recargas!P$60+sobrestock_sustitutos!$B$56/12</f>
        <v>3.95809069586234</v>
      </c>
      <c r="P39" s="12" t="n">
        <f aca="false">SUM(D39:O39)</f>
        <v>47.4970883503481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6" t="n">
        <f aca="false">datos_base!$C$8*parametros_recargas!E$61+sobrestock_sustitutos!$B$57/12</f>
        <v>2.08233804835078</v>
      </c>
      <c r="E40" s="26" t="n">
        <f aca="false">datos_base!$C$8*parametros_recargas!F$61+sobrestock_sustitutos!$B$57/12</f>
        <v>2.08233804835078</v>
      </c>
      <c r="F40" s="26" t="n">
        <f aca="false">datos_base!$C$8*parametros_recargas!G$61+sobrestock_sustitutos!$B$57/12</f>
        <v>2.08233804835078</v>
      </c>
      <c r="G40" s="26" t="n">
        <f aca="false">datos_base!$C$8*parametros_recargas!H$61+sobrestock_sustitutos!$B$57/12</f>
        <v>2.08233804835078</v>
      </c>
      <c r="H40" s="26" t="n">
        <f aca="false">datos_base!$C$8*parametros_recargas!I$61+sobrestock_sustitutos!$B$57/12</f>
        <v>2.08233804835078</v>
      </c>
      <c r="I40" s="26" t="n">
        <f aca="false">datos_base!$C$8*parametros_recargas!J$61+sobrestock_sustitutos!$B$57/12</f>
        <v>2.08233804835078</v>
      </c>
      <c r="J40" s="26" t="n">
        <f aca="false">datos_base!$C$8*parametros_recargas!K$61+sobrestock_sustitutos!$B$57/12</f>
        <v>2.08233804835078</v>
      </c>
      <c r="K40" s="26" t="n">
        <f aca="false">datos_base!$C$8*parametros_recargas!L$61+sobrestock_sustitutos!$B$57/12</f>
        <v>2.08233804835078</v>
      </c>
      <c r="L40" s="26" t="n">
        <f aca="false">datos_base!$C$8*parametros_recargas!M$61+sobrestock_sustitutos!$B$57/12</f>
        <v>2.08233804835078</v>
      </c>
      <c r="M40" s="26" t="n">
        <f aca="false">datos_base!$C$8*parametros_recargas!N$61+sobrestock_sustitutos!$B$57/12</f>
        <v>2.08233804835078</v>
      </c>
      <c r="N40" s="26" t="n">
        <f aca="false">datos_base!$C$8*parametros_recargas!O$61+sobrestock_sustitutos!$B$57/12</f>
        <v>2.08233804835078</v>
      </c>
      <c r="O40" s="26" t="n">
        <f aca="false">datos_base!$C$8*parametros_recargas!P$61+sobrestock_sustitutos!$B$57/12</f>
        <v>2.08233804835078</v>
      </c>
      <c r="P40" s="12" t="n">
        <f aca="false">SUM(D40:O40)</f>
        <v>24.9880565802094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6" t="n">
        <f aca="false">datos_base!$C$9*parametros_recargas!E$62+sobrestock_sustitutos!$B$58/12</f>
        <v>1.21401577549084</v>
      </c>
      <c r="E41" s="26" t="n">
        <f aca="false">datos_base!$C$9*parametros_recargas!F$62+sobrestock_sustitutos!$B$58/12</f>
        <v>1.21401577549084</v>
      </c>
      <c r="F41" s="26" t="n">
        <f aca="false">datos_base!$C$9*parametros_recargas!G$62+sobrestock_sustitutos!$B$58/12</f>
        <v>1.21401577549084</v>
      </c>
      <c r="G41" s="26" t="n">
        <f aca="false">datos_base!$C$9*parametros_recargas!H$62+sobrestock_sustitutos!$B$58/12</f>
        <v>1.21401577549084</v>
      </c>
      <c r="H41" s="26" t="n">
        <f aca="false">datos_base!$C$9*parametros_recargas!I$62+sobrestock_sustitutos!$B$58/12</f>
        <v>1.21401577549084</v>
      </c>
      <c r="I41" s="26" t="n">
        <f aca="false">datos_base!$C$9*parametros_recargas!J$62+sobrestock_sustitutos!$B$58/12</f>
        <v>1.21401577549084</v>
      </c>
      <c r="J41" s="26" t="n">
        <f aca="false">datos_base!$C$9*parametros_recargas!K$62+sobrestock_sustitutos!$B$58/12</f>
        <v>1.21401577549084</v>
      </c>
      <c r="K41" s="26" t="n">
        <f aca="false">datos_base!$C$9*parametros_recargas!L$62+sobrestock_sustitutos!$B$58/12</f>
        <v>1.21401577549084</v>
      </c>
      <c r="L41" s="26" t="n">
        <f aca="false">datos_base!$C$9*parametros_recargas!M$62+sobrestock_sustitutos!$B$58/12</f>
        <v>1.21401577549084</v>
      </c>
      <c r="M41" s="26" t="n">
        <f aca="false">datos_base!$C$9*parametros_recargas!N$62+sobrestock_sustitutos!$B$58/12</f>
        <v>1.21401577549084</v>
      </c>
      <c r="N41" s="26" t="n">
        <f aca="false">datos_base!$C$9*parametros_recargas!O$62+sobrestock_sustitutos!$B$58/12</f>
        <v>1.21401577549084</v>
      </c>
      <c r="O41" s="26" t="n">
        <f aca="false">datos_base!$C$9*parametros_recargas!P$62+sobrestock_sustitutos!$B$58/12</f>
        <v>1.21401577549084</v>
      </c>
      <c r="P41" s="12" t="n">
        <f aca="false">SUM(D41:O41)</f>
        <v>14.5681893058901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6" t="n">
        <f aca="false">datos_base!$C$10*parametros_recargas!E$63+sobrestock_sustitutos!$B$59/12</f>
        <v>6.7920896236823</v>
      </c>
      <c r="E42" s="26" t="n">
        <f aca="false">datos_base!$C$10*parametros_recargas!F$63+sobrestock_sustitutos!$B$59/12</f>
        <v>6.7920896236823</v>
      </c>
      <c r="F42" s="26" t="n">
        <f aca="false">datos_base!$C$10*parametros_recargas!G$63+sobrestock_sustitutos!$B$59/12</f>
        <v>8.2081396042947</v>
      </c>
      <c r="G42" s="26" t="n">
        <f aca="false">datos_base!$C$10*parametros_recargas!H$63+sobrestock_sustitutos!$B$59/12</f>
        <v>9.18232815356065</v>
      </c>
      <c r="H42" s="26" t="n">
        <f aca="false">datos_base!$C$10*parametros_recargas!I$63+sobrestock_sustitutos!$B$59/12</f>
        <v>9.50618898407372</v>
      </c>
      <c r="I42" s="26" t="n">
        <f aca="false">datos_base!$C$10*parametros_recargas!J$63+sobrestock_sustitutos!$B$59/12</f>
        <v>9.29813737851679</v>
      </c>
      <c r="J42" s="26" t="n">
        <f aca="false">datos_base!$C$10*parametros_recargas!K$63+sobrestock_sustitutos!$B$59/12</f>
        <v>7.51320106502955</v>
      </c>
      <c r="K42" s="26" t="n">
        <f aca="false">datos_base!$C$10*parametros_recargas!L$63+sobrestock_sustitutos!$B$59/12</f>
        <v>7.99789662286055</v>
      </c>
      <c r="L42" s="26" t="n">
        <f aca="false">datos_base!$C$10*parametros_recargas!M$63+sobrestock_sustitutos!$B$59/12</f>
        <v>8.20594822841747</v>
      </c>
      <c r="M42" s="26" t="n">
        <f aca="false">datos_base!$C$10*parametros_recargas!N$63+sobrestock_sustitutos!$B$59/12</f>
        <v>8.20594822841747</v>
      </c>
      <c r="N42" s="26" t="n">
        <f aca="false">datos_base!$C$10*parametros_recargas!O$63+sobrestock_sustitutos!$B$59/12</f>
        <v>7.8820873979044</v>
      </c>
      <c r="O42" s="26" t="n">
        <f aca="false">datos_base!$C$10*parametros_recargas!P$63+sobrestock_sustitutos!$B$59/12</f>
        <v>8.09013900346133</v>
      </c>
      <c r="P42" s="12" t="n">
        <f aca="false">SUM(D42:O42)</f>
        <v>97.6741939139012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6" t="n">
        <f aca="false">datos_base!$C$11*parametros_recargas!E$64+sobrestock_sustitutos!$B$60/12</f>
        <v>30.7624592758109</v>
      </c>
      <c r="E43" s="26" t="n">
        <f aca="false">datos_base!$C$11*parametros_recargas!F$64+sobrestock_sustitutos!$B$60/12</f>
        <v>30.7624592758109</v>
      </c>
      <c r="F43" s="26" t="n">
        <f aca="false">datos_base!$C$11*parametros_recargas!G$64+sobrestock_sustitutos!$B$60/12</f>
        <v>40.9663756481266</v>
      </c>
      <c r="G43" s="26" t="n">
        <f aca="false">datos_base!$C$11*parametros_recargas!H$64+sobrestock_sustitutos!$B$60/12</f>
        <v>50.333869432544</v>
      </c>
      <c r="H43" s="26" t="n">
        <f aca="false">datos_base!$C$11*parametros_recargas!I$64+sobrestock_sustitutos!$B$60/12</f>
        <v>50.6238438884831</v>
      </c>
      <c r="I43" s="26" t="n">
        <f aca="false">datos_base!$C$11*parametros_recargas!J$64+sobrestock_sustitutos!$B$60/12</f>
        <v>49.9230535408515</v>
      </c>
      <c r="J43" s="26" t="n">
        <f aca="false">datos_base!$C$11*parametros_recargas!K$64+sobrestock_sustitutos!$B$60/12</f>
        <v>39.3519916047604</v>
      </c>
      <c r="K43" s="26" t="n">
        <f aca="false">datos_base!$C$11*parametros_recargas!L$64+sobrestock_sustitutos!$B$60/12</f>
        <v>39.3083212768432</v>
      </c>
      <c r="L43" s="26" t="n">
        <f aca="false">datos_base!$C$11*parametros_recargas!M$64+sobrestock_sustitutos!$B$60/12</f>
        <v>40.0091116244749</v>
      </c>
      <c r="M43" s="26" t="n">
        <f aca="false">datos_base!$C$11*parametros_recargas!N$64+sobrestock_sustitutos!$B$60/12</f>
        <v>40.0091116244749</v>
      </c>
      <c r="N43" s="26" t="n">
        <f aca="false">datos_base!$C$11*parametros_recargas!O$64+sobrestock_sustitutos!$B$60/12</f>
        <v>39.7191371685357</v>
      </c>
      <c r="O43" s="26" t="n">
        <f aca="false">datos_base!$C$11*parametros_recargas!P$64+sobrestock_sustitutos!$B$60/12</f>
        <v>40.4199275161674</v>
      </c>
      <c r="P43" s="12" t="n">
        <f aca="false">SUM(D43:O43)</f>
        <v>492.189661876883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6" t="n">
        <f aca="false">datos_base!$C$12*parametros_recargas!E$65+sobrestock_sustitutos!$B$61/12</f>
        <v>14.1622678412996</v>
      </c>
      <c r="E44" s="26" t="n">
        <f aca="false">datos_base!$C$12*parametros_recargas!F$65+sobrestock_sustitutos!$B$61/12</f>
        <v>14.1622678412996</v>
      </c>
      <c r="F44" s="26" t="n">
        <f aca="false">datos_base!$C$12*parametros_recargas!G$65+sobrestock_sustitutos!$B$61/12</f>
        <v>15.4137145381041</v>
      </c>
      <c r="G44" s="26" t="n">
        <f aca="false">datos_base!$C$12*parametros_recargas!H$65+sobrestock_sustitutos!$B$61/12</f>
        <v>17.1436257189336</v>
      </c>
      <c r="H44" s="26" t="n">
        <f aca="false">datos_base!$C$12*parametros_recargas!I$65+sobrestock_sustitutos!$B$61/12</f>
        <v>17.5341333531739</v>
      </c>
      <c r="I44" s="26" t="n">
        <f aca="false">datos_base!$C$12*parametros_recargas!J$65+sobrestock_sustitutos!$B$61/12</f>
        <v>16.5954173423396</v>
      </c>
      <c r="J44" s="26" t="n">
        <f aca="false">datos_base!$C$12*parametros_recargas!K$65+sobrestock_sustitutos!$B$61/12</f>
        <v>14.4842716883284</v>
      </c>
      <c r="K44" s="26" t="n">
        <f aca="false">datos_base!$C$12*parametros_recargas!L$65+sobrestock_sustitutos!$B$61/12</f>
        <v>14.7957622689411</v>
      </c>
      <c r="L44" s="26" t="n">
        <f aca="false">datos_base!$C$12*parametros_recargas!M$65+sobrestock_sustitutos!$B$61/12</f>
        <v>15.5171519089837</v>
      </c>
      <c r="M44" s="26" t="n">
        <f aca="false">datos_base!$C$12*parametros_recargas!N$65+sobrestock_sustitutos!$B$61/12</f>
        <v>15.5171519089837</v>
      </c>
      <c r="N44" s="26" t="n">
        <f aca="false">datos_base!$C$12*parametros_recargas!O$65+sobrestock_sustitutos!$B$61/12</f>
        <v>15.1266442747434</v>
      </c>
      <c r="O44" s="26" t="n">
        <f aca="false">datos_base!$C$12*parametros_recargas!P$65+sobrestock_sustitutos!$B$61/12</f>
        <v>16.0653602855777</v>
      </c>
      <c r="P44" s="12" t="n">
        <f aca="false">SUM(D44:O44)</f>
        <v>186.517768970709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6" t="n">
        <f aca="false">datos_base!$C$13*parametros_recargas!E$66+sobrestock_sustitutos!$B$62/12</f>
        <v>3.02235367045809</v>
      </c>
      <c r="E45" s="26" t="n">
        <f aca="false">datos_base!$C$13*parametros_recargas!F$66+sobrestock_sustitutos!$B$62/12</f>
        <v>3.02235367045809</v>
      </c>
      <c r="F45" s="26" t="n">
        <f aca="false">datos_base!$C$13*parametros_recargas!G$66+sobrestock_sustitutos!$B$62/12</f>
        <v>2.77534512656385</v>
      </c>
      <c r="G45" s="26" t="n">
        <f aca="false">datos_base!$C$13*parametros_recargas!H$66+sobrestock_sustitutos!$B$62/12</f>
        <v>2.77534512656385</v>
      </c>
      <c r="H45" s="26" t="n">
        <f aca="false">datos_base!$C$13*parametros_recargas!I$66+sobrestock_sustitutos!$B$62/12</f>
        <v>2.77534512656385</v>
      </c>
      <c r="I45" s="26" t="n">
        <f aca="false">datos_base!$C$13*parametros_recargas!J$66+sobrestock_sustitutos!$B$62/12</f>
        <v>2.52833658266961</v>
      </c>
      <c r="J45" s="26" t="n">
        <f aca="false">datos_base!$C$13*parametros_recargas!K$66+sobrestock_sustitutos!$B$62/12</f>
        <v>2.52833658266961</v>
      </c>
      <c r="K45" s="26" t="n">
        <f aca="false">datos_base!$C$13*parametros_recargas!L$66+sobrestock_sustitutos!$B$62/12</f>
        <v>2.52833658266961</v>
      </c>
      <c r="L45" s="26" t="n">
        <f aca="false">datos_base!$C$13*parametros_recargas!M$66+sobrestock_sustitutos!$B$62/12</f>
        <v>2.77534512656385</v>
      </c>
      <c r="M45" s="26" t="n">
        <f aca="false">datos_base!$C$13*parametros_recargas!N$66+sobrestock_sustitutos!$B$62/12</f>
        <v>2.77534512656385</v>
      </c>
      <c r="N45" s="26" t="n">
        <f aca="false">datos_base!$C$13*parametros_recargas!O$66+sobrestock_sustitutos!$B$62/12</f>
        <v>2.77534512656385</v>
      </c>
      <c r="O45" s="26" t="n">
        <f aca="false">datos_base!$C$13*parametros_recargas!P$66+sobrestock_sustitutos!$B$62/12</f>
        <v>3.02235367045809</v>
      </c>
      <c r="P45" s="12" t="n">
        <f aca="false">SUM(D45:O45)</f>
        <v>33.3041415187662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6" t="n">
        <f aca="false">datos_base!$C$14*parametros_recargas!E$67+sobrestock_sustitutos!$B$63/12</f>
        <v>1.21401577549084</v>
      </c>
      <c r="E46" s="26" t="n">
        <f aca="false">datos_base!$C$14*parametros_recargas!F$67+sobrestock_sustitutos!$B$63/12</f>
        <v>1.21401577549084</v>
      </c>
      <c r="F46" s="26" t="n">
        <f aca="false">datos_base!$C$14*parametros_recargas!G$67+sobrestock_sustitutos!$B$63/12</f>
        <v>1.21401577549084</v>
      </c>
      <c r="G46" s="26" t="n">
        <f aca="false">datos_base!$C$14*parametros_recargas!H$67+sobrestock_sustitutos!$B$63/12</f>
        <v>1.21401577549084</v>
      </c>
      <c r="H46" s="26" t="n">
        <f aca="false">datos_base!$C$14*parametros_recargas!I$67+sobrestock_sustitutos!$B$63/12</f>
        <v>1.21401577549084</v>
      </c>
      <c r="I46" s="26" t="n">
        <f aca="false">datos_base!$C$14*parametros_recargas!J$67+sobrestock_sustitutos!$B$63/12</f>
        <v>1.21401577549084</v>
      </c>
      <c r="J46" s="26" t="n">
        <f aca="false">datos_base!$C$14*parametros_recargas!K$67+sobrestock_sustitutos!$B$63/12</f>
        <v>1.21401577549084</v>
      </c>
      <c r="K46" s="26" t="n">
        <f aca="false">datos_base!$C$14*parametros_recargas!L$67+sobrestock_sustitutos!$B$63/12</f>
        <v>1.21401577549084</v>
      </c>
      <c r="L46" s="26" t="n">
        <f aca="false">datos_base!$C$14*parametros_recargas!M$67+sobrestock_sustitutos!$B$63/12</f>
        <v>1.21401577549084</v>
      </c>
      <c r="M46" s="26" t="n">
        <f aca="false">datos_base!$C$14*parametros_recargas!N$67+sobrestock_sustitutos!$B$63/12</f>
        <v>1.21401577549084</v>
      </c>
      <c r="N46" s="26" t="n">
        <f aca="false">datos_base!$C$14*parametros_recargas!O$67+sobrestock_sustitutos!$B$63/12</f>
        <v>1.21401577549084</v>
      </c>
      <c r="O46" s="26" t="n">
        <f aca="false">datos_base!$C$14*parametros_recargas!P$67+sobrestock_sustitutos!$B$63/12</f>
        <v>1.21401577549084</v>
      </c>
      <c r="P46" s="12" t="n">
        <f aca="false">SUM(D46:O46)</f>
        <v>14.5681893058901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6" t="n">
        <f aca="false">datos_base!$C$15*parametros_recargas!E$68+sobrestock_sustitutos!$B$64/12</f>
        <v>1.91280858952448</v>
      </c>
      <c r="E47" s="26" t="n">
        <f aca="false">datos_base!$C$15*parametros_recargas!F$68+sobrestock_sustitutos!$B$64/12</f>
        <v>1.91280858952448</v>
      </c>
      <c r="F47" s="26" t="n">
        <f aca="false">datos_base!$C$15*parametros_recargas!G$68+sobrestock_sustitutos!$B$64/12</f>
        <v>2.13112432849929</v>
      </c>
      <c r="G47" s="26" t="n">
        <f aca="false">datos_base!$C$15*parametros_recargas!H$68+sobrestock_sustitutos!$B$64/12</f>
        <v>2.42565847368768</v>
      </c>
      <c r="H47" s="26" t="n">
        <f aca="false">datos_base!$C$15*parametros_recargas!I$68+sobrestock_sustitutos!$B$64/12</f>
        <v>2.44318340773449</v>
      </c>
      <c r="I47" s="26" t="n">
        <f aca="false">datos_base!$C$15*parametros_recargas!J$68+sobrestock_sustitutos!$B$64/12</f>
        <v>2.33367373532116</v>
      </c>
      <c r="J47" s="26" t="n">
        <f aca="false">datos_base!$C$15*parametros_recargas!K$68+sobrestock_sustitutos!$B$64/12</f>
        <v>1.99620655596267</v>
      </c>
      <c r="K47" s="26" t="n">
        <f aca="false">datos_base!$C$15*parametros_recargas!L$68+sobrestock_sustitutos!$B$64/12</f>
        <v>2.02337325797985</v>
      </c>
      <c r="L47" s="26" t="n">
        <f aca="false">datos_base!$C$15*parametros_recargas!M$68+sobrestock_sustitutos!$B$64/12</f>
        <v>2.13288293039318</v>
      </c>
      <c r="M47" s="26" t="n">
        <f aca="false">datos_base!$C$15*parametros_recargas!N$68+sobrestock_sustitutos!$B$64/12</f>
        <v>2.13288293039318</v>
      </c>
      <c r="N47" s="26" t="n">
        <f aca="false">datos_base!$C$15*parametros_recargas!O$68+sobrestock_sustitutos!$B$64/12</f>
        <v>2.11535799634636</v>
      </c>
      <c r="O47" s="26" t="n">
        <f aca="false">datos_base!$C$15*parametros_recargas!P$68+sobrestock_sustitutos!$B$64/12</f>
        <v>2.22486766875969</v>
      </c>
      <c r="P47" s="12" t="n">
        <f aca="false">SUM(D47:O47)</f>
        <v>25.7848284641265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6" t="n">
        <f aca="false">datos_base!$C$16*parametros_recargas!E$69+sobrestock_sustitutos!$B$65/12</f>
        <v>4.10816819067274</v>
      </c>
      <c r="E48" s="26" t="n">
        <f aca="false">datos_base!$C$16*parametros_recargas!F$69+sobrestock_sustitutos!$B$65/12</f>
        <v>4.10816819067274</v>
      </c>
      <c r="F48" s="26" t="n">
        <f aca="false">datos_base!$C$16*parametros_recargas!G$69+sobrestock_sustitutos!$B$65/12</f>
        <v>4.58846410192191</v>
      </c>
      <c r="G48" s="26" t="n">
        <f aca="false">datos_base!$C$16*parametros_recargas!H$69+sobrestock_sustitutos!$B$65/12</f>
        <v>5.23647134631091</v>
      </c>
      <c r="H48" s="26" t="n">
        <f aca="false">datos_base!$C$16*parametros_recargas!I$69+sobrestock_sustitutos!$B$65/12</f>
        <v>5.27501066297309</v>
      </c>
      <c r="I48" s="26" t="n">
        <f aca="false">datos_base!$C$16*parametros_recargas!J$69+sobrestock_sustitutos!$B$65/12</f>
        <v>5.03408906199586</v>
      </c>
      <c r="J48" s="26" t="n">
        <f aca="false">datos_base!$C$16*parametros_recargas!K$69+sobrestock_sustitutos!$B$65/12</f>
        <v>4.29166770869488</v>
      </c>
      <c r="K48" s="26" t="n">
        <f aca="false">datos_base!$C$16*parametros_recargas!L$69+sobrestock_sustitutos!$B$65/12</f>
        <v>4.35141086643164</v>
      </c>
      <c r="L48" s="26" t="n">
        <f aca="false">datos_base!$C$16*parametros_recargas!M$69+sobrestock_sustitutos!$B$65/12</f>
        <v>4.59233246740887</v>
      </c>
      <c r="M48" s="26" t="n">
        <f aca="false">datos_base!$C$16*parametros_recargas!N$69+sobrestock_sustitutos!$B$65/12</f>
        <v>4.59233246740887</v>
      </c>
      <c r="N48" s="26" t="n">
        <f aca="false">datos_base!$C$16*parametros_recargas!O$69+sobrestock_sustitutos!$B$65/12</f>
        <v>4.55379315074669</v>
      </c>
      <c r="O48" s="26" t="n">
        <f aca="false">datos_base!$C$16*parametros_recargas!P$69+sobrestock_sustitutos!$B$65/12</f>
        <v>4.79471475172392</v>
      </c>
      <c r="P48" s="12" t="n">
        <f aca="false">SUM(D48:O48)</f>
        <v>55.5266229669621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6" t="n">
        <f aca="false">datos_base!$C$17*parametros_recargas!E$70+sobrestock_sustitutos!$B$66/12</f>
        <v>0.96147129279573</v>
      </c>
      <c r="E49" s="26" t="n">
        <f aca="false">datos_base!$C$17*parametros_recargas!F$70+sobrestock_sustitutos!$B$66/12</f>
        <v>0.96147129279573</v>
      </c>
      <c r="F49" s="26" t="n">
        <f aca="false">datos_base!$C$17*parametros_recargas!G$70+sobrestock_sustitutos!$B$66/12</f>
        <v>1.06626879491325</v>
      </c>
      <c r="G49" s="26" t="n">
        <f aca="false">datos_base!$C$17*parametros_recargas!H$70+sobrestock_sustitutos!$B$66/12</f>
        <v>1.2076589091867</v>
      </c>
      <c r="H49" s="26" t="n">
        <f aca="false">datos_base!$C$17*parametros_recargas!I$70+sobrestock_sustitutos!$B$66/12</f>
        <v>1.21606755105434</v>
      </c>
      <c r="I49" s="26" t="n">
        <f aca="false">datos_base!$C$17*parametros_recargas!J$70+sobrestock_sustitutos!$B$66/12</f>
        <v>1.16350425586072</v>
      </c>
      <c r="J49" s="26" t="n">
        <f aca="false">datos_base!$C$17*parametros_recargas!K$70+sobrestock_sustitutos!$B$66/12</f>
        <v>1.00151583726697</v>
      </c>
      <c r="K49" s="26" t="n">
        <f aca="false">datos_base!$C$17*parametros_recargas!L$70+sobrestock_sustitutos!$B$66/12</f>
        <v>1.01455210041722</v>
      </c>
      <c r="L49" s="26" t="n">
        <f aca="false">datos_base!$C$17*parametros_recargas!M$70+sobrestock_sustitutos!$B$66/12</f>
        <v>1.06711539561084</v>
      </c>
      <c r="M49" s="26" t="n">
        <f aca="false">datos_base!$C$17*parametros_recargas!N$70+sobrestock_sustitutos!$B$66/12</f>
        <v>1.06711539561084</v>
      </c>
      <c r="N49" s="26" t="n">
        <f aca="false">datos_base!$C$17*parametros_recargas!O$70+sobrestock_sustitutos!$B$66/12</f>
        <v>1.0587067537432</v>
      </c>
      <c r="O49" s="26" t="n">
        <f aca="false">datos_base!$C$17*parametros_recargas!P$70+sobrestock_sustitutos!$B$66/12</f>
        <v>1.11127004893682</v>
      </c>
      <c r="P49" s="12" t="n">
        <f aca="false">SUM(D49:O49)</f>
        <v>12.8967176281923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6" t="n">
        <f aca="false">datos_base!$C$18*parametros_recargas!E$71+sobrestock_sustitutos!$B$67/12</f>
        <v>0.66875095250711</v>
      </c>
      <c r="E50" s="26" t="n">
        <f aca="false">datos_base!$C$18*parametros_recargas!F$71+sobrestock_sustitutos!$B$67/12</f>
        <v>0.66875095250711</v>
      </c>
      <c r="F50" s="26" t="n">
        <f aca="false">datos_base!$C$18*parametros_recargas!G$71+sobrestock_sustitutos!$B$67/12</f>
        <v>0.738623761599138</v>
      </c>
      <c r="G50" s="26" t="n">
        <f aca="false">datos_base!$C$18*parametros_recargas!H$71+sobrestock_sustitutos!$B$67/12</f>
        <v>0.832892439613893</v>
      </c>
      <c r="H50" s="26" t="n">
        <f aca="false">datos_base!$C$18*parametros_recargas!I$71+sobrestock_sustitutos!$B$67/12</f>
        <v>0.83849398395699</v>
      </c>
      <c r="I50" s="26" t="n">
        <f aca="false">datos_base!$C$18*parametros_recargas!J$71+sobrestock_sustitutos!$B$67/12</f>
        <v>0.80345499463396</v>
      </c>
      <c r="J50" s="26" t="n">
        <f aca="false">datos_base!$C$18*parametros_recargas!K$71+sobrestock_sustitutos!$B$67/12</f>
        <v>0.695462439904408</v>
      </c>
      <c r="K50" s="26" t="n">
        <f aca="false">datos_base!$C$18*parametros_recargas!L$71+sobrestock_sustitutos!$B$67/12</f>
        <v>0.704144740562</v>
      </c>
      <c r="L50" s="26" t="n">
        <f aca="false">datos_base!$C$18*parametros_recargas!M$71+sobrestock_sustitutos!$B$67/12</f>
        <v>0.73918372988503</v>
      </c>
      <c r="M50" s="26" t="n">
        <f aca="false">datos_base!$C$18*parametros_recargas!N$71+sobrestock_sustitutos!$B$67/12</f>
        <v>0.73918372988503</v>
      </c>
      <c r="N50" s="26" t="n">
        <f aca="false">datos_base!$C$18*parametros_recargas!O$71+sobrestock_sustitutos!$B$67/12</f>
        <v>0.733582185541932</v>
      </c>
      <c r="O50" s="26" t="n">
        <f aca="false">datos_base!$C$18*parametros_recargas!P$71+sobrestock_sustitutos!$B$67/12</f>
        <v>0.768621174864962</v>
      </c>
      <c r="P50" s="12" t="n">
        <f aca="false">SUM(D50:O50)</f>
        <v>8.93114508546156</v>
      </c>
    </row>
    <row r="51" customFormat="false" ht="15" hidden="false" customHeight="false" outlineLevel="0" collapsed="false">
      <c r="A51" s="4" t="s">
        <v>385</v>
      </c>
      <c r="D51" s="12" t="n">
        <f aca="false">SUM(D34:D50)</f>
        <v>853.321859812307</v>
      </c>
      <c r="E51" s="12" t="n">
        <f aca="false">SUM(E34:E50)</f>
        <v>730.053239097545</v>
      </c>
      <c r="F51" s="12" t="n">
        <f aca="false">SUM(F34:F50)</f>
        <v>675.361763989866</v>
      </c>
      <c r="G51" s="12" t="n">
        <f aca="false">SUM(G34:G50)</f>
        <v>738.615324959746</v>
      </c>
      <c r="H51" s="12" t="n">
        <f aca="false">SUM(H34:H50)</f>
        <v>744.318408527544</v>
      </c>
      <c r="I51" s="12" t="n">
        <f aca="false">SUM(I34:I50)</f>
        <v>737.102638076019</v>
      </c>
      <c r="J51" s="12" t="n">
        <f aca="false">SUM(J34:J50)</f>
        <v>661.26136216264</v>
      </c>
      <c r="K51" s="12" t="n">
        <f aca="false">SUM(K34:K50)</f>
        <v>667.01280558521</v>
      </c>
      <c r="L51" s="12" t="n">
        <f aca="false">SUM(L34:L50)</f>
        <v>673.110282060454</v>
      </c>
      <c r="M51" s="12" t="n">
        <f aca="false">SUM(M34:M50)</f>
        <v>673.110282060454</v>
      </c>
      <c r="N51" s="12" t="n">
        <f aca="false">SUM(N34:N50)</f>
        <v>790.675819207418</v>
      </c>
      <c r="O51" s="12" t="n">
        <f aca="false">SUM(O34:O50)</f>
        <v>921.160210373704</v>
      </c>
      <c r="P51" s="12" t="n">
        <f aca="false">SUM(P34:P50)</f>
        <v>8865.10399591291</v>
      </c>
    </row>
    <row r="52" customFormat="false" ht="15" hidden="false" customHeight="false" outlineLevel="0" collapsed="false">
      <c r="A52" s="4" t="s">
        <v>386</v>
      </c>
    </row>
    <row r="53" customFormat="false" ht="15" hidden="false" customHeight="false" outlineLevel="0" collapsed="false">
      <c r="A53" s="5" t="s">
        <v>165</v>
      </c>
      <c r="D53" s="26" t="n">
        <f aca="false">SUMPRODUCT(($B$34:$B$50=$A53)*D$34:D$50*$C$34:$C$50)</f>
        <v>818.598254612517</v>
      </c>
      <c r="E53" s="26" t="n">
        <f aca="false">SUMPRODUCT(($B$34:$B$50=$A53)*E$34:E$50*$C$34:$C$50)</f>
        <v>695.329633897755</v>
      </c>
      <c r="F53" s="26" t="n">
        <f aca="false">SUMPRODUCT(($B$34:$B$50=$A53)*F$34:F$50*$C$34:$C$50)</f>
        <v>629.759222406426</v>
      </c>
      <c r="G53" s="26" t="n">
        <f aca="false">SUMPRODUCT(($B$34:$B$50=$A53)*G$34:G$50*$C$34:$C$50)</f>
        <v>684.198167878581</v>
      </c>
      <c r="H53" s="26" t="n">
        <f aca="false">SUMPRODUCT(($B$34:$B$50=$A53)*H$34:H$50*$C$34:$C$50)</f>
        <v>689.11136580499</v>
      </c>
      <c r="I53" s="26" t="n">
        <f aca="false">SUMPRODUCT(($B$34:$B$50=$A53)*I$34:I$50*$C$34:$C$50)</f>
        <v>682.255331579796</v>
      </c>
      <c r="J53" s="26" t="n">
        <f aca="false">SUMPRODUCT(($B$34:$B$50=$A53)*J$34:J$50*$C$34:$C$50)</f>
        <v>617.107579659495</v>
      </c>
      <c r="K53" s="26" t="n">
        <f aca="false">SUMPRODUCT(($B$34:$B$50=$A53)*K$34:K$50*$C$34:$C$50)</f>
        <v>622.614286057579</v>
      </c>
      <c r="L53" s="26" t="n">
        <f aca="false">SUMPRODUCT(($B$34:$B$50=$A53)*L$34:L$50*$C$34:$C$50)</f>
        <v>628.611000567921</v>
      </c>
      <c r="M53" s="26" t="n">
        <f aca="false">SUMPRODUCT(($B$34:$B$50=$A53)*M$34:M$50*$C$34:$C$50)</f>
        <v>628.611000567921</v>
      </c>
      <c r="N53" s="26" t="n">
        <f aca="false">SUMPRODUCT(($B$34:$B$50=$A53)*N$34:N$50*$C$34:$C$50)</f>
        <v>746.966423356273</v>
      </c>
      <c r="O53" s="26" t="n">
        <f aca="false">SUMPRODUCT(($B$34:$B$50=$A53)*O$34:O$50*$C$34:$C$50)</f>
        <v>877.091078296228</v>
      </c>
      <c r="P53" s="26" t="n">
        <f aca="false">SUMPRODUCT(($B$34:$B$50=$A53)*P$34:P$50*$C$34:$C$50)</f>
        <v>8320.25334468548</v>
      </c>
    </row>
    <row r="54" customFormat="false" ht="15" hidden="false" customHeight="false" outlineLevel="0" collapsed="false">
      <c r="A54" s="5" t="s">
        <v>166</v>
      </c>
      <c r="D54" s="26" t="n">
        <f aca="false">SUMPRODUCT(($B$34:$B$50=$A54)*D$34:D$50*$C$34:$C$50)</f>
        <v>1.21401577549084</v>
      </c>
      <c r="E54" s="26" t="n">
        <f aca="false">SUMPRODUCT(($B$34:$B$50=$A54)*E$34:E$50*$C$34:$C$50)</f>
        <v>1.21401577549084</v>
      </c>
      <c r="F54" s="26" t="n">
        <f aca="false">SUMPRODUCT(($B$34:$B$50=$A54)*F$34:F$50*$C$34:$C$50)</f>
        <v>1.21401577549084</v>
      </c>
      <c r="G54" s="26" t="n">
        <f aca="false">SUMPRODUCT(($B$34:$B$50=$A54)*G$34:G$50*$C$34:$C$50)</f>
        <v>1.21401577549084</v>
      </c>
      <c r="H54" s="26" t="n">
        <f aca="false">SUMPRODUCT(($B$34:$B$50=$A54)*H$34:H$50*$C$34:$C$50)</f>
        <v>1.21401577549084</v>
      </c>
      <c r="I54" s="26" t="n">
        <f aca="false">SUMPRODUCT(($B$34:$B$50=$A54)*I$34:I$50*$C$34:$C$50)</f>
        <v>1.21401577549084</v>
      </c>
      <c r="J54" s="26" t="n">
        <f aca="false">SUMPRODUCT(($B$34:$B$50=$A54)*J$34:J$50*$C$34:$C$50)</f>
        <v>1.21401577549084</v>
      </c>
      <c r="K54" s="26" t="n">
        <f aca="false">SUMPRODUCT(($B$34:$B$50=$A54)*K$34:K$50*$C$34:$C$50)</f>
        <v>1.21401577549084</v>
      </c>
      <c r="L54" s="26" t="n">
        <f aca="false">SUMPRODUCT(($B$34:$B$50=$A54)*L$34:L$50*$C$34:$C$50)</f>
        <v>1.21401577549084</v>
      </c>
      <c r="M54" s="26" t="n">
        <f aca="false">SUMPRODUCT(($B$34:$B$50=$A54)*M$34:M$50*$C$34:$C$50)</f>
        <v>1.21401577549084</v>
      </c>
      <c r="N54" s="26" t="n">
        <f aca="false">SUMPRODUCT(($B$34:$B$50=$A54)*N$34:N$50*$C$34:$C$50)</f>
        <v>1.21401577549084</v>
      </c>
      <c r="O54" s="26" t="n">
        <f aca="false">SUMPRODUCT(($B$34:$B$50=$A54)*O$34:O$50*$C$34:$C$50)</f>
        <v>1.21401577549084</v>
      </c>
      <c r="P54" s="26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5" t="s">
        <v>167</v>
      </c>
      <c r="D55" s="26" t="n">
        <f aca="false">SUMPRODUCT(($B$34:$B$50=$A55)*D$34:D$50*$C$34:$C$50)</f>
        <v>1.21401577549084</v>
      </c>
      <c r="E55" s="26" t="n">
        <f aca="false">SUMPRODUCT(($B$34:$B$50=$A55)*E$34:E$50*$C$34:$C$50)</f>
        <v>1.21401577549084</v>
      </c>
      <c r="F55" s="26" t="n">
        <f aca="false">SUMPRODUCT(($B$34:$B$50=$A55)*F$34:F$50*$C$34:$C$50)</f>
        <v>1.21401577549084</v>
      </c>
      <c r="G55" s="26" t="n">
        <f aca="false">SUMPRODUCT(($B$34:$B$50=$A55)*G$34:G$50*$C$34:$C$50)</f>
        <v>1.21401577549084</v>
      </c>
      <c r="H55" s="26" t="n">
        <f aca="false">SUMPRODUCT(($B$34:$B$50=$A55)*H$34:H$50*$C$34:$C$50)</f>
        <v>1.21401577549084</v>
      </c>
      <c r="I55" s="26" t="n">
        <f aca="false">SUMPRODUCT(($B$34:$B$50=$A55)*I$34:I$50*$C$34:$C$50)</f>
        <v>1.21401577549084</v>
      </c>
      <c r="J55" s="26" t="n">
        <f aca="false">SUMPRODUCT(($B$34:$B$50=$A55)*J$34:J$50*$C$34:$C$50)</f>
        <v>1.21401577549084</v>
      </c>
      <c r="K55" s="26" t="n">
        <f aca="false">SUMPRODUCT(($B$34:$B$50=$A55)*K$34:K$50*$C$34:$C$50)</f>
        <v>1.21401577549084</v>
      </c>
      <c r="L55" s="26" t="n">
        <f aca="false">SUMPRODUCT(($B$34:$B$50=$A55)*L$34:L$50*$C$34:$C$50)</f>
        <v>1.21401577549084</v>
      </c>
      <c r="M55" s="26" t="n">
        <f aca="false">SUMPRODUCT(($B$34:$B$50=$A55)*M$34:M$50*$C$34:$C$50)</f>
        <v>1.21401577549084</v>
      </c>
      <c r="N55" s="26" t="n">
        <f aca="false">SUMPRODUCT(($B$34:$B$50=$A55)*N$34:N$50*$C$34:$C$50)</f>
        <v>1.21401577549084</v>
      </c>
      <c r="O55" s="26" t="n">
        <f aca="false">SUMPRODUCT(($B$34:$B$50=$A55)*O$34:O$50*$C$34:$C$50)</f>
        <v>1.21401577549084</v>
      </c>
      <c r="P55" s="26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5" t="s">
        <v>168</v>
      </c>
      <c r="D56" s="26" t="n">
        <f aca="false">SUMPRODUCT(($B$34:$B$50=$A56)*D$34:D$50*$C$34:$C$50)</f>
        <v>12.5329344375925</v>
      </c>
      <c r="E56" s="26" t="n">
        <f aca="false">SUMPRODUCT(($B$34:$B$50=$A56)*E$34:E$50*$C$34:$C$50)</f>
        <v>12.5329344375925</v>
      </c>
      <c r="F56" s="26" t="n">
        <f aca="false">SUMPRODUCT(($B$34:$B$50=$A56)*F$34:F$50*$C$34:$C$50)</f>
        <v>15.4690033023223</v>
      </c>
      <c r="G56" s="26" t="n">
        <f aca="false">SUMPRODUCT(($B$34:$B$50=$A56)*G$34:G$50*$C$34:$C$50)</f>
        <v>18.5281842960153</v>
      </c>
      <c r="H56" s="26" t="n">
        <f aca="false">SUMPRODUCT(($B$34:$B$50=$A56)*H$34:H$50*$C$34:$C$50)</f>
        <v>18.6893858334108</v>
      </c>
      <c r="I56" s="26" t="n">
        <f aca="false">SUMPRODUCT(($B$34:$B$50=$A56)*I$34:I$50*$C$34:$C$50)</f>
        <v>18.0759822187101</v>
      </c>
      <c r="J56" s="26" t="n">
        <f aca="false">SUMPRODUCT(($B$34:$B$50=$A56)*J$34:J$50*$C$34:$C$50)</f>
        <v>14.6131489573292</v>
      </c>
      <c r="K56" s="26" t="n">
        <f aca="false">SUMPRODUCT(($B$34:$B$50=$A56)*K$34:K$50*$C$34:$C$50)</f>
        <v>14.6877112766751</v>
      </c>
      <c r="L56" s="26" t="n">
        <f aca="false">SUMPRODUCT(($B$34:$B$50=$A56)*L$34:L$50*$C$34:$C$50)</f>
        <v>15.2594670007388</v>
      </c>
      <c r="M56" s="26" t="n">
        <f aca="false">SUMPRODUCT(($B$34:$B$50=$A56)*M$34:M$50*$C$34:$C$50)</f>
        <v>15.2594670007388</v>
      </c>
      <c r="N56" s="26" t="n">
        <f aca="false">SUMPRODUCT(($B$34:$B$50=$A56)*N$34:N$50*$C$34:$C$50)</f>
        <v>15.0982654633433</v>
      </c>
      <c r="O56" s="26" t="n">
        <f aca="false">SUMPRODUCT(($B$34:$B$50=$A56)*O$34:O$50*$C$34:$C$50)</f>
        <v>15.711669078044</v>
      </c>
      <c r="P56" s="26" t="n">
        <f aca="false">SUMPRODUCT(($B$34:$B$50=$A56)*P$34:P$50*$C$34:$C$50)</f>
        <v>186.458153302512</v>
      </c>
    </row>
    <row r="57" customFormat="false" ht="15" hidden="false" customHeight="false" outlineLevel="0" collapsed="false">
      <c r="A57" s="5" t="s">
        <v>169</v>
      </c>
      <c r="D57" s="26" t="n">
        <f aca="false">SUMPRODUCT(($B$34:$B$50=$A57)*D$34:D$50*$C$34:$C$50)</f>
        <v>17.2035387397743</v>
      </c>
      <c r="E57" s="26" t="n">
        <f aca="false">SUMPRODUCT(($B$34:$B$50=$A57)*E$34:E$50*$C$34:$C$50)</f>
        <v>17.2035387397743</v>
      </c>
      <c r="F57" s="26" t="n">
        <f aca="false">SUMPRODUCT(($B$34:$B$50=$A57)*F$34:F$50*$C$34:$C$50)</f>
        <v>17.2035387397743</v>
      </c>
      <c r="G57" s="26" t="n">
        <f aca="false">SUMPRODUCT(($B$34:$B$50=$A57)*G$34:G$50*$C$34:$C$50)</f>
        <v>17.2035387397743</v>
      </c>
      <c r="H57" s="26" t="n">
        <f aca="false">SUMPRODUCT(($B$34:$B$50=$A57)*H$34:H$50*$C$34:$C$50)</f>
        <v>17.2035387397743</v>
      </c>
      <c r="I57" s="26" t="n">
        <f aca="false">SUMPRODUCT(($B$34:$B$50=$A57)*I$34:I$50*$C$34:$C$50)</f>
        <v>17.2035387397743</v>
      </c>
      <c r="J57" s="26" t="n">
        <f aca="false">SUMPRODUCT(($B$34:$B$50=$A57)*J$34:J$50*$C$34:$C$50)</f>
        <v>17.2035387397743</v>
      </c>
      <c r="K57" s="26" t="n">
        <f aca="false">SUMPRODUCT(($B$34:$B$50=$A57)*K$34:K$50*$C$34:$C$50)</f>
        <v>17.2035387397743</v>
      </c>
      <c r="L57" s="26" t="n">
        <f aca="false">SUMPRODUCT(($B$34:$B$50=$A57)*L$34:L$50*$C$34:$C$50)</f>
        <v>17.2035387397743</v>
      </c>
      <c r="M57" s="26" t="n">
        <f aca="false">SUMPRODUCT(($B$34:$B$50=$A57)*M$34:M$50*$C$34:$C$50)</f>
        <v>17.2035387397743</v>
      </c>
      <c r="N57" s="26" t="n">
        <f aca="false">SUMPRODUCT(($B$34:$B$50=$A57)*N$34:N$50*$C$34:$C$50)</f>
        <v>17.2035387397743</v>
      </c>
      <c r="O57" s="26" t="n">
        <f aca="false">SUMPRODUCT(($B$34:$B$50=$A57)*O$34:O$50*$C$34:$C$50)</f>
        <v>17.2035387397743</v>
      </c>
      <c r="P57" s="26" t="n">
        <f aca="false">SUMPRODUCT(($B$34:$B$50=$A57)*P$34:P$50*$C$34:$C$50)</f>
        <v>206.442464877292</v>
      </c>
    </row>
    <row r="58" customFormat="false" ht="15" hidden="false" customHeight="false" outlineLevel="0" collapsed="false">
      <c r="A58" s="5" t="s">
        <v>170</v>
      </c>
      <c r="D58" s="26" t="n">
        <f aca="false">SUMPRODUCT(($B$34:$B$50=$A58)*D$34:D$50*$C$34:$C$50)</f>
        <v>6.7920896236823</v>
      </c>
      <c r="E58" s="26" t="n">
        <f aca="false">SUMPRODUCT(($B$34:$B$50=$A58)*E$34:E$50*$C$34:$C$50)</f>
        <v>6.7920896236823</v>
      </c>
      <c r="F58" s="26" t="n">
        <f aca="false">SUMPRODUCT(($B$34:$B$50=$A58)*F$34:F$50*$C$34:$C$50)</f>
        <v>8.2081396042947</v>
      </c>
      <c r="G58" s="26" t="n">
        <f aca="false">SUMPRODUCT(($B$34:$B$50=$A58)*G$34:G$50*$C$34:$C$50)</f>
        <v>9.18232815356065</v>
      </c>
      <c r="H58" s="26" t="n">
        <f aca="false">SUMPRODUCT(($B$34:$B$50=$A58)*H$34:H$50*$C$34:$C$50)</f>
        <v>9.50618898407372</v>
      </c>
      <c r="I58" s="26" t="n">
        <f aca="false">SUMPRODUCT(($B$34:$B$50=$A58)*I$34:I$50*$C$34:$C$50)</f>
        <v>9.29813737851679</v>
      </c>
      <c r="J58" s="26" t="n">
        <f aca="false">SUMPRODUCT(($B$34:$B$50=$A58)*J$34:J$50*$C$34:$C$50)</f>
        <v>7.51320106502955</v>
      </c>
      <c r="K58" s="26" t="n">
        <f aca="false">SUMPRODUCT(($B$34:$B$50=$A58)*K$34:K$50*$C$34:$C$50)</f>
        <v>7.99789662286055</v>
      </c>
      <c r="L58" s="26" t="n">
        <f aca="false">SUMPRODUCT(($B$34:$B$50=$A58)*L$34:L$50*$C$34:$C$50)</f>
        <v>8.20594822841747</v>
      </c>
      <c r="M58" s="26" t="n">
        <f aca="false">SUMPRODUCT(($B$34:$B$50=$A58)*M$34:M$50*$C$34:$C$50)</f>
        <v>8.20594822841747</v>
      </c>
      <c r="N58" s="26" t="n">
        <f aca="false">SUMPRODUCT(($B$34:$B$50=$A58)*N$34:N$50*$C$34:$C$50)</f>
        <v>7.8820873979044</v>
      </c>
      <c r="O58" s="26" t="n">
        <f aca="false">SUMPRODUCT(($B$34:$B$50=$A58)*O$34:O$50*$C$34:$C$50)</f>
        <v>8.09013900346133</v>
      </c>
      <c r="P58" s="26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5" t="s">
        <v>171</v>
      </c>
      <c r="D59" s="26" t="n">
        <f aca="false">SUMPRODUCT(($B$34:$B$50=$A59)*D$34:D$50*$C$34:$C$50)</f>
        <v>44.9247271171105</v>
      </c>
      <c r="E59" s="26" t="n">
        <f aca="false">SUMPRODUCT(($B$34:$B$50=$A59)*E$34:E$50*$C$34:$C$50)</f>
        <v>44.9247271171105</v>
      </c>
      <c r="F59" s="26" t="n">
        <f aca="false">SUMPRODUCT(($B$34:$B$50=$A59)*F$34:F$50*$C$34:$C$50)</f>
        <v>56.3800901862307</v>
      </c>
      <c r="G59" s="26" t="n">
        <f aca="false">SUMPRODUCT(($B$34:$B$50=$A59)*G$34:G$50*$C$34:$C$50)</f>
        <v>67.4774951514776</v>
      </c>
      <c r="H59" s="26" t="n">
        <f aca="false">SUMPRODUCT(($B$34:$B$50=$A59)*H$34:H$50*$C$34:$C$50)</f>
        <v>68.157977241657</v>
      </c>
      <c r="I59" s="26" t="n">
        <f aca="false">SUMPRODUCT(($B$34:$B$50=$A59)*I$34:I$50*$C$34:$C$50)</f>
        <v>66.518470883191</v>
      </c>
      <c r="J59" s="26" t="n">
        <f aca="false">SUMPRODUCT(($B$34:$B$50=$A59)*J$34:J$50*$C$34:$C$50)</f>
        <v>53.8362632930888</v>
      </c>
      <c r="K59" s="26" t="n">
        <f aca="false">SUMPRODUCT(($B$34:$B$50=$A59)*K$34:K$50*$C$34:$C$50)</f>
        <v>54.1040835457843</v>
      </c>
      <c r="L59" s="26" t="n">
        <f aca="false">SUMPRODUCT(($B$34:$B$50=$A59)*L$34:L$50*$C$34:$C$50)</f>
        <v>55.5262635334586</v>
      </c>
      <c r="M59" s="26" t="n">
        <f aca="false">SUMPRODUCT(($B$34:$B$50=$A59)*M$34:M$50*$C$34:$C$50)</f>
        <v>55.5262635334586</v>
      </c>
      <c r="N59" s="26" t="n">
        <f aca="false">SUMPRODUCT(($B$34:$B$50=$A59)*N$34:N$50*$C$34:$C$50)</f>
        <v>54.8457814432791</v>
      </c>
      <c r="O59" s="26" t="n">
        <f aca="false">SUMPRODUCT(($B$34:$B$50=$A59)*O$34:O$50*$C$34:$C$50)</f>
        <v>56.4852878017451</v>
      </c>
      <c r="P59" s="26" t="n">
        <f aca="false">SUMPRODUCT(($B$34:$B$50=$A59)*P$34:P$50*$C$34:$C$50)</f>
        <v>678.707430847592</v>
      </c>
    </row>
    <row r="60" customFormat="false" ht="15" hidden="false" customHeight="false" outlineLevel="0" collapsed="false">
      <c r="A60" s="5" t="s">
        <v>172</v>
      </c>
      <c r="D60" s="26" t="n">
        <f aca="false">SUMPRODUCT(($B$34:$B$50=$A60)*D$34:D$50*$C$34:$C$50)</f>
        <v>3.02235367045809</v>
      </c>
      <c r="E60" s="26" t="n">
        <f aca="false">SUMPRODUCT(($B$34:$B$50=$A60)*E$34:E$50*$C$34:$C$50)</f>
        <v>3.02235367045809</v>
      </c>
      <c r="F60" s="26" t="n">
        <f aca="false">SUMPRODUCT(($B$34:$B$50=$A60)*F$34:F$50*$C$34:$C$50)</f>
        <v>2.77534512656385</v>
      </c>
      <c r="G60" s="26" t="n">
        <f aca="false">SUMPRODUCT(($B$34:$B$50=$A60)*G$34:G$50*$C$34:$C$50)</f>
        <v>2.77534512656385</v>
      </c>
      <c r="H60" s="26" t="n">
        <f aca="false">SUMPRODUCT(($B$34:$B$50=$A60)*H$34:H$50*$C$34:$C$50)</f>
        <v>2.77534512656385</v>
      </c>
      <c r="I60" s="26" t="n">
        <f aca="false">SUMPRODUCT(($B$34:$B$50=$A60)*I$34:I$50*$C$34:$C$50)</f>
        <v>2.52833658266961</v>
      </c>
      <c r="J60" s="26" t="n">
        <f aca="false">SUMPRODUCT(($B$34:$B$50=$A60)*J$34:J$50*$C$34:$C$50)</f>
        <v>2.52833658266961</v>
      </c>
      <c r="K60" s="26" t="n">
        <f aca="false">SUMPRODUCT(($B$34:$B$50=$A60)*K$34:K$50*$C$34:$C$50)</f>
        <v>2.52833658266961</v>
      </c>
      <c r="L60" s="26" t="n">
        <f aca="false">SUMPRODUCT(($B$34:$B$50=$A60)*L$34:L$50*$C$34:$C$50)</f>
        <v>2.77534512656385</v>
      </c>
      <c r="M60" s="26" t="n">
        <f aca="false">SUMPRODUCT(($B$34:$B$50=$A60)*M$34:M$50*$C$34:$C$50)</f>
        <v>2.77534512656385</v>
      </c>
      <c r="N60" s="26" t="n">
        <f aca="false">SUMPRODUCT(($B$34:$B$50=$A60)*N$34:N$50*$C$34:$C$50)</f>
        <v>2.77534512656385</v>
      </c>
      <c r="O60" s="26" t="n">
        <f aca="false">SUMPRODUCT(($B$34:$B$50=$A60)*O$34:O$50*$C$34:$C$50)</f>
        <v>3.02235367045809</v>
      </c>
      <c r="P60" s="26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4" t="s">
        <v>387</v>
      </c>
      <c r="D61" s="27" t="n">
        <f aca="false">SUMPRODUCT(D$34:D$50*parametros_recargas!$D$55:$D$71)</f>
        <v>23.8958049151505</v>
      </c>
      <c r="E61" s="27" t="n">
        <f aca="false">SUMPRODUCT(E$34:E$50*parametros_recargas!$D$55:$D$71)</f>
        <v>23.8958049151505</v>
      </c>
      <c r="F61" s="27" t="n">
        <f aca="false">SUMPRODUCT(F$34:F$50*parametros_recargas!$D$55:$D$71)</f>
        <v>26.0205335733885</v>
      </c>
      <c r="G61" s="27" t="n">
        <f aca="false">SUMPRODUCT(G$34:G$50*parametros_recargas!$D$55:$D$71)</f>
        <v>28.9286449360836</v>
      </c>
      <c r="H61" s="27" t="n">
        <f aca="false">SUMPRODUCT(H$34:H$50*parametros_recargas!$D$55:$D$71)</f>
        <v>29.3892270072436</v>
      </c>
      <c r="I61" s="27" t="n">
        <f aca="false">SUMPRODUCT(I$34:I$50*parametros_recargas!$D$55:$D$71)</f>
        <v>28.0124774385021</v>
      </c>
      <c r="J61" s="27" t="n">
        <f aca="false">SUMPRODUCT(J$34:J$50*parametros_recargas!$D$55:$D$71)</f>
        <v>24.5514622785081</v>
      </c>
      <c r="K61" s="27" t="n">
        <f aca="false">SUMPRODUCT(K$34:K$50*parametros_recargas!$D$55:$D$71)</f>
        <v>24.9715812826826</v>
      </c>
      <c r="L61" s="27" t="n">
        <f aca="false">SUMPRODUCT(L$34:L$50*parametros_recargas!$D$55:$D$71)</f>
        <v>26.1310044806324</v>
      </c>
      <c r="M61" s="27" t="n">
        <f aca="false">SUMPRODUCT(M$34:M$50*parametros_recargas!$D$55:$D$71)</f>
        <v>26.1310044806324</v>
      </c>
      <c r="N61" s="27" t="n">
        <f aca="false">SUMPRODUCT(N$34:N$50*parametros_recargas!$D$55:$D$71)</f>
        <v>25.6704224094724</v>
      </c>
      <c r="O61" s="27" t="n">
        <f aca="false">SUMPRODUCT(O$34:O$50*parametros_recargas!$D$55:$D$71)</f>
        <v>27.0471719782139</v>
      </c>
      <c r="P61" s="27" t="n">
        <f aca="false">SUMPRODUCT(P$34:P$50*parametros_recargas!$D$55:$D$71)</f>
        <v>314.64513969566</v>
      </c>
    </row>
    <row r="62" customFormat="false" ht="15" hidden="false" customHeight="false" outlineLevel="0" collapsed="false">
      <c r="A62" s="4" t="s">
        <v>388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0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0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0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0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0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0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0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0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0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0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0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0</v>
      </c>
      <c r="P62" s="12" t="n">
        <f aca="false">SUM(D62:O62)</f>
        <v>0</v>
      </c>
    </row>
    <row r="65" customFormat="false" ht="15" hidden="false" customHeight="false" outlineLevel="0" collapsed="false">
      <c r="A65" s="28" t="n">
        <v>2028</v>
      </c>
      <c r="B65" s="3" t="s">
        <v>383</v>
      </c>
      <c r="C65" s="3" t="s">
        <v>384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6" t="n">
        <f aca="false">datos_base!$D$2*parametros_recargas!E$55+sobrestock_sustitutos!$C$51/12</f>
        <v>1055.61784877037</v>
      </c>
      <c r="E66" s="26" t="n">
        <f aca="false">datos_base!$D$2*parametros_recargas!F$55+sobrestock_sustitutos!$C$51/12</f>
        <v>840.733898440654</v>
      </c>
      <c r="F66" s="26" t="n">
        <f aca="false">datos_base!$D$2*parametros_recargas!G$55+sobrestock_sustitutos!$C$51/12</f>
        <v>626.216448959543</v>
      </c>
      <c r="G66" s="26" t="n">
        <f aca="false">datos_base!$D$2*parametros_recargas!H$55+sobrestock_sustitutos!$C$51/12</f>
        <v>626.216448959543</v>
      </c>
      <c r="H66" s="26" t="n">
        <f aca="false">datos_base!$D$2*parametros_recargas!I$55+sobrestock_sustitutos!$C$51/12</f>
        <v>626.582949808148</v>
      </c>
      <c r="I66" s="26" t="n">
        <f aca="false">datos_base!$D$2*parametros_recargas!J$55+sobrestock_sustitutos!$C$51/12</f>
        <v>626.582949808148</v>
      </c>
      <c r="J66" s="26" t="n">
        <f aca="false">datos_base!$D$2*parametros_recargas!K$55+sobrestock_sustitutos!$C$51/12</f>
        <v>625.985942248356</v>
      </c>
      <c r="K66" s="26" t="n">
        <f aca="false">datos_base!$D$2*parametros_recargas!L$55+sobrestock_sustitutos!$C$51/12</f>
        <v>626.582949808148</v>
      </c>
      <c r="L66" s="26" t="n">
        <f aca="false">datos_base!$D$2*parametros_recargas!M$55+sobrestock_sustitutos!$C$51/12</f>
        <v>626.514952739439</v>
      </c>
      <c r="M66" s="26" t="n">
        <f aca="false">datos_base!$D$2*parametros_recargas!N$55+sobrestock_sustitutos!$C$51/12</f>
        <v>626.514952739439</v>
      </c>
      <c r="N66" s="26" t="n">
        <f aca="false">datos_base!$D$2*parametros_recargas!O$55+sobrestock_sustitutos!$C$51/12</f>
        <v>841.032402220551</v>
      </c>
      <c r="O66" s="26" t="n">
        <f aca="false">datos_base!$D$2*parametros_recargas!P$55+sobrestock_sustitutos!$C$51/12</f>
        <v>1055.91635255027</v>
      </c>
      <c r="P66" s="12" t="n">
        <f aca="false">SUM(D66:O66)</f>
        <v>8804.49809705261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6" t="n">
        <f aca="false">datos_base!$D$3*parametros_recargas!E$56+sobrestock_sustitutos!$C$52/12</f>
        <v>52.261263633425</v>
      </c>
      <c r="E67" s="26" t="n">
        <f aca="false">datos_base!$D$3*parametros_recargas!F$56+sobrestock_sustitutos!$C$52/12</f>
        <v>52.261263633425</v>
      </c>
      <c r="F67" s="26" t="n">
        <f aca="false">datos_base!$D$3*parametros_recargas!G$56+sobrestock_sustitutos!$C$52/12</f>
        <v>70.7873524912992</v>
      </c>
      <c r="G67" s="26" t="n">
        <f aca="false">datos_base!$D$3*parametros_recargas!H$56+sobrestock_sustitutos!$C$52/12</f>
        <v>81.5714121077781</v>
      </c>
      <c r="H67" s="26" t="n">
        <f aca="false">datos_base!$D$3*parametros_recargas!I$56+sobrestock_sustitutos!$C$52/12</f>
        <v>88.3423145988304</v>
      </c>
      <c r="I67" s="26" t="n">
        <f aca="false">datos_base!$D$3*parametros_recargas!J$56+sobrestock_sustitutos!$C$52/12</f>
        <v>87.2681900405332</v>
      </c>
      <c r="J67" s="26" t="n">
        <f aca="false">datos_base!$D$3*parametros_recargas!K$56+sobrestock_sustitutos!$C$52/12</f>
        <v>63.8726535299882</v>
      </c>
      <c r="K67" s="26" t="n">
        <f aca="false">datos_base!$D$3*parametros_recargas!L$56+sobrestock_sustitutos!$C$52/12</f>
        <v>74.4388791154142</v>
      </c>
      <c r="L67" s="26" t="n">
        <f aca="false">datos_base!$D$3*parametros_recargas!M$56+sobrestock_sustitutos!$C$52/12</f>
        <v>74.5365268025321</v>
      </c>
      <c r="M67" s="26" t="n">
        <f aca="false">datos_base!$D$3*parametros_recargas!N$56+sobrestock_sustitutos!$C$52/12</f>
        <v>74.5365268025321</v>
      </c>
      <c r="N67" s="26" t="n">
        <f aca="false">datos_base!$D$3*parametros_recargas!O$56+sobrestock_sustitutos!$C$52/12</f>
        <v>67.7656243114798</v>
      </c>
      <c r="O67" s="26" t="n">
        <f aca="false">datos_base!$D$3*parametros_recargas!P$56+sobrestock_sustitutos!$C$52/12</f>
        <v>68.839748869777</v>
      </c>
      <c r="P67" s="12" t="n">
        <f aca="false">SUM(D67:O67)</f>
        <v>856.481755937014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6" t="n">
        <f aca="false">datos_base!$D$4*parametros_recargas!E$57+sobrestock_sustitutos!$C$53/12</f>
        <v>346.170945214396</v>
      </c>
      <c r="E68" s="26" t="n">
        <f aca="false">datos_base!$D$4*parametros_recargas!F$57+sobrestock_sustitutos!$C$53/12</f>
        <v>337.376803355973</v>
      </c>
      <c r="F68" s="26" t="n">
        <f aca="false">datos_base!$D$4*parametros_recargas!G$57+sobrestock_sustitutos!$C$53/12</f>
        <v>422.754532432878</v>
      </c>
      <c r="G68" s="26" t="n">
        <f aca="false">datos_base!$D$4*parametros_recargas!H$57+sobrestock_sustitutos!$C$53/12</f>
        <v>513.552257287491</v>
      </c>
      <c r="H68" s="26" t="n">
        <f aca="false">datos_base!$D$4*parametros_recargas!I$57+sobrestock_sustitutos!$C$53/12</f>
        <v>516.134029244105</v>
      </c>
      <c r="I68" s="26" t="n">
        <f aca="false">datos_base!$D$4*parametros_recargas!J$57+sobrestock_sustitutos!$C$53/12</f>
        <v>508.880890239713</v>
      </c>
      <c r="J68" s="26" t="n">
        <f aca="false">datos_base!$D$4*parametros_recargas!K$57+sobrestock_sustitutos!$C$53/12</f>
        <v>410.685118726769</v>
      </c>
      <c r="K68" s="26" t="n">
        <f aca="false">datos_base!$D$4*parametros_recargas!L$57+sobrestock_sustitutos!$C$53/12</f>
        <v>410.037652256608</v>
      </c>
      <c r="L68" s="26" t="n">
        <f aca="false">datos_base!$D$4*parametros_recargas!M$57+sobrestock_sustitutos!$C$53/12</f>
        <v>416.396664351428</v>
      </c>
      <c r="M68" s="26" t="n">
        <f aca="false">datos_base!$D$4*parametros_recargas!N$57+sobrestock_sustitutos!$C$53/12</f>
        <v>416.396664351428</v>
      </c>
      <c r="N68" s="26" t="n">
        <f aca="false">datos_base!$D$4*parametros_recargas!O$57+sobrestock_sustitutos!$C$53/12</f>
        <v>422.609034253237</v>
      </c>
      <c r="O68" s="26" t="n">
        <f aca="false">datos_base!$D$4*parametros_recargas!P$57+sobrestock_sustitutos!$C$53/12</f>
        <v>438.656315116052</v>
      </c>
      <c r="P68" s="12" t="n">
        <f aca="false">SUM(D68:O68)</f>
        <v>5159.65090683008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6" t="n">
        <f aca="false">datos_base!$D$5*parametros_recargas!E$58+sobrestock_sustitutos!$C$54/12</f>
        <v>19.6489969586146</v>
      </c>
      <c r="E69" s="26" t="n">
        <f aca="false">datos_base!$D$5*parametros_recargas!F$58+sobrestock_sustitutos!$C$54/12</f>
        <v>19.6489969586146</v>
      </c>
      <c r="F69" s="26" t="n">
        <f aca="false">datos_base!$D$5*parametros_recargas!G$58+sobrestock_sustitutos!$C$54/12</f>
        <v>24.9080296987122</v>
      </c>
      <c r="G69" s="26" t="n">
        <f aca="false">datos_base!$D$5*parametros_recargas!H$58+sobrestock_sustitutos!$C$54/12</f>
        <v>29.8798006779586</v>
      </c>
      <c r="H69" s="26" t="n">
        <f aca="false">datos_base!$D$5*parametros_recargas!I$58+sobrestock_sustitutos!$C$54/12</f>
        <v>30.2675560317094</v>
      </c>
      <c r="I69" s="26" t="n">
        <f aca="false">datos_base!$D$5*parametros_recargas!J$58+sobrestock_sustitutos!$C$54/12</f>
        <v>29.3392654467077</v>
      </c>
      <c r="J69" s="26" t="n">
        <f aca="false">datos_base!$D$5*parametros_recargas!K$58+sobrestock_sustitutos!$C$54/12</f>
        <v>23.1780852639086</v>
      </c>
      <c r="K69" s="26" t="n">
        <f aca="false">datos_base!$D$5*parametros_recargas!L$58+sobrestock_sustitutos!$C$54/12</f>
        <v>23.5396974753591</v>
      </c>
      <c r="L69" s="26" t="n">
        <f aca="false">datos_base!$D$5*parametros_recargas!M$58+sobrestock_sustitutos!$C$54/12</f>
        <v>24.4679880603608</v>
      </c>
      <c r="M69" s="26" t="n">
        <f aca="false">datos_base!$D$5*parametros_recargas!N$58+sobrestock_sustitutos!$C$54/12</f>
        <v>24.4679880603608</v>
      </c>
      <c r="N69" s="26" t="n">
        <f aca="false">datos_base!$D$5*parametros_recargas!O$58+sobrestock_sustitutos!$C$54/12</f>
        <v>24.08023270661</v>
      </c>
      <c r="O69" s="26" t="n">
        <f aca="false">datos_base!$D$5*parametros_recargas!P$58+sobrestock_sustitutos!$C$54/12</f>
        <v>25.0085232916117</v>
      </c>
      <c r="P69" s="12" t="n">
        <f aca="false">SUM(D69:O69)</f>
        <v>298.435160630528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6" t="n">
        <f aca="false">datos_base!$D$6*parametros_recargas!E$59+sobrestock_sustitutos!$C$55/12</f>
        <v>28.8607756948255</v>
      </c>
      <c r="E70" s="26" t="n">
        <f aca="false">datos_base!$D$6*parametros_recargas!F$59+sobrestock_sustitutos!$C$55/12</f>
        <v>28.8607756948255</v>
      </c>
      <c r="F70" s="26" t="n">
        <f aca="false">datos_base!$D$6*parametros_recargas!G$59+sobrestock_sustitutos!$C$55/12</f>
        <v>35.588584450023</v>
      </c>
      <c r="G70" s="26" t="n">
        <f aca="false">datos_base!$D$6*parametros_recargas!H$59+sobrestock_sustitutos!$C$55/12</f>
        <v>42.5984965540416</v>
      </c>
      <c r="H70" s="26" t="n">
        <f aca="false">datos_base!$D$6*parametros_recargas!I$59+sobrestock_sustitutos!$C$55/12</f>
        <v>42.9678792778833</v>
      </c>
      <c r="I70" s="26" t="n">
        <f aca="false">datos_base!$D$6*parametros_recargas!J$59+sobrestock_sustitutos!$C$55/12</f>
        <v>41.562305226461</v>
      </c>
      <c r="J70" s="26" t="n">
        <f aca="false">datos_base!$D$6*parametros_recargas!K$59+sobrestock_sustitutos!$C$55/12</f>
        <v>33.6274504914202</v>
      </c>
      <c r="K70" s="26" t="n">
        <f aca="false">datos_base!$D$6*parametros_recargas!L$59+sobrestock_sustitutos!$C$55/12</f>
        <v>33.798305143683</v>
      </c>
      <c r="L70" s="26" t="n">
        <f aca="false">datos_base!$D$6*parametros_recargas!M$59+sobrestock_sustitutos!$C$55/12</f>
        <v>35.1084457920849</v>
      </c>
      <c r="M70" s="26" t="n">
        <f aca="false">datos_base!$D$6*parametros_recargas!N$59+sobrestock_sustitutos!$C$55/12</f>
        <v>35.1084457920849</v>
      </c>
      <c r="N70" s="26" t="n">
        <f aca="false">datos_base!$D$6*parametros_recargas!O$59+sobrestock_sustitutos!$C$55/12</f>
        <v>34.7390630682432</v>
      </c>
      <c r="O70" s="26" t="n">
        <f aca="false">datos_base!$D$6*parametros_recargas!P$59+sobrestock_sustitutos!$C$55/12</f>
        <v>36.1446371196655</v>
      </c>
      <c r="P70" s="12" t="n">
        <f aca="false">SUM(D70:O70)</f>
        <v>428.965164305242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6" t="n">
        <f aca="false">datos_base!$D$7*parametros_recargas!E$60+sobrestock_sustitutos!$C$56/12</f>
        <v>7.68814790417617</v>
      </c>
      <c r="E71" s="26" t="n">
        <f aca="false">datos_base!$D$7*parametros_recargas!F$60+sobrestock_sustitutos!$C$56/12</f>
        <v>7.68814790417617</v>
      </c>
      <c r="F71" s="26" t="n">
        <f aca="false">datos_base!$D$7*parametros_recargas!G$60+sobrestock_sustitutos!$C$56/12</f>
        <v>7.68814790417617</v>
      </c>
      <c r="G71" s="26" t="n">
        <f aca="false">datos_base!$D$7*parametros_recargas!H$60+sobrestock_sustitutos!$C$56/12</f>
        <v>7.68814790417617</v>
      </c>
      <c r="H71" s="26" t="n">
        <f aca="false">datos_base!$D$7*parametros_recargas!I$60+sobrestock_sustitutos!$C$56/12</f>
        <v>7.68814790417617</v>
      </c>
      <c r="I71" s="26" t="n">
        <f aca="false">datos_base!$D$7*parametros_recargas!J$60+sobrestock_sustitutos!$C$56/12</f>
        <v>7.68814790417617</v>
      </c>
      <c r="J71" s="26" t="n">
        <f aca="false">datos_base!$D$7*parametros_recargas!K$60+sobrestock_sustitutos!$C$56/12</f>
        <v>7.68814790417617</v>
      </c>
      <c r="K71" s="26" t="n">
        <f aca="false">datos_base!$D$7*parametros_recargas!L$60+sobrestock_sustitutos!$C$56/12</f>
        <v>7.68814790417617</v>
      </c>
      <c r="L71" s="26" t="n">
        <f aca="false">datos_base!$D$7*parametros_recargas!M$60+sobrestock_sustitutos!$C$56/12</f>
        <v>7.68814790417617</v>
      </c>
      <c r="M71" s="26" t="n">
        <f aca="false">datos_base!$D$7*parametros_recargas!N$60+sobrestock_sustitutos!$C$56/12</f>
        <v>7.68814790417617</v>
      </c>
      <c r="N71" s="26" t="n">
        <f aca="false">datos_base!$D$7*parametros_recargas!O$60+sobrestock_sustitutos!$C$56/12</f>
        <v>7.68814790417617</v>
      </c>
      <c r="O71" s="26" t="n">
        <f aca="false">datos_base!$D$7*parametros_recargas!P$60+sobrestock_sustitutos!$C$56/12</f>
        <v>7.68814790417617</v>
      </c>
      <c r="P71" s="12" t="n">
        <f aca="false">SUM(D71:O71)</f>
        <v>92.257774850114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6" t="n">
        <f aca="false">datos_base!$D$8*parametros_recargas!E$61+sobrestock_sustitutos!$C$57/12</f>
        <v>4.03370673277434</v>
      </c>
      <c r="E72" s="26" t="n">
        <f aca="false">datos_base!$D$8*parametros_recargas!F$61+sobrestock_sustitutos!$C$57/12</f>
        <v>4.03370673277434</v>
      </c>
      <c r="F72" s="26" t="n">
        <f aca="false">datos_base!$D$8*parametros_recargas!G$61+sobrestock_sustitutos!$C$57/12</f>
        <v>4.03370673277434</v>
      </c>
      <c r="G72" s="26" t="n">
        <f aca="false">datos_base!$D$8*parametros_recargas!H$61+sobrestock_sustitutos!$C$57/12</f>
        <v>4.03370673277434</v>
      </c>
      <c r="H72" s="26" t="n">
        <f aca="false">datos_base!$D$8*parametros_recargas!I$61+sobrestock_sustitutos!$C$57/12</f>
        <v>4.03370673277434</v>
      </c>
      <c r="I72" s="26" t="n">
        <f aca="false">datos_base!$D$8*parametros_recargas!J$61+sobrestock_sustitutos!$C$57/12</f>
        <v>4.03370673277434</v>
      </c>
      <c r="J72" s="26" t="n">
        <f aca="false">datos_base!$D$8*parametros_recargas!K$61+sobrestock_sustitutos!$C$57/12</f>
        <v>4.03370673277434</v>
      </c>
      <c r="K72" s="26" t="n">
        <f aca="false">datos_base!$D$8*parametros_recargas!L$61+sobrestock_sustitutos!$C$57/12</f>
        <v>4.03370673277434</v>
      </c>
      <c r="L72" s="26" t="n">
        <f aca="false">datos_base!$D$8*parametros_recargas!M$61+sobrestock_sustitutos!$C$57/12</f>
        <v>4.03370673277434</v>
      </c>
      <c r="M72" s="26" t="n">
        <f aca="false">datos_base!$D$8*parametros_recargas!N$61+sobrestock_sustitutos!$C$57/12</f>
        <v>4.03370673277434</v>
      </c>
      <c r="N72" s="26" t="n">
        <f aca="false">datos_base!$D$8*parametros_recargas!O$61+sobrestock_sustitutos!$C$57/12</f>
        <v>4.03370673277434</v>
      </c>
      <c r="O72" s="26" t="n">
        <f aca="false">datos_base!$D$8*parametros_recargas!P$61+sobrestock_sustitutos!$C$57/12</f>
        <v>4.03370673277434</v>
      </c>
      <c r="P72" s="12" t="n">
        <f aca="false">SUM(D72:O72)</f>
        <v>48.4044807932921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6" t="n">
        <f aca="false">datos_base!$D$9*parametros_recargas!E$62+sobrestock_sustitutos!$C$58/12</f>
        <v>2.21843746543893</v>
      </c>
      <c r="E73" s="26" t="n">
        <f aca="false">datos_base!$D$9*parametros_recargas!F$62+sobrestock_sustitutos!$C$58/12</f>
        <v>2.21843746543893</v>
      </c>
      <c r="F73" s="26" t="n">
        <f aca="false">datos_base!$D$9*parametros_recargas!G$62+sobrestock_sustitutos!$C$58/12</f>
        <v>2.21843746543893</v>
      </c>
      <c r="G73" s="26" t="n">
        <f aca="false">datos_base!$D$9*parametros_recargas!H$62+sobrestock_sustitutos!$C$58/12</f>
        <v>2.21843746543893</v>
      </c>
      <c r="H73" s="26" t="n">
        <f aca="false">datos_base!$D$9*parametros_recargas!I$62+sobrestock_sustitutos!$C$58/12</f>
        <v>2.21843746543893</v>
      </c>
      <c r="I73" s="26" t="n">
        <f aca="false">datos_base!$D$9*parametros_recargas!J$62+sobrestock_sustitutos!$C$58/12</f>
        <v>2.21843746543893</v>
      </c>
      <c r="J73" s="26" t="n">
        <f aca="false">datos_base!$D$9*parametros_recargas!K$62+sobrestock_sustitutos!$C$58/12</f>
        <v>2.21843746543893</v>
      </c>
      <c r="K73" s="26" t="n">
        <f aca="false">datos_base!$D$9*parametros_recargas!L$62+sobrestock_sustitutos!$C$58/12</f>
        <v>2.21843746543893</v>
      </c>
      <c r="L73" s="26" t="n">
        <f aca="false">datos_base!$D$9*parametros_recargas!M$62+sobrestock_sustitutos!$C$58/12</f>
        <v>2.21843746543893</v>
      </c>
      <c r="M73" s="26" t="n">
        <f aca="false">datos_base!$D$9*parametros_recargas!N$62+sobrestock_sustitutos!$C$58/12</f>
        <v>2.21843746543893</v>
      </c>
      <c r="N73" s="26" t="n">
        <f aca="false">datos_base!$D$9*parametros_recargas!O$62+sobrestock_sustitutos!$C$58/12</f>
        <v>2.21843746543893</v>
      </c>
      <c r="O73" s="26" t="n">
        <f aca="false">datos_base!$D$9*parametros_recargas!P$62+sobrestock_sustitutos!$C$58/12</f>
        <v>2.21843746543893</v>
      </c>
      <c r="P73" s="12" t="n">
        <f aca="false">SUM(D73:O73)</f>
        <v>26.6212495852672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6" t="n">
        <f aca="false">datos_base!$D$10*parametros_recargas!E$63+sobrestock_sustitutos!$C$59/12</f>
        <v>15.1003681855468</v>
      </c>
      <c r="E74" s="26" t="n">
        <f aca="false">datos_base!$D$10*parametros_recargas!F$63+sobrestock_sustitutos!$C$59/12</f>
        <v>15.1003681855468</v>
      </c>
      <c r="F74" s="26" t="n">
        <f aca="false">datos_base!$D$10*parametros_recargas!G$63+sobrestock_sustitutos!$C$59/12</f>
        <v>18.252497556635</v>
      </c>
      <c r="G74" s="26" t="n">
        <f aca="false">datos_base!$D$10*parametros_recargas!H$63+sobrestock_sustitutos!$C$59/12</f>
        <v>20.4210427218212</v>
      </c>
      <c r="H74" s="26" t="n">
        <f aca="false">datos_base!$D$10*parametros_recargas!I$63+sobrestock_sustitutos!$C$59/12</f>
        <v>21.1419574140864</v>
      </c>
      <c r="I74" s="26" t="n">
        <f aca="false">datos_base!$D$10*parametros_recargas!J$63+sobrestock_sustitutos!$C$59/12</f>
        <v>20.6788342294835</v>
      </c>
      <c r="J74" s="26" t="n">
        <f aca="false">datos_base!$D$10*parametros_recargas!K$63+sobrestock_sustitutos!$C$59/12</f>
        <v>16.7055633306472</v>
      </c>
      <c r="K74" s="26" t="n">
        <f aca="false">datos_base!$D$10*parametros_recargas!L$63+sobrestock_sustitutos!$C$59/12</f>
        <v>17.7844963660576</v>
      </c>
      <c r="L74" s="26" t="n">
        <f aca="false">datos_base!$D$10*parametros_recargas!M$63+sobrestock_sustitutos!$C$59/12</f>
        <v>18.2476195506605</v>
      </c>
      <c r="M74" s="26" t="n">
        <f aca="false">datos_base!$D$10*parametros_recargas!N$63+sobrestock_sustitutos!$C$59/12</f>
        <v>18.2476195506605</v>
      </c>
      <c r="N74" s="26" t="n">
        <f aca="false">datos_base!$D$10*parametros_recargas!O$63+sobrestock_sustitutos!$C$59/12</f>
        <v>17.5267048583953</v>
      </c>
      <c r="O74" s="26" t="n">
        <f aca="false">datos_base!$D$10*parametros_recargas!P$63+sobrestock_sustitutos!$C$59/12</f>
        <v>17.9898280429982</v>
      </c>
      <c r="P74" s="12" t="n">
        <f aca="false">SUM(D74:O74)</f>
        <v>217.196899992539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6" t="n">
        <f aca="false">datos_base!$D$11*parametros_recargas!E$64+sobrestock_sustitutos!$C$60/12</f>
        <v>71.7744319637888</v>
      </c>
      <c r="E75" s="26" t="n">
        <f aca="false">datos_base!$D$11*parametros_recargas!F$64+sobrestock_sustitutos!$C$60/12</f>
        <v>71.7744319637888</v>
      </c>
      <c r="F75" s="26" t="n">
        <f aca="false">datos_base!$D$11*parametros_recargas!G$64+sobrestock_sustitutos!$C$60/12</f>
        <v>95.5541504045538</v>
      </c>
      <c r="G75" s="26" t="n">
        <f aca="false">datos_base!$D$11*parametros_recargas!H$64+sobrestock_sustitutos!$C$60/12</f>
        <v>117.384627699862</v>
      </c>
      <c r="H75" s="26" t="n">
        <f aca="false">datos_base!$D$11*parametros_recargas!I$64+sobrestock_sustitutos!$C$60/12</f>
        <v>118.06039871421</v>
      </c>
      <c r="I75" s="26" t="n">
        <f aca="false">datos_base!$D$11*parametros_recargas!J$64+sobrestock_sustitutos!$C$60/12</f>
        <v>116.427241743432</v>
      </c>
      <c r="J75" s="26" t="n">
        <f aca="false">datos_base!$D$11*parametros_recargas!K$64+sobrestock_sustitutos!$C$60/12</f>
        <v>91.7919088684836</v>
      </c>
      <c r="K75" s="26" t="n">
        <f aca="false">datos_base!$D$11*parametros_recargas!L$64+sobrestock_sustitutos!$C$60/12</f>
        <v>91.6901373462372</v>
      </c>
      <c r="L75" s="26" t="n">
        <f aca="false">datos_base!$D$11*parametros_recargas!M$64+sobrestock_sustitutos!$C$60/12</f>
        <v>93.3232943170155</v>
      </c>
      <c r="M75" s="26" t="n">
        <f aca="false">datos_base!$D$11*parametros_recargas!N$64+sobrestock_sustitutos!$C$60/12</f>
        <v>93.3232943170155</v>
      </c>
      <c r="N75" s="26" t="n">
        <f aca="false">datos_base!$D$11*parametros_recargas!O$64+sobrestock_sustitutos!$C$60/12</f>
        <v>92.647523302667</v>
      </c>
      <c r="O75" s="26" t="n">
        <f aca="false">datos_base!$D$11*parametros_recargas!P$64+sobrestock_sustitutos!$C$60/12</f>
        <v>94.2806802734453</v>
      </c>
      <c r="P75" s="12" t="n">
        <f aca="false">SUM(D75:O75)</f>
        <v>1148.0321209145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6" t="n">
        <f aca="false">datos_base!$D$12*parametros_recargas!E$65+sobrestock_sustitutos!$C$61/12</f>
        <v>30.4241422150192</v>
      </c>
      <c r="E76" s="26" t="n">
        <f aca="false">datos_base!$D$12*parametros_recargas!F$65+sobrestock_sustitutos!$C$61/12</f>
        <v>30.4241422150192</v>
      </c>
      <c r="F76" s="26" t="n">
        <f aca="false">datos_base!$D$12*parametros_recargas!G$65+sobrestock_sustitutos!$C$61/12</f>
        <v>33.0988505431141</v>
      </c>
      <c r="G76" s="26" t="n">
        <f aca="false">datos_base!$D$12*parametros_recargas!H$65+sobrestock_sustitutos!$C$61/12</f>
        <v>36.7961776878052</v>
      </c>
      <c r="H76" s="26" t="n">
        <f aca="false">datos_base!$D$12*parametros_recargas!I$65+sobrestock_sustitutos!$C$61/12</f>
        <v>37.6308069406166</v>
      </c>
      <c r="I76" s="26" t="n">
        <f aca="false">datos_base!$D$12*parametros_recargas!J$65+sobrestock_sustitutos!$C$61/12</f>
        <v>35.6244957343097</v>
      </c>
      <c r="J76" s="26" t="n">
        <f aca="false">datos_base!$D$12*parametros_recargas!K$65+sobrestock_sustitutos!$C$61/12</f>
        <v>31.1123587994935</v>
      </c>
      <c r="K76" s="26" t="n">
        <f aca="false">datos_base!$D$12*parametros_recargas!L$65+sobrestock_sustitutos!$C$61/12</f>
        <v>31.7781054527192</v>
      </c>
      <c r="L76" s="26" t="n">
        <f aca="false">datos_base!$D$12*parametros_recargas!M$65+sobrestock_sustitutos!$C$61/12</f>
        <v>33.3199265170524</v>
      </c>
      <c r="M76" s="26" t="n">
        <f aca="false">datos_base!$D$12*parametros_recargas!N$65+sobrestock_sustitutos!$C$61/12</f>
        <v>33.3199265170524</v>
      </c>
      <c r="N76" s="26" t="n">
        <f aca="false">datos_base!$D$12*parametros_recargas!O$65+sobrestock_sustitutos!$C$61/12</f>
        <v>32.485297264241</v>
      </c>
      <c r="O76" s="26" t="n">
        <f aca="false">datos_base!$D$12*parametros_recargas!P$65+sobrestock_sustitutos!$C$61/12</f>
        <v>34.491608470548</v>
      </c>
      <c r="P76" s="12" t="n">
        <f aca="false">SUM(D76:O76)</f>
        <v>400.505838356991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6" t="n">
        <f aca="false">datos_base!$D$13*parametros_recargas!E$66+sobrestock_sustitutos!$C$62/12</f>
        <v>6.13717212733823</v>
      </c>
      <c r="E77" s="26" t="n">
        <f aca="false">datos_base!$D$13*parametros_recargas!F$66+sobrestock_sustitutos!$C$62/12</f>
        <v>6.13717212733823</v>
      </c>
      <c r="F77" s="26" t="n">
        <f aca="false">datos_base!$D$13*parametros_recargas!G$66+sobrestock_sustitutos!$C$62/12</f>
        <v>5.62838017153281</v>
      </c>
      <c r="G77" s="26" t="n">
        <f aca="false">datos_base!$D$13*parametros_recargas!H$66+sobrestock_sustitutos!$C$62/12</f>
        <v>5.62838017153281</v>
      </c>
      <c r="H77" s="26" t="n">
        <f aca="false">datos_base!$D$13*parametros_recargas!I$66+sobrestock_sustitutos!$C$62/12</f>
        <v>5.62838017153281</v>
      </c>
      <c r="I77" s="26" t="n">
        <f aca="false">datos_base!$D$13*parametros_recargas!J$66+sobrestock_sustitutos!$C$62/12</f>
        <v>5.11958821572739</v>
      </c>
      <c r="J77" s="26" t="n">
        <f aca="false">datos_base!$D$13*parametros_recargas!K$66+sobrestock_sustitutos!$C$62/12</f>
        <v>5.11958821572739</v>
      </c>
      <c r="K77" s="26" t="n">
        <f aca="false">datos_base!$D$13*parametros_recargas!L$66+sobrestock_sustitutos!$C$62/12</f>
        <v>5.11958821572739</v>
      </c>
      <c r="L77" s="26" t="n">
        <f aca="false">datos_base!$D$13*parametros_recargas!M$66+sobrestock_sustitutos!$C$62/12</f>
        <v>5.62838017153281</v>
      </c>
      <c r="M77" s="26" t="n">
        <f aca="false">datos_base!$D$13*parametros_recargas!N$66+sobrestock_sustitutos!$C$62/12</f>
        <v>5.62838017153281</v>
      </c>
      <c r="N77" s="26" t="n">
        <f aca="false">datos_base!$D$13*parametros_recargas!O$66+sobrestock_sustitutos!$C$62/12</f>
        <v>5.62838017153281</v>
      </c>
      <c r="O77" s="26" t="n">
        <f aca="false">datos_base!$D$13*parametros_recargas!P$66+sobrestock_sustitutos!$C$62/12</f>
        <v>6.13717212733823</v>
      </c>
      <c r="P77" s="12" t="n">
        <f aca="false">SUM(D77:O77)</f>
        <v>67.5405620583937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6" t="n">
        <f aca="false">datos_base!$D$14*parametros_recargas!E$67+sobrestock_sustitutos!$C$63/12</f>
        <v>2.21843746543893</v>
      </c>
      <c r="E78" s="26" t="n">
        <f aca="false">datos_base!$D$14*parametros_recargas!F$67+sobrestock_sustitutos!$C$63/12</f>
        <v>2.21843746543893</v>
      </c>
      <c r="F78" s="26" t="n">
        <f aca="false">datos_base!$D$14*parametros_recargas!G$67+sobrestock_sustitutos!$C$63/12</f>
        <v>2.21843746543893</v>
      </c>
      <c r="G78" s="26" t="n">
        <f aca="false">datos_base!$D$14*parametros_recargas!H$67+sobrestock_sustitutos!$C$63/12</f>
        <v>2.21843746543893</v>
      </c>
      <c r="H78" s="26" t="n">
        <f aca="false">datos_base!$D$14*parametros_recargas!I$67+sobrestock_sustitutos!$C$63/12</f>
        <v>2.21843746543893</v>
      </c>
      <c r="I78" s="26" t="n">
        <f aca="false">datos_base!$D$14*parametros_recargas!J$67+sobrestock_sustitutos!$C$63/12</f>
        <v>2.21843746543893</v>
      </c>
      <c r="J78" s="26" t="n">
        <f aca="false">datos_base!$D$14*parametros_recargas!K$67+sobrestock_sustitutos!$C$63/12</f>
        <v>2.21843746543893</v>
      </c>
      <c r="K78" s="26" t="n">
        <f aca="false">datos_base!$D$14*parametros_recargas!L$67+sobrestock_sustitutos!$C$63/12</f>
        <v>2.21843746543893</v>
      </c>
      <c r="L78" s="26" t="n">
        <f aca="false">datos_base!$D$14*parametros_recargas!M$67+sobrestock_sustitutos!$C$63/12</f>
        <v>2.21843746543893</v>
      </c>
      <c r="M78" s="26" t="n">
        <f aca="false">datos_base!$D$14*parametros_recargas!N$67+sobrestock_sustitutos!$C$63/12</f>
        <v>2.21843746543893</v>
      </c>
      <c r="N78" s="26" t="n">
        <f aca="false">datos_base!$D$14*parametros_recargas!O$67+sobrestock_sustitutos!$C$63/12</f>
        <v>2.21843746543893</v>
      </c>
      <c r="O78" s="26" t="n">
        <f aca="false">datos_base!$D$14*parametros_recargas!P$67+sobrestock_sustitutos!$C$63/12</f>
        <v>2.21843746543893</v>
      </c>
      <c r="P78" s="12" t="n">
        <f aca="false">SUM(D78:O78)</f>
        <v>26.6212495852672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6" t="n">
        <f aca="false">datos_base!$D$15*parametros_recargas!E$68+sobrestock_sustitutos!$C$64/12</f>
        <v>4.0591668053005</v>
      </c>
      <c r="E79" s="26" t="n">
        <f aca="false">datos_base!$D$15*parametros_recargas!F$68+sobrestock_sustitutos!$C$64/12</f>
        <v>4.0591668053005</v>
      </c>
      <c r="F79" s="26" t="n">
        <f aca="false">datos_base!$D$15*parametros_recargas!G$68+sobrestock_sustitutos!$C$64/12</f>
        <v>4.53361269875322</v>
      </c>
      <c r="G79" s="26" t="n">
        <f aca="false">datos_base!$D$15*parametros_recargas!H$68+sobrestock_sustitutos!$C$64/12</f>
        <v>5.17369717604494</v>
      </c>
      <c r="H79" s="26" t="n">
        <f aca="false">datos_base!$D$15*parametros_recargas!I$68+sobrestock_sustitutos!$C$64/12</f>
        <v>5.21178253365859</v>
      </c>
      <c r="I79" s="26" t="n">
        <f aca="false">datos_base!$D$15*parametros_recargas!J$68+sobrestock_sustitutos!$C$64/12</f>
        <v>4.97379504538201</v>
      </c>
      <c r="J79" s="26" t="n">
        <f aca="false">datos_base!$D$15*parametros_recargas!K$68+sobrestock_sustitutos!$C$64/12</f>
        <v>4.24040807945103</v>
      </c>
      <c r="K79" s="26" t="n">
        <f aca="false">datos_base!$D$15*parametros_recargas!L$68+sobrestock_sustitutos!$C$64/12</f>
        <v>4.29944702126635</v>
      </c>
      <c r="L79" s="26" t="n">
        <f aca="false">datos_base!$D$15*parametros_recargas!M$68+sobrestock_sustitutos!$C$64/12</f>
        <v>4.53743450954293</v>
      </c>
      <c r="M79" s="26" t="n">
        <f aca="false">datos_base!$D$15*parametros_recargas!N$68+sobrestock_sustitutos!$C$64/12</f>
        <v>4.53743450954293</v>
      </c>
      <c r="N79" s="26" t="n">
        <f aca="false">datos_base!$D$15*parametros_recargas!O$68+sobrestock_sustitutos!$C$64/12</f>
        <v>4.49934915192928</v>
      </c>
      <c r="O79" s="26" t="n">
        <f aca="false">datos_base!$D$15*parametros_recargas!P$68+sobrestock_sustitutos!$C$64/12</f>
        <v>4.73733664020586</v>
      </c>
      <c r="P79" s="12" t="n">
        <f aca="false">SUM(D79:O79)</f>
        <v>54.8626309763781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6" t="n">
        <f aca="false">datos_base!$D$16*parametros_recargas!E$69+sobrestock_sustitutos!$C$65/12</f>
        <v>8.83014366194763</v>
      </c>
      <c r="E80" s="26" t="n">
        <f aca="false">datos_base!$D$16*parametros_recargas!F$69+sobrestock_sustitutos!$C$65/12</f>
        <v>8.83014366194763</v>
      </c>
      <c r="F80" s="26" t="n">
        <f aca="false">datos_base!$D$16*parametros_recargas!G$69+sobrestock_sustitutos!$C$65/12</f>
        <v>9.87392741611699</v>
      </c>
      <c r="G80" s="26" t="n">
        <f aca="false">datos_base!$D$16*parametros_recargas!H$69+sobrestock_sustitutos!$C$65/12</f>
        <v>11.282183073589</v>
      </c>
      <c r="H80" s="26" t="n">
        <f aca="false">datos_base!$D$16*parametros_recargas!I$69+sobrestock_sustitutos!$C$65/12</f>
        <v>11.3659370920734</v>
      </c>
      <c r="I80" s="26" t="n">
        <f aca="false">datos_base!$D$16*parametros_recargas!J$69+sobrestock_sustitutos!$C$65/12</f>
        <v>10.8423639213702</v>
      </c>
      <c r="J80" s="26" t="n">
        <f aca="false">datos_base!$D$16*parametros_recargas!K$69+sobrestock_sustitutos!$C$65/12</f>
        <v>9.22892660247125</v>
      </c>
      <c r="K80" s="26" t="n">
        <f aca="false">datos_base!$D$16*parametros_recargas!L$69+sobrestock_sustitutos!$C$65/12</f>
        <v>9.35876101498212</v>
      </c>
      <c r="L80" s="26" t="n">
        <f aca="false">datos_base!$D$16*parametros_recargas!M$69+sobrestock_sustitutos!$C$65/12</f>
        <v>9.88233418568532</v>
      </c>
      <c r="M80" s="26" t="n">
        <f aca="false">datos_base!$D$16*parametros_recargas!N$69+sobrestock_sustitutos!$C$65/12</f>
        <v>9.88233418568532</v>
      </c>
      <c r="N80" s="26" t="n">
        <f aca="false">datos_base!$D$16*parametros_recargas!O$69+sobrestock_sustitutos!$C$65/12</f>
        <v>9.79858016720085</v>
      </c>
      <c r="O80" s="26" t="n">
        <f aca="false">datos_base!$D$16*parametros_recargas!P$69+sobrestock_sustitutos!$C$65/12</f>
        <v>10.3221533379041</v>
      </c>
      <c r="P80" s="12" t="n">
        <f aca="false">SUM(D80:O80)</f>
        <v>119.497788320974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6" t="n">
        <f aca="false">datos_base!$D$17*parametros_recargas!E$70+sobrestock_sustitutos!$C$66/12</f>
        <v>1.99171131458418</v>
      </c>
      <c r="E81" s="26" t="n">
        <f aca="false">datos_base!$D$17*parametros_recargas!F$70+sobrestock_sustitutos!$C$66/12</f>
        <v>1.99171131458418</v>
      </c>
      <c r="F81" s="26" t="n">
        <f aca="false">datos_base!$D$17*parametros_recargas!G$70+sobrestock_sustitutos!$C$66/12</f>
        <v>2.21945826866598</v>
      </c>
      <c r="G81" s="26" t="n">
        <f aca="false">datos_base!$D$17*parametros_recargas!H$70+sobrestock_sustitutos!$C$66/12</f>
        <v>2.52672864450895</v>
      </c>
      <c r="H81" s="26" t="n">
        <f aca="false">datos_base!$D$17*parametros_recargas!I$70+sobrestock_sustitutos!$C$66/12</f>
        <v>2.54500238705648</v>
      </c>
      <c r="I81" s="26" t="n">
        <f aca="false">datos_base!$D$17*parametros_recargas!J$70+sobrestock_sustitutos!$C$66/12</f>
        <v>2.43077132109629</v>
      </c>
      <c r="J81" s="26" t="n">
        <f aca="false">datos_base!$D$17*parametros_recargas!K$70+sobrestock_sustitutos!$C$66/12</f>
        <v>2.07873650933253</v>
      </c>
      <c r="K81" s="26" t="n">
        <f aca="false">datos_base!$D$17*parametros_recargas!L$70+sobrestock_sustitutos!$C$66/12</f>
        <v>2.10706704360184</v>
      </c>
      <c r="L81" s="26" t="n">
        <f aca="false">datos_base!$D$17*parametros_recargas!M$70+sobrestock_sustitutos!$C$66/12</f>
        <v>2.22129810956202</v>
      </c>
      <c r="M81" s="26" t="n">
        <f aca="false">datos_base!$D$17*parametros_recargas!N$70+sobrestock_sustitutos!$C$66/12</f>
        <v>2.22129810956202</v>
      </c>
      <c r="N81" s="26" t="n">
        <f aca="false">datos_base!$D$17*parametros_recargas!O$70+sobrestock_sustitutos!$C$66/12</f>
        <v>2.2030243670145</v>
      </c>
      <c r="O81" s="26" t="n">
        <f aca="false">datos_base!$D$17*parametros_recargas!P$70+sobrestock_sustitutos!$C$66/12</f>
        <v>2.31725543297468</v>
      </c>
      <c r="P81" s="12" t="n">
        <f aca="false">SUM(D81:O81)</f>
        <v>26.8540628225437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6" t="n">
        <f aca="false">datos_base!$D$18*parametros_recargas!E$71+sobrestock_sustitutos!$C$67/12</f>
        <v>1.35556862926187</v>
      </c>
      <c r="E82" s="26" t="n">
        <f aca="false">datos_base!$D$18*parametros_recargas!F$71+sobrestock_sustitutos!$C$67/12</f>
        <v>1.35556862926187</v>
      </c>
      <c r="F82" s="26" t="n">
        <f aca="false">datos_base!$D$18*parametros_recargas!G$71+sobrestock_sustitutos!$C$67/12</f>
        <v>1.50741690140307</v>
      </c>
      <c r="G82" s="26" t="n">
        <f aca="false">datos_base!$D$18*parametros_recargas!H$71+sobrestock_sustitutos!$C$67/12</f>
        <v>1.7122825145019</v>
      </c>
      <c r="H82" s="26" t="n">
        <f aca="false">datos_base!$D$18*parametros_recargas!I$71+sobrestock_sustitutos!$C$67/12</f>
        <v>1.72445584545674</v>
      </c>
      <c r="I82" s="26" t="n">
        <f aca="false">datos_base!$D$18*parametros_recargas!J$71+sobrestock_sustitutos!$C$67/12</f>
        <v>1.64830877114535</v>
      </c>
      <c r="J82" s="26" t="n">
        <f aca="false">datos_base!$D$18*parametros_recargas!K$71+sobrestock_sustitutos!$C$67/12</f>
        <v>1.41361829493738</v>
      </c>
      <c r="K82" s="26" t="n">
        <f aca="false">datos_base!$D$18*parametros_recargas!L$71+sobrestock_sustitutos!$C$67/12</f>
        <v>1.4324867556476</v>
      </c>
      <c r="L82" s="26" t="n">
        <f aca="false">datos_base!$D$18*parametros_recargas!M$71+sobrestock_sustitutos!$C$67/12</f>
        <v>1.50863382995899</v>
      </c>
      <c r="M82" s="26" t="n">
        <f aca="false">datos_base!$D$18*parametros_recargas!N$71+sobrestock_sustitutos!$C$67/12</f>
        <v>1.50863382995899</v>
      </c>
      <c r="N82" s="26" t="n">
        <f aca="false">datos_base!$D$18*parametros_recargas!O$71+sobrestock_sustitutos!$C$67/12</f>
        <v>1.49646049900415</v>
      </c>
      <c r="O82" s="26" t="n">
        <f aca="false">datos_base!$D$18*parametros_recargas!P$71+sobrestock_sustitutos!$C$67/12</f>
        <v>1.57260757331554</v>
      </c>
      <c r="P82" s="12" t="n">
        <f aca="false">SUM(D82:O82)</f>
        <v>18.2360420738534</v>
      </c>
    </row>
    <row r="83" customFormat="false" ht="15" hidden="false" customHeight="false" outlineLevel="0" collapsed="false">
      <c r="A83" s="4" t="s">
        <v>385</v>
      </c>
      <c r="D83" s="12" t="n">
        <f aca="false">SUM(D66:D82)</f>
        <v>1658.39126474225</v>
      </c>
      <c r="E83" s="12" t="n">
        <f aca="false">SUM(E66:E82)</f>
        <v>1434.71317255411</v>
      </c>
      <c r="F83" s="12" t="n">
        <f aca="false">SUM(F66:F82)</f>
        <v>1367.08197156106</v>
      </c>
      <c r="G83" s="12" t="n">
        <f aca="false">SUM(G66:G82)</f>
        <v>1510.90226484431</v>
      </c>
      <c r="H83" s="12" t="n">
        <f aca="false">SUM(H66:H82)</f>
        <v>1523.7621796272</v>
      </c>
      <c r="I83" s="12" t="n">
        <f aca="false">SUM(I66:I82)</f>
        <v>1507.53772931134</v>
      </c>
      <c r="J83" s="12" t="n">
        <f aca="false">SUM(J66:J82)</f>
        <v>1335.19908852881</v>
      </c>
      <c r="K83" s="12" t="n">
        <f aca="false">SUM(K66:K82)</f>
        <v>1348.12630258328</v>
      </c>
      <c r="L83" s="12" t="n">
        <f aca="false">SUM(L66:L82)</f>
        <v>1361.85222850468</v>
      </c>
      <c r="M83" s="12" t="n">
        <f aca="false">SUM(M66:M82)</f>
        <v>1361.85222850468</v>
      </c>
      <c r="N83" s="12" t="n">
        <f aca="false">SUM(N66:N82)</f>
        <v>1572.67040590993</v>
      </c>
      <c r="O83" s="12" t="n">
        <f aca="false">SUM(O66:O82)</f>
        <v>1812.57294841393</v>
      </c>
      <c r="P83" s="12" t="n">
        <f aca="false">SUM(P66:P82)</f>
        <v>17794.6617850856</v>
      </c>
    </row>
    <row r="84" customFormat="false" ht="15" hidden="false" customHeight="false" outlineLevel="0" collapsed="false">
      <c r="A84" s="4" t="s">
        <v>386</v>
      </c>
    </row>
    <row r="85" customFormat="false" ht="15" hidden="false" customHeight="false" outlineLevel="0" collapsed="false">
      <c r="A85" s="5" t="s">
        <v>165</v>
      </c>
      <c r="D85" s="26" t="n">
        <f aca="false">SUMPRODUCT(($B$66:$B$82=$A85)*D$66:D$82*$C$66:$C$82)</f>
        <v>1576.97763361</v>
      </c>
      <c r="E85" s="26" t="n">
        <f aca="false">SUMPRODUCT(($B$66:$B$82=$A85)*E$66:E$82*$C$66:$C$82)</f>
        <v>1353.29954142186</v>
      </c>
      <c r="F85" s="26" t="n">
        <f aca="false">SUMPRODUCT(($B$66:$B$82=$A85)*F$66:F$82*$C$66:$C$82)</f>
        <v>1260.0167293185</v>
      </c>
      <c r="G85" s="26" t="n">
        <f aca="false">SUMPRODUCT(($B$66:$B$82=$A85)*G$66:G$82*$C$66:$C$82)</f>
        <v>1382.85709924215</v>
      </c>
      <c r="H85" s="26" t="n">
        <f aca="false">SUMPRODUCT(($B$66:$B$82=$A85)*H$66:H$82*$C$66:$C$82)</f>
        <v>1393.93270174523</v>
      </c>
      <c r="I85" s="26" t="n">
        <f aca="false">SUMPRODUCT(($B$66:$B$82=$A85)*I$66:I$82*$C$66:$C$82)</f>
        <v>1378.62200399755</v>
      </c>
      <c r="J85" s="26" t="n">
        <f aca="false">SUMPRODUCT(($B$66:$B$82=$A85)*J$66:J$82*$C$66:$C$82)</f>
        <v>1231.61262806381</v>
      </c>
      <c r="K85" s="26" t="n">
        <f aca="false">SUMPRODUCT(($B$66:$B$82=$A85)*K$66:K$82*$C$66:$C$82)</f>
        <v>1243.99162866818</v>
      </c>
      <c r="L85" s="26" t="n">
        <f aca="false">SUMPRODUCT(($B$66:$B$82=$A85)*L$66:L$82*$C$66:$C$82)</f>
        <v>1257.36372556639</v>
      </c>
      <c r="M85" s="26" t="n">
        <f aca="false">SUMPRODUCT(($B$66:$B$82=$A85)*M$66:M$82*$C$66:$C$82)</f>
        <v>1257.36372556639</v>
      </c>
      <c r="N85" s="26" t="n">
        <f aca="false">SUMPRODUCT(($B$66:$B$82=$A85)*N$66:N$82*$C$66:$C$82)</f>
        <v>1469.96621525146</v>
      </c>
      <c r="O85" s="26" t="n">
        <f aca="false">SUMPRODUCT(($B$66:$B$82=$A85)*O$66:O$82*$C$66:$C$82)</f>
        <v>1708.95500518727</v>
      </c>
      <c r="P85" s="26" t="n">
        <f aca="false">SUMPRODUCT(($B$66:$B$82=$A85)*P$66:P$82*$C$66:$C$82)</f>
        <v>16514.9586376388</v>
      </c>
    </row>
    <row r="86" customFormat="false" ht="15" hidden="false" customHeight="false" outlineLevel="0" collapsed="false">
      <c r="A86" s="5" t="s">
        <v>166</v>
      </c>
      <c r="D86" s="26" t="n">
        <f aca="false">SUMPRODUCT(($B$66:$B$82=$A86)*D$66:D$82*$C$66:$C$82)</f>
        <v>2.21843746543893</v>
      </c>
      <c r="E86" s="26" t="n">
        <f aca="false">SUMPRODUCT(($B$66:$B$82=$A86)*E$66:E$82*$C$66:$C$82)</f>
        <v>2.21843746543893</v>
      </c>
      <c r="F86" s="26" t="n">
        <f aca="false">SUMPRODUCT(($B$66:$B$82=$A86)*F$66:F$82*$C$66:$C$82)</f>
        <v>2.21843746543893</v>
      </c>
      <c r="G86" s="26" t="n">
        <f aca="false">SUMPRODUCT(($B$66:$B$82=$A86)*G$66:G$82*$C$66:$C$82)</f>
        <v>2.21843746543893</v>
      </c>
      <c r="H86" s="26" t="n">
        <f aca="false">SUMPRODUCT(($B$66:$B$82=$A86)*H$66:H$82*$C$66:$C$82)</f>
        <v>2.21843746543893</v>
      </c>
      <c r="I86" s="26" t="n">
        <f aca="false">SUMPRODUCT(($B$66:$B$82=$A86)*I$66:I$82*$C$66:$C$82)</f>
        <v>2.21843746543893</v>
      </c>
      <c r="J86" s="26" t="n">
        <f aca="false">SUMPRODUCT(($B$66:$B$82=$A86)*J$66:J$82*$C$66:$C$82)</f>
        <v>2.21843746543893</v>
      </c>
      <c r="K86" s="26" t="n">
        <f aca="false">SUMPRODUCT(($B$66:$B$82=$A86)*K$66:K$82*$C$66:$C$82)</f>
        <v>2.21843746543893</v>
      </c>
      <c r="L86" s="26" t="n">
        <f aca="false">SUMPRODUCT(($B$66:$B$82=$A86)*L$66:L$82*$C$66:$C$82)</f>
        <v>2.21843746543893</v>
      </c>
      <c r="M86" s="26" t="n">
        <f aca="false">SUMPRODUCT(($B$66:$B$82=$A86)*M$66:M$82*$C$66:$C$82)</f>
        <v>2.21843746543893</v>
      </c>
      <c r="N86" s="26" t="n">
        <f aca="false">SUMPRODUCT(($B$66:$B$82=$A86)*N$66:N$82*$C$66:$C$82)</f>
        <v>2.21843746543893</v>
      </c>
      <c r="O86" s="26" t="n">
        <f aca="false">SUMPRODUCT(($B$66:$B$82=$A86)*O$66:O$82*$C$66:$C$82)</f>
        <v>2.21843746543893</v>
      </c>
      <c r="P86" s="26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5" t="s">
        <v>167</v>
      </c>
      <c r="D87" s="26" t="n">
        <f aca="false">SUMPRODUCT(($B$66:$B$82=$A87)*D$66:D$82*$C$66:$C$82)</f>
        <v>2.21843746543893</v>
      </c>
      <c r="E87" s="26" t="n">
        <f aca="false">SUMPRODUCT(($B$66:$B$82=$A87)*E$66:E$82*$C$66:$C$82)</f>
        <v>2.21843746543893</v>
      </c>
      <c r="F87" s="26" t="n">
        <f aca="false">SUMPRODUCT(($B$66:$B$82=$A87)*F$66:F$82*$C$66:$C$82)</f>
        <v>2.21843746543893</v>
      </c>
      <c r="G87" s="26" t="n">
        <f aca="false">SUMPRODUCT(($B$66:$B$82=$A87)*G$66:G$82*$C$66:$C$82)</f>
        <v>2.21843746543893</v>
      </c>
      <c r="H87" s="26" t="n">
        <f aca="false">SUMPRODUCT(($B$66:$B$82=$A87)*H$66:H$82*$C$66:$C$82)</f>
        <v>2.21843746543893</v>
      </c>
      <c r="I87" s="26" t="n">
        <f aca="false">SUMPRODUCT(($B$66:$B$82=$A87)*I$66:I$82*$C$66:$C$82)</f>
        <v>2.21843746543893</v>
      </c>
      <c r="J87" s="26" t="n">
        <f aca="false">SUMPRODUCT(($B$66:$B$82=$A87)*J$66:J$82*$C$66:$C$82)</f>
        <v>2.21843746543893</v>
      </c>
      <c r="K87" s="26" t="n">
        <f aca="false">SUMPRODUCT(($B$66:$B$82=$A87)*K$66:K$82*$C$66:$C$82)</f>
        <v>2.21843746543893</v>
      </c>
      <c r="L87" s="26" t="n">
        <f aca="false">SUMPRODUCT(($B$66:$B$82=$A87)*L$66:L$82*$C$66:$C$82)</f>
        <v>2.21843746543893</v>
      </c>
      <c r="M87" s="26" t="n">
        <f aca="false">SUMPRODUCT(($B$66:$B$82=$A87)*M$66:M$82*$C$66:$C$82)</f>
        <v>2.21843746543893</v>
      </c>
      <c r="N87" s="26" t="n">
        <f aca="false">SUMPRODUCT(($B$66:$B$82=$A87)*N$66:N$82*$C$66:$C$82)</f>
        <v>2.21843746543893</v>
      </c>
      <c r="O87" s="26" t="n">
        <f aca="false">SUMPRODUCT(($B$66:$B$82=$A87)*O$66:O$82*$C$66:$C$82)</f>
        <v>2.21843746543893</v>
      </c>
      <c r="P87" s="26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5" t="s">
        <v>168</v>
      </c>
      <c r="D88" s="26" t="n">
        <f aca="false">SUMPRODUCT(($B$66:$B$82=$A88)*D$66:D$82*$C$66:$C$82)</f>
        <v>28.8607756948255</v>
      </c>
      <c r="E88" s="26" t="n">
        <f aca="false">SUMPRODUCT(($B$66:$B$82=$A88)*E$66:E$82*$C$66:$C$82)</f>
        <v>28.8607756948255</v>
      </c>
      <c r="F88" s="26" t="n">
        <f aca="false">SUMPRODUCT(($B$66:$B$82=$A88)*F$66:F$82*$C$66:$C$82)</f>
        <v>35.588584450023</v>
      </c>
      <c r="G88" s="26" t="n">
        <f aca="false">SUMPRODUCT(($B$66:$B$82=$A88)*G$66:G$82*$C$66:$C$82)</f>
        <v>42.5984965540416</v>
      </c>
      <c r="H88" s="26" t="n">
        <f aca="false">SUMPRODUCT(($B$66:$B$82=$A88)*H$66:H$82*$C$66:$C$82)</f>
        <v>42.9678792778833</v>
      </c>
      <c r="I88" s="26" t="n">
        <f aca="false">SUMPRODUCT(($B$66:$B$82=$A88)*I$66:I$82*$C$66:$C$82)</f>
        <v>41.562305226461</v>
      </c>
      <c r="J88" s="26" t="n">
        <f aca="false">SUMPRODUCT(($B$66:$B$82=$A88)*J$66:J$82*$C$66:$C$82)</f>
        <v>33.6274504914202</v>
      </c>
      <c r="K88" s="26" t="n">
        <f aca="false">SUMPRODUCT(($B$66:$B$82=$A88)*K$66:K$82*$C$66:$C$82)</f>
        <v>33.798305143683</v>
      </c>
      <c r="L88" s="26" t="n">
        <f aca="false">SUMPRODUCT(($B$66:$B$82=$A88)*L$66:L$82*$C$66:$C$82)</f>
        <v>35.1084457920849</v>
      </c>
      <c r="M88" s="26" t="n">
        <f aca="false">SUMPRODUCT(($B$66:$B$82=$A88)*M$66:M$82*$C$66:$C$82)</f>
        <v>35.1084457920849</v>
      </c>
      <c r="N88" s="26" t="n">
        <f aca="false">SUMPRODUCT(($B$66:$B$82=$A88)*N$66:N$82*$C$66:$C$82)</f>
        <v>34.7390630682432</v>
      </c>
      <c r="O88" s="26" t="n">
        <f aca="false">SUMPRODUCT(($B$66:$B$82=$A88)*O$66:O$82*$C$66:$C$82)</f>
        <v>36.1446371196655</v>
      </c>
      <c r="P88" s="26" t="n">
        <f aca="false">SUMPRODUCT(($B$66:$B$82=$A88)*P$66:P$82*$C$66:$C$82)</f>
        <v>428.965164305242</v>
      </c>
    </row>
    <row r="89" customFormat="false" ht="15" hidden="false" customHeight="false" outlineLevel="0" collapsed="false">
      <c r="A89" s="5" t="s">
        <v>169</v>
      </c>
      <c r="D89" s="26" t="n">
        <f aca="false">SUMPRODUCT(($B$66:$B$82=$A89)*D$66:D$82*$C$66:$C$82)</f>
        <v>33.3459670059574</v>
      </c>
      <c r="E89" s="26" t="n">
        <f aca="false">SUMPRODUCT(($B$66:$B$82=$A89)*E$66:E$82*$C$66:$C$82)</f>
        <v>33.3459670059574</v>
      </c>
      <c r="F89" s="26" t="n">
        <f aca="false">SUMPRODUCT(($B$66:$B$82=$A89)*F$66:F$82*$C$66:$C$82)</f>
        <v>33.3459670059574</v>
      </c>
      <c r="G89" s="26" t="n">
        <f aca="false">SUMPRODUCT(($B$66:$B$82=$A89)*G$66:G$82*$C$66:$C$82)</f>
        <v>33.3459670059574</v>
      </c>
      <c r="H89" s="26" t="n">
        <f aca="false">SUMPRODUCT(($B$66:$B$82=$A89)*H$66:H$82*$C$66:$C$82)</f>
        <v>33.3459670059574</v>
      </c>
      <c r="I89" s="26" t="n">
        <f aca="false">SUMPRODUCT(($B$66:$B$82=$A89)*I$66:I$82*$C$66:$C$82)</f>
        <v>33.3459670059574</v>
      </c>
      <c r="J89" s="26" t="n">
        <f aca="false">SUMPRODUCT(($B$66:$B$82=$A89)*J$66:J$82*$C$66:$C$82)</f>
        <v>33.3459670059574</v>
      </c>
      <c r="K89" s="26" t="n">
        <f aca="false">SUMPRODUCT(($B$66:$B$82=$A89)*K$66:K$82*$C$66:$C$82)</f>
        <v>33.3459670059574</v>
      </c>
      <c r="L89" s="26" t="n">
        <f aca="false">SUMPRODUCT(($B$66:$B$82=$A89)*L$66:L$82*$C$66:$C$82)</f>
        <v>33.3459670059574</v>
      </c>
      <c r="M89" s="26" t="n">
        <f aca="false">SUMPRODUCT(($B$66:$B$82=$A89)*M$66:M$82*$C$66:$C$82)</f>
        <v>33.3459670059574</v>
      </c>
      <c r="N89" s="26" t="n">
        <f aca="false">SUMPRODUCT(($B$66:$B$82=$A89)*N$66:N$82*$C$66:$C$82)</f>
        <v>33.3459670059574</v>
      </c>
      <c r="O89" s="26" t="n">
        <f aca="false">SUMPRODUCT(($B$66:$B$82=$A89)*O$66:O$82*$C$66:$C$82)</f>
        <v>33.3459670059574</v>
      </c>
      <c r="P89" s="26" t="n">
        <f aca="false">SUMPRODUCT(($B$66:$B$82=$A89)*P$66:P$82*$C$66:$C$82)</f>
        <v>400.151604071489</v>
      </c>
    </row>
    <row r="90" customFormat="false" ht="15" hidden="false" customHeight="false" outlineLevel="0" collapsed="false">
      <c r="A90" s="5" t="s">
        <v>170</v>
      </c>
      <c r="D90" s="26" t="n">
        <f aca="false">SUMPRODUCT(($B$66:$B$82=$A90)*D$66:D$82*$C$66:$C$82)</f>
        <v>15.1003681855468</v>
      </c>
      <c r="E90" s="26" t="n">
        <f aca="false">SUMPRODUCT(($B$66:$B$82=$A90)*E$66:E$82*$C$66:$C$82)</f>
        <v>15.1003681855468</v>
      </c>
      <c r="F90" s="26" t="n">
        <f aca="false">SUMPRODUCT(($B$66:$B$82=$A90)*F$66:F$82*$C$66:$C$82)</f>
        <v>18.252497556635</v>
      </c>
      <c r="G90" s="26" t="n">
        <f aca="false">SUMPRODUCT(($B$66:$B$82=$A90)*G$66:G$82*$C$66:$C$82)</f>
        <v>20.4210427218212</v>
      </c>
      <c r="H90" s="26" t="n">
        <f aca="false">SUMPRODUCT(($B$66:$B$82=$A90)*H$66:H$82*$C$66:$C$82)</f>
        <v>21.1419574140864</v>
      </c>
      <c r="I90" s="26" t="n">
        <f aca="false">SUMPRODUCT(($B$66:$B$82=$A90)*I$66:I$82*$C$66:$C$82)</f>
        <v>20.6788342294835</v>
      </c>
      <c r="J90" s="26" t="n">
        <f aca="false">SUMPRODUCT(($B$66:$B$82=$A90)*J$66:J$82*$C$66:$C$82)</f>
        <v>16.7055633306472</v>
      </c>
      <c r="K90" s="26" t="n">
        <f aca="false">SUMPRODUCT(($B$66:$B$82=$A90)*K$66:K$82*$C$66:$C$82)</f>
        <v>17.7844963660576</v>
      </c>
      <c r="L90" s="26" t="n">
        <f aca="false">SUMPRODUCT(($B$66:$B$82=$A90)*L$66:L$82*$C$66:$C$82)</f>
        <v>18.2476195506605</v>
      </c>
      <c r="M90" s="26" t="n">
        <f aca="false">SUMPRODUCT(($B$66:$B$82=$A90)*M$66:M$82*$C$66:$C$82)</f>
        <v>18.2476195506605</v>
      </c>
      <c r="N90" s="26" t="n">
        <f aca="false">SUMPRODUCT(($B$66:$B$82=$A90)*N$66:N$82*$C$66:$C$82)</f>
        <v>17.5267048583953</v>
      </c>
      <c r="O90" s="26" t="n">
        <f aca="false">SUMPRODUCT(($B$66:$B$82=$A90)*O$66:O$82*$C$66:$C$82)</f>
        <v>17.9898280429982</v>
      </c>
      <c r="P90" s="26" t="n">
        <f aca="false">SUMPRODUCT(($B$66:$B$82=$A90)*P$66:P$82*$C$66:$C$82)</f>
        <v>217.196899992539</v>
      </c>
    </row>
    <row r="91" customFormat="false" ht="15" hidden="false" customHeight="false" outlineLevel="0" collapsed="false">
      <c r="A91" s="5" t="s">
        <v>171</v>
      </c>
      <c r="D91" s="26" t="n">
        <f aca="false">SUMPRODUCT(($B$66:$B$82=$A91)*D$66:D$82*$C$66:$C$82)</f>
        <v>102.198574178808</v>
      </c>
      <c r="E91" s="26" t="n">
        <f aca="false">SUMPRODUCT(($B$66:$B$82=$A91)*E$66:E$82*$C$66:$C$82)</f>
        <v>102.198574178808</v>
      </c>
      <c r="F91" s="26" t="n">
        <f aca="false">SUMPRODUCT(($B$66:$B$82=$A91)*F$66:F$82*$C$66:$C$82)</f>
        <v>128.653000947668</v>
      </c>
      <c r="G91" s="26" t="n">
        <f aca="false">SUMPRODUCT(($B$66:$B$82=$A91)*G$66:G$82*$C$66:$C$82)</f>
        <v>154.180805387667</v>
      </c>
      <c r="H91" s="26" t="n">
        <f aca="false">SUMPRODUCT(($B$66:$B$82=$A91)*H$66:H$82*$C$66:$C$82)</f>
        <v>155.691205654827</v>
      </c>
      <c r="I91" s="26" t="n">
        <f aca="false">SUMPRODUCT(($B$66:$B$82=$A91)*I$66:I$82*$C$66:$C$82)</f>
        <v>152.051737477742</v>
      </c>
      <c r="J91" s="26" t="n">
        <f aca="false">SUMPRODUCT(($B$66:$B$82=$A91)*J$66:J$82*$C$66:$C$82)</f>
        <v>122.904267667977</v>
      </c>
      <c r="K91" s="26" t="n">
        <f aca="false">SUMPRODUCT(($B$66:$B$82=$A91)*K$66:K$82*$C$66:$C$82)</f>
        <v>123.468242798956</v>
      </c>
      <c r="L91" s="26" t="n">
        <f aca="false">SUMPRODUCT(($B$66:$B$82=$A91)*L$66:L$82*$C$66:$C$82)</f>
        <v>126.643220834068</v>
      </c>
      <c r="M91" s="26" t="n">
        <f aca="false">SUMPRODUCT(($B$66:$B$82=$A91)*M$66:M$82*$C$66:$C$82)</f>
        <v>126.643220834068</v>
      </c>
      <c r="N91" s="26" t="n">
        <f aca="false">SUMPRODUCT(($B$66:$B$82=$A91)*N$66:N$82*$C$66:$C$82)</f>
        <v>125.132820566908</v>
      </c>
      <c r="O91" s="26" t="n">
        <f aca="false">SUMPRODUCT(($B$66:$B$82=$A91)*O$66:O$82*$C$66:$C$82)</f>
        <v>128.772288743993</v>
      </c>
      <c r="P91" s="26" t="n">
        <f aca="false">SUMPRODUCT(($B$66:$B$82=$A91)*P$66:P$82*$C$66:$C$82)</f>
        <v>1548.53795927149</v>
      </c>
    </row>
    <row r="92" customFormat="false" ht="15" hidden="false" customHeight="false" outlineLevel="0" collapsed="false">
      <c r="A92" s="5" t="s">
        <v>172</v>
      </c>
      <c r="D92" s="26" t="n">
        <f aca="false">SUMPRODUCT(($B$66:$B$82=$A92)*D$66:D$82*$C$66:$C$82)</f>
        <v>6.13717212733823</v>
      </c>
      <c r="E92" s="26" t="n">
        <f aca="false">SUMPRODUCT(($B$66:$B$82=$A92)*E$66:E$82*$C$66:$C$82)</f>
        <v>6.13717212733823</v>
      </c>
      <c r="F92" s="26" t="n">
        <f aca="false">SUMPRODUCT(($B$66:$B$82=$A92)*F$66:F$82*$C$66:$C$82)</f>
        <v>5.62838017153281</v>
      </c>
      <c r="G92" s="26" t="n">
        <f aca="false">SUMPRODUCT(($B$66:$B$82=$A92)*G$66:G$82*$C$66:$C$82)</f>
        <v>5.62838017153281</v>
      </c>
      <c r="H92" s="26" t="n">
        <f aca="false">SUMPRODUCT(($B$66:$B$82=$A92)*H$66:H$82*$C$66:$C$82)</f>
        <v>5.62838017153281</v>
      </c>
      <c r="I92" s="26" t="n">
        <f aca="false">SUMPRODUCT(($B$66:$B$82=$A92)*I$66:I$82*$C$66:$C$82)</f>
        <v>5.11958821572739</v>
      </c>
      <c r="J92" s="26" t="n">
        <f aca="false">SUMPRODUCT(($B$66:$B$82=$A92)*J$66:J$82*$C$66:$C$82)</f>
        <v>5.11958821572739</v>
      </c>
      <c r="K92" s="26" t="n">
        <f aca="false">SUMPRODUCT(($B$66:$B$82=$A92)*K$66:K$82*$C$66:$C$82)</f>
        <v>5.11958821572739</v>
      </c>
      <c r="L92" s="26" t="n">
        <f aca="false">SUMPRODUCT(($B$66:$B$82=$A92)*L$66:L$82*$C$66:$C$82)</f>
        <v>5.62838017153281</v>
      </c>
      <c r="M92" s="26" t="n">
        <f aca="false">SUMPRODUCT(($B$66:$B$82=$A92)*M$66:M$82*$C$66:$C$82)</f>
        <v>5.62838017153281</v>
      </c>
      <c r="N92" s="26" t="n">
        <f aca="false">SUMPRODUCT(($B$66:$B$82=$A92)*N$66:N$82*$C$66:$C$82)</f>
        <v>5.62838017153281</v>
      </c>
      <c r="O92" s="26" t="n">
        <f aca="false">SUMPRODUCT(($B$66:$B$82=$A92)*O$66:O$82*$C$66:$C$82)</f>
        <v>6.13717212733823</v>
      </c>
      <c r="P92" s="26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4" t="s">
        <v>387</v>
      </c>
      <c r="D93" s="27" t="n">
        <f aca="false">SUMPRODUCT(D$66:D$82*parametros_recargas!$D$55:$D$71)</f>
        <v>50.6944393588877</v>
      </c>
      <c r="E93" s="27" t="n">
        <f aca="false">SUMPRODUCT(E$66:E$82*parametros_recargas!$D$55:$D$71)</f>
        <v>50.6944393588877</v>
      </c>
      <c r="F93" s="27" t="n">
        <f aca="false">SUMPRODUCT(F$66:F$82*parametros_recargas!$D$55:$D$71)</f>
        <v>55.2669725608277</v>
      </c>
      <c r="G93" s="27" t="n">
        <f aca="false">SUMPRODUCT(G$66:G$82*parametros_recargas!$D$55:$D$71)</f>
        <v>61.5247758292243</v>
      </c>
      <c r="H93" s="27" t="n">
        <f aca="false">SUMPRODUCT(H$66:H$82*parametros_recargas!$D$55:$D$71)</f>
        <v>62.5116915316362</v>
      </c>
      <c r="I93" s="27" t="n">
        <f aca="false">SUMPRODUCT(I$66:I$82*parametros_recargas!$D$55:$D$71)</f>
        <v>59.5534415260779</v>
      </c>
      <c r="J93" s="27" t="n">
        <f aca="false">SUMPRODUCT(J$66:J$82*parametros_recargas!$D$55:$D$71)</f>
        <v>52.10775501846</v>
      </c>
      <c r="K93" s="27" t="n">
        <f aca="false">SUMPRODUCT(K$66:K$82*parametros_recargas!$D$55:$D$71)</f>
        <v>53.0095740209914</v>
      </c>
      <c r="L93" s="27" t="n">
        <f aca="false">SUMPRODUCT(L$66:L$82*parametros_recargas!$D$55:$D$71)</f>
        <v>55.503333884576</v>
      </c>
      <c r="M93" s="27" t="n">
        <f aca="false">SUMPRODUCT(M$66:M$82*parametros_recargas!$D$55:$D$71)</f>
        <v>55.503333884576</v>
      </c>
      <c r="N93" s="27" t="n">
        <f aca="false">SUMPRODUCT(N$66:N$82*parametros_recargas!$D$55:$D$71)</f>
        <v>54.5164181821642</v>
      </c>
      <c r="O93" s="27" t="n">
        <f aca="false">SUMPRODUCT(O$66:O$82*parametros_recargas!$D$55:$D$71)</f>
        <v>57.4746681877225</v>
      </c>
      <c r="P93" s="27" t="n">
        <f aca="false">SUMPRODUCT(P$66:P$82*parametros_recargas!$D$55:$D$71)</f>
        <v>668.360843344032</v>
      </c>
    </row>
    <row r="94" customFormat="false" ht="15" hidden="false" customHeight="false" outlineLevel="0" collapsed="false">
      <c r="A94" s="4" t="s">
        <v>388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0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0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0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0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0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0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0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0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0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0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0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0</v>
      </c>
      <c r="P94" s="12" t="n">
        <f aca="false">SUM(D94:O94)</f>
        <v>0</v>
      </c>
    </row>
    <row r="97" customFormat="false" ht="15" hidden="false" customHeight="false" outlineLevel="0" collapsed="false">
      <c r="A97" s="28" t="n">
        <v>2029</v>
      </c>
      <c r="B97" s="3" t="s">
        <v>383</v>
      </c>
      <c r="C97" s="3" t="s">
        <v>384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6" t="n">
        <f aca="false">datos_base!$E$2*parametros_recargas!E$55+sobrestock_sustitutos!$D$51/12</f>
        <v>1936.92870339428</v>
      </c>
      <c r="E98" s="26" t="n">
        <f aca="false">datos_base!$E$2*parametros_recargas!F$55+sobrestock_sustitutos!$D$51/12</f>
        <v>1542.64312762725</v>
      </c>
      <c r="F98" s="26" t="n">
        <f aca="false">datos_base!$E$2*parametros_recargas!G$55+sobrestock_sustitutos!$D$51/12</f>
        <v>1149.03003576555</v>
      </c>
      <c r="G98" s="26" t="n">
        <f aca="false">datos_base!$E$2*parametros_recargas!H$55+sobrestock_sustitutos!$D$51/12</f>
        <v>1149.03003576555</v>
      </c>
      <c r="H98" s="26" t="n">
        <f aca="false">datos_base!$E$2*parametros_recargas!I$55+sobrestock_sustitutos!$D$51/12</f>
        <v>1149.70251967089</v>
      </c>
      <c r="I98" s="26" t="n">
        <f aca="false">datos_base!$E$2*parametros_recargas!J$55+sobrestock_sustitutos!$D$51/12</f>
        <v>1149.70251967089</v>
      </c>
      <c r="J98" s="26" t="n">
        <f aca="false">datos_base!$E$2*parametros_recargas!K$55+sobrestock_sustitutos!$D$51/12</f>
        <v>1148.60708434829</v>
      </c>
      <c r="K98" s="26" t="n">
        <f aca="false">datos_base!$E$2*parametros_recargas!L$55+sobrestock_sustitutos!$D$51/12</f>
        <v>1149.70251967089</v>
      </c>
      <c r="L98" s="26" t="n">
        <f aca="false">datos_base!$E$2*parametros_recargas!M$55+sobrestock_sustitutos!$D$51/12</f>
        <v>1149.57775342685</v>
      </c>
      <c r="M98" s="26" t="n">
        <f aca="false">datos_base!$E$2*parametros_recargas!N$55+sobrestock_sustitutos!$D$51/12</f>
        <v>1149.57775342685</v>
      </c>
      <c r="N98" s="26" t="n">
        <f aca="false">datos_base!$E$2*parametros_recargas!O$55+sobrestock_sustitutos!$D$51/12</f>
        <v>1543.19084528854</v>
      </c>
      <c r="O98" s="26" t="n">
        <f aca="false">datos_base!$E$2*parametros_recargas!P$55+sobrestock_sustitutos!$D$51/12</f>
        <v>1937.47642105558</v>
      </c>
      <c r="P98" s="12" t="n">
        <f aca="false">SUM(D98:O98)</f>
        <v>16155.1693191114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6" t="n">
        <f aca="false">datos_base!$E$3*parametros_recargas!E$56+sobrestock_sustitutos!$D$52/12</f>
        <v>96.3110799356277</v>
      </c>
      <c r="E99" s="26" t="n">
        <f aca="false">datos_base!$E$3*parametros_recargas!F$56+sobrestock_sustitutos!$D$52/12</f>
        <v>96.3110799356277</v>
      </c>
      <c r="F99" s="26" t="n">
        <f aca="false">datos_base!$E$3*parametros_recargas!G$56+sobrestock_sustitutos!$D$52/12</f>
        <v>130.419525152288</v>
      </c>
      <c r="G99" s="26" t="n">
        <f aca="false">datos_base!$E$3*parametros_recargas!H$56+sobrestock_sustitutos!$D$52/12</f>
        <v>150.274093996458</v>
      </c>
      <c r="H99" s="26" t="n">
        <f aca="false">datos_base!$E$3*parametros_recargas!I$56+sobrestock_sustitutos!$D$52/12</f>
        <v>162.740025605398</v>
      </c>
      <c r="I99" s="26" t="n">
        <f aca="false">datos_base!$E$3*parametros_recargas!J$56+sobrestock_sustitutos!$D$52/12</f>
        <v>160.762451227254</v>
      </c>
      <c r="J99" s="26" t="n">
        <f aca="false">datos_base!$E$3*parametros_recargas!K$56+sobrestock_sustitutos!$D$52/12</f>
        <v>117.6888493728</v>
      </c>
      <c r="K99" s="26" t="n">
        <f aca="false">datos_base!$E$3*parametros_recargas!L$56+sobrestock_sustitutos!$D$52/12</f>
        <v>137.14236324139</v>
      </c>
      <c r="L99" s="26" t="n">
        <f aca="false">datos_base!$E$3*parametros_recargas!M$56+sobrestock_sustitutos!$D$52/12</f>
        <v>137.322142730312</v>
      </c>
      <c r="M99" s="26" t="n">
        <f aca="false">datos_base!$E$3*parametros_recargas!N$56+sobrestock_sustitutos!$D$52/12</f>
        <v>137.322142730312</v>
      </c>
      <c r="N99" s="26" t="n">
        <f aca="false">datos_base!$E$3*parametros_recargas!O$56+sobrestock_sustitutos!$D$52/12</f>
        <v>124.856211121372</v>
      </c>
      <c r="O99" s="26" t="n">
        <f aca="false">datos_base!$E$3*parametros_recargas!P$56+sobrestock_sustitutos!$D$52/12</f>
        <v>126.833785499516</v>
      </c>
      <c r="P99" s="12" t="n">
        <f aca="false">SUM(D99:O99)</f>
        <v>1577.98375054836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6" t="n">
        <f aca="false">datos_base!$E$4*parametros_recargas!E$57+sobrestock_sustitutos!$D$53/12</f>
        <v>655.520669602528</v>
      </c>
      <c r="E100" s="26" t="n">
        <f aca="false">datos_base!$E$4*parametros_recargas!F$57+sobrestock_sustitutos!$D$53/12</f>
        <v>638.895190722012</v>
      </c>
      <c r="F100" s="26" t="n">
        <f aca="false">datos_base!$E$4*parametros_recargas!G$57+sobrestock_sustitutos!$D$53/12</f>
        <v>800.303279707406</v>
      </c>
      <c r="G100" s="26" t="n">
        <f aca="false">datos_base!$E$4*parametros_recargas!H$57+sobrestock_sustitutos!$D$53/12</f>
        <v>971.957965437024</v>
      </c>
      <c r="H100" s="26" t="n">
        <f aca="false">datos_base!$E$4*parametros_recargas!I$57+sobrestock_sustitutos!$D$53/12</f>
        <v>976.838850443204</v>
      </c>
      <c r="I100" s="26" t="n">
        <f aca="false">datos_base!$E$4*parametros_recargas!J$57+sobrestock_sustitutos!$D$53/12</f>
        <v>963.126664390682</v>
      </c>
      <c r="J100" s="26" t="n">
        <f aca="false">datos_base!$E$4*parametros_recargas!K$57+sobrestock_sustitutos!$D$53/12</f>
        <v>777.485842156186</v>
      </c>
      <c r="K100" s="26" t="n">
        <f aca="false">datos_base!$E$4*parametros_recargas!L$57+sobrestock_sustitutos!$D$53/12</f>
        <v>776.261795478432</v>
      </c>
      <c r="L100" s="26" t="n">
        <f aca="false">datos_base!$E$4*parametros_recargas!M$57+sobrestock_sustitutos!$D$53/12</f>
        <v>788.283618981554</v>
      </c>
      <c r="M100" s="26" t="n">
        <f aca="false">datos_base!$E$4*parametros_recargas!N$57+sobrestock_sustitutos!$D$53/12</f>
        <v>788.283618981554</v>
      </c>
      <c r="N100" s="26" t="n">
        <f aca="false">datos_base!$E$4*parametros_recargas!O$57+sobrestock_sustitutos!$D$53/12</f>
        <v>800.02821285589</v>
      </c>
      <c r="O100" s="26" t="n">
        <f aca="false">datos_base!$E$4*parametros_recargas!P$57+sobrestock_sustitutos!$D$53/12</f>
        <v>830.365877788927</v>
      </c>
      <c r="P100" s="12" t="n">
        <f aca="false">SUM(D100:O100)</f>
        <v>9767.3515865454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6" t="n">
        <f aca="false">datos_base!$E$5*parametros_recargas!E$58+sobrestock_sustitutos!$D$54/12</f>
        <v>37.6033357809441</v>
      </c>
      <c r="E101" s="26" t="n">
        <f aca="false">datos_base!$E$5*parametros_recargas!F$58+sobrestock_sustitutos!$D$54/12</f>
        <v>37.6033357809441</v>
      </c>
      <c r="F101" s="26" t="n">
        <f aca="false">datos_base!$E$5*parametros_recargas!G$58+sobrestock_sustitutos!$D$54/12</f>
        <v>47.6619825272219</v>
      </c>
      <c r="G101" s="26" t="n">
        <f aca="false">datos_base!$E$5*parametros_recargas!H$58+sobrestock_sustitutos!$D$54/12</f>
        <v>57.1712003729937</v>
      </c>
      <c r="H101" s="26" t="n">
        <f aca="false">datos_base!$E$5*parametros_recargas!I$58+sobrestock_sustitutos!$D$54/12</f>
        <v>57.9128375371093</v>
      </c>
      <c r="I101" s="26" t="n">
        <f aca="false">datos_base!$E$5*parametros_recargas!J$58+sobrestock_sustitutos!$D$54/12</f>
        <v>56.1373500028266</v>
      </c>
      <c r="J101" s="26" t="n">
        <f aca="false">datos_base!$E$5*parametros_recargas!K$58+sobrestock_sustitutos!$D$54/12</f>
        <v>44.3532181934871</v>
      </c>
      <c r="K101" s="26" t="n">
        <f aca="false">datos_base!$E$5*parametros_recargas!L$58+sobrestock_sustitutos!$D$54/12</f>
        <v>45.0448528863817</v>
      </c>
      <c r="L101" s="26" t="n">
        <f aca="false">datos_base!$E$5*parametros_recargas!M$58+sobrestock_sustitutos!$D$54/12</f>
        <v>46.8203404206644</v>
      </c>
      <c r="M101" s="26" t="n">
        <f aca="false">datos_base!$E$5*parametros_recargas!N$58+sobrestock_sustitutos!$D$54/12</f>
        <v>46.8203404206644</v>
      </c>
      <c r="N101" s="26" t="n">
        <f aca="false">datos_base!$E$5*parametros_recargas!O$58+sobrestock_sustitutos!$D$54/12</f>
        <v>46.0787032565488</v>
      </c>
      <c r="O101" s="26" t="n">
        <f aca="false">datos_base!$E$5*parametros_recargas!P$58+sobrestock_sustitutos!$D$54/12</f>
        <v>47.8541907908314</v>
      </c>
      <c r="P101" s="12" t="n">
        <f aca="false">SUM(D101:O101)</f>
        <v>571.061687970617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6" t="n">
        <f aca="false">datos_base!$E$6*parametros_recargas!E$59+sobrestock_sustitutos!$D$55/12</f>
        <v>54.1947266900704</v>
      </c>
      <c r="E102" s="26" t="n">
        <f aca="false">datos_base!$E$6*parametros_recargas!F$59+sobrestock_sustitutos!$D$55/12</f>
        <v>54.1947266900704</v>
      </c>
      <c r="F102" s="26" t="n">
        <f aca="false">datos_base!$E$6*parametros_recargas!G$59+sobrestock_sustitutos!$D$55/12</f>
        <v>66.8185906281958</v>
      </c>
      <c r="G102" s="26" t="n">
        <f aca="false">datos_base!$E$6*parametros_recargas!H$59+sobrestock_sustitutos!$D$55/12</f>
        <v>79.9717850543879</v>
      </c>
      <c r="H102" s="26" t="n">
        <f aca="false">datos_base!$E$6*parametros_recargas!I$59+sobrestock_sustitutos!$D$55/12</f>
        <v>80.6648840137288</v>
      </c>
      <c r="I102" s="26" t="n">
        <f aca="false">datos_base!$E$6*parametros_recargas!J$59+sobrestock_sustitutos!$D$55/12</f>
        <v>78.0275058976509</v>
      </c>
      <c r="J102" s="26" t="n">
        <f aca="false">datos_base!$E$6*parametros_recargas!K$59+sobrestock_sustitutos!$D$55/12</f>
        <v>63.1387761211747</v>
      </c>
      <c r="K102" s="26" t="n">
        <f aca="false">datos_base!$E$6*parametros_recargas!L$59+sobrestock_sustitutos!$D$55/12</f>
        <v>63.4593628027887</v>
      </c>
      <c r="L102" s="26" t="n">
        <f aca="false">datos_base!$E$6*parametros_recargas!M$59+sobrestock_sustitutos!$D$55/12</f>
        <v>65.9176724675001</v>
      </c>
      <c r="M102" s="26" t="n">
        <f aca="false">datos_base!$E$6*parametros_recargas!N$59+sobrestock_sustitutos!$D$55/12</f>
        <v>65.9176724675001</v>
      </c>
      <c r="N102" s="26" t="n">
        <f aca="false">datos_base!$E$6*parametros_recargas!O$59+sobrestock_sustitutos!$D$55/12</f>
        <v>65.2245735081592</v>
      </c>
      <c r="O102" s="26" t="n">
        <f aca="false">datos_base!$E$6*parametros_recargas!P$59+sobrestock_sustitutos!$D$55/12</f>
        <v>67.8619516242371</v>
      </c>
      <c r="P102" s="12" t="n">
        <f aca="false">SUM(D102:O102)</f>
        <v>805.392227965464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6" t="n">
        <f aca="false">datos_base!$E$7*parametros_recargas!E$60+sobrestock_sustitutos!$D$56/12</f>
        <v>12.8345318573584</v>
      </c>
      <c r="E103" s="26" t="n">
        <f aca="false">datos_base!$E$7*parametros_recargas!F$60+sobrestock_sustitutos!$D$56/12</f>
        <v>12.8345318573584</v>
      </c>
      <c r="F103" s="26" t="n">
        <f aca="false">datos_base!$E$7*parametros_recargas!G$60+sobrestock_sustitutos!$D$56/12</f>
        <v>12.8345318573584</v>
      </c>
      <c r="G103" s="26" t="n">
        <f aca="false">datos_base!$E$7*parametros_recargas!H$60+sobrestock_sustitutos!$D$56/12</f>
        <v>12.8345318573584</v>
      </c>
      <c r="H103" s="26" t="n">
        <f aca="false">datos_base!$E$7*parametros_recargas!I$60+sobrestock_sustitutos!$D$56/12</f>
        <v>12.8345318573584</v>
      </c>
      <c r="I103" s="26" t="n">
        <f aca="false">datos_base!$E$7*parametros_recargas!J$60+sobrestock_sustitutos!$D$56/12</f>
        <v>12.8345318573584</v>
      </c>
      <c r="J103" s="26" t="n">
        <f aca="false">datos_base!$E$7*parametros_recargas!K$60+sobrestock_sustitutos!$D$56/12</f>
        <v>12.8345318573584</v>
      </c>
      <c r="K103" s="26" t="n">
        <f aca="false">datos_base!$E$7*parametros_recargas!L$60+sobrestock_sustitutos!$D$56/12</f>
        <v>12.8345318573584</v>
      </c>
      <c r="L103" s="26" t="n">
        <f aca="false">datos_base!$E$7*parametros_recargas!M$60+sobrestock_sustitutos!$D$56/12</f>
        <v>12.8345318573584</v>
      </c>
      <c r="M103" s="26" t="n">
        <f aca="false">datos_base!$E$7*parametros_recargas!N$60+sobrestock_sustitutos!$D$56/12</f>
        <v>12.8345318573584</v>
      </c>
      <c r="N103" s="26" t="n">
        <f aca="false">datos_base!$E$7*parametros_recargas!O$60+sobrestock_sustitutos!$D$56/12</f>
        <v>12.8345318573584</v>
      </c>
      <c r="O103" s="26" t="n">
        <f aca="false">datos_base!$E$7*parametros_recargas!P$60+sobrestock_sustitutos!$D$56/12</f>
        <v>12.8345318573584</v>
      </c>
      <c r="P103" s="12" t="n">
        <f aca="false">SUM(D103:O103)</f>
        <v>154.0143822883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6" t="n">
        <f aca="false">datos_base!$E$8*parametros_recargas!E$61+sobrestock_sustitutos!$D$57/12</f>
        <v>6.8410657073474</v>
      </c>
      <c r="E104" s="26" t="n">
        <f aca="false">datos_base!$E$8*parametros_recargas!F$61+sobrestock_sustitutos!$D$57/12</f>
        <v>6.8410657073474</v>
      </c>
      <c r="F104" s="26" t="n">
        <f aca="false">datos_base!$E$8*parametros_recargas!G$61+sobrestock_sustitutos!$D$57/12</f>
        <v>6.8410657073474</v>
      </c>
      <c r="G104" s="26" t="n">
        <f aca="false">datos_base!$E$8*parametros_recargas!H$61+sobrestock_sustitutos!$D$57/12</f>
        <v>6.8410657073474</v>
      </c>
      <c r="H104" s="26" t="n">
        <f aca="false">datos_base!$E$8*parametros_recargas!I$61+sobrestock_sustitutos!$D$57/12</f>
        <v>6.8410657073474</v>
      </c>
      <c r="I104" s="26" t="n">
        <f aca="false">datos_base!$E$8*parametros_recargas!J$61+sobrestock_sustitutos!$D$57/12</f>
        <v>6.8410657073474</v>
      </c>
      <c r="J104" s="26" t="n">
        <f aca="false">datos_base!$E$8*parametros_recargas!K$61+sobrestock_sustitutos!$D$57/12</f>
        <v>6.8410657073474</v>
      </c>
      <c r="K104" s="26" t="n">
        <f aca="false">datos_base!$E$8*parametros_recargas!L$61+sobrestock_sustitutos!$D$57/12</f>
        <v>6.8410657073474</v>
      </c>
      <c r="L104" s="26" t="n">
        <f aca="false">datos_base!$E$8*parametros_recargas!M$61+sobrestock_sustitutos!$D$57/12</f>
        <v>6.8410657073474</v>
      </c>
      <c r="M104" s="26" t="n">
        <f aca="false">datos_base!$E$8*parametros_recargas!N$61+sobrestock_sustitutos!$D$57/12</f>
        <v>6.8410657073474</v>
      </c>
      <c r="N104" s="26" t="n">
        <f aca="false">datos_base!$E$8*parametros_recargas!O$61+sobrestock_sustitutos!$D$57/12</f>
        <v>6.8410657073474</v>
      </c>
      <c r="O104" s="26" t="n">
        <f aca="false">datos_base!$E$8*parametros_recargas!P$61+sobrestock_sustitutos!$D$57/12</f>
        <v>6.8410657073474</v>
      </c>
      <c r="P104" s="12" t="n">
        <f aca="false">SUM(D104:O104)</f>
        <v>82.0927884881688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6" t="n">
        <f aca="false">datos_base!$E$9*parametros_recargas!E$62+sobrestock_sustitutos!$D$58/12</f>
        <v>3.91453671869877</v>
      </c>
      <c r="E105" s="26" t="n">
        <f aca="false">datos_base!$E$9*parametros_recargas!F$62+sobrestock_sustitutos!$D$58/12</f>
        <v>3.91453671869877</v>
      </c>
      <c r="F105" s="26" t="n">
        <f aca="false">datos_base!$E$9*parametros_recargas!G$62+sobrestock_sustitutos!$D$58/12</f>
        <v>3.91453671869877</v>
      </c>
      <c r="G105" s="26" t="n">
        <f aca="false">datos_base!$E$9*parametros_recargas!H$62+sobrestock_sustitutos!$D$58/12</f>
        <v>3.91453671869877</v>
      </c>
      <c r="H105" s="26" t="n">
        <f aca="false">datos_base!$E$9*parametros_recargas!I$62+sobrestock_sustitutos!$D$58/12</f>
        <v>3.91453671869877</v>
      </c>
      <c r="I105" s="26" t="n">
        <f aca="false">datos_base!$E$9*parametros_recargas!J$62+sobrestock_sustitutos!$D$58/12</f>
        <v>3.91453671869877</v>
      </c>
      <c r="J105" s="26" t="n">
        <f aca="false">datos_base!$E$9*parametros_recargas!K$62+sobrestock_sustitutos!$D$58/12</f>
        <v>3.91453671869877</v>
      </c>
      <c r="K105" s="26" t="n">
        <f aca="false">datos_base!$E$9*parametros_recargas!L$62+sobrestock_sustitutos!$D$58/12</f>
        <v>3.91453671869877</v>
      </c>
      <c r="L105" s="26" t="n">
        <f aca="false">datos_base!$E$9*parametros_recargas!M$62+sobrestock_sustitutos!$D$58/12</f>
        <v>3.91453671869877</v>
      </c>
      <c r="M105" s="26" t="n">
        <f aca="false">datos_base!$E$9*parametros_recargas!N$62+sobrestock_sustitutos!$D$58/12</f>
        <v>3.91453671869877</v>
      </c>
      <c r="N105" s="26" t="n">
        <f aca="false">datos_base!$E$9*parametros_recargas!O$62+sobrestock_sustitutos!$D$58/12</f>
        <v>3.91453671869877</v>
      </c>
      <c r="O105" s="26" t="n">
        <f aca="false">datos_base!$E$9*parametros_recargas!P$62+sobrestock_sustitutos!$D$58/12</f>
        <v>3.91453671869877</v>
      </c>
      <c r="P105" s="12" t="n">
        <f aca="false">SUM(D105:O105)</f>
        <v>46.9744406243852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6" t="n">
        <f aca="false">datos_base!$E$10*parametros_recargas!E$63+sobrestock_sustitutos!$D$59/12</f>
        <v>27.5144870359241</v>
      </c>
      <c r="E106" s="26" t="n">
        <f aca="false">datos_base!$E$10*parametros_recargas!F$63+sobrestock_sustitutos!$D$59/12</f>
        <v>27.5144870359241</v>
      </c>
      <c r="F106" s="26" t="n">
        <f aca="false">datos_base!$E$10*parametros_recargas!G$63+sobrestock_sustitutos!$D$59/12</f>
        <v>33.2517460013372</v>
      </c>
      <c r="G106" s="26" t="n">
        <f aca="false">datos_base!$E$10*parametros_recargas!H$63+sobrestock_sustitutos!$D$59/12</f>
        <v>37.1987620422976</v>
      </c>
      <c r="H106" s="26" t="n">
        <f aca="false">datos_base!$E$10*parametros_recargas!I$63+sobrestock_sustitutos!$D$59/12</f>
        <v>38.5109144937271</v>
      </c>
      <c r="I106" s="26" t="n">
        <f aca="false">datos_base!$E$10*parametros_recargas!J$63+sobrestock_sustitutos!$D$59/12</f>
        <v>37.6679739509548</v>
      </c>
      <c r="J106" s="26" t="n">
        <f aca="false">datos_base!$E$10*parametros_recargas!K$63+sobrestock_sustitutos!$D$59/12</f>
        <v>30.4361374992377</v>
      </c>
      <c r="K106" s="26" t="n">
        <f aca="false">datos_base!$E$10*parametros_recargas!L$63+sobrestock_sustitutos!$D$59/12</f>
        <v>32.399926894199</v>
      </c>
      <c r="L106" s="26" t="n">
        <f aca="false">datos_base!$E$10*parametros_recargas!M$63+sobrestock_sustitutos!$D$59/12</f>
        <v>33.2428674369712</v>
      </c>
      <c r="M106" s="26" t="n">
        <f aca="false">datos_base!$E$10*parametros_recargas!N$63+sobrestock_sustitutos!$D$59/12</f>
        <v>33.2428674369712</v>
      </c>
      <c r="N106" s="26" t="n">
        <f aca="false">datos_base!$E$10*parametros_recargas!O$63+sobrestock_sustitutos!$D$59/12</f>
        <v>31.9307149855417</v>
      </c>
      <c r="O106" s="26" t="n">
        <f aca="false">datos_base!$E$10*parametros_recargas!P$63+sobrestock_sustitutos!$D$59/12</f>
        <v>32.773655528314</v>
      </c>
      <c r="P106" s="12" t="n">
        <f aca="false">SUM(D106:O106)</f>
        <v>395.6845403414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6" t="n">
        <f aca="false">datos_base!$E$11*parametros_recargas!E$64+sobrestock_sustitutos!$D$60/12</f>
        <v>137.522034793558</v>
      </c>
      <c r="E107" s="26" t="n">
        <f aca="false">datos_base!$E$11*parametros_recargas!F$64+sobrestock_sustitutos!$D$60/12</f>
        <v>137.522034793558</v>
      </c>
      <c r="F107" s="26" t="n">
        <f aca="false">datos_base!$E$11*parametros_recargas!G$64+sobrestock_sustitutos!$D$60/12</f>
        <v>182.982386872126</v>
      </c>
      <c r="G107" s="26" t="n">
        <f aca="false">datos_base!$E$11*parametros_recargas!H$64+sobrestock_sustitutos!$D$60/12</f>
        <v>224.716320196862</v>
      </c>
      <c r="H107" s="26" t="n">
        <f aca="false">datos_base!$E$11*parametros_recargas!I$64+sobrestock_sustitutos!$D$60/12</f>
        <v>226.008210524046</v>
      </c>
      <c r="I107" s="26" t="n">
        <f aca="false">datos_base!$E$11*parametros_recargas!J$64+sobrestock_sustitutos!$D$60/12</f>
        <v>222.886058717409</v>
      </c>
      <c r="J107" s="26" t="n">
        <f aca="false">datos_base!$E$11*parametros_recargas!K$64+sobrestock_sustitutos!$D$60/12</f>
        <v>175.790004621663</v>
      </c>
      <c r="K107" s="26" t="n">
        <f aca="false">datos_base!$E$11*parametros_recargas!L$64+sobrestock_sustitutos!$D$60/12</f>
        <v>175.595445159388</v>
      </c>
      <c r="L107" s="26" t="n">
        <f aca="false">datos_base!$E$11*parametros_recargas!M$64+sobrestock_sustitutos!$D$60/12</f>
        <v>178.717596966024</v>
      </c>
      <c r="M107" s="26" t="n">
        <f aca="false">datos_base!$E$11*parametros_recargas!N$64+sobrestock_sustitutos!$D$60/12</f>
        <v>178.717596966024</v>
      </c>
      <c r="N107" s="26" t="n">
        <f aca="false">datos_base!$E$11*parametros_recargas!O$64+sobrestock_sustitutos!$D$60/12</f>
        <v>177.425706638841</v>
      </c>
      <c r="O107" s="26" t="n">
        <f aca="false">datos_base!$E$11*parametros_recargas!P$64+sobrestock_sustitutos!$D$60/12</f>
        <v>180.547858445478</v>
      </c>
      <c r="P107" s="12" t="n">
        <f aca="false">SUM(D107:O107)</f>
        <v>2198.43125469498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6" t="n">
        <f aca="false">datos_base!$E$12*parametros_recargas!E$65+sobrestock_sustitutos!$D$61/12</f>
        <v>54.4002173689609</v>
      </c>
      <c r="E108" s="26" t="n">
        <f aca="false">datos_base!$E$12*parametros_recargas!F$65+sobrestock_sustitutos!$D$61/12</f>
        <v>54.4002173689609</v>
      </c>
      <c r="F108" s="26" t="n">
        <f aca="false">datos_base!$E$12*parametros_recargas!G$65+sobrestock_sustitutos!$D$61/12</f>
        <v>59.1838863121319</v>
      </c>
      <c r="G108" s="26" t="n">
        <f aca="false">datos_base!$E$12*parametros_recargas!H$65+sobrestock_sustitutos!$D$61/12</f>
        <v>65.7964910769285</v>
      </c>
      <c r="H108" s="26" t="n">
        <f aca="false">datos_base!$E$12*parametros_recargas!I$65+sobrestock_sustitutos!$D$61/12</f>
        <v>67.2892108601654</v>
      </c>
      <c r="I108" s="26" t="n">
        <f aca="false">datos_base!$E$12*parametros_recargas!J$65+sobrestock_sustitutos!$D$61/12</f>
        <v>63.7009584488148</v>
      </c>
      <c r="J108" s="26" t="n">
        <f aca="false">datos_base!$E$12*parametros_recargas!K$65+sobrestock_sustitutos!$D$61/12</f>
        <v>55.6310806622569</v>
      </c>
      <c r="K108" s="26" t="n">
        <f aca="false">datos_base!$E$12*parametros_recargas!L$65+sobrestock_sustitutos!$D$61/12</f>
        <v>56.8217568775301</v>
      </c>
      <c r="L108" s="26" t="n">
        <f aca="false">datos_base!$E$12*parametros_recargas!M$65+sobrestock_sustitutos!$D$61/12</f>
        <v>59.5792768149025</v>
      </c>
      <c r="M108" s="26" t="n">
        <f aca="false">datos_base!$E$12*parametros_recargas!N$65+sobrestock_sustitutos!$D$61/12</f>
        <v>59.5792768149025</v>
      </c>
      <c r="N108" s="26" t="n">
        <f aca="false">datos_base!$E$12*parametros_recargas!O$65+sobrestock_sustitutos!$D$61/12</f>
        <v>58.0865570316655</v>
      </c>
      <c r="O108" s="26" t="n">
        <f aca="false">datos_base!$E$12*parametros_recargas!P$65+sobrestock_sustitutos!$D$61/12</f>
        <v>61.6748094430162</v>
      </c>
      <c r="P108" s="12" t="n">
        <f aca="false">SUM(D108:O108)</f>
        <v>716.143739080236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6" t="n">
        <f aca="false">datos_base!$E$13*parametros_recargas!E$66+sobrestock_sustitutos!$D$62/12</f>
        <v>10.6748909273883</v>
      </c>
      <c r="E109" s="26" t="n">
        <f aca="false">datos_base!$E$13*parametros_recargas!F$66+sobrestock_sustitutos!$D$62/12</f>
        <v>10.6748909273883</v>
      </c>
      <c r="F109" s="26" t="n">
        <f aca="false">datos_base!$E$13*parametros_recargas!G$66+sobrestock_sustitutos!$D$62/12</f>
        <v>9.79173229770211</v>
      </c>
      <c r="G109" s="26" t="n">
        <f aca="false">datos_base!$E$13*parametros_recargas!H$66+sobrestock_sustitutos!$D$62/12</f>
        <v>9.79173229770211</v>
      </c>
      <c r="H109" s="26" t="n">
        <f aca="false">datos_base!$E$13*parametros_recargas!I$66+sobrestock_sustitutos!$D$62/12</f>
        <v>9.79173229770211</v>
      </c>
      <c r="I109" s="26" t="n">
        <f aca="false">datos_base!$E$13*parametros_recargas!J$66+sobrestock_sustitutos!$D$62/12</f>
        <v>8.90857366801591</v>
      </c>
      <c r="J109" s="26" t="n">
        <f aca="false">datos_base!$E$13*parametros_recargas!K$66+sobrestock_sustitutos!$D$62/12</f>
        <v>8.90857366801591</v>
      </c>
      <c r="K109" s="26" t="n">
        <f aca="false">datos_base!$E$13*parametros_recargas!L$66+sobrestock_sustitutos!$D$62/12</f>
        <v>8.90857366801591</v>
      </c>
      <c r="L109" s="26" t="n">
        <f aca="false">datos_base!$E$13*parametros_recargas!M$66+sobrestock_sustitutos!$D$62/12</f>
        <v>9.79173229770211</v>
      </c>
      <c r="M109" s="26" t="n">
        <f aca="false">datos_base!$E$13*parametros_recargas!N$66+sobrestock_sustitutos!$D$62/12</f>
        <v>9.79173229770211</v>
      </c>
      <c r="N109" s="26" t="n">
        <f aca="false">datos_base!$E$13*parametros_recargas!O$66+sobrestock_sustitutos!$D$62/12</f>
        <v>9.79173229770211</v>
      </c>
      <c r="O109" s="26" t="n">
        <f aca="false">datos_base!$E$13*parametros_recargas!P$66+sobrestock_sustitutos!$D$62/12</f>
        <v>10.6748909273883</v>
      </c>
      <c r="P109" s="12" t="n">
        <f aca="false">SUM(D109:O109)</f>
        <v>117.500787572425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6" t="n">
        <f aca="false">datos_base!$E$14*parametros_recargas!E$67+sobrestock_sustitutos!$D$63/12</f>
        <v>3.64495610483988</v>
      </c>
      <c r="E110" s="26" t="n">
        <f aca="false">datos_base!$E$14*parametros_recargas!F$67+sobrestock_sustitutos!$D$63/12</f>
        <v>3.64495610483988</v>
      </c>
      <c r="F110" s="26" t="n">
        <f aca="false">datos_base!$E$14*parametros_recargas!G$67+sobrestock_sustitutos!$D$63/12</f>
        <v>3.64495610483988</v>
      </c>
      <c r="G110" s="26" t="n">
        <f aca="false">datos_base!$E$14*parametros_recargas!H$67+sobrestock_sustitutos!$D$63/12</f>
        <v>3.64495610483988</v>
      </c>
      <c r="H110" s="26" t="n">
        <f aca="false">datos_base!$E$14*parametros_recargas!I$67+sobrestock_sustitutos!$D$63/12</f>
        <v>3.64495610483988</v>
      </c>
      <c r="I110" s="26" t="n">
        <f aca="false">datos_base!$E$14*parametros_recargas!J$67+sobrestock_sustitutos!$D$63/12</f>
        <v>3.64495610483988</v>
      </c>
      <c r="J110" s="26" t="n">
        <f aca="false">datos_base!$E$14*parametros_recargas!K$67+sobrestock_sustitutos!$D$63/12</f>
        <v>3.64495610483988</v>
      </c>
      <c r="K110" s="26" t="n">
        <f aca="false">datos_base!$E$14*parametros_recargas!L$67+sobrestock_sustitutos!$D$63/12</f>
        <v>3.64495610483988</v>
      </c>
      <c r="L110" s="26" t="n">
        <f aca="false">datos_base!$E$14*parametros_recargas!M$67+sobrestock_sustitutos!$D$63/12</f>
        <v>3.64495610483988</v>
      </c>
      <c r="M110" s="26" t="n">
        <f aca="false">datos_base!$E$14*parametros_recargas!N$67+sobrestock_sustitutos!$D$63/12</f>
        <v>3.64495610483988</v>
      </c>
      <c r="N110" s="26" t="n">
        <f aca="false">datos_base!$E$14*parametros_recargas!O$67+sobrestock_sustitutos!$D$63/12</f>
        <v>3.64495610483988</v>
      </c>
      <c r="O110" s="26" t="n">
        <f aca="false">datos_base!$E$14*parametros_recargas!P$67+sobrestock_sustitutos!$D$63/12</f>
        <v>3.64495610483988</v>
      </c>
      <c r="P110" s="12" t="n">
        <f aca="false">SUM(D110:O110)</f>
        <v>43.7394732580785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6" t="n">
        <f aca="false">datos_base!$E$15*parametros_recargas!E$68+sobrestock_sustitutos!$D$64/12</f>
        <v>7.24448026576942</v>
      </c>
      <c r="E111" s="26" t="n">
        <f aca="false">datos_base!$E$15*parametros_recargas!F$68+sobrestock_sustitutos!$D$64/12</f>
        <v>7.24448026576942</v>
      </c>
      <c r="F111" s="26" t="n">
        <f aca="false">datos_base!$E$15*parametros_recargas!G$68+sobrestock_sustitutos!$D$64/12</f>
        <v>8.09903737397366</v>
      </c>
      <c r="G111" s="26" t="n">
        <f aca="false">datos_base!$E$15*parametros_recargas!H$68+sobrestock_sustitutos!$D$64/12</f>
        <v>9.25193752016354</v>
      </c>
      <c r="H111" s="26" t="n">
        <f aca="false">datos_base!$E$15*parametros_recargas!I$68+sobrestock_sustitutos!$D$64/12</f>
        <v>9.32053567543556</v>
      </c>
      <c r="I111" s="26" t="n">
        <f aca="false">datos_base!$E$15*parametros_recargas!J$68+sobrestock_sustitutos!$D$64/12</f>
        <v>8.89188005299905</v>
      </c>
      <c r="J111" s="26" t="n">
        <f aca="false">datos_base!$E$15*parametros_recargas!K$68+sobrestock_sustitutos!$D$64/12</f>
        <v>7.5709263816757</v>
      </c>
      <c r="K111" s="26" t="n">
        <f aca="false">datos_base!$E$15*parametros_recargas!L$68+sobrestock_sustitutos!$D$64/12</f>
        <v>7.67726547763031</v>
      </c>
      <c r="L111" s="26" t="n">
        <f aca="false">datos_base!$E$15*parametros_recargas!M$68+sobrestock_sustitutos!$D$64/12</f>
        <v>8.10592110006682</v>
      </c>
      <c r="M111" s="26" t="n">
        <f aca="false">datos_base!$E$15*parametros_recargas!N$68+sobrestock_sustitutos!$D$64/12</f>
        <v>8.10592110006682</v>
      </c>
      <c r="N111" s="26" t="n">
        <f aca="false">datos_base!$E$15*parametros_recargas!O$68+sobrestock_sustitutos!$D$64/12</f>
        <v>8.0373229447948</v>
      </c>
      <c r="O111" s="26" t="n">
        <f aca="false">datos_base!$E$15*parametros_recargas!P$68+sobrestock_sustitutos!$D$64/12</f>
        <v>8.46597856723131</v>
      </c>
      <c r="P111" s="12" t="n">
        <f aca="false">SUM(D111:O111)</f>
        <v>98.0156867255764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6" t="n">
        <f aca="false">datos_base!$E$16*parametros_recargas!E$69+sobrestock_sustitutos!$D$65/12</f>
        <v>15.9211479060509</v>
      </c>
      <c r="E112" s="26" t="n">
        <f aca="false">datos_base!$E$16*parametros_recargas!F$69+sobrestock_sustitutos!$D$65/12</f>
        <v>15.9211479060509</v>
      </c>
      <c r="F112" s="26" t="n">
        <f aca="false">datos_base!$E$16*parametros_recargas!G$69+sobrestock_sustitutos!$D$65/12</f>
        <v>17.8011785635398</v>
      </c>
      <c r="G112" s="26" t="n">
        <f aca="false">datos_base!$E$16*parametros_recargas!H$69+sobrestock_sustitutos!$D$65/12</f>
        <v>20.337684615731</v>
      </c>
      <c r="H112" s="26" t="n">
        <f aca="false">datos_base!$E$16*parametros_recargas!I$69+sobrestock_sustitutos!$D$65/12</f>
        <v>20.4885397347245</v>
      </c>
      <c r="I112" s="26" t="n">
        <f aca="false">datos_base!$E$16*parametros_recargas!J$69+sobrestock_sustitutos!$D$65/12</f>
        <v>19.5454961124907</v>
      </c>
      <c r="J112" s="26" t="n">
        <f aca="false">datos_base!$E$16*parametros_recargas!K$69+sobrestock_sustitutos!$D$65/12</f>
        <v>16.6394232680435</v>
      </c>
      <c r="K112" s="26" t="n">
        <f aca="false">datos_base!$E$16*parametros_recargas!L$69+sobrestock_sustitutos!$D$65/12</f>
        <v>16.8732769517615</v>
      </c>
      <c r="L112" s="26" t="n">
        <f aca="false">datos_base!$E$16*parametros_recargas!M$69+sobrestock_sustitutos!$D$65/12</f>
        <v>17.8163205739953</v>
      </c>
      <c r="M112" s="26" t="n">
        <f aca="false">datos_base!$E$16*parametros_recargas!N$69+sobrestock_sustitutos!$D$65/12</f>
        <v>17.8163205739953</v>
      </c>
      <c r="N112" s="26" t="n">
        <f aca="false">datos_base!$E$16*parametros_recargas!O$69+sobrestock_sustitutos!$D$65/12</f>
        <v>17.6654654550018</v>
      </c>
      <c r="O112" s="26" t="n">
        <f aca="false">datos_base!$E$16*parametros_recargas!P$69+sobrestock_sustitutos!$D$65/12</f>
        <v>18.6085090772356</v>
      </c>
      <c r="P112" s="12" t="n">
        <f aca="false">SUM(D112:O112)</f>
        <v>215.434510738621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6" t="n">
        <f aca="false">datos_base!$E$17*parametros_recargas!E$70+sobrestock_sustitutos!$D$66/12</f>
        <v>3.5206440859921</v>
      </c>
      <c r="E113" s="26" t="n">
        <f aca="false">datos_base!$E$17*parametros_recargas!F$70+sobrestock_sustitutos!$D$66/12</f>
        <v>3.5206440859921</v>
      </c>
      <c r="F113" s="26" t="n">
        <f aca="false">datos_base!$E$17*parametros_recargas!G$70+sobrestock_sustitutos!$D$66/12</f>
        <v>3.93085477896894</v>
      </c>
      <c r="G113" s="26" t="n">
        <f aca="false">datos_base!$E$17*parametros_recargas!H$70+sobrestock_sustitutos!$D$66/12</f>
        <v>4.48430057285001</v>
      </c>
      <c r="H113" s="26" t="n">
        <f aca="false">datos_base!$E$17*parametros_recargas!I$70+sobrestock_sustitutos!$D$66/12</f>
        <v>4.51721466658147</v>
      </c>
      <c r="I113" s="26" t="n">
        <f aca="false">datos_base!$E$17*parametros_recargas!J$70+sobrestock_sustitutos!$D$66/12</f>
        <v>4.31146524211198</v>
      </c>
      <c r="J113" s="26" t="n">
        <f aca="false">datos_base!$E$17*parametros_recargas!K$70+sobrestock_sustitutos!$D$66/12</f>
        <v>3.6773911458511</v>
      </c>
      <c r="K113" s="26" t="n">
        <f aca="false">datos_base!$E$17*parametros_recargas!L$70+sobrestock_sustitutos!$D$66/12</f>
        <v>3.7284192183971</v>
      </c>
      <c r="L113" s="26" t="n">
        <f aca="false">datos_base!$E$17*parametros_recargas!M$70+sobrestock_sustitutos!$D$66/12</f>
        <v>3.93416864286659</v>
      </c>
      <c r="M113" s="26" t="n">
        <f aca="false">datos_base!$E$17*parametros_recargas!N$70+sobrestock_sustitutos!$D$66/12</f>
        <v>3.93416864286659</v>
      </c>
      <c r="N113" s="26" t="n">
        <f aca="false">datos_base!$E$17*parametros_recargas!O$70+sobrestock_sustitutos!$D$66/12</f>
        <v>3.90125454913514</v>
      </c>
      <c r="O113" s="26" t="n">
        <f aca="false">datos_base!$E$17*parametros_recargas!P$70+sobrestock_sustitutos!$D$66/12</f>
        <v>4.10700397360463</v>
      </c>
      <c r="P113" s="12" t="n">
        <f aca="false">SUM(D113:O113)</f>
        <v>47.5675296052178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6" t="n">
        <f aca="false">datos_base!$E$18*parametros_recargas!E$71+sobrestock_sustitutos!$D$67/12</f>
        <v>2.37484375231287</v>
      </c>
      <c r="E114" s="26" t="n">
        <f aca="false">datos_base!$E$18*parametros_recargas!F$71+sobrestock_sustitutos!$D$67/12</f>
        <v>2.37484375231287</v>
      </c>
      <c r="F114" s="26" t="n">
        <f aca="false">datos_base!$E$18*parametros_recargas!G$71+sobrestock_sustitutos!$D$67/12</f>
        <v>2.64834811021677</v>
      </c>
      <c r="G114" s="26" t="n">
        <f aca="false">datos_base!$E$18*parametros_recargas!H$71+sobrestock_sustitutos!$D$67/12</f>
        <v>3.01734564424916</v>
      </c>
      <c r="H114" s="26" t="n">
        <f aca="false">datos_base!$E$18*parametros_recargas!I$71+sobrestock_sustitutos!$D$67/12</f>
        <v>3.03927186717819</v>
      </c>
      <c r="I114" s="26" t="n">
        <f aca="false">datos_base!$E$18*parametros_recargas!J$71+sobrestock_sustitutos!$D$67/12</f>
        <v>2.90211813884053</v>
      </c>
      <c r="J114" s="26" t="n">
        <f aca="false">datos_base!$E$18*parametros_recargas!K$71+sobrestock_sustitutos!$D$67/12</f>
        <v>2.47940099431003</v>
      </c>
      <c r="K114" s="26" t="n">
        <f aca="false">datos_base!$E$18*parametros_recargas!L$71+sobrestock_sustitutos!$D$67/12</f>
        <v>2.51338627552801</v>
      </c>
      <c r="L114" s="26" t="n">
        <f aca="false">datos_base!$E$18*parametros_recargas!M$71+sobrestock_sustitutos!$D$67/12</f>
        <v>2.65054000386566</v>
      </c>
      <c r="M114" s="26" t="n">
        <f aca="false">datos_base!$E$18*parametros_recargas!N$71+sobrestock_sustitutos!$D$67/12</f>
        <v>2.65054000386566</v>
      </c>
      <c r="N114" s="26" t="n">
        <f aca="false">datos_base!$E$18*parametros_recargas!O$71+sobrestock_sustitutos!$D$67/12</f>
        <v>2.62861378093664</v>
      </c>
      <c r="O114" s="26" t="n">
        <f aca="false">datos_base!$E$18*parametros_recargas!P$71+sobrestock_sustitutos!$D$67/12</f>
        <v>2.76576750927429</v>
      </c>
      <c r="P114" s="12" t="n">
        <f aca="false">SUM(D114:O114)</f>
        <v>32.0450198328907</v>
      </c>
    </row>
    <row r="115" customFormat="false" ht="15" hidden="false" customHeight="false" outlineLevel="0" collapsed="false">
      <c r="A115" s="4" t="s">
        <v>385</v>
      </c>
      <c r="D115" s="12" t="n">
        <f aca="false">SUM(D98:D114)</f>
        <v>3066.96635192765</v>
      </c>
      <c r="E115" s="12" t="n">
        <f aca="false">SUM(E98:E114)</f>
        <v>2656.0552972801</v>
      </c>
      <c r="F115" s="12" t="n">
        <f aca="false">SUM(F98:F114)</f>
        <v>2539.1576744789</v>
      </c>
      <c r="G115" s="12" t="n">
        <f aca="false">SUM(G98:G114)</f>
        <v>2810.23474498144</v>
      </c>
      <c r="H115" s="12" t="n">
        <f aca="false">SUM(H98:H114)</f>
        <v>2834.05983777813</v>
      </c>
      <c r="I115" s="12" t="n">
        <f aca="false">SUM(I98:I114)</f>
        <v>2803.80610590918</v>
      </c>
      <c r="J115" s="12" t="n">
        <f aca="false">SUM(J98:J114)</f>
        <v>2479.64179882124</v>
      </c>
      <c r="K115" s="12" t="n">
        <f aca="false">SUM(K98:K114)</f>
        <v>2503.36403499057</v>
      </c>
      <c r="L115" s="12" t="n">
        <f aca="false">SUM(L98:L114)</f>
        <v>2528.99504225152</v>
      </c>
      <c r="M115" s="12" t="n">
        <f aca="false">SUM(M98:M114)</f>
        <v>2528.99504225152</v>
      </c>
      <c r="N115" s="12" t="n">
        <f aca="false">SUM(N98:N114)</f>
        <v>2916.08100410238</v>
      </c>
      <c r="O115" s="12" t="n">
        <f aca="false">SUM(O98:O114)</f>
        <v>3357.24579061887</v>
      </c>
      <c r="P115" s="12" t="n">
        <f aca="false">SUM(P98:P114)</f>
        <v>33024.6027253915</v>
      </c>
    </row>
    <row r="116" customFormat="false" ht="15" hidden="false" customHeight="false" outlineLevel="0" collapsed="false">
      <c r="A116" s="4" t="s">
        <v>386</v>
      </c>
    </row>
    <row r="117" customFormat="false" ht="15" hidden="false" customHeight="false" outlineLevel="0" collapsed="false">
      <c r="A117" s="5" t="s">
        <v>165</v>
      </c>
      <c r="D117" s="26" t="n">
        <f aca="false">SUMPRODUCT(($B$98:$B$114=$A117)*D$98:D$114*$C$98:$C$114)</f>
        <v>2911.21730109821</v>
      </c>
      <c r="E117" s="26" t="n">
        <f aca="false">SUMPRODUCT(($B$98:$B$114=$A117)*E$98:E$114*$C$98:$C$114)</f>
        <v>2500.30624645066</v>
      </c>
      <c r="F117" s="26" t="n">
        <f aca="false">SUMPRODUCT(($B$98:$B$114=$A117)*F$98:F$114*$C$98:$C$114)</f>
        <v>2334.01166025402</v>
      </c>
      <c r="G117" s="26" t="n">
        <f aca="false">SUMPRODUCT(($B$98:$B$114=$A117)*G$98:G$114*$C$98:$C$114)</f>
        <v>2564.36543360383</v>
      </c>
      <c r="H117" s="26" t="n">
        <f aca="false">SUMPRODUCT(($B$98:$B$114=$A117)*H$98:H$114*$C$98:$C$114)</f>
        <v>2584.87111273913</v>
      </c>
      <c r="I117" s="26" t="n">
        <f aca="false">SUMPRODUCT(($B$98:$B$114=$A117)*I$98:I$114*$C$98:$C$114)</f>
        <v>2556.49952947011</v>
      </c>
      <c r="J117" s="26" t="n">
        <f aca="false">SUMPRODUCT(($B$98:$B$114=$A117)*J$98:J$114*$C$98:$C$114)</f>
        <v>2281.2959455976</v>
      </c>
      <c r="K117" s="26" t="n">
        <f aca="false">SUMPRODUCT(($B$98:$B$114=$A117)*K$98:K$114*$C$98:$C$114)</f>
        <v>2304.01715688547</v>
      </c>
      <c r="L117" s="26" t="n">
        <f aca="false">SUMPRODUCT(($B$98:$B$114=$A117)*L$98:L$114*$C$98:$C$114)</f>
        <v>2328.77581647184</v>
      </c>
      <c r="M117" s="26" t="n">
        <f aca="false">SUMPRODUCT(($B$98:$B$114=$A117)*M$98:M$114*$C$98:$C$114)</f>
        <v>2328.77581647184</v>
      </c>
      <c r="N117" s="26" t="n">
        <f aca="false">SUMPRODUCT(($B$98:$B$114=$A117)*N$98:N$114*$C$98:$C$114)</f>
        <v>2719.18119198408</v>
      </c>
      <c r="O117" s="26" t="n">
        <f aca="false">SUMPRODUCT(($B$98:$B$114=$A117)*O$98:O$114*$C$98:$C$114)</f>
        <v>3158.46382990066</v>
      </c>
      <c r="P117" s="26" t="n">
        <f aca="false">SUMPRODUCT(($B$98:$B$114=$A117)*P$98:P$114*$C$98:$C$114)</f>
        <v>30571.7810409274</v>
      </c>
    </row>
    <row r="118" customFormat="false" ht="15" hidden="false" customHeight="false" outlineLevel="0" collapsed="false">
      <c r="A118" s="5" t="s">
        <v>166</v>
      </c>
      <c r="D118" s="26" t="n">
        <f aca="false">SUMPRODUCT(($B$98:$B$114=$A118)*D$98:D$114*$C$98:$C$114)</f>
        <v>3.91453671869877</v>
      </c>
      <c r="E118" s="26" t="n">
        <f aca="false">SUMPRODUCT(($B$98:$B$114=$A118)*E$98:E$114*$C$98:$C$114)</f>
        <v>3.91453671869877</v>
      </c>
      <c r="F118" s="26" t="n">
        <f aca="false">SUMPRODUCT(($B$98:$B$114=$A118)*F$98:F$114*$C$98:$C$114)</f>
        <v>3.91453671869877</v>
      </c>
      <c r="G118" s="26" t="n">
        <f aca="false">SUMPRODUCT(($B$98:$B$114=$A118)*G$98:G$114*$C$98:$C$114)</f>
        <v>3.91453671869877</v>
      </c>
      <c r="H118" s="26" t="n">
        <f aca="false">SUMPRODUCT(($B$98:$B$114=$A118)*H$98:H$114*$C$98:$C$114)</f>
        <v>3.91453671869877</v>
      </c>
      <c r="I118" s="26" t="n">
        <f aca="false">SUMPRODUCT(($B$98:$B$114=$A118)*I$98:I$114*$C$98:$C$114)</f>
        <v>3.91453671869877</v>
      </c>
      <c r="J118" s="26" t="n">
        <f aca="false">SUMPRODUCT(($B$98:$B$114=$A118)*J$98:J$114*$C$98:$C$114)</f>
        <v>3.91453671869877</v>
      </c>
      <c r="K118" s="26" t="n">
        <f aca="false">SUMPRODUCT(($B$98:$B$114=$A118)*K$98:K$114*$C$98:$C$114)</f>
        <v>3.91453671869877</v>
      </c>
      <c r="L118" s="26" t="n">
        <f aca="false">SUMPRODUCT(($B$98:$B$114=$A118)*L$98:L$114*$C$98:$C$114)</f>
        <v>3.91453671869877</v>
      </c>
      <c r="M118" s="26" t="n">
        <f aca="false">SUMPRODUCT(($B$98:$B$114=$A118)*M$98:M$114*$C$98:$C$114)</f>
        <v>3.91453671869877</v>
      </c>
      <c r="N118" s="26" t="n">
        <f aca="false">SUMPRODUCT(($B$98:$B$114=$A118)*N$98:N$114*$C$98:$C$114)</f>
        <v>3.91453671869877</v>
      </c>
      <c r="O118" s="26" t="n">
        <f aca="false">SUMPRODUCT(($B$98:$B$114=$A118)*O$98:O$114*$C$98:$C$114)</f>
        <v>3.91453671869877</v>
      </c>
      <c r="P118" s="26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5" t="s">
        <v>167</v>
      </c>
      <c r="D119" s="26" t="n">
        <f aca="false">SUMPRODUCT(($B$98:$B$114=$A119)*D$98:D$114*$C$98:$C$114)</f>
        <v>3.64495610483988</v>
      </c>
      <c r="E119" s="26" t="n">
        <f aca="false">SUMPRODUCT(($B$98:$B$114=$A119)*E$98:E$114*$C$98:$C$114)</f>
        <v>3.64495610483988</v>
      </c>
      <c r="F119" s="26" t="n">
        <f aca="false">SUMPRODUCT(($B$98:$B$114=$A119)*F$98:F$114*$C$98:$C$114)</f>
        <v>3.64495610483988</v>
      </c>
      <c r="G119" s="26" t="n">
        <f aca="false">SUMPRODUCT(($B$98:$B$114=$A119)*G$98:G$114*$C$98:$C$114)</f>
        <v>3.64495610483988</v>
      </c>
      <c r="H119" s="26" t="n">
        <f aca="false">SUMPRODUCT(($B$98:$B$114=$A119)*H$98:H$114*$C$98:$C$114)</f>
        <v>3.64495610483988</v>
      </c>
      <c r="I119" s="26" t="n">
        <f aca="false">SUMPRODUCT(($B$98:$B$114=$A119)*I$98:I$114*$C$98:$C$114)</f>
        <v>3.64495610483988</v>
      </c>
      <c r="J119" s="26" t="n">
        <f aca="false">SUMPRODUCT(($B$98:$B$114=$A119)*J$98:J$114*$C$98:$C$114)</f>
        <v>3.64495610483988</v>
      </c>
      <c r="K119" s="26" t="n">
        <f aca="false">SUMPRODUCT(($B$98:$B$114=$A119)*K$98:K$114*$C$98:$C$114)</f>
        <v>3.64495610483988</v>
      </c>
      <c r="L119" s="26" t="n">
        <f aca="false">SUMPRODUCT(($B$98:$B$114=$A119)*L$98:L$114*$C$98:$C$114)</f>
        <v>3.64495610483988</v>
      </c>
      <c r="M119" s="26" t="n">
        <f aca="false">SUMPRODUCT(($B$98:$B$114=$A119)*M$98:M$114*$C$98:$C$114)</f>
        <v>3.64495610483988</v>
      </c>
      <c r="N119" s="26" t="n">
        <f aca="false">SUMPRODUCT(($B$98:$B$114=$A119)*N$98:N$114*$C$98:$C$114)</f>
        <v>3.64495610483988</v>
      </c>
      <c r="O119" s="26" t="n">
        <f aca="false">SUMPRODUCT(($B$98:$B$114=$A119)*O$98:O$114*$C$98:$C$114)</f>
        <v>3.64495610483988</v>
      </c>
      <c r="P119" s="26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5" t="s">
        <v>168</v>
      </c>
      <c r="D120" s="26" t="n">
        <f aca="false">SUMPRODUCT(($B$98:$B$114=$A120)*D$98:D$114*$C$98:$C$114)</f>
        <v>54.1947266900704</v>
      </c>
      <c r="E120" s="26" t="n">
        <f aca="false">SUMPRODUCT(($B$98:$B$114=$A120)*E$98:E$114*$C$98:$C$114)</f>
        <v>54.1947266900704</v>
      </c>
      <c r="F120" s="26" t="n">
        <f aca="false">SUMPRODUCT(($B$98:$B$114=$A120)*F$98:F$114*$C$98:$C$114)</f>
        <v>66.8185906281958</v>
      </c>
      <c r="G120" s="26" t="n">
        <f aca="false">SUMPRODUCT(($B$98:$B$114=$A120)*G$98:G$114*$C$98:$C$114)</f>
        <v>79.9717850543879</v>
      </c>
      <c r="H120" s="26" t="n">
        <f aca="false">SUMPRODUCT(($B$98:$B$114=$A120)*H$98:H$114*$C$98:$C$114)</f>
        <v>80.6648840137288</v>
      </c>
      <c r="I120" s="26" t="n">
        <f aca="false">SUMPRODUCT(($B$98:$B$114=$A120)*I$98:I$114*$C$98:$C$114)</f>
        <v>78.0275058976509</v>
      </c>
      <c r="J120" s="26" t="n">
        <f aca="false">SUMPRODUCT(($B$98:$B$114=$A120)*J$98:J$114*$C$98:$C$114)</f>
        <v>63.1387761211747</v>
      </c>
      <c r="K120" s="26" t="n">
        <f aca="false">SUMPRODUCT(($B$98:$B$114=$A120)*K$98:K$114*$C$98:$C$114)</f>
        <v>63.4593628027887</v>
      </c>
      <c r="L120" s="26" t="n">
        <f aca="false">SUMPRODUCT(($B$98:$B$114=$A120)*L$98:L$114*$C$98:$C$114)</f>
        <v>65.9176724675001</v>
      </c>
      <c r="M120" s="26" t="n">
        <f aca="false">SUMPRODUCT(($B$98:$B$114=$A120)*M$98:M$114*$C$98:$C$114)</f>
        <v>65.9176724675001</v>
      </c>
      <c r="N120" s="26" t="n">
        <f aca="false">SUMPRODUCT(($B$98:$B$114=$A120)*N$98:N$114*$C$98:$C$114)</f>
        <v>65.2245735081592</v>
      </c>
      <c r="O120" s="26" t="n">
        <f aca="false">SUMPRODUCT(($B$98:$B$114=$A120)*O$98:O$114*$C$98:$C$114)</f>
        <v>67.8619516242371</v>
      </c>
      <c r="P120" s="26" t="n">
        <f aca="false">SUMPRODUCT(($B$98:$B$114=$A120)*P$98:P$114*$C$98:$C$114)</f>
        <v>805.392227965464</v>
      </c>
    </row>
    <row r="121" customFormat="false" ht="15" hidden="false" customHeight="false" outlineLevel="0" collapsed="false">
      <c r="A121" s="5" t="s">
        <v>169</v>
      </c>
      <c r="D121" s="26" t="n">
        <f aca="false">SUMPRODUCT(($B$98:$B$114=$A121)*D$98:D$114*$C$98:$C$114)</f>
        <v>56.3495511710687</v>
      </c>
      <c r="E121" s="26" t="n">
        <f aca="false">SUMPRODUCT(($B$98:$B$114=$A121)*E$98:E$114*$C$98:$C$114)</f>
        <v>56.3495511710687</v>
      </c>
      <c r="F121" s="26" t="n">
        <f aca="false">SUMPRODUCT(($B$98:$B$114=$A121)*F$98:F$114*$C$98:$C$114)</f>
        <v>56.3495511710687</v>
      </c>
      <c r="G121" s="26" t="n">
        <f aca="false">SUMPRODUCT(($B$98:$B$114=$A121)*G$98:G$114*$C$98:$C$114)</f>
        <v>56.3495511710687</v>
      </c>
      <c r="H121" s="26" t="n">
        <f aca="false">SUMPRODUCT(($B$98:$B$114=$A121)*H$98:H$114*$C$98:$C$114)</f>
        <v>56.3495511710687</v>
      </c>
      <c r="I121" s="26" t="n">
        <f aca="false">SUMPRODUCT(($B$98:$B$114=$A121)*I$98:I$114*$C$98:$C$114)</f>
        <v>56.3495511710687</v>
      </c>
      <c r="J121" s="26" t="n">
        <f aca="false">SUMPRODUCT(($B$98:$B$114=$A121)*J$98:J$114*$C$98:$C$114)</f>
        <v>56.3495511710687</v>
      </c>
      <c r="K121" s="26" t="n">
        <f aca="false">SUMPRODUCT(($B$98:$B$114=$A121)*K$98:K$114*$C$98:$C$114)</f>
        <v>56.3495511710687</v>
      </c>
      <c r="L121" s="26" t="n">
        <f aca="false">SUMPRODUCT(($B$98:$B$114=$A121)*L$98:L$114*$C$98:$C$114)</f>
        <v>56.3495511710687</v>
      </c>
      <c r="M121" s="26" t="n">
        <f aca="false">SUMPRODUCT(($B$98:$B$114=$A121)*M$98:M$114*$C$98:$C$114)</f>
        <v>56.3495511710687</v>
      </c>
      <c r="N121" s="26" t="n">
        <f aca="false">SUMPRODUCT(($B$98:$B$114=$A121)*N$98:N$114*$C$98:$C$114)</f>
        <v>56.3495511710687</v>
      </c>
      <c r="O121" s="26" t="n">
        <f aca="false">SUMPRODUCT(($B$98:$B$114=$A121)*O$98:O$114*$C$98:$C$114)</f>
        <v>56.3495511710687</v>
      </c>
      <c r="P121" s="26" t="n">
        <f aca="false">SUMPRODUCT(($B$98:$B$114=$A121)*P$98:P$114*$C$98:$C$114)</f>
        <v>676.194614052824</v>
      </c>
    </row>
    <row r="122" customFormat="false" ht="15" hidden="false" customHeight="false" outlineLevel="0" collapsed="false">
      <c r="A122" s="5" t="s">
        <v>170</v>
      </c>
      <c r="D122" s="26" t="n">
        <f aca="false">SUMPRODUCT(($B$98:$B$114=$A122)*D$98:D$114*$C$98:$C$114)</f>
        <v>27.5144870359241</v>
      </c>
      <c r="E122" s="26" t="n">
        <f aca="false">SUMPRODUCT(($B$98:$B$114=$A122)*E$98:E$114*$C$98:$C$114)</f>
        <v>27.5144870359241</v>
      </c>
      <c r="F122" s="26" t="n">
        <f aca="false">SUMPRODUCT(($B$98:$B$114=$A122)*F$98:F$114*$C$98:$C$114)</f>
        <v>33.2517460013372</v>
      </c>
      <c r="G122" s="26" t="n">
        <f aca="false">SUMPRODUCT(($B$98:$B$114=$A122)*G$98:G$114*$C$98:$C$114)</f>
        <v>37.1987620422976</v>
      </c>
      <c r="H122" s="26" t="n">
        <f aca="false">SUMPRODUCT(($B$98:$B$114=$A122)*H$98:H$114*$C$98:$C$114)</f>
        <v>38.5109144937271</v>
      </c>
      <c r="I122" s="26" t="n">
        <f aca="false">SUMPRODUCT(($B$98:$B$114=$A122)*I$98:I$114*$C$98:$C$114)</f>
        <v>37.6679739509548</v>
      </c>
      <c r="J122" s="26" t="n">
        <f aca="false">SUMPRODUCT(($B$98:$B$114=$A122)*J$98:J$114*$C$98:$C$114)</f>
        <v>30.4361374992377</v>
      </c>
      <c r="K122" s="26" t="n">
        <f aca="false">SUMPRODUCT(($B$98:$B$114=$A122)*K$98:K$114*$C$98:$C$114)</f>
        <v>32.399926894199</v>
      </c>
      <c r="L122" s="26" t="n">
        <f aca="false">SUMPRODUCT(($B$98:$B$114=$A122)*L$98:L$114*$C$98:$C$114)</f>
        <v>33.2428674369712</v>
      </c>
      <c r="M122" s="26" t="n">
        <f aca="false">SUMPRODUCT(($B$98:$B$114=$A122)*M$98:M$114*$C$98:$C$114)</f>
        <v>33.2428674369712</v>
      </c>
      <c r="N122" s="26" t="n">
        <f aca="false">SUMPRODUCT(($B$98:$B$114=$A122)*N$98:N$114*$C$98:$C$114)</f>
        <v>31.9307149855417</v>
      </c>
      <c r="O122" s="26" t="n">
        <f aca="false">SUMPRODUCT(($B$98:$B$114=$A122)*O$98:O$114*$C$98:$C$114)</f>
        <v>32.773655528314</v>
      </c>
      <c r="P122" s="26" t="n">
        <f aca="false">SUMPRODUCT(($B$98:$B$114=$A122)*P$98:P$114*$C$98:$C$114)</f>
        <v>395.6845403414</v>
      </c>
    </row>
    <row r="123" customFormat="false" ht="15" hidden="false" customHeight="false" outlineLevel="0" collapsed="false">
      <c r="A123" s="5" t="s">
        <v>171</v>
      </c>
      <c r="D123" s="26" t="n">
        <f aca="false">SUMPRODUCT(($B$98:$B$114=$A123)*D$98:D$114*$C$98:$C$114)</f>
        <v>191.922252162519</v>
      </c>
      <c r="E123" s="26" t="n">
        <f aca="false">SUMPRODUCT(($B$98:$B$114=$A123)*E$98:E$114*$C$98:$C$114)</f>
        <v>191.922252162519</v>
      </c>
      <c r="F123" s="26" t="n">
        <f aca="false">SUMPRODUCT(($B$98:$B$114=$A123)*F$98:F$114*$C$98:$C$114)</f>
        <v>242.166273184258</v>
      </c>
      <c r="G123" s="26" t="n">
        <f aca="false">SUMPRODUCT(($B$98:$B$114=$A123)*G$98:G$114*$C$98:$C$114)</f>
        <v>290.512811273791</v>
      </c>
      <c r="H123" s="26" t="n">
        <f aca="false">SUMPRODUCT(($B$98:$B$114=$A123)*H$98:H$114*$C$98:$C$114)</f>
        <v>293.297421384211</v>
      </c>
      <c r="I123" s="26" t="n">
        <f aca="false">SUMPRODUCT(($B$98:$B$114=$A123)*I$98:I$114*$C$98:$C$114)</f>
        <v>286.587017166224</v>
      </c>
      <c r="J123" s="26" t="n">
        <f aca="false">SUMPRODUCT(($B$98:$B$114=$A123)*J$98:J$114*$C$98:$C$114)</f>
        <v>231.42108528392</v>
      </c>
      <c r="K123" s="26" t="n">
        <f aca="false">SUMPRODUCT(($B$98:$B$114=$A123)*K$98:K$114*$C$98:$C$114)</f>
        <v>232.417202036918</v>
      </c>
      <c r="L123" s="26" t="n">
        <f aca="false">SUMPRODUCT(($B$98:$B$114=$A123)*L$98:L$114*$C$98:$C$114)</f>
        <v>238.296873780927</v>
      </c>
      <c r="M123" s="26" t="n">
        <f aca="false">SUMPRODUCT(($B$98:$B$114=$A123)*M$98:M$114*$C$98:$C$114)</f>
        <v>238.296873780927</v>
      </c>
      <c r="N123" s="26" t="n">
        <f aca="false">SUMPRODUCT(($B$98:$B$114=$A123)*N$98:N$114*$C$98:$C$114)</f>
        <v>235.512263670506</v>
      </c>
      <c r="O123" s="26" t="n">
        <f aca="false">SUMPRODUCT(($B$98:$B$114=$A123)*O$98:O$114*$C$98:$C$114)</f>
        <v>242.222667888494</v>
      </c>
      <c r="P123" s="26" t="n">
        <f aca="false">SUMPRODUCT(($B$98:$B$114=$A123)*P$98:P$114*$C$98:$C$114)</f>
        <v>2914.57499377521</v>
      </c>
    </row>
    <row r="124" customFormat="false" ht="15" hidden="false" customHeight="false" outlineLevel="0" collapsed="false">
      <c r="A124" s="5" t="s">
        <v>172</v>
      </c>
      <c r="D124" s="26" t="n">
        <f aca="false">SUMPRODUCT(($B$98:$B$114=$A124)*D$98:D$114*$C$98:$C$114)</f>
        <v>10.6748909273883</v>
      </c>
      <c r="E124" s="26" t="n">
        <f aca="false">SUMPRODUCT(($B$98:$B$114=$A124)*E$98:E$114*$C$98:$C$114)</f>
        <v>10.6748909273883</v>
      </c>
      <c r="F124" s="26" t="n">
        <f aca="false">SUMPRODUCT(($B$98:$B$114=$A124)*F$98:F$114*$C$98:$C$114)</f>
        <v>9.79173229770211</v>
      </c>
      <c r="G124" s="26" t="n">
        <f aca="false">SUMPRODUCT(($B$98:$B$114=$A124)*G$98:G$114*$C$98:$C$114)</f>
        <v>9.79173229770211</v>
      </c>
      <c r="H124" s="26" t="n">
        <f aca="false">SUMPRODUCT(($B$98:$B$114=$A124)*H$98:H$114*$C$98:$C$114)</f>
        <v>9.79173229770211</v>
      </c>
      <c r="I124" s="26" t="n">
        <f aca="false">SUMPRODUCT(($B$98:$B$114=$A124)*I$98:I$114*$C$98:$C$114)</f>
        <v>8.90857366801591</v>
      </c>
      <c r="J124" s="26" t="n">
        <f aca="false">SUMPRODUCT(($B$98:$B$114=$A124)*J$98:J$114*$C$98:$C$114)</f>
        <v>8.90857366801591</v>
      </c>
      <c r="K124" s="26" t="n">
        <f aca="false">SUMPRODUCT(($B$98:$B$114=$A124)*K$98:K$114*$C$98:$C$114)</f>
        <v>8.90857366801591</v>
      </c>
      <c r="L124" s="26" t="n">
        <f aca="false">SUMPRODUCT(($B$98:$B$114=$A124)*L$98:L$114*$C$98:$C$114)</f>
        <v>9.79173229770211</v>
      </c>
      <c r="M124" s="26" t="n">
        <f aca="false">SUMPRODUCT(($B$98:$B$114=$A124)*M$98:M$114*$C$98:$C$114)</f>
        <v>9.79173229770211</v>
      </c>
      <c r="N124" s="26" t="n">
        <f aca="false">SUMPRODUCT(($B$98:$B$114=$A124)*N$98:N$114*$C$98:$C$114)</f>
        <v>9.79173229770211</v>
      </c>
      <c r="O124" s="26" t="n">
        <f aca="false">SUMPRODUCT(($B$98:$B$114=$A124)*O$98:O$114*$C$98:$C$114)</f>
        <v>10.6748909273883</v>
      </c>
      <c r="P124" s="26" t="n">
        <f aca="false">SUMPRODUCT(($B$98:$B$114=$A124)*P$98:P$114*$C$98:$C$114)</f>
        <v>117.500787572425</v>
      </c>
    </row>
    <row r="125" customFormat="false" ht="15" hidden="false" customHeight="false" outlineLevel="0" collapsed="false">
      <c r="A125" s="4" t="s">
        <v>387</v>
      </c>
      <c r="D125" s="27" t="n">
        <f aca="false">SUMPRODUCT(D$98:D$114*parametros_recargas!$D$55:$D$71)</f>
        <v>90.3023990864336</v>
      </c>
      <c r="E125" s="27" t="n">
        <f aca="false">SUMPRODUCT(E$98:E$114*parametros_recargas!$D$55:$D$71)</f>
        <v>90.3023990864336</v>
      </c>
      <c r="F125" s="27" t="n">
        <f aca="false">SUMPRODUCT(F$98:F$114*parametros_recargas!$D$55:$D$71)</f>
        <v>98.5043708461785</v>
      </c>
      <c r="G125" s="27" t="n">
        <f aca="false">SUMPRODUCT(G$98:G$114*parametros_recargas!$D$55:$D$71)</f>
        <v>109.72882513727</v>
      </c>
      <c r="H125" s="27" t="n">
        <f aca="false">SUMPRODUCT(H$98:H$114*parametros_recargas!$D$55:$D$71)</f>
        <v>111.495838511433</v>
      </c>
      <c r="I125" s="27" t="n">
        <f aca="false">SUMPRODUCT(I$98:I$114*parametros_recargas!$D$55:$D$71)</f>
        <v>106.192983702604</v>
      </c>
      <c r="J125" s="27" t="n">
        <f aca="false">SUMPRODUCT(J$98:J$114*parametros_recargas!$D$55:$D$71)</f>
        <v>92.8392881594846</v>
      </c>
      <c r="K125" s="27" t="n">
        <f aca="false">SUMPRODUCT(K$98:K$114*parametros_recargas!$D$55:$D$71)</f>
        <v>94.4551705081944</v>
      </c>
      <c r="L125" s="27" t="n">
        <f aca="false">SUMPRODUCT(L$98:L$114*parametros_recargas!$D$55:$D$71)</f>
        <v>98.9272928430442</v>
      </c>
      <c r="M125" s="27" t="n">
        <f aca="false">SUMPRODUCT(M$98:M$114*parametros_recargas!$D$55:$D$71)</f>
        <v>98.9272928430442</v>
      </c>
      <c r="N125" s="27" t="n">
        <f aca="false">SUMPRODUCT(N$98:N$114*parametros_recargas!$D$55:$D$71)</f>
        <v>97.1602794688813</v>
      </c>
      <c r="O125" s="27" t="n">
        <f aca="false">SUMPRODUCT(O$98:O$114*parametros_recargas!$D$55:$D$71)</f>
        <v>102.463134277709</v>
      </c>
      <c r="P125" s="27" t="n">
        <f aca="false">SUMPRODUCT(P$98:P$114*parametros_recargas!$D$55:$D$71)</f>
        <v>1191.29927447071</v>
      </c>
    </row>
    <row r="126" customFormat="false" ht="15" hidden="false" customHeight="false" outlineLevel="0" collapsed="false">
      <c r="A126" s="4" t="s">
        <v>388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0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0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0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0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0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0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0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0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0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0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0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0</v>
      </c>
      <c r="P126" s="12" t="n">
        <f aca="false">SUM(D126:O126)</f>
        <v>0</v>
      </c>
    </row>
    <row r="129" customFormat="false" ht="15" hidden="false" customHeight="false" outlineLevel="0" collapsed="false">
      <c r="A129" s="28" t="n">
        <v>2030</v>
      </c>
      <c r="B129" s="3" t="s">
        <v>383</v>
      </c>
      <c r="C129" s="3" t="s">
        <v>384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6" t="n">
        <f aca="false">datos_base!$F$2*parametros_recargas!E$55+sobrestock_sustitutos!$E$51/12</f>
        <v>2912.22726868593</v>
      </c>
      <c r="E130" s="26" t="n">
        <f aca="false">datos_base!$F$2*parametros_recargas!F$55+sobrestock_sustitutos!$E$51/12</f>
        <v>2319.40771710095</v>
      </c>
      <c r="F130" s="26" t="n">
        <f aca="false">datos_base!$F$2*parametros_recargas!G$55+sobrestock_sustitutos!$E$51/12</f>
        <v>1727.59926415033</v>
      </c>
      <c r="G130" s="26" t="n">
        <f aca="false">datos_base!$F$2*parametros_recargas!H$55+sobrestock_sustitutos!$E$51/12</f>
        <v>1727.59926415033</v>
      </c>
      <c r="H130" s="26" t="n">
        <f aca="false">datos_base!$F$2*parametros_recargas!I$55+sobrestock_sustitutos!$E$51/12</f>
        <v>1728.6103627847</v>
      </c>
      <c r="I130" s="26" t="n">
        <f aca="false">datos_base!$F$2*parametros_recargas!J$55+sobrestock_sustitutos!$E$51/12</f>
        <v>1728.6103627847</v>
      </c>
      <c r="J130" s="26" t="n">
        <f aca="false">datos_base!$F$2*parametros_recargas!K$55+sobrestock_sustitutos!$E$51/12</f>
        <v>1726.96334469263</v>
      </c>
      <c r="K130" s="26" t="n">
        <f aca="false">datos_base!$F$2*parametros_recargas!L$55+sobrestock_sustitutos!$E$51/12</f>
        <v>1728.6103627847</v>
      </c>
      <c r="L130" s="26" t="n">
        <f aca="false">datos_base!$F$2*parametros_recargas!M$55+sobrestock_sustitutos!$E$51/12</f>
        <v>1728.42277319637</v>
      </c>
      <c r="M130" s="26" t="n">
        <f aca="false">datos_base!$F$2*parametros_recargas!N$55+sobrestock_sustitutos!$E$51/12</f>
        <v>1728.42277319637</v>
      </c>
      <c r="N130" s="26" t="n">
        <f aca="false">datos_base!$F$2*parametros_recargas!O$55+sobrestock_sustitutos!$E$51/12</f>
        <v>2320.23122614699</v>
      </c>
      <c r="O130" s="26" t="n">
        <f aca="false">datos_base!$F$2*parametros_recargas!P$55+sobrestock_sustitutos!$E$51/12</f>
        <v>2913.05077773197</v>
      </c>
      <c r="P130" s="12" t="n">
        <f aca="false">SUM(D130:O130)</f>
        <v>24289.755497406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6" t="n">
        <f aca="false">datos_base!$F$3*parametros_recargas!E$56+sobrestock_sustitutos!$E$52/12</f>
        <v>139.829957425315</v>
      </c>
      <c r="E131" s="26" t="n">
        <f aca="false">datos_base!$F$3*parametros_recargas!F$56+sobrestock_sustitutos!$E$52/12</f>
        <v>139.829957425315</v>
      </c>
      <c r="F131" s="26" t="n">
        <f aca="false">datos_base!$F$3*parametros_recargas!G$56+sobrestock_sustitutos!$E$52/12</f>
        <v>189.181050672513</v>
      </c>
      <c r="G131" s="26" t="n">
        <f aca="false">datos_base!$F$3*parametros_recargas!H$56+sobrestock_sustitutos!$E$52/12</f>
        <v>217.908384099396</v>
      </c>
      <c r="H131" s="26" t="n">
        <f aca="false">datos_base!$F$3*parametros_recargas!I$56+sobrestock_sustitutos!$E$52/12</f>
        <v>235.945188454979</v>
      </c>
      <c r="I131" s="26" t="n">
        <f aca="false">datos_base!$F$3*parametros_recargas!J$56+sobrestock_sustitutos!$E$52/12</f>
        <v>233.083860214447</v>
      </c>
      <c r="J131" s="26" t="n">
        <f aca="false">datos_base!$F$3*parametros_recargas!K$56+sobrestock_sustitutos!$E$52/12</f>
        <v>170.761191206551</v>
      </c>
      <c r="K131" s="26" t="n">
        <f aca="false">datos_base!$F$3*parametros_recargas!L$56+sobrestock_sustitutos!$E$52/12</f>
        <v>198.908243082299</v>
      </c>
      <c r="L131" s="26" t="n">
        <f aca="false">datos_base!$F$3*parametros_recargas!M$56+sobrestock_sustitutos!$E$52/12</f>
        <v>199.168363831438</v>
      </c>
      <c r="M131" s="26" t="n">
        <f aca="false">datos_base!$F$3*parametros_recargas!N$56+sobrestock_sustitutos!$E$52/12</f>
        <v>199.168363831438</v>
      </c>
      <c r="N131" s="26" t="n">
        <f aca="false">datos_base!$F$3*parametros_recargas!O$56+sobrestock_sustitutos!$E$52/12</f>
        <v>181.131559475856</v>
      </c>
      <c r="O131" s="26" t="n">
        <f aca="false">datos_base!$F$3*parametros_recargas!P$56+sobrestock_sustitutos!$E$52/12</f>
        <v>183.992887716388</v>
      </c>
      <c r="P131" s="12" t="n">
        <f aca="false">SUM(D131:O131)</f>
        <v>2288.90900743594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6" t="n">
        <f aca="false">datos_base!$F$4*parametros_recargas!E$57+sobrestock_sustitutos!$E$53/12</f>
        <v>947.280030911018</v>
      </c>
      <c r="E132" s="26" t="n">
        <f aca="false">datos_base!$F$4*parametros_recargas!F$57+sobrestock_sustitutos!$E$53/12</f>
        <v>923.331646651233</v>
      </c>
      <c r="F132" s="26" t="n">
        <f aca="false">datos_base!$F$4*parametros_recargas!G$57+sobrestock_sustitutos!$E$53/12</f>
        <v>1155.83399833927</v>
      </c>
      <c r="G132" s="26" t="n">
        <f aca="false">datos_base!$F$4*parametros_recargas!H$57+sobrestock_sustitutos!$E$53/12</f>
        <v>1403.09619171062</v>
      </c>
      <c r="H132" s="26" t="n">
        <f aca="false">datos_base!$F$4*parametros_recargas!I$57+sobrestock_sustitutos!$E$53/12</f>
        <v>1410.12692511059</v>
      </c>
      <c r="I132" s="26" t="n">
        <f aca="false">datos_base!$F$4*parametros_recargas!J$57+sobrestock_sustitutos!$E$53/12</f>
        <v>1390.37503086517</v>
      </c>
      <c r="J132" s="26" t="n">
        <f aca="false">datos_base!$F$4*parametros_recargas!K$57+sobrestock_sustitutos!$E$53/12</f>
        <v>1122.96632780614</v>
      </c>
      <c r="K132" s="26" t="n">
        <f aca="false">datos_base!$F$4*parametros_recargas!L$57+sobrestock_sustitutos!$E$53/12</f>
        <v>1121.20313407191</v>
      </c>
      <c r="L132" s="26" t="n">
        <f aca="false">datos_base!$F$4*parametros_recargas!M$57+sobrestock_sustitutos!$E$53/12</f>
        <v>1138.52012390571</v>
      </c>
      <c r="M132" s="26" t="n">
        <f aca="false">datos_base!$F$4*parametros_recargas!N$57+sobrestock_sustitutos!$E$53/12</f>
        <v>1138.52012390571</v>
      </c>
      <c r="N132" s="26" t="n">
        <f aca="false">datos_base!$F$4*parametros_recargas!O$57+sobrestock_sustitutos!$E$53/12</f>
        <v>1155.43777476552</v>
      </c>
      <c r="O132" s="26" t="n">
        <f aca="false">datos_base!$F$4*parametros_recargas!P$57+sobrestock_sustitutos!$E$53/12</f>
        <v>1199.13805327073</v>
      </c>
      <c r="P132" s="12" t="n">
        <f aca="false">SUM(D132:O132)</f>
        <v>14105.8293613136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6" t="n">
        <f aca="false">datos_base!$F$5*parametros_recargas!E$58+sobrestock_sustitutos!$E$54/12</f>
        <v>54.6782630351556</v>
      </c>
      <c r="E133" s="26" t="n">
        <f aca="false">datos_base!$F$5*parametros_recargas!F$58+sobrestock_sustitutos!$E$54/12</f>
        <v>54.6782630351556</v>
      </c>
      <c r="F133" s="26" t="n">
        <f aca="false">datos_base!$F$5*parametros_recargas!G$58+sobrestock_sustitutos!$E$54/12</f>
        <v>69.2755253984755</v>
      </c>
      <c r="G133" s="26" t="n">
        <f aca="false">datos_base!$F$5*parametros_recargas!H$58+sobrestock_sustitutos!$E$54/12</f>
        <v>83.0754481183045</v>
      </c>
      <c r="H133" s="26" t="n">
        <f aca="false">datos_base!$F$5*parametros_recargas!I$58+sobrestock_sustitutos!$E$54/12</f>
        <v>84.1517233406141</v>
      </c>
      <c r="I133" s="26" t="n">
        <f aca="false">datos_base!$F$5*parametros_recargas!J$58+sobrestock_sustitutos!$E$54/12</f>
        <v>81.5751086115683</v>
      </c>
      <c r="J133" s="26" t="n">
        <f aca="false">datos_base!$F$5*parametros_recargas!K$58+sobrestock_sustitutos!$E$54/12</f>
        <v>64.4737958720066</v>
      </c>
      <c r="K133" s="26" t="n">
        <f aca="false">datos_base!$F$5*parametros_recargas!L$58+sobrestock_sustitutos!$E$54/12</f>
        <v>65.4775067415123</v>
      </c>
      <c r="L133" s="26" t="n">
        <f aca="false">datos_base!$F$5*parametros_recargas!M$58+sobrestock_sustitutos!$E$54/12</f>
        <v>68.0541214705581</v>
      </c>
      <c r="M133" s="26" t="n">
        <f aca="false">datos_base!$F$5*parametros_recargas!N$58+sobrestock_sustitutos!$E$54/12</f>
        <v>68.0541214705581</v>
      </c>
      <c r="N133" s="26" t="n">
        <f aca="false">datos_base!$F$5*parametros_recargas!O$58+sobrestock_sustitutos!$E$54/12</f>
        <v>66.9778462482485</v>
      </c>
      <c r="O133" s="26" t="n">
        <f aca="false">datos_base!$F$5*parametros_recargas!P$58+sobrestock_sustitutos!$E$54/12</f>
        <v>69.5544609772943</v>
      </c>
      <c r="P133" s="12" t="n">
        <f aca="false">SUM(D133:O133)</f>
        <v>830.026184319452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6" t="n">
        <f aca="false">datos_base!$F$6*parametros_recargas!E$59+sobrestock_sustitutos!$E$55/12</f>
        <v>78.3975209629081</v>
      </c>
      <c r="E134" s="26" t="n">
        <f aca="false">datos_base!$F$6*parametros_recargas!F$59+sobrestock_sustitutos!$E$55/12</f>
        <v>78.3975209629081</v>
      </c>
      <c r="F134" s="26" t="n">
        <f aca="false">datos_base!$F$6*parametros_recargas!G$59+sobrestock_sustitutos!$E$55/12</f>
        <v>96.6113661131838</v>
      </c>
      <c r="G134" s="26" t="n">
        <f aca="false">datos_base!$F$6*parametros_recargas!H$59+sobrestock_sustitutos!$E$55/12</f>
        <v>115.588934921305</v>
      </c>
      <c r="H134" s="26" t="n">
        <f aca="false">datos_base!$F$6*parametros_recargas!I$59+sobrestock_sustitutos!$E$55/12</f>
        <v>116.588945471254</v>
      </c>
      <c r="I134" s="26" t="n">
        <f aca="false">datos_base!$F$6*parametros_recargas!J$59+sobrestock_sustitutos!$E$55/12</f>
        <v>112.7837082757</v>
      </c>
      <c r="J134" s="26" t="n">
        <f aca="false">datos_base!$F$6*parametros_recargas!K$59+sobrestock_sustitutos!$E$55/12</f>
        <v>91.302090606007</v>
      </c>
      <c r="K134" s="26" t="n">
        <f aca="false">datos_base!$F$6*parametros_recargas!L$59+sobrestock_sustitutos!$E$55/12</f>
        <v>91.7646364798201</v>
      </c>
      <c r="L134" s="26" t="n">
        <f aca="false">datos_base!$F$6*parametros_recargas!M$59+sobrestock_sustitutos!$E$55/12</f>
        <v>95.3115118092709</v>
      </c>
      <c r="M134" s="26" t="n">
        <f aca="false">datos_base!$F$6*parametros_recargas!N$59+sobrestock_sustitutos!$E$55/12</f>
        <v>95.3115118092709</v>
      </c>
      <c r="N134" s="26" t="n">
        <f aca="false">datos_base!$F$6*parametros_recargas!O$59+sobrestock_sustitutos!$E$55/12</f>
        <v>94.3115012593214</v>
      </c>
      <c r="O134" s="26" t="n">
        <f aca="false">datos_base!$F$6*parametros_recargas!P$59+sobrestock_sustitutos!$E$55/12</f>
        <v>98.1167384548754</v>
      </c>
      <c r="P134" s="12" t="n">
        <f aca="false">SUM(D134:O134)</f>
        <v>1164.48598712583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6" t="n">
        <f aca="false">datos_base!$F$7*parametros_recargas!E$60+sobrestock_sustitutos!$E$56/12</f>
        <v>18.0322605520474</v>
      </c>
      <c r="E135" s="26" t="n">
        <f aca="false">datos_base!$F$7*parametros_recargas!F$60+sobrestock_sustitutos!$E$56/12</f>
        <v>18.0322605520474</v>
      </c>
      <c r="F135" s="26" t="n">
        <f aca="false">datos_base!$F$7*parametros_recargas!G$60+sobrestock_sustitutos!$E$56/12</f>
        <v>18.0322605520474</v>
      </c>
      <c r="G135" s="26" t="n">
        <f aca="false">datos_base!$F$7*parametros_recargas!H$60+sobrestock_sustitutos!$E$56/12</f>
        <v>18.0322605520474</v>
      </c>
      <c r="H135" s="26" t="n">
        <f aca="false">datos_base!$F$7*parametros_recargas!I$60+sobrestock_sustitutos!$E$56/12</f>
        <v>18.0322605520474</v>
      </c>
      <c r="I135" s="26" t="n">
        <f aca="false">datos_base!$F$7*parametros_recargas!J$60+sobrestock_sustitutos!$E$56/12</f>
        <v>18.0322605520474</v>
      </c>
      <c r="J135" s="26" t="n">
        <f aca="false">datos_base!$F$7*parametros_recargas!K$60+sobrestock_sustitutos!$E$56/12</f>
        <v>18.0322605520474</v>
      </c>
      <c r="K135" s="26" t="n">
        <f aca="false">datos_base!$F$7*parametros_recargas!L$60+sobrestock_sustitutos!$E$56/12</f>
        <v>18.0322605520474</v>
      </c>
      <c r="L135" s="26" t="n">
        <f aca="false">datos_base!$F$7*parametros_recargas!M$60+sobrestock_sustitutos!$E$56/12</f>
        <v>18.0322605520474</v>
      </c>
      <c r="M135" s="26" t="n">
        <f aca="false">datos_base!$F$7*parametros_recargas!N$60+sobrestock_sustitutos!$E$56/12</f>
        <v>18.0322605520474</v>
      </c>
      <c r="N135" s="26" t="n">
        <f aca="false">datos_base!$F$7*parametros_recargas!O$60+sobrestock_sustitutos!$E$56/12</f>
        <v>18.0322605520474</v>
      </c>
      <c r="O135" s="26" t="n">
        <f aca="false">datos_base!$F$7*parametros_recargas!P$60+sobrestock_sustitutos!$E$56/12</f>
        <v>18.0322605520474</v>
      </c>
      <c r="P135" s="12" t="n">
        <f aca="false">SUM(D135:O135)</f>
        <v>216.387126624568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6" t="n">
        <f aca="false">datos_base!$F$8*parametros_recargas!E$61+sobrestock_sustitutos!$E$57/12</f>
        <v>9.74818876911186</v>
      </c>
      <c r="E136" s="26" t="n">
        <f aca="false">datos_base!$F$8*parametros_recargas!F$61+sobrestock_sustitutos!$E$57/12</f>
        <v>9.74818876911186</v>
      </c>
      <c r="F136" s="26" t="n">
        <f aca="false">datos_base!$F$8*parametros_recargas!G$61+sobrestock_sustitutos!$E$57/12</f>
        <v>9.74818876911186</v>
      </c>
      <c r="G136" s="26" t="n">
        <f aca="false">datos_base!$F$8*parametros_recargas!H$61+sobrestock_sustitutos!$E$57/12</f>
        <v>9.74818876911186</v>
      </c>
      <c r="H136" s="26" t="n">
        <f aca="false">datos_base!$F$8*parametros_recargas!I$61+sobrestock_sustitutos!$E$57/12</f>
        <v>9.74818876911186</v>
      </c>
      <c r="I136" s="26" t="n">
        <f aca="false">datos_base!$F$8*parametros_recargas!J$61+sobrestock_sustitutos!$E$57/12</f>
        <v>9.74818876911186</v>
      </c>
      <c r="J136" s="26" t="n">
        <f aca="false">datos_base!$F$8*parametros_recargas!K$61+sobrestock_sustitutos!$E$57/12</f>
        <v>9.74818876911186</v>
      </c>
      <c r="K136" s="26" t="n">
        <f aca="false">datos_base!$F$8*parametros_recargas!L$61+sobrestock_sustitutos!$E$57/12</f>
        <v>9.74818876911186</v>
      </c>
      <c r="L136" s="26" t="n">
        <f aca="false">datos_base!$F$8*parametros_recargas!M$61+sobrestock_sustitutos!$E$57/12</f>
        <v>9.74818876911186</v>
      </c>
      <c r="M136" s="26" t="n">
        <f aca="false">datos_base!$F$8*parametros_recargas!N$61+sobrestock_sustitutos!$E$57/12</f>
        <v>9.74818876911186</v>
      </c>
      <c r="N136" s="26" t="n">
        <f aca="false">datos_base!$F$8*parametros_recargas!O$61+sobrestock_sustitutos!$E$57/12</f>
        <v>9.74818876911186</v>
      </c>
      <c r="O136" s="26" t="n">
        <f aca="false">datos_base!$F$8*parametros_recargas!P$61+sobrestock_sustitutos!$E$57/12</f>
        <v>9.74818876911186</v>
      </c>
      <c r="P136" s="12" t="n">
        <f aca="false">SUM(D136:O136)</f>
        <v>116.978265229342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6" t="n">
        <f aca="false">datos_base!$F$9*parametros_recargas!E$62+sobrestock_sustitutos!$E$58/12</f>
        <v>5.36277409888768</v>
      </c>
      <c r="E137" s="26" t="n">
        <f aca="false">datos_base!$F$9*parametros_recargas!F$62+sobrestock_sustitutos!$E$58/12</f>
        <v>5.36277409888768</v>
      </c>
      <c r="F137" s="26" t="n">
        <f aca="false">datos_base!$F$9*parametros_recargas!G$62+sobrestock_sustitutos!$E$58/12</f>
        <v>5.36277409888768</v>
      </c>
      <c r="G137" s="26" t="n">
        <f aca="false">datos_base!$F$9*parametros_recargas!H$62+sobrestock_sustitutos!$E$58/12</f>
        <v>5.36277409888768</v>
      </c>
      <c r="H137" s="26" t="n">
        <f aca="false">datos_base!$F$9*parametros_recargas!I$62+sobrestock_sustitutos!$E$58/12</f>
        <v>5.36277409888768</v>
      </c>
      <c r="I137" s="26" t="n">
        <f aca="false">datos_base!$F$9*parametros_recargas!J$62+sobrestock_sustitutos!$E$58/12</f>
        <v>5.36277409888768</v>
      </c>
      <c r="J137" s="26" t="n">
        <f aca="false">datos_base!$F$9*parametros_recargas!K$62+sobrestock_sustitutos!$E$58/12</f>
        <v>5.36277409888768</v>
      </c>
      <c r="K137" s="26" t="n">
        <f aca="false">datos_base!$F$9*parametros_recargas!L$62+sobrestock_sustitutos!$E$58/12</f>
        <v>5.36277409888768</v>
      </c>
      <c r="L137" s="26" t="n">
        <f aca="false">datos_base!$F$9*parametros_recargas!M$62+sobrestock_sustitutos!$E$58/12</f>
        <v>5.36277409888768</v>
      </c>
      <c r="M137" s="26" t="n">
        <f aca="false">datos_base!$F$9*parametros_recargas!N$62+sobrestock_sustitutos!$E$58/12</f>
        <v>5.36277409888768</v>
      </c>
      <c r="N137" s="26" t="n">
        <f aca="false">datos_base!$F$9*parametros_recargas!O$62+sobrestock_sustitutos!$E$58/12</f>
        <v>5.36277409888768</v>
      </c>
      <c r="O137" s="26" t="n">
        <f aca="false">datos_base!$F$9*parametros_recargas!P$62+sobrestock_sustitutos!$E$58/12</f>
        <v>5.36277409888768</v>
      </c>
      <c r="P137" s="12" t="n">
        <f aca="false">SUM(D137:O137)</f>
        <v>64.3532891866521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6" t="n">
        <f aca="false">datos_base!$F$10*parametros_recargas!E$63+sobrestock_sustitutos!$E$59/12</f>
        <v>39.8103998117845</v>
      </c>
      <c r="E138" s="26" t="n">
        <f aca="false">datos_base!$F$10*parametros_recargas!F$63+sobrestock_sustitutos!$E$59/12</f>
        <v>39.8103998117845</v>
      </c>
      <c r="F138" s="26" t="n">
        <f aca="false">datos_base!$F$10*parametros_recargas!G$63+sobrestock_sustitutos!$E$59/12</f>
        <v>48.0902484636428</v>
      </c>
      <c r="G138" s="26" t="n">
        <f aca="false">datos_base!$F$10*parametros_recargas!H$63+sobrestock_sustitutos!$E$59/12</f>
        <v>53.7864695410988</v>
      </c>
      <c r="H138" s="26" t="n">
        <f aca="false">datos_base!$F$10*parametros_recargas!I$63+sobrestock_sustitutos!$E$59/12</f>
        <v>55.6801305683414</v>
      </c>
      <c r="I138" s="26" t="n">
        <f aca="false">datos_base!$F$10*parametros_recargas!J$63+sobrestock_sustitutos!$E$59/12</f>
        <v>54.4636227971662</v>
      </c>
      <c r="J138" s="26" t="n">
        <f aca="false">datos_base!$F$10*parametros_recargas!K$63+sobrestock_sustitutos!$E$59/12</f>
        <v>44.0268425060576</v>
      </c>
      <c r="K138" s="26" t="n">
        <f aca="false">datos_base!$F$10*parametros_recargas!L$63+sobrestock_sustitutos!$E$59/12</f>
        <v>46.8609274013754</v>
      </c>
      <c r="L138" s="26" t="n">
        <f aca="false">datos_base!$F$10*parametros_recargas!M$63+sobrestock_sustitutos!$E$59/12</f>
        <v>48.0774351725506</v>
      </c>
      <c r="M138" s="26" t="n">
        <f aca="false">datos_base!$F$10*parametros_recargas!N$63+sobrestock_sustitutos!$E$59/12</f>
        <v>48.0774351725506</v>
      </c>
      <c r="N138" s="26" t="n">
        <f aca="false">datos_base!$F$10*parametros_recargas!O$63+sobrestock_sustitutos!$E$59/12</f>
        <v>46.1837741453079</v>
      </c>
      <c r="O138" s="26" t="n">
        <f aca="false">datos_base!$F$10*parametros_recargas!P$63+sobrestock_sustitutos!$E$59/12</f>
        <v>47.4002819164831</v>
      </c>
      <c r="P138" s="12" t="n">
        <f aca="false">SUM(D138:O138)</f>
        <v>572.267967308143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6" t="n">
        <f aca="false">datos_base!$F$11*parametros_recargas!E$64+sobrestock_sustitutos!$E$60/12</f>
        <v>199.325776450156</v>
      </c>
      <c r="E139" s="26" t="n">
        <f aca="false">datos_base!$F$11*parametros_recargas!F$64+sobrestock_sustitutos!$E$60/12</f>
        <v>199.325776450156</v>
      </c>
      <c r="F139" s="26" t="n">
        <f aca="false">datos_base!$F$11*parametros_recargas!G$64+sobrestock_sustitutos!$E$60/12</f>
        <v>264.980654889124</v>
      </c>
      <c r="G139" s="26" t="n">
        <f aca="false">datos_base!$F$11*parametros_recargas!H$64+sobrestock_sustitutos!$E$60/12</f>
        <v>325.253754280877</v>
      </c>
      <c r="H139" s="26" t="n">
        <f aca="false">datos_base!$F$11*parametros_recargas!I$64+sobrestock_sustitutos!$E$60/12</f>
        <v>327.1195317883</v>
      </c>
      <c r="I139" s="26" t="n">
        <f aca="false">datos_base!$F$11*parametros_recargas!J$64+sobrestock_sustitutos!$E$60/12</f>
        <v>322.610448863062</v>
      </c>
      <c r="J139" s="26" t="n">
        <f aca="false">datos_base!$F$11*parametros_recargas!K$64+sobrestock_sustitutos!$E$60/12</f>
        <v>254.593252223949</v>
      </c>
      <c r="K139" s="26" t="n">
        <f aca="false">datos_base!$F$11*parametros_recargas!L$64+sobrestock_sustitutos!$E$60/12</f>
        <v>254.312265006279</v>
      </c>
      <c r="L139" s="26" t="n">
        <f aca="false">datos_base!$F$11*parametros_recargas!M$64+sobrestock_sustitutos!$E$60/12</f>
        <v>258.821347931517</v>
      </c>
      <c r="M139" s="26" t="n">
        <f aca="false">datos_base!$F$11*parametros_recargas!N$64+sobrestock_sustitutos!$E$60/12</f>
        <v>258.821347931517</v>
      </c>
      <c r="N139" s="26" t="n">
        <f aca="false">datos_base!$F$11*parametros_recargas!O$64+sobrestock_sustitutos!$E$60/12</f>
        <v>256.955570424094</v>
      </c>
      <c r="O139" s="26" t="n">
        <f aca="false">datos_base!$F$11*parametros_recargas!P$64+sobrestock_sustitutos!$E$60/12</f>
        <v>261.464653349331</v>
      </c>
      <c r="P139" s="12" t="n">
        <f aca="false">SUM(D139:O139)</f>
        <v>3183.58437958836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6" t="n">
        <f aca="false">datos_base!$F$12*parametros_recargas!E$65+sobrestock_sustitutos!$E$61/12</f>
        <v>78.5498686540715</v>
      </c>
      <c r="E140" s="26" t="n">
        <f aca="false">datos_base!$F$12*parametros_recargas!F$65+sobrestock_sustitutos!$E$61/12</f>
        <v>78.5498686540715</v>
      </c>
      <c r="F140" s="26" t="n">
        <f aca="false">datos_base!$F$12*parametros_recargas!G$65+sobrestock_sustitutos!$E$61/12</f>
        <v>85.4431123799973</v>
      </c>
      <c r="G140" s="26" t="n">
        <f aca="false">datos_base!$F$12*parametros_recargas!H$65+sobrestock_sustitutos!$E$61/12</f>
        <v>94.9718437467516</v>
      </c>
      <c r="H140" s="26" t="n">
        <f aca="false">datos_base!$F$12*parametros_recargas!I$65+sobrestock_sustitutos!$E$61/12</f>
        <v>97.1228457083427</v>
      </c>
      <c r="I140" s="26" t="n">
        <f aca="false">datos_base!$F$12*parametros_recargas!J$65+sobrestock_sustitutos!$E$61/12</f>
        <v>91.9521914019046</v>
      </c>
      <c r="J140" s="26" t="n">
        <f aca="false">datos_base!$F$12*parametros_recargas!K$65+sobrestock_sustitutos!$E$61/12</f>
        <v>80.3235366847777</v>
      </c>
      <c r="K140" s="26" t="n">
        <f aca="false">datos_base!$F$12*parametros_recargas!L$65+sobrestock_sustitutos!$E$61/12</f>
        <v>82.0392953311319</v>
      </c>
      <c r="L140" s="26" t="n">
        <f aca="false">datos_base!$F$12*parametros_recargas!M$65+sobrestock_sustitutos!$E$61/12</f>
        <v>86.0128681751605</v>
      </c>
      <c r="M140" s="26" t="n">
        <f aca="false">datos_base!$F$12*parametros_recargas!N$65+sobrestock_sustitutos!$E$61/12</f>
        <v>86.0128681751605</v>
      </c>
      <c r="N140" s="26" t="n">
        <f aca="false">datos_base!$F$12*parametros_recargas!O$65+sobrestock_sustitutos!$E$61/12</f>
        <v>83.8618662135694</v>
      </c>
      <c r="O140" s="26" t="n">
        <f aca="false">datos_base!$F$12*parametros_recargas!P$65+sobrestock_sustitutos!$E$61/12</f>
        <v>89.0325205200075</v>
      </c>
      <c r="P140" s="12" t="n">
        <f aca="false">SUM(D140:O140)</f>
        <v>1033.87268564495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6" t="n">
        <f aca="false">datos_base!$F$13*parametros_recargas!E$66+sobrestock_sustitutos!$E$62/12</f>
        <v>15.3156991986819</v>
      </c>
      <c r="E141" s="26" t="n">
        <f aca="false">datos_base!$F$13*parametros_recargas!F$66+sobrestock_sustitutos!$E$62/12</f>
        <v>15.3156991986819</v>
      </c>
      <c r="F141" s="26" t="n">
        <f aca="false">datos_base!$F$13*parametros_recargas!G$66+sobrestock_sustitutos!$E$62/12</f>
        <v>14.0495097903243</v>
      </c>
      <c r="G141" s="26" t="n">
        <f aca="false">datos_base!$F$13*parametros_recargas!H$66+sobrestock_sustitutos!$E$62/12</f>
        <v>14.0495097903243</v>
      </c>
      <c r="H141" s="26" t="n">
        <f aca="false">datos_base!$F$13*parametros_recargas!I$66+sobrestock_sustitutos!$E$62/12</f>
        <v>14.0495097903243</v>
      </c>
      <c r="I141" s="26" t="n">
        <f aca="false">datos_base!$F$13*parametros_recargas!J$66+sobrestock_sustitutos!$E$62/12</f>
        <v>12.7833203819666</v>
      </c>
      <c r="J141" s="26" t="n">
        <f aca="false">datos_base!$F$13*parametros_recargas!K$66+sobrestock_sustitutos!$E$62/12</f>
        <v>12.7833203819666</v>
      </c>
      <c r="K141" s="26" t="n">
        <f aca="false">datos_base!$F$13*parametros_recargas!L$66+sobrestock_sustitutos!$E$62/12</f>
        <v>12.7833203819666</v>
      </c>
      <c r="L141" s="26" t="n">
        <f aca="false">datos_base!$F$13*parametros_recargas!M$66+sobrestock_sustitutos!$E$62/12</f>
        <v>14.0495097903243</v>
      </c>
      <c r="M141" s="26" t="n">
        <f aca="false">datos_base!$F$13*parametros_recargas!N$66+sobrestock_sustitutos!$E$62/12</f>
        <v>14.0495097903243</v>
      </c>
      <c r="N141" s="26" t="n">
        <f aca="false">datos_base!$F$13*parametros_recargas!O$66+sobrestock_sustitutos!$E$62/12</f>
        <v>14.0495097903243</v>
      </c>
      <c r="O141" s="26" t="n">
        <f aca="false">datos_base!$F$13*parametros_recargas!P$66+sobrestock_sustitutos!$E$62/12</f>
        <v>15.3156991986819</v>
      </c>
      <c r="P141" s="12" t="n">
        <f aca="false">SUM(D141:O141)</f>
        <v>168.594117483891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6" t="n">
        <f aca="false">datos_base!$F$14*parametros_recargas!E$67+sobrestock_sustitutos!$E$63/12</f>
        <v>5.01280336285648</v>
      </c>
      <c r="E142" s="26" t="n">
        <f aca="false">datos_base!$F$14*parametros_recargas!F$67+sobrestock_sustitutos!$E$63/12</f>
        <v>5.01280336285648</v>
      </c>
      <c r="F142" s="26" t="n">
        <f aca="false">datos_base!$F$14*parametros_recargas!G$67+sobrestock_sustitutos!$E$63/12</f>
        <v>5.01280336285648</v>
      </c>
      <c r="G142" s="26" t="n">
        <f aca="false">datos_base!$F$14*parametros_recargas!H$67+sobrestock_sustitutos!$E$63/12</f>
        <v>5.01280336285648</v>
      </c>
      <c r="H142" s="26" t="n">
        <f aca="false">datos_base!$F$14*parametros_recargas!I$67+sobrestock_sustitutos!$E$63/12</f>
        <v>5.01280336285648</v>
      </c>
      <c r="I142" s="26" t="n">
        <f aca="false">datos_base!$F$14*parametros_recargas!J$67+sobrestock_sustitutos!$E$63/12</f>
        <v>5.01280336285648</v>
      </c>
      <c r="J142" s="26" t="n">
        <f aca="false">datos_base!$F$14*parametros_recargas!K$67+sobrestock_sustitutos!$E$63/12</f>
        <v>5.01280336285648</v>
      </c>
      <c r="K142" s="26" t="n">
        <f aca="false">datos_base!$F$14*parametros_recargas!L$67+sobrestock_sustitutos!$E$63/12</f>
        <v>5.01280336285648</v>
      </c>
      <c r="L142" s="26" t="n">
        <f aca="false">datos_base!$F$14*parametros_recargas!M$67+sobrestock_sustitutos!$E$63/12</f>
        <v>5.01280336285648</v>
      </c>
      <c r="M142" s="26" t="n">
        <f aca="false">datos_base!$F$14*parametros_recargas!N$67+sobrestock_sustitutos!$E$63/12</f>
        <v>5.01280336285648</v>
      </c>
      <c r="N142" s="26" t="n">
        <f aca="false">datos_base!$F$14*parametros_recargas!O$67+sobrestock_sustitutos!$E$63/12</f>
        <v>5.01280336285648</v>
      </c>
      <c r="O142" s="26" t="n">
        <f aca="false">datos_base!$F$14*parametros_recargas!P$67+sobrestock_sustitutos!$E$63/12</f>
        <v>5.01280336285648</v>
      </c>
      <c r="P142" s="12" t="n">
        <f aca="false">SUM(D142:O142)</f>
        <v>60.1536403542778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6" t="n">
        <f aca="false">datos_base!$F$15*parametros_recargas!E$68+sobrestock_sustitutos!$E$64/12</f>
        <v>10.4670629211238</v>
      </c>
      <c r="E143" s="26" t="n">
        <f aca="false">datos_base!$F$15*parametros_recargas!F$68+sobrestock_sustitutos!$E$64/12</f>
        <v>10.4670629211238</v>
      </c>
      <c r="F143" s="26" t="n">
        <f aca="false">datos_base!$F$15*parametros_recargas!G$68+sobrestock_sustitutos!$E$64/12</f>
        <v>11.696234298225</v>
      </c>
      <c r="G143" s="26" t="n">
        <f aca="false">datos_base!$F$15*parametros_recargas!H$68+sobrestock_sustitutos!$E$64/12</f>
        <v>13.3545340733334</v>
      </c>
      <c r="H143" s="26" t="n">
        <f aca="false">datos_base!$F$15*parametros_recargas!I$68+sobrestock_sustitutos!$E$64/12</f>
        <v>13.4532037680476</v>
      </c>
      <c r="I143" s="26" t="n">
        <f aca="false">datos_base!$F$15*parametros_recargas!J$68+sobrestock_sustitutos!$E$64/12</f>
        <v>12.8366373423822</v>
      </c>
      <c r="J143" s="26" t="n">
        <f aca="false">datos_base!$F$15*parametros_recargas!K$68+sobrestock_sustitutos!$E$64/12</f>
        <v>10.9366140113734</v>
      </c>
      <c r="K143" s="26" t="n">
        <f aca="false">datos_base!$F$15*parametros_recargas!L$68+sobrestock_sustitutos!$E$64/12</f>
        <v>11.0895692343297</v>
      </c>
      <c r="L143" s="26" t="n">
        <f aca="false">datos_base!$F$15*parametros_recargas!M$68+sobrestock_sustitutos!$E$64/12</f>
        <v>11.7061356599951</v>
      </c>
      <c r="M143" s="26" t="n">
        <f aca="false">datos_base!$F$15*parametros_recargas!N$68+sobrestock_sustitutos!$E$64/12</f>
        <v>11.7061356599951</v>
      </c>
      <c r="N143" s="26" t="n">
        <f aca="false">datos_base!$F$15*parametros_recargas!O$68+sobrestock_sustitutos!$E$64/12</f>
        <v>11.6074659652809</v>
      </c>
      <c r="O143" s="26" t="n">
        <f aca="false">datos_base!$F$15*parametros_recargas!P$68+sobrestock_sustitutos!$E$64/12</f>
        <v>12.2240323909464</v>
      </c>
      <c r="P143" s="12" t="n">
        <f aca="false">SUM(D143:O143)</f>
        <v>141.544688246156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6" t="n">
        <f aca="false">datos_base!$F$16*parametros_recargas!E$69+sobrestock_sustitutos!$E$65/12</f>
        <v>22.9941446576275</v>
      </c>
      <c r="E144" s="26" t="n">
        <f aca="false">datos_base!$F$16*parametros_recargas!F$69+sobrestock_sustitutos!$E$65/12</f>
        <v>22.9941446576275</v>
      </c>
      <c r="F144" s="26" t="n">
        <f aca="false">datos_base!$F$16*parametros_recargas!G$69+sobrestock_sustitutos!$E$65/12</f>
        <v>25.6983289062807</v>
      </c>
      <c r="G144" s="26" t="n">
        <f aca="false">datos_base!$F$16*parametros_recargas!H$69+sobrestock_sustitutos!$E$65/12</f>
        <v>29.3467692578389</v>
      </c>
      <c r="H144" s="26" t="n">
        <f aca="false">datos_base!$F$16*parametros_recargas!I$69+sobrestock_sustitutos!$E$65/12</f>
        <v>29.5637551005888</v>
      </c>
      <c r="I144" s="26" t="n">
        <f aca="false">datos_base!$F$16*parametros_recargas!J$69+sobrestock_sustitutos!$E$65/12</f>
        <v>28.2073071624239</v>
      </c>
      <c r="J144" s="26" t="n">
        <f aca="false">datos_base!$F$16*parametros_recargas!K$69+sobrestock_sustitutos!$E$65/12</f>
        <v>24.027292129111</v>
      </c>
      <c r="K144" s="26" t="n">
        <f aca="false">datos_base!$F$16*parametros_recargas!L$69+sobrestock_sustitutos!$E$65/12</f>
        <v>24.3636608183558</v>
      </c>
      <c r="L144" s="26" t="n">
        <f aca="false">datos_base!$F$16*parametros_recargas!M$69+sobrestock_sustitutos!$E$65/12</f>
        <v>25.7201087565207</v>
      </c>
      <c r="M144" s="26" t="n">
        <f aca="false">datos_base!$F$16*parametros_recargas!N$69+sobrestock_sustitutos!$E$65/12</f>
        <v>25.7201087565207</v>
      </c>
      <c r="N144" s="26" t="n">
        <f aca="false">datos_base!$F$16*parametros_recargas!O$69+sobrestock_sustitutos!$E$65/12</f>
        <v>25.5031229137708</v>
      </c>
      <c r="O144" s="26" t="n">
        <f aca="false">datos_base!$F$16*parametros_recargas!P$69+sobrestock_sustitutos!$E$65/12</f>
        <v>26.8595708519356</v>
      </c>
      <c r="P144" s="12" t="n">
        <f aca="false">SUM(D144:O144)</f>
        <v>310.998313968602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6" t="n">
        <f aca="false">datos_base!$F$17*parametros_recargas!E$70+sobrestock_sustitutos!$E$66/12</f>
        <v>5.02746632593551</v>
      </c>
      <c r="E145" s="26" t="n">
        <f aca="false">datos_base!$F$17*parametros_recargas!F$70+sobrestock_sustitutos!$E$66/12</f>
        <v>5.02746632593551</v>
      </c>
      <c r="F145" s="26" t="n">
        <f aca="false">datos_base!$F$17*parametros_recargas!G$70+sobrestock_sustitutos!$E$66/12</f>
        <v>5.61750207393885</v>
      </c>
      <c r="G145" s="26" t="n">
        <f aca="false">datos_base!$F$17*parametros_recargas!H$70+sobrestock_sustitutos!$E$66/12</f>
        <v>6.41356324095082</v>
      </c>
      <c r="H145" s="26" t="n">
        <f aca="false">datos_base!$F$17*parametros_recargas!I$70+sobrestock_sustitutos!$E$66/12</f>
        <v>6.46090596567055</v>
      </c>
      <c r="I145" s="26" t="n">
        <f aca="false">datos_base!$F$17*parametros_recargas!J$70+sobrestock_sustitutos!$E$66/12</f>
        <v>6.16496166766325</v>
      </c>
      <c r="J145" s="26" t="n">
        <f aca="false">datos_base!$F$17*parametros_recargas!K$70+sobrestock_sustitutos!$E$66/12</f>
        <v>5.25292697407236</v>
      </c>
      <c r="K145" s="26" t="n">
        <f aca="false">datos_base!$F$17*parametros_recargas!L$70+sobrestock_sustitutos!$E$66/12</f>
        <v>5.32632434637234</v>
      </c>
      <c r="L145" s="26" t="n">
        <f aca="false">datos_base!$F$17*parametros_recargas!M$70+sobrestock_sustitutos!$E$66/12</f>
        <v>5.62226864437963</v>
      </c>
      <c r="M145" s="26" t="n">
        <f aca="false">datos_base!$F$17*parametros_recargas!N$70+sobrestock_sustitutos!$E$66/12</f>
        <v>5.62226864437963</v>
      </c>
      <c r="N145" s="26" t="n">
        <f aca="false">datos_base!$F$17*parametros_recargas!O$70+sobrestock_sustitutos!$E$66/12</f>
        <v>5.57492591965991</v>
      </c>
      <c r="O145" s="26" t="n">
        <f aca="false">datos_base!$F$17*parametros_recargas!P$70+sobrestock_sustitutos!$E$66/12</f>
        <v>5.8708702176672</v>
      </c>
      <c r="P145" s="12" t="n">
        <f aca="false">SUM(D145:O145)</f>
        <v>67.9814503466256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6" t="n">
        <f aca="false">datos_base!$F$18*parametros_recargas!E$71+sobrestock_sustitutos!$E$67/12</f>
        <v>3.37937870751583</v>
      </c>
      <c r="E146" s="26" t="n">
        <f aca="false">datos_base!$F$18*parametros_recargas!F$71+sobrestock_sustitutos!$E$67/12</f>
        <v>3.37937870751583</v>
      </c>
      <c r="F146" s="26" t="n">
        <f aca="false">datos_base!$F$18*parametros_recargas!G$71+sobrestock_sustitutos!$E$67/12</f>
        <v>3.77277983116829</v>
      </c>
      <c r="G146" s="26" t="n">
        <f aca="false">datos_base!$F$18*parametros_recargas!H$71+sobrestock_sustitutos!$E$67/12</f>
        <v>4.30353570513627</v>
      </c>
      <c r="H146" s="26" t="n">
        <f aca="false">datos_base!$F$18*parametros_recargas!I$71+sobrestock_sustitutos!$E$67/12</f>
        <v>4.3350737793514</v>
      </c>
      <c r="I146" s="26" t="n">
        <f aca="false">datos_base!$F$18*parametros_recargas!J$71+sobrestock_sustitutos!$E$67/12</f>
        <v>4.13779563996571</v>
      </c>
      <c r="J146" s="26" t="n">
        <f aca="false">datos_base!$F$18*parametros_recargas!K$71+sobrestock_sustitutos!$E$67/12</f>
        <v>3.52977096013996</v>
      </c>
      <c r="K146" s="26" t="n">
        <f aca="false">datos_base!$F$18*parametros_recargas!L$71+sobrestock_sustitutos!$E$67/12</f>
        <v>3.57865445114268</v>
      </c>
      <c r="L146" s="26" t="n">
        <f aca="false">datos_base!$F$18*parametros_recargas!M$71+sobrestock_sustitutos!$E$67/12</f>
        <v>3.77593259052837</v>
      </c>
      <c r="M146" s="26" t="n">
        <f aca="false">datos_base!$F$18*parametros_recargas!N$71+sobrestock_sustitutos!$E$67/12</f>
        <v>3.77593259052837</v>
      </c>
      <c r="N146" s="26" t="n">
        <f aca="false">datos_base!$F$18*parametros_recargas!O$71+sobrestock_sustitutos!$E$67/12</f>
        <v>3.74439451631324</v>
      </c>
      <c r="O146" s="26" t="n">
        <f aca="false">datos_base!$F$18*parametros_recargas!P$71+sobrestock_sustitutos!$E$67/12</f>
        <v>3.94167265569893</v>
      </c>
      <c r="P146" s="12" t="n">
        <f aca="false">SUM(D146:O146)</f>
        <v>45.6543001350049</v>
      </c>
    </row>
    <row r="147" customFormat="false" ht="15" hidden="false" customHeight="false" outlineLevel="0" collapsed="false">
      <c r="A147" s="4" t="s">
        <v>385</v>
      </c>
      <c r="D147" s="12" t="n">
        <f aca="false">SUM(D130:D146)</f>
        <v>4545.43886453013</v>
      </c>
      <c r="E147" s="12" t="n">
        <f aca="false">SUM(E130:E146)</f>
        <v>3928.67092868536</v>
      </c>
      <c r="F147" s="12" t="n">
        <f aca="false">SUM(F130:F146)</f>
        <v>3736.00560208938</v>
      </c>
      <c r="G147" s="12" t="n">
        <f aca="false">SUM(G130:G146)</f>
        <v>4126.90422941917</v>
      </c>
      <c r="H147" s="12" t="n">
        <f aca="false">SUM(H130:H146)</f>
        <v>4161.36412841401</v>
      </c>
      <c r="I147" s="12" t="n">
        <f aca="false">SUM(I130:I146)</f>
        <v>4117.74038279103</v>
      </c>
      <c r="J147" s="12" t="n">
        <f aca="false">SUM(J130:J146)</f>
        <v>3650.09633283769</v>
      </c>
      <c r="K147" s="12" t="n">
        <f aca="false">SUM(K130:K146)</f>
        <v>3684.4739269141</v>
      </c>
      <c r="L147" s="12" t="n">
        <f aca="false">SUM(L130:L146)</f>
        <v>3721.41852771723</v>
      </c>
      <c r="M147" s="12" t="n">
        <f aca="false">SUM(M130:M146)</f>
        <v>3721.41852771723</v>
      </c>
      <c r="N147" s="12" t="n">
        <f aca="false">SUM(N130:N146)</f>
        <v>4303.72656456716</v>
      </c>
      <c r="O147" s="12" t="n">
        <f aca="false">SUM(O130:O146)</f>
        <v>4964.11824603491</v>
      </c>
      <c r="P147" s="12" t="n">
        <f aca="false">SUM(P130:P146)</f>
        <v>48661.3762617174</v>
      </c>
    </row>
    <row r="148" customFormat="false" ht="15" hidden="false" customHeight="false" outlineLevel="0" collapsed="false">
      <c r="A148" s="4" t="s">
        <v>386</v>
      </c>
    </row>
    <row r="149" customFormat="false" ht="15" hidden="false" customHeight="false" outlineLevel="0" collapsed="false">
      <c r="A149" s="5" t="s">
        <v>165</v>
      </c>
      <c r="D149" s="26" t="n">
        <f aca="false">SUMPRODUCT(($B$130:$B$146=$A149)*D$130:D$146*$C$130:$C$146)</f>
        <v>4320.33208475446</v>
      </c>
      <c r="E149" s="26" t="n">
        <f aca="false">SUMPRODUCT(($B$130:$B$146=$A149)*E$130:E$146*$C$130:$C$146)</f>
        <v>3703.56414890969</v>
      </c>
      <c r="F149" s="26" t="n">
        <f aca="false">SUMPRODUCT(($B$130:$B$146=$A149)*F$130:F$146*$C$130:$C$146)</f>
        <v>3439.48140186735</v>
      </c>
      <c r="G149" s="26" t="n">
        <f aca="false">SUMPRODUCT(($B$130:$B$146=$A149)*G$130:G$146*$C$130:$C$146)</f>
        <v>3771.46593920027</v>
      </c>
      <c r="H149" s="26" t="n">
        <f aca="false">SUMPRODUCT(($B$130:$B$146=$A149)*H$130:H$146*$C$130:$C$146)</f>
        <v>3801.13043879671</v>
      </c>
      <c r="I149" s="26" t="n">
        <f aca="false">SUMPRODUCT(($B$130:$B$146=$A149)*I$130:I$146*$C$130:$C$146)</f>
        <v>3760.25322966799</v>
      </c>
      <c r="J149" s="26" t="n">
        <f aca="false">SUMPRODUCT(($B$130:$B$146=$A149)*J$130:J$146*$C$130:$C$146)</f>
        <v>3363.43041562396</v>
      </c>
      <c r="K149" s="26" t="n">
        <f aca="false">SUMPRODUCT(($B$130:$B$146=$A149)*K$130:K$146*$C$130:$C$146)</f>
        <v>3396.35533133328</v>
      </c>
      <c r="L149" s="26" t="n">
        <f aca="false">SUMPRODUCT(($B$130:$B$146=$A149)*L$130:L$146*$C$130:$C$146)</f>
        <v>3432.00883897067</v>
      </c>
      <c r="M149" s="26" t="n">
        <f aca="false">SUMPRODUCT(($B$130:$B$146=$A149)*M$130:M$146*$C$130:$C$146)</f>
        <v>3432.00883897067</v>
      </c>
      <c r="N149" s="26" t="n">
        <f aca="false">SUMPRODUCT(($B$130:$B$146=$A149)*N$130:N$146*$C$130:$C$146)</f>
        <v>4019.11227521899</v>
      </c>
      <c r="O149" s="26" t="n">
        <f aca="false">SUMPRODUCT(($B$130:$B$146=$A149)*O$130:O$146*$C$130:$C$146)</f>
        <v>4676.75742019249</v>
      </c>
      <c r="P149" s="26" t="n">
        <f aca="false">SUMPRODUCT(($B$130:$B$146=$A149)*P$130:P$146*$C$130:$C$146)</f>
        <v>45115.9003635065</v>
      </c>
    </row>
    <row r="150" customFormat="false" ht="15" hidden="false" customHeight="false" outlineLevel="0" collapsed="false">
      <c r="A150" s="5" t="s">
        <v>166</v>
      </c>
      <c r="D150" s="26" t="n">
        <f aca="false">SUMPRODUCT(($B$130:$B$146=$A150)*D$130:D$146*$C$130:$C$146)</f>
        <v>5.36277409888768</v>
      </c>
      <c r="E150" s="26" t="n">
        <f aca="false">SUMPRODUCT(($B$130:$B$146=$A150)*E$130:E$146*$C$130:$C$146)</f>
        <v>5.36277409888768</v>
      </c>
      <c r="F150" s="26" t="n">
        <f aca="false">SUMPRODUCT(($B$130:$B$146=$A150)*F$130:F$146*$C$130:$C$146)</f>
        <v>5.36277409888768</v>
      </c>
      <c r="G150" s="26" t="n">
        <f aca="false">SUMPRODUCT(($B$130:$B$146=$A150)*G$130:G$146*$C$130:$C$146)</f>
        <v>5.36277409888768</v>
      </c>
      <c r="H150" s="26" t="n">
        <f aca="false">SUMPRODUCT(($B$130:$B$146=$A150)*H$130:H$146*$C$130:$C$146)</f>
        <v>5.36277409888768</v>
      </c>
      <c r="I150" s="26" t="n">
        <f aca="false">SUMPRODUCT(($B$130:$B$146=$A150)*I$130:I$146*$C$130:$C$146)</f>
        <v>5.36277409888768</v>
      </c>
      <c r="J150" s="26" t="n">
        <f aca="false">SUMPRODUCT(($B$130:$B$146=$A150)*J$130:J$146*$C$130:$C$146)</f>
        <v>5.36277409888768</v>
      </c>
      <c r="K150" s="26" t="n">
        <f aca="false">SUMPRODUCT(($B$130:$B$146=$A150)*K$130:K$146*$C$130:$C$146)</f>
        <v>5.36277409888768</v>
      </c>
      <c r="L150" s="26" t="n">
        <f aca="false">SUMPRODUCT(($B$130:$B$146=$A150)*L$130:L$146*$C$130:$C$146)</f>
        <v>5.36277409888768</v>
      </c>
      <c r="M150" s="26" t="n">
        <f aca="false">SUMPRODUCT(($B$130:$B$146=$A150)*M$130:M$146*$C$130:$C$146)</f>
        <v>5.36277409888768</v>
      </c>
      <c r="N150" s="26" t="n">
        <f aca="false">SUMPRODUCT(($B$130:$B$146=$A150)*N$130:N$146*$C$130:$C$146)</f>
        <v>5.36277409888768</v>
      </c>
      <c r="O150" s="26" t="n">
        <f aca="false">SUMPRODUCT(($B$130:$B$146=$A150)*O$130:O$146*$C$130:$C$146)</f>
        <v>5.36277409888768</v>
      </c>
      <c r="P150" s="26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5" t="s">
        <v>167</v>
      </c>
      <c r="D151" s="26" t="n">
        <f aca="false">SUMPRODUCT(($B$130:$B$146=$A151)*D$130:D$146*$C$130:$C$146)</f>
        <v>5.01280336285648</v>
      </c>
      <c r="E151" s="26" t="n">
        <f aca="false">SUMPRODUCT(($B$130:$B$146=$A151)*E$130:E$146*$C$130:$C$146)</f>
        <v>5.01280336285648</v>
      </c>
      <c r="F151" s="26" t="n">
        <f aca="false">SUMPRODUCT(($B$130:$B$146=$A151)*F$130:F$146*$C$130:$C$146)</f>
        <v>5.01280336285648</v>
      </c>
      <c r="G151" s="26" t="n">
        <f aca="false">SUMPRODUCT(($B$130:$B$146=$A151)*G$130:G$146*$C$130:$C$146)</f>
        <v>5.01280336285648</v>
      </c>
      <c r="H151" s="26" t="n">
        <f aca="false">SUMPRODUCT(($B$130:$B$146=$A151)*H$130:H$146*$C$130:$C$146)</f>
        <v>5.01280336285648</v>
      </c>
      <c r="I151" s="26" t="n">
        <f aca="false">SUMPRODUCT(($B$130:$B$146=$A151)*I$130:I$146*$C$130:$C$146)</f>
        <v>5.01280336285648</v>
      </c>
      <c r="J151" s="26" t="n">
        <f aca="false">SUMPRODUCT(($B$130:$B$146=$A151)*J$130:J$146*$C$130:$C$146)</f>
        <v>5.01280336285648</v>
      </c>
      <c r="K151" s="26" t="n">
        <f aca="false">SUMPRODUCT(($B$130:$B$146=$A151)*K$130:K$146*$C$130:$C$146)</f>
        <v>5.01280336285648</v>
      </c>
      <c r="L151" s="26" t="n">
        <f aca="false">SUMPRODUCT(($B$130:$B$146=$A151)*L$130:L$146*$C$130:$C$146)</f>
        <v>5.01280336285648</v>
      </c>
      <c r="M151" s="26" t="n">
        <f aca="false">SUMPRODUCT(($B$130:$B$146=$A151)*M$130:M$146*$C$130:$C$146)</f>
        <v>5.01280336285648</v>
      </c>
      <c r="N151" s="26" t="n">
        <f aca="false">SUMPRODUCT(($B$130:$B$146=$A151)*N$130:N$146*$C$130:$C$146)</f>
        <v>5.01280336285648</v>
      </c>
      <c r="O151" s="26" t="n">
        <f aca="false">SUMPRODUCT(($B$130:$B$146=$A151)*O$130:O$146*$C$130:$C$146)</f>
        <v>5.01280336285648</v>
      </c>
      <c r="P151" s="26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5" t="s">
        <v>168</v>
      </c>
      <c r="D152" s="26" t="n">
        <f aca="false">SUMPRODUCT(($B$130:$B$146=$A152)*D$130:D$146*$C$130:$C$146)</f>
        <v>78.3975209629081</v>
      </c>
      <c r="E152" s="26" t="n">
        <f aca="false">SUMPRODUCT(($B$130:$B$146=$A152)*E$130:E$146*$C$130:$C$146)</f>
        <v>78.3975209629081</v>
      </c>
      <c r="F152" s="26" t="n">
        <f aca="false">SUMPRODUCT(($B$130:$B$146=$A152)*F$130:F$146*$C$130:$C$146)</f>
        <v>96.6113661131838</v>
      </c>
      <c r="G152" s="26" t="n">
        <f aca="false">SUMPRODUCT(($B$130:$B$146=$A152)*G$130:G$146*$C$130:$C$146)</f>
        <v>115.588934921305</v>
      </c>
      <c r="H152" s="26" t="n">
        <f aca="false">SUMPRODUCT(($B$130:$B$146=$A152)*H$130:H$146*$C$130:$C$146)</f>
        <v>116.588945471254</v>
      </c>
      <c r="I152" s="26" t="n">
        <f aca="false">SUMPRODUCT(($B$130:$B$146=$A152)*I$130:I$146*$C$130:$C$146)</f>
        <v>112.7837082757</v>
      </c>
      <c r="J152" s="26" t="n">
        <f aca="false">SUMPRODUCT(($B$130:$B$146=$A152)*J$130:J$146*$C$130:$C$146)</f>
        <v>91.302090606007</v>
      </c>
      <c r="K152" s="26" t="n">
        <f aca="false">SUMPRODUCT(($B$130:$B$146=$A152)*K$130:K$146*$C$130:$C$146)</f>
        <v>91.7646364798201</v>
      </c>
      <c r="L152" s="26" t="n">
        <f aca="false">SUMPRODUCT(($B$130:$B$146=$A152)*L$130:L$146*$C$130:$C$146)</f>
        <v>95.3115118092709</v>
      </c>
      <c r="M152" s="26" t="n">
        <f aca="false">SUMPRODUCT(($B$130:$B$146=$A152)*M$130:M$146*$C$130:$C$146)</f>
        <v>95.3115118092709</v>
      </c>
      <c r="N152" s="26" t="n">
        <f aca="false">SUMPRODUCT(($B$130:$B$146=$A152)*N$130:N$146*$C$130:$C$146)</f>
        <v>94.3115012593214</v>
      </c>
      <c r="O152" s="26" t="n">
        <f aca="false">SUMPRODUCT(($B$130:$B$146=$A152)*O$130:O$146*$C$130:$C$146)</f>
        <v>98.1167384548754</v>
      </c>
      <c r="P152" s="26" t="n">
        <f aca="false">SUMPRODUCT(($B$130:$B$146=$A152)*P$130:P$146*$C$130:$C$146)</f>
        <v>1164.48598712583</v>
      </c>
    </row>
    <row r="153" customFormat="false" ht="15" hidden="false" customHeight="false" outlineLevel="0" collapsed="false">
      <c r="A153" s="5" t="s">
        <v>169</v>
      </c>
      <c r="D153" s="26" t="n">
        <f aca="false">SUMPRODUCT(($B$130:$B$146=$A153)*D$130:D$146*$C$130:$C$146)</f>
        <v>80.039064858284</v>
      </c>
      <c r="E153" s="26" t="n">
        <f aca="false">SUMPRODUCT(($B$130:$B$146=$A153)*E$130:E$146*$C$130:$C$146)</f>
        <v>80.039064858284</v>
      </c>
      <c r="F153" s="26" t="n">
        <f aca="false">SUMPRODUCT(($B$130:$B$146=$A153)*F$130:F$146*$C$130:$C$146)</f>
        <v>80.039064858284</v>
      </c>
      <c r="G153" s="26" t="n">
        <f aca="false">SUMPRODUCT(($B$130:$B$146=$A153)*G$130:G$146*$C$130:$C$146)</f>
        <v>80.039064858284</v>
      </c>
      <c r="H153" s="26" t="n">
        <f aca="false">SUMPRODUCT(($B$130:$B$146=$A153)*H$130:H$146*$C$130:$C$146)</f>
        <v>80.039064858284</v>
      </c>
      <c r="I153" s="26" t="n">
        <f aca="false">SUMPRODUCT(($B$130:$B$146=$A153)*I$130:I$146*$C$130:$C$146)</f>
        <v>80.039064858284</v>
      </c>
      <c r="J153" s="26" t="n">
        <f aca="false">SUMPRODUCT(($B$130:$B$146=$A153)*J$130:J$146*$C$130:$C$146)</f>
        <v>80.039064858284</v>
      </c>
      <c r="K153" s="26" t="n">
        <f aca="false">SUMPRODUCT(($B$130:$B$146=$A153)*K$130:K$146*$C$130:$C$146)</f>
        <v>80.039064858284</v>
      </c>
      <c r="L153" s="26" t="n">
        <f aca="false">SUMPRODUCT(($B$130:$B$146=$A153)*L$130:L$146*$C$130:$C$146)</f>
        <v>80.039064858284</v>
      </c>
      <c r="M153" s="26" t="n">
        <f aca="false">SUMPRODUCT(($B$130:$B$146=$A153)*M$130:M$146*$C$130:$C$146)</f>
        <v>80.039064858284</v>
      </c>
      <c r="N153" s="26" t="n">
        <f aca="false">SUMPRODUCT(($B$130:$B$146=$A153)*N$130:N$146*$C$130:$C$146)</f>
        <v>80.039064858284</v>
      </c>
      <c r="O153" s="26" t="n">
        <f aca="false">SUMPRODUCT(($B$130:$B$146=$A153)*O$130:O$146*$C$130:$C$146)</f>
        <v>80.039064858284</v>
      </c>
      <c r="P153" s="26" t="n">
        <f aca="false">SUMPRODUCT(($B$130:$B$146=$A153)*P$130:P$146*$C$130:$C$146)</f>
        <v>960.468778299408</v>
      </c>
    </row>
    <row r="154" customFormat="false" ht="15" hidden="false" customHeight="false" outlineLevel="0" collapsed="false">
      <c r="A154" s="5" t="s">
        <v>170</v>
      </c>
      <c r="D154" s="26" t="n">
        <f aca="false">SUMPRODUCT(($B$130:$B$146=$A154)*D$130:D$146*$C$130:$C$146)</f>
        <v>39.8103998117845</v>
      </c>
      <c r="E154" s="26" t="n">
        <f aca="false">SUMPRODUCT(($B$130:$B$146=$A154)*E$130:E$146*$C$130:$C$146)</f>
        <v>39.8103998117845</v>
      </c>
      <c r="F154" s="26" t="n">
        <f aca="false">SUMPRODUCT(($B$130:$B$146=$A154)*F$130:F$146*$C$130:$C$146)</f>
        <v>48.0902484636428</v>
      </c>
      <c r="G154" s="26" t="n">
        <f aca="false">SUMPRODUCT(($B$130:$B$146=$A154)*G$130:G$146*$C$130:$C$146)</f>
        <v>53.7864695410988</v>
      </c>
      <c r="H154" s="26" t="n">
        <f aca="false">SUMPRODUCT(($B$130:$B$146=$A154)*H$130:H$146*$C$130:$C$146)</f>
        <v>55.6801305683414</v>
      </c>
      <c r="I154" s="26" t="n">
        <f aca="false">SUMPRODUCT(($B$130:$B$146=$A154)*I$130:I$146*$C$130:$C$146)</f>
        <v>54.4636227971662</v>
      </c>
      <c r="J154" s="26" t="n">
        <f aca="false">SUMPRODUCT(($B$130:$B$146=$A154)*J$130:J$146*$C$130:$C$146)</f>
        <v>44.0268425060576</v>
      </c>
      <c r="K154" s="26" t="n">
        <f aca="false">SUMPRODUCT(($B$130:$B$146=$A154)*K$130:K$146*$C$130:$C$146)</f>
        <v>46.8609274013754</v>
      </c>
      <c r="L154" s="26" t="n">
        <f aca="false">SUMPRODUCT(($B$130:$B$146=$A154)*L$130:L$146*$C$130:$C$146)</f>
        <v>48.0774351725506</v>
      </c>
      <c r="M154" s="26" t="n">
        <f aca="false">SUMPRODUCT(($B$130:$B$146=$A154)*M$130:M$146*$C$130:$C$146)</f>
        <v>48.0774351725506</v>
      </c>
      <c r="N154" s="26" t="n">
        <f aca="false">SUMPRODUCT(($B$130:$B$146=$A154)*N$130:N$146*$C$130:$C$146)</f>
        <v>46.1837741453079</v>
      </c>
      <c r="O154" s="26" t="n">
        <f aca="false">SUMPRODUCT(($B$130:$B$146=$A154)*O$130:O$146*$C$130:$C$146)</f>
        <v>47.4002819164831</v>
      </c>
      <c r="P154" s="26" t="n">
        <f aca="false">SUMPRODUCT(($B$130:$B$146=$A154)*P$130:P$146*$C$130:$C$146)</f>
        <v>572.267967308143</v>
      </c>
    </row>
    <row r="155" customFormat="false" ht="15" hidden="false" customHeight="false" outlineLevel="0" collapsed="false">
      <c r="A155" s="5" t="s">
        <v>171</v>
      </c>
      <c r="D155" s="26" t="n">
        <f aca="false">SUMPRODUCT(($B$130:$B$146=$A155)*D$130:D$146*$C$130:$C$146)</f>
        <v>277.875645104227</v>
      </c>
      <c r="E155" s="26" t="n">
        <f aca="false">SUMPRODUCT(($B$130:$B$146=$A155)*E$130:E$146*$C$130:$C$146)</f>
        <v>277.875645104227</v>
      </c>
      <c r="F155" s="26" t="n">
        <f aca="false">SUMPRODUCT(($B$130:$B$146=$A155)*F$130:F$146*$C$130:$C$146)</f>
        <v>350.423767269122</v>
      </c>
      <c r="G155" s="26" t="n">
        <f aca="false">SUMPRODUCT(($B$130:$B$146=$A155)*G$130:G$146*$C$130:$C$146)</f>
        <v>420.225598027629</v>
      </c>
      <c r="H155" s="26" t="n">
        <f aca="false">SUMPRODUCT(($B$130:$B$146=$A155)*H$130:H$146*$C$130:$C$146)</f>
        <v>424.242377496642</v>
      </c>
      <c r="I155" s="26" t="n">
        <f aca="false">SUMPRODUCT(($B$130:$B$146=$A155)*I$130:I$146*$C$130:$C$146)</f>
        <v>414.562640264967</v>
      </c>
      <c r="J155" s="26" t="n">
        <f aca="false">SUMPRODUCT(($B$130:$B$146=$A155)*J$130:J$146*$C$130:$C$146)</f>
        <v>334.916788908727</v>
      </c>
      <c r="K155" s="26" t="n">
        <f aca="false">SUMPRODUCT(($B$130:$B$146=$A155)*K$130:K$146*$C$130:$C$146)</f>
        <v>336.351560337411</v>
      </c>
      <c r="L155" s="26" t="n">
        <f aca="false">SUMPRODUCT(($B$130:$B$146=$A155)*L$130:L$146*$C$130:$C$146)</f>
        <v>344.834216106677</v>
      </c>
      <c r="M155" s="26" t="n">
        <f aca="false">SUMPRODUCT(($B$130:$B$146=$A155)*M$130:M$146*$C$130:$C$146)</f>
        <v>344.834216106677</v>
      </c>
      <c r="N155" s="26" t="n">
        <f aca="false">SUMPRODUCT(($B$130:$B$146=$A155)*N$130:N$146*$C$130:$C$146)</f>
        <v>340.817436637663</v>
      </c>
      <c r="O155" s="26" t="n">
        <f aca="false">SUMPRODUCT(($B$130:$B$146=$A155)*O$130:O$146*$C$130:$C$146)</f>
        <v>350.497173869339</v>
      </c>
      <c r="P155" s="26" t="n">
        <f aca="false">SUMPRODUCT(($B$130:$B$146=$A155)*P$130:P$146*$C$130:$C$146)</f>
        <v>4217.45706523331</v>
      </c>
    </row>
    <row r="156" customFormat="false" ht="15" hidden="false" customHeight="false" outlineLevel="0" collapsed="false">
      <c r="A156" s="5" t="s">
        <v>172</v>
      </c>
      <c r="D156" s="26" t="n">
        <f aca="false">SUMPRODUCT(($B$130:$B$146=$A156)*D$130:D$146*$C$130:$C$146)</f>
        <v>15.3156991986819</v>
      </c>
      <c r="E156" s="26" t="n">
        <f aca="false">SUMPRODUCT(($B$130:$B$146=$A156)*E$130:E$146*$C$130:$C$146)</f>
        <v>15.3156991986819</v>
      </c>
      <c r="F156" s="26" t="n">
        <f aca="false">SUMPRODUCT(($B$130:$B$146=$A156)*F$130:F$146*$C$130:$C$146)</f>
        <v>14.0495097903243</v>
      </c>
      <c r="G156" s="26" t="n">
        <f aca="false">SUMPRODUCT(($B$130:$B$146=$A156)*G$130:G$146*$C$130:$C$146)</f>
        <v>14.0495097903243</v>
      </c>
      <c r="H156" s="26" t="n">
        <f aca="false">SUMPRODUCT(($B$130:$B$146=$A156)*H$130:H$146*$C$130:$C$146)</f>
        <v>14.0495097903243</v>
      </c>
      <c r="I156" s="26" t="n">
        <f aca="false">SUMPRODUCT(($B$130:$B$146=$A156)*I$130:I$146*$C$130:$C$146)</f>
        <v>12.7833203819666</v>
      </c>
      <c r="J156" s="26" t="n">
        <f aca="false">SUMPRODUCT(($B$130:$B$146=$A156)*J$130:J$146*$C$130:$C$146)</f>
        <v>12.7833203819666</v>
      </c>
      <c r="K156" s="26" t="n">
        <f aca="false">SUMPRODUCT(($B$130:$B$146=$A156)*K$130:K$146*$C$130:$C$146)</f>
        <v>12.7833203819666</v>
      </c>
      <c r="L156" s="26" t="n">
        <f aca="false">SUMPRODUCT(($B$130:$B$146=$A156)*L$130:L$146*$C$130:$C$146)</f>
        <v>14.0495097903243</v>
      </c>
      <c r="M156" s="26" t="n">
        <f aca="false">SUMPRODUCT(($B$130:$B$146=$A156)*M$130:M$146*$C$130:$C$146)</f>
        <v>14.0495097903243</v>
      </c>
      <c r="N156" s="26" t="n">
        <f aca="false">SUMPRODUCT(($B$130:$B$146=$A156)*N$130:N$146*$C$130:$C$146)</f>
        <v>14.0495097903243</v>
      </c>
      <c r="O156" s="26" t="n">
        <f aca="false">SUMPRODUCT(($B$130:$B$146=$A156)*O$130:O$146*$C$130:$C$146)</f>
        <v>15.3156991986819</v>
      </c>
      <c r="P156" s="26" t="n">
        <f aca="false">SUMPRODUCT(($B$130:$B$146=$A156)*P$130:P$146*$C$130:$C$146)</f>
        <v>168.594117483891</v>
      </c>
    </row>
    <row r="157" customFormat="false" ht="15" hidden="false" customHeight="false" outlineLevel="0" collapsed="false">
      <c r="A157" s="4" t="s">
        <v>387</v>
      </c>
      <c r="D157" s="27" t="n">
        <f aca="false">SUMPRODUCT(D$130:D$146*parametros_recargas!$D$55:$D$71)</f>
        <v>130.166110035386</v>
      </c>
      <c r="E157" s="27" t="n">
        <f aca="false">SUMPRODUCT(E$130:E$146*parametros_recargas!$D$55:$D$71)</f>
        <v>130.166110035386</v>
      </c>
      <c r="F157" s="27" t="n">
        <f aca="false">SUMPRODUCT(F$130:F$146*parametros_recargas!$D$55:$D$71)</f>
        <v>141.976146258722</v>
      </c>
      <c r="G157" s="27" t="n">
        <f aca="false">SUMPRODUCT(G$130:G$146*parametros_recargas!$D$55:$D$71)</f>
        <v>158.138434793123</v>
      </c>
      <c r="H157" s="27" t="n">
        <f aca="false">SUMPRODUCT(H$130:H$146*parametros_recargas!$D$55:$D$71)</f>
        <v>160.683973091113</v>
      </c>
      <c r="I157" s="27" t="n">
        <f aca="false">SUMPRODUCT(I$130:I$146*parametros_recargas!$D$55:$D$71)</f>
        <v>153.047081983452</v>
      </c>
      <c r="J157" s="27" t="n">
        <f aca="false">SUMPRODUCT(J$130:J$146*parametros_recargas!$D$55:$D$71)</f>
        <v>133.818329528586</v>
      </c>
      <c r="K157" s="27" t="n">
        <f aca="false">SUMPRODUCT(K$130:K$146*parametros_recargas!$D$55:$D$71)</f>
        <v>136.145692950444</v>
      </c>
      <c r="L157" s="27" t="n">
        <f aca="false">SUMPRODUCT(L$130:L$146*parametros_recargas!$D$55:$D$71)</f>
        <v>142.585502595696</v>
      </c>
      <c r="M157" s="27" t="n">
        <f aca="false">SUMPRODUCT(M$130:M$146*parametros_recargas!$D$55:$D$71)</f>
        <v>142.585502595696</v>
      </c>
      <c r="N157" s="27" t="n">
        <f aca="false">SUMPRODUCT(N$130:N$146*parametros_recargas!$D$55:$D$71)</f>
        <v>140.039964297706</v>
      </c>
      <c r="O157" s="27" t="n">
        <f aca="false">SUMPRODUCT(O$130:O$146*parametros_recargas!$D$55:$D$71)</f>
        <v>147.676855405367</v>
      </c>
      <c r="P157" s="27" t="n">
        <f aca="false">SUMPRODUCT(P$130:P$146*parametros_recargas!$D$55:$D$71)</f>
        <v>1717.02970357068</v>
      </c>
    </row>
    <row r="158" customFormat="false" ht="15" hidden="false" customHeight="false" outlineLevel="0" collapsed="false">
      <c r="A158" s="4" t="s">
        <v>388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0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0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0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0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0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0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0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0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0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0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0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0</v>
      </c>
      <c r="P158" s="12" t="n">
        <f aca="false">SUM(D158:O158)</f>
        <v>0</v>
      </c>
    </row>
    <row r="161" customFormat="false" ht="15" hidden="false" customHeight="false" outlineLevel="0" collapsed="false">
      <c r="A161" s="28" t="n">
        <v>2031</v>
      </c>
      <c r="B161" s="3" t="s">
        <v>383</v>
      </c>
      <c r="C161" s="3" t="s">
        <v>384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6" t="n">
        <f aca="false">datos_base!$G$2*parametros_recargas!E$55+sobrestock_sustitutos!$F$51/12</f>
        <v>4057.40294871657</v>
      </c>
      <c r="E162" s="26" t="n">
        <f aca="false">datos_base!$G$2*parametros_recargas!F$55+sobrestock_sustitutos!$F$51/12</f>
        <v>3231.46885266538</v>
      </c>
      <c r="F162" s="26" t="n">
        <f aca="false">datos_base!$G$2*parametros_recargas!G$55+sobrestock_sustitutos!$F$51/12</f>
        <v>2406.94344975591</v>
      </c>
      <c r="G162" s="26" t="n">
        <f aca="false">datos_base!$G$2*parametros_recargas!H$55+sobrestock_sustitutos!$F$51/12</f>
        <v>2406.94344975591</v>
      </c>
      <c r="H162" s="26" t="n">
        <f aca="false">datos_base!$G$2*parametros_recargas!I$55+sobrestock_sustitutos!$F$51/12</f>
        <v>2408.35214289763</v>
      </c>
      <c r="I162" s="26" t="n">
        <f aca="false">datos_base!$G$2*parametros_recargas!J$55+sobrestock_sustitutos!$F$51/12</f>
        <v>2408.35214289763</v>
      </c>
      <c r="J162" s="26" t="n">
        <f aca="false">datos_base!$G$2*parametros_recargas!K$55+sobrestock_sustitutos!$F$51/12</f>
        <v>2406.0574675695</v>
      </c>
      <c r="K162" s="26" t="n">
        <f aca="false">datos_base!$G$2*parametros_recargas!L$55+sobrestock_sustitutos!$F$51/12</f>
        <v>2408.35214289763</v>
      </c>
      <c r="L162" s="26" t="n">
        <f aca="false">datos_base!$G$2*parametros_recargas!M$55+sobrestock_sustitutos!$F$51/12</f>
        <v>2408.09078741997</v>
      </c>
      <c r="M162" s="26" t="n">
        <f aca="false">datos_base!$G$2*parametros_recargas!N$55+sobrestock_sustitutos!$F$51/12</f>
        <v>2408.09078741997</v>
      </c>
      <c r="N162" s="26" t="n">
        <f aca="false">datos_base!$G$2*parametros_recargas!O$55+sobrestock_sustitutos!$F$51/12</f>
        <v>3232.61619032945</v>
      </c>
      <c r="O162" s="26" t="n">
        <f aca="false">datos_base!$G$2*parametros_recargas!P$55+sobrestock_sustitutos!$F$51/12</f>
        <v>4058.55028638064</v>
      </c>
      <c r="P162" s="12" t="n">
        <f aca="false">SUM(D162:O162)</f>
        <v>33841.2206487062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6" t="n">
        <f aca="false">datos_base!$G$3*parametros_recargas!E$56+sobrestock_sustitutos!$F$52/12</f>
        <v>185.864773391909</v>
      </c>
      <c r="E163" s="26" t="n">
        <f aca="false">datos_base!$G$3*parametros_recargas!F$56+sobrestock_sustitutos!$F$52/12</f>
        <v>185.864773391909</v>
      </c>
      <c r="F163" s="26" t="n">
        <f aca="false">datos_base!$G$3*parametros_recargas!G$56+sobrestock_sustitutos!$F$52/12</f>
        <v>251.390331022249</v>
      </c>
      <c r="G163" s="26" t="n">
        <f aca="false">datos_base!$G$3*parametros_recargas!H$56+sobrestock_sustitutos!$F$52/12</f>
        <v>289.53284050224</v>
      </c>
      <c r="H163" s="26" t="n">
        <f aca="false">datos_base!$G$3*parametros_recargas!I$56+sobrestock_sustitutos!$F$52/12</f>
        <v>313.48107721807</v>
      </c>
      <c r="I163" s="26" t="n">
        <f aca="false">datos_base!$G$3*parametros_recargas!J$56+sobrestock_sustitutos!$F$52/12</f>
        <v>309.681969312088</v>
      </c>
      <c r="J163" s="26" t="n">
        <f aca="false">datos_base!$G$3*parametros_recargas!K$56+sobrestock_sustitutos!$F$52/12</f>
        <v>226.933495650154</v>
      </c>
      <c r="K163" s="26" t="n">
        <f aca="false">datos_base!$G$3*parametros_recargas!L$56+sobrestock_sustitutos!$F$52/12</f>
        <v>264.305540491596</v>
      </c>
      <c r="L163" s="26" t="n">
        <f aca="false">datos_base!$G$3*parametros_recargas!M$56+sobrestock_sustitutos!$F$52/12</f>
        <v>264.650913937594</v>
      </c>
      <c r="M163" s="26" t="n">
        <f aca="false">datos_base!$G$3*parametros_recargas!N$56+sobrestock_sustitutos!$F$52/12</f>
        <v>264.650913937594</v>
      </c>
      <c r="N163" s="26" t="n">
        <f aca="false">datos_base!$G$3*parametros_recargas!O$56+sobrestock_sustitutos!$F$52/12</f>
        <v>240.702677221765</v>
      </c>
      <c r="O163" s="26" t="n">
        <f aca="false">datos_base!$G$3*parametros_recargas!P$56+sobrestock_sustitutos!$F$52/12</f>
        <v>244.501785127746</v>
      </c>
      <c r="P163" s="12" t="n">
        <f aca="false">SUM(D163:O163)</f>
        <v>3041.56109120491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6" t="n">
        <f aca="false">datos_base!$G$4*parametros_recargas!E$57+sobrestock_sustitutos!$F$53/12</f>
        <v>1260.20204841211</v>
      </c>
      <c r="E164" s="26" t="n">
        <f aca="false">datos_base!$G$4*parametros_recargas!F$57+sobrestock_sustitutos!$F$53/12</f>
        <v>1228.37989983842</v>
      </c>
      <c r="F164" s="26" t="n">
        <f aca="false">datos_base!$G$4*parametros_recargas!G$57+sobrestock_sustitutos!$F$53/12</f>
        <v>1537.3245158463</v>
      </c>
      <c r="G164" s="26" t="n">
        <f aca="false">datos_base!$G$4*parametros_recargas!H$57+sobrestock_sustitutos!$F$53/12</f>
        <v>1865.88172324555</v>
      </c>
      <c r="H164" s="26" t="n">
        <f aca="false">datos_base!$G$4*parametros_recargas!I$57+sobrestock_sustitutos!$F$53/12</f>
        <v>1875.22402544051</v>
      </c>
      <c r="I164" s="26" t="n">
        <f aca="false">datos_base!$G$4*parametros_recargas!J$57+sobrestock_sustitutos!$F$53/12</f>
        <v>1848.97809141543</v>
      </c>
      <c r="J164" s="26" t="n">
        <f aca="false">datos_base!$G$4*parametros_recargas!K$57+sobrestock_sustitutos!$F$53/12</f>
        <v>1493.6505926442</v>
      </c>
      <c r="K164" s="26" t="n">
        <f aca="false">datos_base!$G$4*parametros_recargas!L$57+sobrestock_sustitutos!$F$53/12</f>
        <v>1491.30769500375</v>
      </c>
      <c r="L164" s="26" t="n">
        <f aca="false">datos_base!$G$4*parametros_recargas!M$57+sobrestock_sustitutos!$F$53/12</f>
        <v>1514.31817526675</v>
      </c>
      <c r="M164" s="26" t="n">
        <f aca="false">datos_base!$G$4*parametros_recargas!N$57+sobrestock_sustitutos!$F$53/12</f>
        <v>1514.31817526675</v>
      </c>
      <c r="N164" s="26" t="n">
        <f aca="false">datos_base!$G$4*parametros_recargas!O$57+sobrestock_sustitutos!$F$53/12</f>
        <v>1536.79802164547</v>
      </c>
      <c r="O164" s="26" t="n">
        <f aca="false">datos_base!$G$4*parametros_recargas!P$57+sobrestock_sustitutos!$F$53/12</f>
        <v>1594.86610424424</v>
      </c>
      <c r="P164" s="12" t="n">
        <f aca="false">SUM(D164:O164)</f>
        <v>18761.2490682695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6" t="n">
        <f aca="false">datos_base!$G$5*parametros_recargas!E$58+sobrestock_sustitutos!$F$54/12</f>
        <v>73.2833221911359</v>
      </c>
      <c r="E165" s="26" t="n">
        <f aca="false">datos_base!$G$5*parametros_recargas!F$58+sobrestock_sustitutos!$F$54/12</f>
        <v>73.2833221911359</v>
      </c>
      <c r="F165" s="26" t="n">
        <f aca="false">datos_base!$G$5*parametros_recargas!G$58+sobrestock_sustitutos!$F$54/12</f>
        <v>92.8340161429234</v>
      </c>
      <c r="G165" s="26" t="n">
        <f aca="false">datos_base!$G$5*parametros_recargas!H$58+sobrestock_sustitutos!$F$54/12</f>
        <v>111.316801403511</v>
      </c>
      <c r="H165" s="26" t="n">
        <f aca="false">datos_base!$G$5*parametros_recargas!I$58+sobrestock_sustitutos!$F$54/12</f>
        <v>112.758299607458</v>
      </c>
      <c r="I165" s="26" t="n">
        <f aca="false">datos_base!$G$5*parametros_recargas!J$58+sobrestock_sustitutos!$F$54/12</f>
        <v>109.307337040269</v>
      </c>
      <c r="J165" s="26" t="n">
        <f aca="false">datos_base!$G$5*parametros_recargas!K$58+sobrestock_sustitutos!$F$54/12</f>
        <v>86.4028688445676</v>
      </c>
      <c r="K165" s="26" t="n">
        <f aca="false">datos_base!$G$5*parametros_recargas!L$58+sobrestock_sustitutos!$F$54/12</f>
        <v>87.7471787252407</v>
      </c>
      <c r="L165" s="26" t="n">
        <f aca="false">datos_base!$G$5*parametros_recargas!M$58+sobrestock_sustitutos!$F$54/12</f>
        <v>91.1981412924289</v>
      </c>
      <c r="M165" s="26" t="n">
        <f aca="false">datos_base!$G$5*parametros_recargas!N$58+sobrestock_sustitutos!$F$54/12</f>
        <v>91.1981412924289</v>
      </c>
      <c r="N165" s="26" t="n">
        <f aca="false">datos_base!$G$5*parametros_recargas!O$58+sobrestock_sustitutos!$F$54/12</f>
        <v>89.756643088482</v>
      </c>
      <c r="O165" s="26" t="n">
        <f aca="false">datos_base!$G$5*parametros_recargas!P$58+sobrestock_sustitutos!$F$54/12</f>
        <v>93.2076056556702</v>
      </c>
      <c r="P165" s="12" t="n">
        <f aca="false">SUM(D165:O165)</f>
        <v>1112.29367747525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6" t="n">
        <f aca="false">datos_base!$G$6*parametros_recargas!E$59+sobrestock_sustitutos!$F$55/12</f>
        <v>104.90819687904</v>
      </c>
      <c r="E166" s="26" t="n">
        <f aca="false">datos_base!$G$6*parametros_recargas!F$59+sobrestock_sustitutos!$F$55/12</f>
        <v>104.90819687904</v>
      </c>
      <c r="F166" s="26" t="n">
        <f aca="false">datos_base!$G$6*parametros_recargas!G$59+sobrestock_sustitutos!$F$55/12</f>
        <v>129.256305695145</v>
      </c>
      <c r="G166" s="26" t="n">
        <f aca="false">datos_base!$G$6*parametros_recargas!H$59+sobrestock_sustitutos!$F$55/12</f>
        <v>154.625353614072</v>
      </c>
      <c r="H166" s="26" t="n">
        <f aca="false">datos_base!$G$6*parametros_recargas!I$59+sobrestock_sustitutos!$F$55/12</f>
        <v>155.962158966623</v>
      </c>
      <c r="I166" s="26" t="n">
        <f aca="false">datos_base!$G$6*parametros_recargas!J$59+sobrestock_sustitutos!$F$55/12</f>
        <v>150.875351181446</v>
      </c>
      <c r="J166" s="26" t="n">
        <f aca="false">datos_base!$G$6*parametros_recargas!K$59+sobrestock_sustitutos!$F$55/12</f>
        <v>122.158912656122</v>
      </c>
      <c r="K166" s="26" t="n">
        <f aca="false">datos_base!$G$6*parametros_recargas!L$59+sobrestock_sustitutos!$F$55/12</f>
        <v>122.777239932714</v>
      </c>
      <c r="L166" s="26" t="n">
        <f aca="false">datos_base!$G$6*parametros_recargas!M$59+sobrestock_sustitutos!$F$55/12</f>
        <v>127.518671836088</v>
      </c>
      <c r="M166" s="26" t="n">
        <f aca="false">datos_base!$G$6*parametros_recargas!N$59+sobrestock_sustitutos!$F$55/12</f>
        <v>127.518671836088</v>
      </c>
      <c r="N166" s="26" t="n">
        <f aca="false">datos_base!$G$6*parametros_recargas!O$59+sobrestock_sustitutos!$F$55/12</f>
        <v>126.181866483537</v>
      </c>
      <c r="O166" s="26" t="n">
        <f aca="false">datos_base!$G$6*parametros_recargas!P$59+sobrestock_sustitutos!$F$55/12</f>
        <v>131.268674268714</v>
      </c>
      <c r="P166" s="12" t="n">
        <f aca="false">SUM(D166:O166)</f>
        <v>1557.95960022863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6" t="n">
        <f aca="false">datos_base!$G$7*parametros_recargas!E$60+sobrestock_sustitutos!$F$56/12</f>
        <v>23.3779611296697</v>
      </c>
      <c r="E167" s="26" t="n">
        <f aca="false">datos_base!$G$7*parametros_recargas!F$60+sobrestock_sustitutos!$F$56/12</f>
        <v>23.3779611296697</v>
      </c>
      <c r="F167" s="26" t="n">
        <f aca="false">datos_base!$G$7*parametros_recargas!G$60+sobrestock_sustitutos!$F$56/12</f>
        <v>23.3779611296697</v>
      </c>
      <c r="G167" s="26" t="n">
        <f aca="false">datos_base!$G$7*parametros_recargas!H$60+sobrestock_sustitutos!$F$56/12</f>
        <v>23.3779611296697</v>
      </c>
      <c r="H167" s="26" t="n">
        <f aca="false">datos_base!$G$7*parametros_recargas!I$60+sobrestock_sustitutos!$F$56/12</f>
        <v>23.3779611296697</v>
      </c>
      <c r="I167" s="26" t="n">
        <f aca="false">datos_base!$G$7*parametros_recargas!J$60+sobrestock_sustitutos!$F$56/12</f>
        <v>23.3779611296697</v>
      </c>
      <c r="J167" s="26" t="n">
        <f aca="false">datos_base!$G$7*parametros_recargas!K$60+sobrestock_sustitutos!$F$56/12</f>
        <v>23.3779611296697</v>
      </c>
      <c r="K167" s="26" t="n">
        <f aca="false">datos_base!$G$7*parametros_recargas!L$60+sobrestock_sustitutos!$F$56/12</f>
        <v>23.3779611296697</v>
      </c>
      <c r="L167" s="26" t="n">
        <f aca="false">datos_base!$G$7*parametros_recargas!M$60+sobrestock_sustitutos!$F$56/12</f>
        <v>23.3779611296697</v>
      </c>
      <c r="M167" s="26" t="n">
        <f aca="false">datos_base!$G$7*parametros_recargas!N$60+sobrestock_sustitutos!$F$56/12</f>
        <v>23.3779611296697</v>
      </c>
      <c r="N167" s="26" t="n">
        <f aca="false">datos_base!$G$7*parametros_recargas!O$60+sobrestock_sustitutos!$F$56/12</f>
        <v>23.3779611296697</v>
      </c>
      <c r="O167" s="26" t="n">
        <f aca="false">datos_base!$G$7*parametros_recargas!P$60+sobrestock_sustitutos!$F$56/12</f>
        <v>23.3779611296697</v>
      </c>
      <c r="P167" s="12" t="n">
        <f aca="false">SUM(D167:O167)</f>
        <v>280.535533556036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6" t="n">
        <f aca="false">datos_base!$G$8*parametros_recargas!E$61+sobrestock_sustitutos!$F$57/12</f>
        <v>12.5254621937138</v>
      </c>
      <c r="E168" s="26" t="n">
        <f aca="false">datos_base!$G$8*parametros_recargas!F$61+sobrestock_sustitutos!$F$57/12</f>
        <v>12.5254621937138</v>
      </c>
      <c r="F168" s="26" t="n">
        <f aca="false">datos_base!$G$8*parametros_recargas!G$61+sobrestock_sustitutos!$F$57/12</f>
        <v>12.5254621937138</v>
      </c>
      <c r="G168" s="26" t="n">
        <f aca="false">datos_base!$G$8*parametros_recargas!H$61+sobrestock_sustitutos!$F$57/12</f>
        <v>12.5254621937138</v>
      </c>
      <c r="H168" s="26" t="n">
        <f aca="false">datos_base!$G$8*parametros_recargas!I$61+sobrestock_sustitutos!$F$57/12</f>
        <v>12.5254621937138</v>
      </c>
      <c r="I168" s="26" t="n">
        <f aca="false">datos_base!$G$8*parametros_recargas!J$61+sobrestock_sustitutos!$F$57/12</f>
        <v>12.5254621937138</v>
      </c>
      <c r="J168" s="26" t="n">
        <f aca="false">datos_base!$G$8*parametros_recargas!K$61+sobrestock_sustitutos!$F$57/12</f>
        <v>12.5254621937138</v>
      </c>
      <c r="K168" s="26" t="n">
        <f aca="false">datos_base!$G$8*parametros_recargas!L$61+sobrestock_sustitutos!$F$57/12</f>
        <v>12.5254621937138</v>
      </c>
      <c r="L168" s="26" t="n">
        <f aca="false">datos_base!$G$8*parametros_recargas!M$61+sobrestock_sustitutos!$F$57/12</f>
        <v>12.5254621937138</v>
      </c>
      <c r="M168" s="26" t="n">
        <f aca="false">datos_base!$G$8*parametros_recargas!N$61+sobrestock_sustitutos!$F$57/12</f>
        <v>12.5254621937138</v>
      </c>
      <c r="N168" s="26" t="n">
        <f aca="false">datos_base!$G$8*parametros_recargas!O$61+sobrestock_sustitutos!$F$57/12</f>
        <v>12.5254621937138</v>
      </c>
      <c r="O168" s="26" t="n">
        <f aca="false">datos_base!$G$8*parametros_recargas!P$61+sobrestock_sustitutos!$F$57/12</f>
        <v>12.5254621937138</v>
      </c>
      <c r="P168" s="12" t="n">
        <f aca="false">SUM(D168:O168)</f>
        <v>150.305546324566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6" t="n">
        <f aca="false">datos_base!$G$9*parametros_recargas!E$62+sobrestock_sustitutos!$F$58/12</f>
        <v>7.09396220745989</v>
      </c>
      <c r="E169" s="26" t="n">
        <f aca="false">datos_base!$G$9*parametros_recargas!F$62+sobrestock_sustitutos!$F$58/12</f>
        <v>7.09396220745989</v>
      </c>
      <c r="F169" s="26" t="n">
        <f aca="false">datos_base!$G$9*parametros_recargas!G$62+sobrestock_sustitutos!$F$58/12</f>
        <v>7.09396220745989</v>
      </c>
      <c r="G169" s="26" t="n">
        <f aca="false">datos_base!$G$9*parametros_recargas!H$62+sobrestock_sustitutos!$F$58/12</f>
        <v>7.09396220745989</v>
      </c>
      <c r="H169" s="26" t="n">
        <f aca="false">datos_base!$G$9*parametros_recargas!I$62+sobrestock_sustitutos!$F$58/12</f>
        <v>7.09396220745989</v>
      </c>
      <c r="I169" s="26" t="n">
        <f aca="false">datos_base!$G$9*parametros_recargas!J$62+sobrestock_sustitutos!$F$58/12</f>
        <v>7.09396220745989</v>
      </c>
      <c r="J169" s="26" t="n">
        <f aca="false">datos_base!$G$9*parametros_recargas!K$62+sobrestock_sustitutos!$F$58/12</f>
        <v>7.09396220745989</v>
      </c>
      <c r="K169" s="26" t="n">
        <f aca="false">datos_base!$G$9*parametros_recargas!L$62+sobrestock_sustitutos!$F$58/12</f>
        <v>7.09396220745989</v>
      </c>
      <c r="L169" s="26" t="n">
        <f aca="false">datos_base!$G$9*parametros_recargas!M$62+sobrestock_sustitutos!$F$58/12</f>
        <v>7.09396220745989</v>
      </c>
      <c r="M169" s="26" t="n">
        <f aca="false">datos_base!$G$9*parametros_recargas!N$62+sobrestock_sustitutos!$F$58/12</f>
        <v>7.09396220745989</v>
      </c>
      <c r="N169" s="26" t="n">
        <f aca="false">datos_base!$G$9*parametros_recargas!O$62+sobrestock_sustitutos!$F$58/12</f>
        <v>7.09396220745989</v>
      </c>
      <c r="O169" s="26" t="n">
        <f aca="false">datos_base!$G$9*parametros_recargas!P$62+sobrestock_sustitutos!$F$58/12</f>
        <v>7.09396220745989</v>
      </c>
      <c r="P169" s="12" t="n">
        <f aca="false">SUM(D169:O169)</f>
        <v>85.1275464895187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6" t="n">
        <f aca="false">datos_base!$G$10*parametros_recargas!E$63+sobrestock_sustitutos!$F$59/12</f>
        <v>52.7268651073281</v>
      </c>
      <c r="E170" s="26" t="n">
        <f aca="false">datos_base!$G$10*parametros_recargas!F$63+sobrestock_sustitutos!$F$59/12</f>
        <v>52.7268651073281</v>
      </c>
      <c r="F170" s="26" t="n">
        <f aca="false">datos_base!$G$10*parametros_recargas!G$63+sobrestock_sustitutos!$F$59/12</f>
        <v>63.6978760730128</v>
      </c>
      <c r="G170" s="26" t="n">
        <f aca="false">datos_base!$G$10*parametros_recargas!H$63+sobrestock_sustitutos!$F$59/12</f>
        <v>71.2455145059579</v>
      </c>
      <c r="H170" s="26" t="n">
        <f aca="false">datos_base!$G$10*parametros_recargas!I$63+sobrestock_sustitutos!$F$59/12</f>
        <v>73.754663739079</v>
      </c>
      <c r="I170" s="26" t="n">
        <f aca="false">datos_base!$G$10*parametros_recargas!J$63+sobrestock_sustitutos!$F$59/12</f>
        <v>72.1427598675742</v>
      </c>
      <c r="J170" s="26" t="n">
        <f aca="false">datos_base!$G$10*parametros_recargas!K$63+sobrestock_sustitutos!$F$59/12</f>
        <v>58.3137593828253</v>
      </c>
      <c r="K170" s="26" t="n">
        <f aca="false">datos_base!$G$10*parametros_recargas!L$63+sobrestock_sustitutos!$F$59/12</f>
        <v>62.0689942635058</v>
      </c>
      <c r="L170" s="26" t="n">
        <f aca="false">datos_base!$G$10*parametros_recargas!M$63+sobrestock_sustitutos!$F$59/12</f>
        <v>63.6808981350105</v>
      </c>
      <c r="M170" s="26" t="n">
        <f aca="false">datos_base!$G$10*parametros_recargas!N$63+sobrestock_sustitutos!$F$59/12</f>
        <v>63.6808981350105</v>
      </c>
      <c r="N170" s="26" t="n">
        <f aca="false">datos_base!$G$10*parametros_recargas!O$63+sobrestock_sustitutos!$F$59/12</f>
        <v>61.1717489018895</v>
      </c>
      <c r="O170" s="26" t="n">
        <f aca="false">datos_base!$G$10*parametros_recargas!P$63+sobrestock_sustitutos!$F$59/12</f>
        <v>62.7836527733942</v>
      </c>
      <c r="P170" s="12" t="n">
        <f aca="false">SUM(D170:O170)</f>
        <v>757.994495991916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6" t="n">
        <f aca="false">datos_base!$G$11*parametros_recargas!E$64+sobrestock_sustitutos!$F$60/12</f>
        <v>265.286476398969</v>
      </c>
      <c r="E171" s="26" t="n">
        <f aca="false">datos_base!$G$11*parametros_recargas!F$64+sobrestock_sustitutos!$F$60/12</f>
        <v>265.286476398969</v>
      </c>
      <c r="F171" s="26" t="n">
        <f aca="false">datos_base!$G$11*parametros_recargas!G$64+sobrestock_sustitutos!$F$60/12</f>
        <v>352.553911149652</v>
      </c>
      <c r="G171" s="26" t="n">
        <f aca="false">datos_base!$G$11*parametros_recargas!H$64+sobrestock_sustitutos!$F$60/12</f>
        <v>432.66796959362</v>
      </c>
      <c r="H171" s="26" t="n">
        <f aca="false">datos_base!$G$11*parametros_recargas!I$64+sobrestock_sustitutos!$F$60/12</f>
        <v>435.147931795358</v>
      </c>
      <c r="I171" s="26" t="n">
        <f aca="false">datos_base!$G$11*parametros_recargas!J$64+sobrestock_sustitutos!$F$60/12</f>
        <v>429.154529487419</v>
      </c>
      <c r="J171" s="26" t="n">
        <f aca="false">datos_base!$G$11*parametros_recargas!K$64+sobrestock_sustitutos!$F$60/12</f>
        <v>338.747138433518</v>
      </c>
      <c r="K171" s="26" t="n">
        <f aca="false">datos_base!$G$11*parametros_recargas!L$64+sobrestock_sustitutos!$F$60/12</f>
        <v>338.373654630535</v>
      </c>
      <c r="L171" s="26" t="n">
        <f aca="false">datos_base!$G$11*parametros_recargas!M$64+sobrestock_sustitutos!$F$60/12</f>
        <v>344.367056938474</v>
      </c>
      <c r="M171" s="26" t="n">
        <f aca="false">datos_base!$G$11*parametros_recargas!N$64+sobrestock_sustitutos!$F$60/12</f>
        <v>344.367056938474</v>
      </c>
      <c r="N171" s="26" t="n">
        <f aca="false">datos_base!$G$11*parametros_recargas!O$64+sobrestock_sustitutos!$F$60/12</f>
        <v>341.887094736736</v>
      </c>
      <c r="O171" s="26" t="n">
        <f aca="false">datos_base!$G$11*parametros_recargas!P$64+sobrestock_sustitutos!$F$60/12</f>
        <v>347.880497044675</v>
      </c>
      <c r="P171" s="12" t="n">
        <f aca="false">SUM(D171:O171)</f>
        <v>4235.7197935464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6" t="n">
        <f aca="false">datos_base!$G$12*parametros_recargas!E$65+sobrestock_sustitutos!$F$61/12</f>
        <v>104.822204955144</v>
      </c>
      <c r="E172" s="26" t="n">
        <f aca="false">datos_base!$G$12*parametros_recargas!F$65+sobrestock_sustitutos!$F$61/12</f>
        <v>104.822204955144</v>
      </c>
      <c r="F172" s="26" t="n">
        <f aca="false">datos_base!$G$12*parametros_recargas!G$65+sobrestock_sustitutos!$F$61/12</f>
        <v>114.006297119541</v>
      </c>
      <c r="G172" s="26" t="n">
        <f aca="false">datos_base!$G$12*parametros_recargas!H$65+sobrestock_sustitutos!$F$61/12</f>
        <v>126.701734936851</v>
      </c>
      <c r="H172" s="26" t="n">
        <f aca="false">datos_base!$G$12*parametros_recargas!I$65+sobrestock_sustitutos!$F$61/12</f>
        <v>129.567584607414</v>
      </c>
      <c r="I172" s="26" t="n">
        <f aca="false">datos_base!$G$12*parametros_recargas!J$65+sobrestock_sustitutos!$F$61/12</f>
        <v>122.678554190288</v>
      </c>
      <c r="J172" s="26" t="n">
        <f aca="false">datos_base!$G$12*parametros_recargas!K$65+sobrestock_sustitutos!$F$61/12</f>
        <v>107.185320392625</v>
      </c>
      <c r="K172" s="26" t="n">
        <f aca="false">datos_base!$G$12*parametros_recargas!L$65+sobrestock_sustitutos!$F$61/12</f>
        <v>109.471281279328</v>
      </c>
      <c r="L172" s="26" t="n">
        <f aca="false">datos_base!$G$12*parametros_recargas!M$65+sobrestock_sustitutos!$F$61/12</f>
        <v>114.765401242655</v>
      </c>
      <c r="M172" s="26" t="n">
        <f aca="false">datos_base!$G$12*parametros_recargas!N$65+sobrestock_sustitutos!$F$61/12</f>
        <v>114.765401242655</v>
      </c>
      <c r="N172" s="26" t="n">
        <f aca="false">datos_base!$G$12*parametros_recargas!O$65+sobrestock_sustitutos!$F$61/12</f>
        <v>111.899551572093</v>
      </c>
      <c r="O172" s="26" t="n">
        <f aca="false">datos_base!$G$12*parametros_recargas!P$65+sobrestock_sustitutos!$F$61/12</f>
        <v>118.788581989218</v>
      </c>
      <c r="P172" s="12" t="n">
        <f aca="false">SUM(D172:O172)</f>
        <v>1379.47411848296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6" t="n">
        <f aca="false">datos_base!$G$13*parametros_recargas!E$66+sobrestock_sustitutos!$F$62/12</f>
        <v>20.0317061240232</v>
      </c>
      <c r="E173" s="26" t="n">
        <f aca="false">datos_base!$G$13*parametros_recargas!F$66+sobrestock_sustitutos!$F$62/12</f>
        <v>20.0317061240232</v>
      </c>
      <c r="F173" s="26" t="n">
        <f aca="false">datos_base!$G$13*parametros_recargas!G$66+sobrestock_sustitutos!$F$62/12</f>
        <v>18.3691621927284</v>
      </c>
      <c r="G173" s="26" t="n">
        <f aca="false">datos_base!$G$13*parametros_recargas!H$66+sobrestock_sustitutos!$F$62/12</f>
        <v>18.3691621927284</v>
      </c>
      <c r="H173" s="26" t="n">
        <f aca="false">datos_base!$G$13*parametros_recargas!I$66+sobrestock_sustitutos!$F$62/12</f>
        <v>18.3691621927284</v>
      </c>
      <c r="I173" s="26" t="n">
        <f aca="false">datos_base!$G$13*parametros_recargas!J$66+sobrestock_sustitutos!$F$62/12</f>
        <v>16.7066182614336</v>
      </c>
      <c r="J173" s="26" t="n">
        <f aca="false">datos_base!$G$13*parametros_recargas!K$66+sobrestock_sustitutos!$F$62/12</f>
        <v>16.7066182614336</v>
      </c>
      <c r="K173" s="26" t="n">
        <f aca="false">datos_base!$G$13*parametros_recargas!L$66+sobrestock_sustitutos!$F$62/12</f>
        <v>16.7066182614336</v>
      </c>
      <c r="L173" s="26" t="n">
        <f aca="false">datos_base!$G$13*parametros_recargas!M$66+sobrestock_sustitutos!$F$62/12</f>
        <v>18.3691621927284</v>
      </c>
      <c r="M173" s="26" t="n">
        <f aca="false">datos_base!$G$13*parametros_recargas!N$66+sobrestock_sustitutos!$F$62/12</f>
        <v>18.3691621927284</v>
      </c>
      <c r="N173" s="26" t="n">
        <f aca="false">datos_base!$G$13*parametros_recargas!O$66+sobrestock_sustitutos!$F$62/12</f>
        <v>18.3691621927284</v>
      </c>
      <c r="O173" s="26" t="n">
        <f aca="false">datos_base!$G$13*parametros_recargas!P$66+sobrestock_sustitutos!$F$62/12</f>
        <v>20.0317061240232</v>
      </c>
      <c r="P173" s="12" t="n">
        <f aca="false">SUM(D173:O173)</f>
        <v>220.42994631274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6" t="n">
        <f aca="false">datos_base!$G$14*parametros_recargas!E$67+sobrestock_sustitutos!$F$63/12</f>
        <v>6.22673763529173</v>
      </c>
      <c r="E174" s="26" t="n">
        <f aca="false">datos_base!$G$14*parametros_recargas!F$67+sobrestock_sustitutos!$F$63/12</f>
        <v>6.22673763529173</v>
      </c>
      <c r="F174" s="26" t="n">
        <f aca="false">datos_base!$G$14*parametros_recargas!G$67+sobrestock_sustitutos!$F$63/12</f>
        <v>6.22673763529173</v>
      </c>
      <c r="G174" s="26" t="n">
        <f aca="false">datos_base!$G$14*parametros_recargas!H$67+sobrestock_sustitutos!$F$63/12</f>
        <v>6.22673763529173</v>
      </c>
      <c r="H174" s="26" t="n">
        <f aca="false">datos_base!$G$14*parametros_recargas!I$67+sobrestock_sustitutos!$F$63/12</f>
        <v>6.22673763529173</v>
      </c>
      <c r="I174" s="26" t="n">
        <f aca="false">datos_base!$G$14*parametros_recargas!J$67+sobrestock_sustitutos!$F$63/12</f>
        <v>6.22673763529173</v>
      </c>
      <c r="J174" s="26" t="n">
        <f aca="false">datos_base!$G$14*parametros_recargas!K$67+sobrestock_sustitutos!$F$63/12</f>
        <v>6.22673763529173</v>
      </c>
      <c r="K174" s="26" t="n">
        <f aca="false">datos_base!$G$14*parametros_recargas!L$67+sobrestock_sustitutos!$F$63/12</f>
        <v>6.22673763529173</v>
      </c>
      <c r="L174" s="26" t="n">
        <f aca="false">datos_base!$G$14*parametros_recargas!M$67+sobrestock_sustitutos!$F$63/12</f>
        <v>6.22673763529173</v>
      </c>
      <c r="M174" s="26" t="n">
        <f aca="false">datos_base!$G$14*parametros_recargas!N$67+sobrestock_sustitutos!$F$63/12</f>
        <v>6.22673763529173</v>
      </c>
      <c r="N174" s="26" t="n">
        <f aca="false">datos_base!$G$14*parametros_recargas!O$67+sobrestock_sustitutos!$F$63/12</f>
        <v>6.22673763529173</v>
      </c>
      <c r="O174" s="26" t="n">
        <f aca="false">datos_base!$G$14*parametros_recargas!P$67+sobrestock_sustitutos!$F$63/12</f>
        <v>6.22673763529173</v>
      </c>
      <c r="P174" s="12" t="n">
        <f aca="false">SUM(D174:O174)</f>
        <v>74.7208516235008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6" t="n">
        <f aca="false">datos_base!$G$15*parametros_recargas!E$68+sobrestock_sustitutos!$F$64/12</f>
        <v>13.9351450859016</v>
      </c>
      <c r="E175" s="26" t="n">
        <f aca="false">datos_base!$G$15*parametros_recargas!F$68+sobrestock_sustitutos!$F$64/12</f>
        <v>13.9351450859016</v>
      </c>
      <c r="F175" s="26" t="n">
        <f aca="false">datos_base!$G$15*parametros_recargas!G$68+sobrestock_sustitutos!$F$64/12</f>
        <v>15.568226786403</v>
      </c>
      <c r="G175" s="26" t="n">
        <f aca="false">datos_base!$G$15*parametros_recargas!H$68+sobrestock_sustitutos!$F$64/12</f>
        <v>17.7714500855511</v>
      </c>
      <c r="H175" s="26" t="n">
        <f aca="false">datos_base!$G$15*parametros_recargas!I$68+sobrestock_sustitutos!$F$64/12</f>
        <v>17.9025430119189</v>
      </c>
      <c r="I175" s="26" t="n">
        <f aca="false">datos_base!$G$15*parametros_recargas!J$68+sobrestock_sustitutos!$F$64/12</f>
        <v>17.0833705469104</v>
      </c>
      <c r="J175" s="26" t="n">
        <f aca="false">datos_base!$G$15*parametros_recargas!K$68+sobrestock_sustitutos!$F$64/12</f>
        <v>14.5589924250298</v>
      </c>
      <c r="K175" s="26" t="n">
        <f aca="false">datos_base!$G$15*parametros_recargas!L$68+sobrestock_sustitutos!$F$64/12</f>
        <v>14.7622093077684</v>
      </c>
      <c r="L175" s="26" t="n">
        <f aca="false">datos_base!$G$15*parametros_recargas!M$68+sobrestock_sustitutos!$F$64/12</f>
        <v>15.5813817727768</v>
      </c>
      <c r="M175" s="26" t="n">
        <f aca="false">datos_base!$G$15*parametros_recargas!N$68+sobrestock_sustitutos!$F$64/12</f>
        <v>15.5813817727768</v>
      </c>
      <c r="N175" s="26" t="n">
        <f aca="false">datos_base!$G$15*parametros_recargas!O$68+sobrestock_sustitutos!$F$64/12</f>
        <v>15.450288846409</v>
      </c>
      <c r="O175" s="26" t="n">
        <f aca="false">datos_base!$G$15*parametros_recargas!P$68+sobrestock_sustitutos!$F$64/12</f>
        <v>16.2694613114174</v>
      </c>
      <c r="P175" s="12" t="n">
        <f aca="false">SUM(D175:O175)</f>
        <v>188.399596038765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6" t="n">
        <f aca="false">datos_base!$G$16*parametros_recargas!E$69+sobrestock_sustitutos!$F$65/12</f>
        <v>30.6072389323726</v>
      </c>
      <c r="E176" s="26" t="n">
        <f aca="false">datos_base!$G$16*parametros_recargas!F$69+sobrestock_sustitutos!$F$65/12</f>
        <v>30.6072389323726</v>
      </c>
      <c r="F176" s="26" t="n">
        <f aca="false">datos_base!$G$16*parametros_recargas!G$69+sobrestock_sustitutos!$F$65/12</f>
        <v>34.2000282692697</v>
      </c>
      <c r="G176" s="26" t="n">
        <f aca="false">datos_base!$G$16*parametros_recargas!H$69+sobrestock_sustitutos!$F$65/12</f>
        <v>39.0473598066498</v>
      </c>
      <c r="H176" s="26" t="n">
        <f aca="false">datos_base!$G$16*parametros_recargas!I$69+sobrestock_sustitutos!$F$65/12</f>
        <v>39.3356480113007</v>
      </c>
      <c r="I176" s="26" t="n">
        <f aca="false">datos_base!$G$16*parametros_recargas!J$69+sobrestock_sustitutos!$F$65/12</f>
        <v>37.5334661922468</v>
      </c>
      <c r="J176" s="26" t="n">
        <f aca="false">datos_base!$G$16*parametros_recargas!K$69+sobrestock_sustitutos!$F$65/12</f>
        <v>31.9798825386049</v>
      </c>
      <c r="K176" s="26" t="n">
        <f aca="false">datos_base!$G$16*parametros_recargas!L$69+sobrestock_sustitutos!$F$65/12</f>
        <v>32.4267832409468</v>
      </c>
      <c r="L176" s="26" t="n">
        <f aca="false">datos_base!$G$16*parametros_recargas!M$69+sobrestock_sustitutos!$F$65/12</f>
        <v>34.2289650600007</v>
      </c>
      <c r="M176" s="26" t="n">
        <f aca="false">datos_base!$G$16*parametros_recargas!N$69+sobrestock_sustitutos!$F$65/12</f>
        <v>34.2289650600007</v>
      </c>
      <c r="N176" s="26" t="n">
        <f aca="false">datos_base!$G$16*parametros_recargas!O$69+sobrestock_sustitutos!$F$65/12</f>
        <v>33.9406768553498</v>
      </c>
      <c r="O176" s="26" t="n">
        <f aca="false">datos_base!$G$16*parametros_recargas!P$69+sobrestock_sustitutos!$F$65/12</f>
        <v>35.7428586744037</v>
      </c>
      <c r="P176" s="12" t="n">
        <f aca="false">SUM(D176:O176)</f>
        <v>413.879111573519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6" t="n">
        <f aca="false">datos_base!$G$17*parametros_recargas!E$70+sobrestock_sustitutos!$F$66/12</f>
        <v>6.73546030447956</v>
      </c>
      <c r="E177" s="26" t="n">
        <f aca="false">datos_base!$G$17*parametros_recargas!F$70+sobrestock_sustitutos!$F$66/12</f>
        <v>6.73546030447956</v>
      </c>
      <c r="F177" s="26" t="n">
        <f aca="false">datos_base!$G$17*parametros_recargas!G$70+sobrestock_sustitutos!$F$66/12</f>
        <v>7.51938401230981</v>
      </c>
      <c r="G177" s="26" t="n">
        <f aca="false">datos_base!$G$17*parametros_recargas!H$70+sobrestock_sustitutos!$F$66/12</f>
        <v>8.57703386456953</v>
      </c>
      <c r="H177" s="26" t="n">
        <f aca="false">datos_base!$G$17*parametros_recargas!I$70+sobrestock_sustitutos!$F$66/12</f>
        <v>8.63993358619939</v>
      </c>
      <c r="I177" s="26" t="n">
        <f aca="false">datos_base!$G$17*parametros_recargas!J$70+sobrestock_sustitutos!$F$66/12</f>
        <v>8.24674088187568</v>
      </c>
      <c r="J177" s="26" t="n">
        <f aca="false">datos_base!$G$17*parametros_recargas!K$70+sobrestock_sustitutos!$F$66/12</f>
        <v>7.03500816722406</v>
      </c>
      <c r="K177" s="26" t="n">
        <f aca="false">datos_base!$G$17*parametros_recargas!L$70+sobrestock_sustitutos!$F$66/12</f>
        <v>7.13252419135158</v>
      </c>
      <c r="L177" s="26" t="n">
        <f aca="false">datos_base!$G$17*parametros_recargas!M$70+sobrestock_sustitutos!$F$66/12</f>
        <v>7.52571689567529</v>
      </c>
      <c r="M177" s="26" t="n">
        <f aca="false">datos_base!$G$17*parametros_recargas!N$70+sobrestock_sustitutos!$F$66/12</f>
        <v>7.52571689567529</v>
      </c>
      <c r="N177" s="26" t="n">
        <f aca="false">datos_base!$G$17*parametros_recargas!O$70+sobrestock_sustitutos!$F$66/12</f>
        <v>7.46281717404543</v>
      </c>
      <c r="O177" s="26" t="n">
        <f aca="false">datos_base!$G$17*parametros_recargas!P$70+sobrestock_sustitutos!$F$66/12</f>
        <v>7.85600987836914</v>
      </c>
      <c r="P177" s="12" t="n">
        <f aca="false">SUM(D177:O177)</f>
        <v>90.9918061562543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6" t="n">
        <f aca="false">datos_base!$G$18*parametros_recargas!E$71+sobrestock_sustitutos!$F$67/12</f>
        <v>4.46247158220133</v>
      </c>
      <c r="E178" s="26" t="n">
        <f aca="false">datos_base!$G$18*parametros_recargas!F$71+sobrestock_sustitutos!$F$67/12</f>
        <v>4.46247158220133</v>
      </c>
      <c r="F178" s="26" t="n">
        <f aca="false">datos_base!$G$18*parametros_recargas!G$71+sobrestock_sustitutos!$F$67/12</f>
        <v>4.98514579088435</v>
      </c>
      <c r="G178" s="26" t="n">
        <f aca="false">datos_base!$G$18*parametros_recargas!H$71+sobrestock_sustitutos!$F$67/12</f>
        <v>5.69031003610686</v>
      </c>
      <c r="H178" s="26" t="n">
        <f aca="false">datos_base!$G$18*parametros_recargas!I$71+sobrestock_sustitutos!$F$67/12</f>
        <v>5.73221163982048</v>
      </c>
      <c r="I178" s="26" t="n">
        <f aca="false">datos_base!$G$18*parametros_recargas!J$71+sobrestock_sustitutos!$F$67/12</f>
        <v>5.47010716376676</v>
      </c>
      <c r="J178" s="26" t="n">
        <f aca="false">datos_base!$G$18*parametros_recargas!K$71+sobrestock_sustitutos!$F$67/12</f>
        <v>4.66228329321672</v>
      </c>
      <c r="K178" s="26" t="n">
        <f aca="false">datos_base!$G$18*parametros_recargas!L$71+sobrestock_sustitutos!$F$67/12</f>
        <v>4.72723008274364</v>
      </c>
      <c r="L178" s="26" t="n">
        <f aca="false">datos_base!$G$18*parametros_recargas!M$71+sobrestock_sustitutos!$F$67/12</f>
        <v>4.98933455879735</v>
      </c>
      <c r="M178" s="26" t="n">
        <f aca="false">datos_base!$G$18*parametros_recargas!N$71+sobrestock_sustitutos!$F$67/12</f>
        <v>4.98933455879735</v>
      </c>
      <c r="N178" s="26" t="n">
        <f aca="false">datos_base!$G$18*parametros_recargas!O$71+sobrestock_sustitutos!$F$67/12</f>
        <v>4.94743295508374</v>
      </c>
      <c r="O178" s="26" t="n">
        <f aca="false">datos_base!$G$18*parametros_recargas!P$71+sobrestock_sustitutos!$F$67/12</f>
        <v>5.20953743113746</v>
      </c>
      <c r="P178" s="12" t="n">
        <f aca="false">SUM(D178:O178)</f>
        <v>60.3278706747574</v>
      </c>
    </row>
    <row r="179" customFormat="false" ht="15" hidden="false" customHeight="false" outlineLevel="0" collapsed="false">
      <c r="A179" s="4" t="s">
        <v>385</v>
      </c>
      <c r="D179" s="12" t="n">
        <f aca="false">SUM(D162:D178)</f>
        <v>6229.49298124732</v>
      </c>
      <c r="E179" s="12" t="n">
        <f aca="false">SUM(E162:E178)</f>
        <v>5371.73673662244</v>
      </c>
      <c r="F179" s="12" t="n">
        <f aca="false">SUM(F162:F178)</f>
        <v>5077.87277302246</v>
      </c>
      <c r="G179" s="12" t="n">
        <f aca="false">SUM(G162:G178)</f>
        <v>5597.59482670945</v>
      </c>
      <c r="H179" s="12" t="n">
        <f aca="false">SUM(H162:H178)</f>
        <v>5643.45150588025</v>
      </c>
      <c r="I179" s="12" t="n">
        <f aca="false">SUM(I162:I178)</f>
        <v>5585.43516160451</v>
      </c>
      <c r="J179" s="12" t="n">
        <f aca="false">SUM(J162:J178)</f>
        <v>4963.61646342516</v>
      </c>
      <c r="K179" s="12" t="n">
        <f aca="false">SUM(K162:K178)</f>
        <v>5009.38321547467</v>
      </c>
      <c r="L179" s="12" t="n">
        <f aca="false">SUM(L162:L178)</f>
        <v>5058.50872971508</v>
      </c>
      <c r="M179" s="12" t="n">
        <f aca="false">SUM(M162:M178)</f>
        <v>5058.50872971508</v>
      </c>
      <c r="N179" s="12" t="n">
        <f aca="false">SUM(N162:N178)</f>
        <v>5870.40829516917</v>
      </c>
      <c r="O179" s="12" t="n">
        <f aca="false">SUM(O162:O178)</f>
        <v>6786.18088406978</v>
      </c>
      <c r="P179" s="12" t="n">
        <f aca="false">SUM(P162:P178)</f>
        <v>66252.1903026554</v>
      </c>
    </row>
    <row r="180" customFormat="false" ht="15" hidden="false" customHeight="false" outlineLevel="0" collapsed="false">
      <c r="A180" s="4" t="s">
        <v>386</v>
      </c>
    </row>
    <row r="181" customFormat="false" ht="15" hidden="false" customHeight="false" outlineLevel="0" collapsed="false">
      <c r="A181" s="5" t="s">
        <v>165</v>
      </c>
      <c r="D181" s="26" t="n">
        <f aca="false">SUMPRODUCT(($B$162:$B$178=$A181)*D$162:D$178*$C$162:$C$178)</f>
        <v>5931.30909712948</v>
      </c>
      <c r="E181" s="26" t="n">
        <f aca="false">SUMPRODUCT(($B$162:$B$178=$A181)*E$162:E$178*$C$162:$C$178)</f>
        <v>5073.5528525046</v>
      </c>
      <c r="F181" s="26" t="n">
        <f aca="false">SUMPRODUCT(($B$162:$B$178=$A181)*F$162:F$178*$C$162:$C$178)</f>
        <v>4684.60039764395</v>
      </c>
      <c r="G181" s="26" t="n">
        <f aca="false">SUMPRODUCT(($B$162:$B$178=$A181)*G$162:G$178*$C$162:$C$178)</f>
        <v>5125.84345171948</v>
      </c>
      <c r="H181" s="26" t="n">
        <f aca="false">SUMPRODUCT(($B$162:$B$178=$A181)*H$162:H$178*$C$162:$C$178)</f>
        <v>5165.3184299847</v>
      </c>
      <c r="I181" s="26" t="n">
        <f aca="false">SUMPRODUCT(($B$162:$B$178=$A181)*I$162:I$178*$C$162:$C$178)</f>
        <v>5110.98012432184</v>
      </c>
      <c r="J181" s="26" t="n">
        <f aca="false">SUMPRODUCT(($B$162:$B$178=$A181)*J$162:J$178*$C$162:$C$178)</f>
        <v>4583.47616957215</v>
      </c>
      <c r="K181" s="26" t="n">
        <f aca="false">SUMPRODUCT(($B$162:$B$178=$A181)*K$162:K$178*$C$162:$C$178)</f>
        <v>4627.31300715998</v>
      </c>
      <c r="L181" s="26" t="n">
        <f aca="false">SUMPRODUCT(($B$162:$B$178=$A181)*L$162:L$178*$C$162:$C$178)</f>
        <v>4674.70076912312</v>
      </c>
      <c r="M181" s="26" t="n">
        <f aca="false">SUMPRODUCT(($B$162:$B$178=$A181)*M$162:M$178*$C$162:$C$178)</f>
        <v>4674.70076912312</v>
      </c>
      <c r="N181" s="26" t="n">
        <f aca="false">SUMPRODUCT(($B$162:$B$178=$A181)*N$162:N$178*$C$162:$C$178)</f>
        <v>5492.98203548278</v>
      </c>
      <c r="O181" s="26" t="n">
        <f aca="false">SUMPRODUCT(($B$162:$B$178=$A181)*O$162:O$178*$C$162:$C$178)</f>
        <v>6405.07658577051</v>
      </c>
      <c r="P181" s="26" t="n">
        <f aca="false">SUMPRODUCT(($B$162:$B$178=$A181)*P$162:P$178*$C$162:$C$178)</f>
        <v>61549.8536895357</v>
      </c>
    </row>
    <row r="182" customFormat="false" ht="15" hidden="false" customHeight="false" outlineLevel="0" collapsed="false">
      <c r="A182" s="5" t="s">
        <v>166</v>
      </c>
      <c r="D182" s="26" t="n">
        <f aca="false">SUMPRODUCT(($B$162:$B$178=$A182)*D$162:D$178*$C$162:$C$178)</f>
        <v>7.09396220745989</v>
      </c>
      <c r="E182" s="26" t="n">
        <f aca="false">SUMPRODUCT(($B$162:$B$178=$A182)*E$162:E$178*$C$162:$C$178)</f>
        <v>7.09396220745989</v>
      </c>
      <c r="F182" s="26" t="n">
        <f aca="false">SUMPRODUCT(($B$162:$B$178=$A182)*F$162:F$178*$C$162:$C$178)</f>
        <v>7.09396220745989</v>
      </c>
      <c r="G182" s="26" t="n">
        <f aca="false">SUMPRODUCT(($B$162:$B$178=$A182)*G$162:G$178*$C$162:$C$178)</f>
        <v>7.09396220745989</v>
      </c>
      <c r="H182" s="26" t="n">
        <f aca="false">SUMPRODUCT(($B$162:$B$178=$A182)*H$162:H$178*$C$162:$C$178)</f>
        <v>7.09396220745989</v>
      </c>
      <c r="I182" s="26" t="n">
        <f aca="false">SUMPRODUCT(($B$162:$B$178=$A182)*I$162:I$178*$C$162:$C$178)</f>
        <v>7.09396220745989</v>
      </c>
      <c r="J182" s="26" t="n">
        <f aca="false">SUMPRODUCT(($B$162:$B$178=$A182)*J$162:J$178*$C$162:$C$178)</f>
        <v>7.09396220745989</v>
      </c>
      <c r="K182" s="26" t="n">
        <f aca="false">SUMPRODUCT(($B$162:$B$178=$A182)*K$162:K$178*$C$162:$C$178)</f>
        <v>7.09396220745989</v>
      </c>
      <c r="L182" s="26" t="n">
        <f aca="false">SUMPRODUCT(($B$162:$B$178=$A182)*L$162:L$178*$C$162:$C$178)</f>
        <v>7.09396220745989</v>
      </c>
      <c r="M182" s="26" t="n">
        <f aca="false">SUMPRODUCT(($B$162:$B$178=$A182)*M$162:M$178*$C$162:$C$178)</f>
        <v>7.09396220745989</v>
      </c>
      <c r="N182" s="26" t="n">
        <f aca="false">SUMPRODUCT(($B$162:$B$178=$A182)*N$162:N$178*$C$162:$C$178)</f>
        <v>7.09396220745989</v>
      </c>
      <c r="O182" s="26" t="n">
        <f aca="false">SUMPRODUCT(($B$162:$B$178=$A182)*O$162:O$178*$C$162:$C$178)</f>
        <v>7.09396220745989</v>
      </c>
      <c r="P182" s="26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5" t="s">
        <v>167</v>
      </c>
      <c r="D183" s="26" t="n">
        <f aca="false">SUMPRODUCT(($B$162:$B$178=$A183)*D$162:D$178*$C$162:$C$178)</f>
        <v>6.22673763529173</v>
      </c>
      <c r="E183" s="26" t="n">
        <f aca="false">SUMPRODUCT(($B$162:$B$178=$A183)*E$162:E$178*$C$162:$C$178)</f>
        <v>6.22673763529173</v>
      </c>
      <c r="F183" s="26" t="n">
        <f aca="false">SUMPRODUCT(($B$162:$B$178=$A183)*F$162:F$178*$C$162:$C$178)</f>
        <v>6.22673763529173</v>
      </c>
      <c r="G183" s="26" t="n">
        <f aca="false">SUMPRODUCT(($B$162:$B$178=$A183)*G$162:G$178*$C$162:$C$178)</f>
        <v>6.22673763529173</v>
      </c>
      <c r="H183" s="26" t="n">
        <f aca="false">SUMPRODUCT(($B$162:$B$178=$A183)*H$162:H$178*$C$162:$C$178)</f>
        <v>6.22673763529173</v>
      </c>
      <c r="I183" s="26" t="n">
        <f aca="false">SUMPRODUCT(($B$162:$B$178=$A183)*I$162:I$178*$C$162:$C$178)</f>
        <v>6.22673763529173</v>
      </c>
      <c r="J183" s="26" t="n">
        <f aca="false">SUMPRODUCT(($B$162:$B$178=$A183)*J$162:J$178*$C$162:$C$178)</f>
        <v>6.22673763529173</v>
      </c>
      <c r="K183" s="26" t="n">
        <f aca="false">SUMPRODUCT(($B$162:$B$178=$A183)*K$162:K$178*$C$162:$C$178)</f>
        <v>6.22673763529173</v>
      </c>
      <c r="L183" s="26" t="n">
        <f aca="false">SUMPRODUCT(($B$162:$B$178=$A183)*L$162:L$178*$C$162:$C$178)</f>
        <v>6.22673763529173</v>
      </c>
      <c r="M183" s="26" t="n">
        <f aca="false">SUMPRODUCT(($B$162:$B$178=$A183)*M$162:M$178*$C$162:$C$178)</f>
        <v>6.22673763529173</v>
      </c>
      <c r="N183" s="26" t="n">
        <f aca="false">SUMPRODUCT(($B$162:$B$178=$A183)*N$162:N$178*$C$162:$C$178)</f>
        <v>6.22673763529173</v>
      </c>
      <c r="O183" s="26" t="n">
        <f aca="false">SUMPRODUCT(($B$162:$B$178=$A183)*O$162:O$178*$C$162:$C$178)</f>
        <v>6.22673763529173</v>
      </c>
      <c r="P183" s="26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5" t="s">
        <v>168</v>
      </c>
      <c r="D184" s="26" t="n">
        <f aca="false">SUMPRODUCT(($B$162:$B$178=$A184)*D$162:D$178*$C$162:$C$178)</f>
        <v>104.90819687904</v>
      </c>
      <c r="E184" s="26" t="n">
        <f aca="false">SUMPRODUCT(($B$162:$B$178=$A184)*E$162:E$178*$C$162:$C$178)</f>
        <v>104.90819687904</v>
      </c>
      <c r="F184" s="26" t="n">
        <f aca="false">SUMPRODUCT(($B$162:$B$178=$A184)*F$162:F$178*$C$162:$C$178)</f>
        <v>129.256305695145</v>
      </c>
      <c r="G184" s="26" t="n">
        <f aca="false">SUMPRODUCT(($B$162:$B$178=$A184)*G$162:G$178*$C$162:$C$178)</f>
        <v>154.625353614072</v>
      </c>
      <c r="H184" s="26" t="n">
        <f aca="false">SUMPRODUCT(($B$162:$B$178=$A184)*H$162:H$178*$C$162:$C$178)</f>
        <v>155.962158966623</v>
      </c>
      <c r="I184" s="26" t="n">
        <f aca="false">SUMPRODUCT(($B$162:$B$178=$A184)*I$162:I$178*$C$162:$C$178)</f>
        <v>150.875351181446</v>
      </c>
      <c r="J184" s="26" t="n">
        <f aca="false">SUMPRODUCT(($B$162:$B$178=$A184)*J$162:J$178*$C$162:$C$178)</f>
        <v>122.158912656122</v>
      </c>
      <c r="K184" s="26" t="n">
        <f aca="false">SUMPRODUCT(($B$162:$B$178=$A184)*K$162:K$178*$C$162:$C$178)</f>
        <v>122.777239932714</v>
      </c>
      <c r="L184" s="26" t="n">
        <f aca="false">SUMPRODUCT(($B$162:$B$178=$A184)*L$162:L$178*$C$162:$C$178)</f>
        <v>127.518671836088</v>
      </c>
      <c r="M184" s="26" t="n">
        <f aca="false">SUMPRODUCT(($B$162:$B$178=$A184)*M$162:M$178*$C$162:$C$178)</f>
        <v>127.518671836088</v>
      </c>
      <c r="N184" s="26" t="n">
        <f aca="false">SUMPRODUCT(($B$162:$B$178=$A184)*N$162:N$178*$C$162:$C$178)</f>
        <v>126.181866483537</v>
      </c>
      <c r="O184" s="26" t="n">
        <f aca="false">SUMPRODUCT(($B$162:$B$178=$A184)*O$162:O$178*$C$162:$C$178)</f>
        <v>131.268674268714</v>
      </c>
      <c r="P184" s="26" t="n">
        <f aca="false">SUMPRODUCT(($B$162:$B$178=$A184)*P$162:P$178*$C$162:$C$178)</f>
        <v>1557.95960022863</v>
      </c>
    </row>
    <row r="185" customFormat="false" ht="15" hidden="false" customHeight="false" outlineLevel="0" collapsed="false">
      <c r="A185" s="5" t="s">
        <v>169</v>
      </c>
      <c r="D185" s="26" t="n">
        <f aca="false">SUMPRODUCT(($B$162:$B$178=$A185)*D$162:D$178*$C$162:$C$178)</f>
        <v>103.05059586072</v>
      </c>
      <c r="E185" s="26" t="n">
        <f aca="false">SUMPRODUCT(($B$162:$B$178=$A185)*E$162:E$178*$C$162:$C$178)</f>
        <v>103.05059586072</v>
      </c>
      <c r="F185" s="26" t="n">
        <f aca="false">SUMPRODUCT(($B$162:$B$178=$A185)*F$162:F$178*$C$162:$C$178)</f>
        <v>103.05059586072</v>
      </c>
      <c r="G185" s="26" t="n">
        <f aca="false">SUMPRODUCT(($B$162:$B$178=$A185)*G$162:G$178*$C$162:$C$178)</f>
        <v>103.05059586072</v>
      </c>
      <c r="H185" s="26" t="n">
        <f aca="false">SUMPRODUCT(($B$162:$B$178=$A185)*H$162:H$178*$C$162:$C$178)</f>
        <v>103.05059586072</v>
      </c>
      <c r="I185" s="26" t="n">
        <f aca="false">SUMPRODUCT(($B$162:$B$178=$A185)*I$162:I$178*$C$162:$C$178)</f>
        <v>103.05059586072</v>
      </c>
      <c r="J185" s="26" t="n">
        <f aca="false">SUMPRODUCT(($B$162:$B$178=$A185)*J$162:J$178*$C$162:$C$178)</f>
        <v>103.05059586072</v>
      </c>
      <c r="K185" s="26" t="n">
        <f aca="false">SUMPRODUCT(($B$162:$B$178=$A185)*K$162:K$178*$C$162:$C$178)</f>
        <v>103.05059586072</v>
      </c>
      <c r="L185" s="26" t="n">
        <f aca="false">SUMPRODUCT(($B$162:$B$178=$A185)*L$162:L$178*$C$162:$C$178)</f>
        <v>103.05059586072</v>
      </c>
      <c r="M185" s="26" t="n">
        <f aca="false">SUMPRODUCT(($B$162:$B$178=$A185)*M$162:M$178*$C$162:$C$178)</f>
        <v>103.05059586072</v>
      </c>
      <c r="N185" s="26" t="n">
        <f aca="false">SUMPRODUCT(($B$162:$B$178=$A185)*N$162:N$178*$C$162:$C$178)</f>
        <v>103.05059586072</v>
      </c>
      <c r="O185" s="26" t="n">
        <f aca="false">SUMPRODUCT(($B$162:$B$178=$A185)*O$162:O$178*$C$162:$C$178)</f>
        <v>103.05059586072</v>
      </c>
      <c r="P185" s="26" t="n">
        <f aca="false">SUMPRODUCT(($B$162:$B$178=$A185)*P$162:P$178*$C$162:$C$178)</f>
        <v>1236.60715032864</v>
      </c>
    </row>
    <row r="186" customFormat="false" ht="15" hidden="false" customHeight="false" outlineLevel="0" collapsed="false">
      <c r="A186" s="5" t="s">
        <v>170</v>
      </c>
      <c r="D186" s="26" t="n">
        <f aca="false">SUMPRODUCT(($B$162:$B$178=$A186)*D$162:D$178*$C$162:$C$178)</f>
        <v>52.7268651073281</v>
      </c>
      <c r="E186" s="26" t="n">
        <f aca="false">SUMPRODUCT(($B$162:$B$178=$A186)*E$162:E$178*$C$162:$C$178)</f>
        <v>52.7268651073281</v>
      </c>
      <c r="F186" s="26" t="n">
        <f aca="false">SUMPRODUCT(($B$162:$B$178=$A186)*F$162:F$178*$C$162:$C$178)</f>
        <v>63.6978760730128</v>
      </c>
      <c r="G186" s="26" t="n">
        <f aca="false">SUMPRODUCT(($B$162:$B$178=$A186)*G$162:G$178*$C$162:$C$178)</f>
        <v>71.2455145059579</v>
      </c>
      <c r="H186" s="26" t="n">
        <f aca="false">SUMPRODUCT(($B$162:$B$178=$A186)*H$162:H$178*$C$162:$C$178)</f>
        <v>73.754663739079</v>
      </c>
      <c r="I186" s="26" t="n">
        <f aca="false">SUMPRODUCT(($B$162:$B$178=$A186)*I$162:I$178*$C$162:$C$178)</f>
        <v>72.1427598675742</v>
      </c>
      <c r="J186" s="26" t="n">
        <f aca="false">SUMPRODUCT(($B$162:$B$178=$A186)*J$162:J$178*$C$162:$C$178)</f>
        <v>58.3137593828253</v>
      </c>
      <c r="K186" s="26" t="n">
        <f aca="false">SUMPRODUCT(($B$162:$B$178=$A186)*K$162:K$178*$C$162:$C$178)</f>
        <v>62.0689942635058</v>
      </c>
      <c r="L186" s="26" t="n">
        <f aca="false">SUMPRODUCT(($B$162:$B$178=$A186)*L$162:L$178*$C$162:$C$178)</f>
        <v>63.6808981350105</v>
      </c>
      <c r="M186" s="26" t="n">
        <f aca="false">SUMPRODUCT(($B$162:$B$178=$A186)*M$162:M$178*$C$162:$C$178)</f>
        <v>63.6808981350105</v>
      </c>
      <c r="N186" s="26" t="n">
        <f aca="false">SUMPRODUCT(($B$162:$B$178=$A186)*N$162:N$178*$C$162:$C$178)</f>
        <v>61.1717489018895</v>
      </c>
      <c r="O186" s="26" t="n">
        <f aca="false">SUMPRODUCT(($B$162:$B$178=$A186)*O$162:O$178*$C$162:$C$178)</f>
        <v>62.7836527733942</v>
      </c>
      <c r="P186" s="26" t="n">
        <f aca="false">SUMPRODUCT(($B$162:$B$178=$A186)*P$162:P$178*$C$162:$C$178)</f>
        <v>757.994495991916</v>
      </c>
    </row>
    <row r="187" customFormat="false" ht="15" hidden="false" customHeight="false" outlineLevel="0" collapsed="false">
      <c r="A187" s="5" t="s">
        <v>171</v>
      </c>
      <c r="D187" s="26" t="n">
        <f aca="false">SUMPRODUCT(($B$162:$B$178=$A187)*D$162:D$178*$C$162:$C$178)</f>
        <v>370.108681354113</v>
      </c>
      <c r="E187" s="26" t="n">
        <f aca="false">SUMPRODUCT(($B$162:$B$178=$A187)*E$162:E$178*$C$162:$C$178)</f>
        <v>370.108681354113</v>
      </c>
      <c r="F187" s="26" t="n">
        <f aca="false">SUMPRODUCT(($B$162:$B$178=$A187)*F$162:F$178*$C$162:$C$178)</f>
        <v>466.560208269193</v>
      </c>
      <c r="G187" s="26" t="n">
        <f aca="false">SUMPRODUCT(($B$162:$B$178=$A187)*G$162:G$178*$C$162:$C$178)</f>
        <v>559.369704530471</v>
      </c>
      <c r="H187" s="26" t="n">
        <f aca="false">SUMPRODUCT(($B$162:$B$178=$A187)*H$162:H$178*$C$162:$C$178)</f>
        <v>564.715516402771</v>
      </c>
      <c r="I187" s="26" t="n">
        <f aca="false">SUMPRODUCT(($B$162:$B$178=$A187)*I$162:I$178*$C$162:$C$178)</f>
        <v>551.833083677707</v>
      </c>
      <c r="J187" s="26" t="n">
        <f aca="false">SUMPRODUCT(($B$162:$B$178=$A187)*J$162:J$178*$C$162:$C$178)</f>
        <v>445.932458826142</v>
      </c>
      <c r="K187" s="26" t="n">
        <f aca="false">SUMPRODUCT(($B$162:$B$178=$A187)*K$162:K$178*$C$162:$C$178)</f>
        <v>447.844935909863</v>
      </c>
      <c r="L187" s="26" t="n">
        <f aca="false">SUMPRODUCT(($B$162:$B$178=$A187)*L$162:L$178*$C$162:$C$178)</f>
        <v>459.132458181129</v>
      </c>
      <c r="M187" s="26" t="n">
        <f aca="false">SUMPRODUCT(($B$162:$B$178=$A187)*M$162:M$178*$C$162:$C$178)</f>
        <v>459.132458181129</v>
      </c>
      <c r="N187" s="26" t="n">
        <f aca="false">SUMPRODUCT(($B$162:$B$178=$A187)*N$162:N$178*$C$162:$C$178)</f>
        <v>453.786646308829</v>
      </c>
      <c r="O187" s="26" t="n">
        <f aca="false">SUMPRODUCT(($B$162:$B$178=$A187)*O$162:O$178*$C$162:$C$178)</f>
        <v>466.669079033893</v>
      </c>
      <c r="P187" s="26" t="n">
        <f aca="false">SUMPRODUCT(($B$162:$B$178=$A187)*P$162:P$178*$C$162:$C$178)</f>
        <v>5615.19391202935</v>
      </c>
    </row>
    <row r="188" customFormat="false" ht="15" hidden="false" customHeight="false" outlineLevel="0" collapsed="false">
      <c r="A188" s="5" t="s">
        <v>172</v>
      </c>
      <c r="D188" s="26" t="n">
        <f aca="false">SUMPRODUCT(($B$162:$B$178=$A188)*D$162:D$178*$C$162:$C$178)</f>
        <v>20.0317061240232</v>
      </c>
      <c r="E188" s="26" t="n">
        <f aca="false">SUMPRODUCT(($B$162:$B$178=$A188)*E$162:E$178*$C$162:$C$178)</f>
        <v>20.0317061240232</v>
      </c>
      <c r="F188" s="26" t="n">
        <f aca="false">SUMPRODUCT(($B$162:$B$178=$A188)*F$162:F$178*$C$162:$C$178)</f>
        <v>18.3691621927284</v>
      </c>
      <c r="G188" s="26" t="n">
        <f aca="false">SUMPRODUCT(($B$162:$B$178=$A188)*G$162:G$178*$C$162:$C$178)</f>
        <v>18.3691621927284</v>
      </c>
      <c r="H188" s="26" t="n">
        <f aca="false">SUMPRODUCT(($B$162:$B$178=$A188)*H$162:H$178*$C$162:$C$178)</f>
        <v>18.3691621927284</v>
      </c>
      <c r="I188" s="26" t="n">
        <f aca="false">SUMPRODUCT(($B$162:$B$178=$A188)*I$162:I$178*$C$162:$C$178)</f>
        <v>16.7066182614336</v>
      </c>
      <c r="J188" s="26" t="n">
        <f aca="false">SUMPRODUCT(($B$162:$B$178=$A188)*J$162:J$178*$C$162:$C$178)</f>
        <v>16.7066182614336</v>
      </c>
      <c r="K188" s="26" t="n">
        <f aca="false">SUMPRODUCT(($B$162:$B$178=$A188)*K$162:K$178*$C$162:$C$178)</f>
        <v>16.7066182614336</v>
      </c>
      <c r="L188" s="26" t="n">
        <f aca="false">SUMPRODUCT(($B$162:$B$178=$A188)*L$162:L$178*$C$162:$C$178)</f>
        <v>18.3691621927284</v>
      </c>
      <c r="M188" s="26" t="n">
        <f aca="false">SUMPRODUCT(($B$162:$B$178=$A188)*M$162:M$178*$C$162:$C$178)</f>
        <v>18.3691621927284</v>
      </c>
      <c r="N188" s="26" t="n">
        <f aca="false">SUMPRODUCT(($B$162:$B$178=$A188)*N$162:N$178*$C$162:$C$178)</f>
        <v>18.3691621927284</v>
      </c>
      <c r="O188" s="26" t="n">
        <f aca="false">SUMPRODUCT(($B$162:$B$178=$A188)*O$162:O$178*$C$162:$C$178)</f>
        <v>20.0317061240232</v>
      </c>
      <c r="P188" s="26" t="n">
        <f aca="false">SUMPRODUCT(($B$162:$B$178=$A188)*P$162:P$178*$C$162:$C$178)</f>
        <v>220.42994631274</v>
      </c>
    </row>
    <row r="189" customFormat="false" ht="15" hidden="false" customHeight="false" outlineLevel="0" collapsed="false">
      <c r="A189" s="4" t="s">
        <v>387</v>
      </c>
      <c r="D189" s="27" t="n">
        <f aca="false">SUMPRODUCT(D$162:D$178*parametros_recargas!$D$55:$D$71)</f>
        <v>173.087983053813</v>
      </c>
      <c r="E189" s="27" t="n">
        <f aca="false">SUMPRODUCT(E$162:E$178*parametros_recargas!$D$55:$D$71)</f>
        <v>173.087983053813</v>
      </c>
      <c r="F189" s="27" t="n">
        <f aca="false">SUMPRODUCT(F$162:F$178*parametros_recargas!$D$55:$D$71)</f>
        <v>188.804544172122</v>
      </c>
      <c r="G189" s="27" t="n">
        <f aca="false">SUMPRODUCT(G$162:G$178*parametros_recargas!$D$55:$D$71)</f>
        <v>210.313350923442</v>
      </c>
      <c r="H189" s="27" t="n">
        <f aca="false">SUMPRODUCT(H$162:H$178*parametros_recargas!$D$55:$D$71)</f>
        <v>213.703383050367</v>
      </c>
      <c r="I189" s="27" t="n">
        <f aca="false">SUMPRODUCT(I$162:I$178*parametros_recargas!$D$55:$D$71)</f>
        <v>203.537701168801</v>
      </c>
      <c r="J189" s="27" t="n">
        <f aca="false">SUMPRODUCT(J$162:J$178*parametros_recargas!$D$55:$D$71)</f>
        <v>177.946949010414</v>
      </c>
      <c r="K189" s="27" t="n">
        <f aca="false">SUMPRODUCT(K$162:K$178*parametros_recargas!$D$55:$D$71)</f>
        <v>181.045490295852</v>
      </c>
      <c r="L189" s="27" t="n">
        <f aca="false">SUMPRODUCT(L$162:L$178*parametros_recargas!$D$55:$D$71)</f>
        <v>189.616261723619</v>
      </c>
      <c r="M189" s="27" t="n">
        <f aca="false">SUMPRODUCT(M$162:M$178*parametros_recargas!$D$55:$D$71)</f>
        <v>189.616261723619</v>
      </c>
      <c r="N189" s="27" t="n">
        <f aca="false">SUMPRODUCT(N$162:N$178*parametros_recargas!$D$55:$D$71)</f>
        <v>186.226229596694</v>
      </c>
      <c r="O189" s="27" t="n">
        <f aca="false">SUMPRODUCT(O$162:O$178*parametros_recargas!$D$55:$D$71)</f>
        <v>196.39191147826</v>
      </c>
      <c r="P189" s="27" t="n">
        <f aca="false">SUMPRODUCT(P$162:P$178*parametros_recargas!$D$55:$D$71)</f>
        <v>2283.37804925082</v>
      </c>
    </row>
    <row r="190" customFormat="false" ht="15" hidden="false" customHeight="false" outlineLevel="0" collapsed="false">
      <c r="A190" s="4" t="s">
        <v>388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0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0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0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0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0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0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0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0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0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0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0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0</v>
      </c>
      <c r="P190" s="12" t="n">
        <f aca="false">SUM(D190:O190)</f>
        <v>0</v>
      </c>
    </row>
    <row r="193" customFormat="false" ht="15" hidden="false" customHeight="false" outlineLevel="0" collapsed="false">
      <c r="A193" s="28" t="n">
        <v>2032</v>
      </c>
      <c r="B193" s="3" t="s">
        <v>383</v>
      </c>
      <c r="C193" s="3" t="s">
        <v>384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6" t="n">
        <f aca="false">datos_base!$H$2*parametros_recargas!E$55+sobrestock_sustitutos!$G$51/12</f>
        <v>5101.15776216421</v>
      </c>
      <c r="E194" s="26" t="n">
        <f aca="false">datos_base!$H$2*parametros_recargas!F$55+sobrestock_sustitutos!$G$51/12</f>
        <v>4062.75458201166</v>
      </c>
      <c r="F194" s="26" t="n">
        <f aca="false">datos_base!$H$2*parametros_recargas!G$55+sobrestock_sustitutos!$G$51/12</f>
        <v>3026.12247711223</v>
      </c>
      <c r="G194" s="26" t="n">
        <f aca="false">datos_base!$H$2*parametros_recargas!H$55+sobrestock_sustitutos!$G$51/12</f>
        <v>3026.12247711223</v>
      </c>
      <c r="H194" s="26" t="n">
        <f aca="false">datos_base!$H$2*parametros_recargas!I$55+sobrestock_sustitutos!$G$51/12</f>
        <v>3027.89355236534</v>
      </c>
      <c r="I194" s="26" t="n">
        <f aca="false">datos_base!$H$2*parametros_recargas!J$55+sobrestock_sustitutos!$G$51/12</f>
        <v>3027.89355236534</v>
      </c>
      <c r="J194" s="26" t="n">
        <f aca="false">datos_base!$H$2*parametros_recargas!K$55+sobrestock_sustitutos!$G$51/12</f>
        <v>3025.00857864947</v>
      </c>
      <c r="K194" s="26" t="n">
        <f aca="false">datos_base!$H$2*parametros_recargas!L$55+sobrestock_sustitutos!$G$51/12</f>
        <v>3027.89355236534</v>
      </c>
      <c r="L194" s="26" t="n">
        <f aca="false">datos_base!$H$2*parametros_recargas!M$55+sobrestock_sustitutos!$G$51/12</f>
        <v>3027.56496397016</v>
      </c>
      <c r="M194" s="26" t="n">
        <f aca="false">datos_base!$H$2*parametros_recargas!N$55+sobrestock_sustitutos!$G$51/12</f>
        <v>3027.56496397016</v>
      </c>
      <c r="N194" s="26" t="n">
        <f aca="false">datos_base!$H$2*parametros_recargas!O$55+sobrestock_sustitutos!$G$51/12</f>
        <v>4064.1970688696</v>
      </c>
      <c r="O194" s="26" t="n">
        <f aca="false">datos_base!$H$2*parametros_recargas!P$55+sobrestock_sustitutos!$G$51/12</f>
        <v>5102.60024902215</v>
      </c>
      <c r="P194" s="12" t="n">
        <f aca="false">SUM(D194:O194)</f>
        <v>42546.7737799779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6" t="n">
        <f aca="false">datos_base!$H$3*parametros_recargas!E$56+sobrestock_sustitutos!$G$52/12</f>
        <v>228.701890713387</v>
      </c>
      <c r="E195" s="26" t="n">
        <f aca="false">datos_base!$H$3*parametros_recargas!F$56+sobrestock_sustitutos!$G$52/12</f>
        <v>228.701890713387</v>
      </c>
      <c r="F195" s="26" t="n">
        <f aca="false">datos_base!$H$3*parametros_recargas!G$56+sobrestock_sustitutos!$G$52/12</f>
        <v>309.225691279428</v>
      </c>
      <c r="G195" s="26" t="n">
        <f aca="false">datos_base!$H$3*parametros_recargas!H$56+sobrestock_sustitutos!$G$52/12</f>
        <v>356.098696829144</v>
      </c>
      <c r="H195" s="26" t="n">
        <f aca="false">datos_base!$H$3*parametros_recargas!I$56+sobrestock_sustitutos!$G$52/12</f>
        <v>385.528481281995</v>
      </c>
      <c r="I195" s="26" t="n">
        <f aca="false">datos_base!$H$3*parametros_recargas!J$56+sobrestock_sustitutos!$G$52/12</f>
        <v>380.859789882588</v>
      </c>
      <c r="J195" s="26" t="n">
        <f aca="false">datos_base!$H$3*parametros_recargas!K$56+sobrestock_sustitutos!$G$52/12</f>
        <v>279.170894262833</v>
      </c>
      <c r="K195" s="26" t="n">
        <f aca="false">datos_base!$H$3*parametros_recargas!L$56+sobrestock_sustitutos!$G$52/12</f>
        <v>325.097082369991</v>
      </c>
      <c r="L195" s="26" t="n">
        <f aca="false">datos_base!$H$3*parametros_recargas!M$56+sobrestock_sustitutos!$G$52/12</f>
        <v>325.521508860846</v>
      </c>
      <c r="M195" s="26" t="n">
        <f aca="false">datos_base!$H$3*parametros_recargas!N$56+sobrestock_sustitutos!$G$52/12</f>
        <v>325.521508860846</v>
      </c>
      <c r="N195" s="26" t="n">
        <f aca="false">datos_base!$H$3*parametros_recargas!O$56+sobrestock_sustitutos!$G$52/12</f>
        <v>296.091724407994</v>
      </c>
      <c r="O195" s="26" t="n">
        <f aca="false">datos_base!$H$3*parametros_recargas!P$56+sobrestock_sustitutos!$G$52/12</f>
        <v>300.760415807402</v>
      </c>
      <c r="P195" s="12" t="n">
        <f aca="false">SUM(D195:O195)</f>
        <v>3741.27957526984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6" t="n">
        <f aca="false">datos_base!$H$4*parametros_recargas!E$57+sobrestock_sustitutos!$G$53/12</f>
        <v>1544.16305155018</v>
      </c>
      <c r="E196" s="26" t="n">
        <f aca="false">datos_base!$H$4*parametros_recargas!F$57+sobrestock_sustitutos!$G$53/12</f>
        <v>1505.21783930576</v>
      </c>
      <c r="F196" s="26" t="n">
        <f aca="false">datos_base!$H$4*parametros_recargas!G$57+sobrestock_sustitutos!$G$53/12</f>
        <v>1883.31655926915</v>
      </c>
      <c r="G196" s="26" t="n">
        <f aca="false">datos_base!$H$4*parametros_recargas!H$57+sobrestock_sustitutos!$G$53/12</f>
        <v>2285.41794934236</v>
      </c>
      <c r="H196" s="26" t="n">
        <f aca="false">datos_base!$H$4*parametros_recargas!I$57+sobrestock_sustitutos!$G$53/12</f>
        <v>2296.85143067979</v>
      </c>
      <c r="I196" s="26" t="n">
        <f aca="false">datos_base!$H$4*parametros_recargas!J$57+sobrestock_sustitutos!$G$53/12</f>
        <v>2264.73061178559</v>
      </c>
      <c r="J196" s="26" t="n">
        <f aca="false">datos_base!$H$4*parametros_recargas!K$57+sobrestock_sustitutos!$G$53/12</f>
        <v>1829.86667342271</v>
      </c>
      <c r="K196" s="26" t="n">
        <f aca="false">datos_base!$H$4*parametros_recargas!L$57+sobrestock_sustitutos!$G$53/12</f>
        <v>1826.99934202103</v>
      </c>
      <c r="L196" s="26" t="n">
        <f aca="false">datos_base!$H$4*parametros_recargas!M$57+sobrestock_sustitutos!$G$53/12</f>
        <v>1855.16048379979</v>
      </c>
      <c r="M196" s="26" t="n">
        <f aca="false">datos_base!$H$4*parametros_recargas!N$57+sobrestock_sustitutos!$G$53/12</f>
        <v>1855.16048379979</v>
      </c>
      <c r="N196" s="26" t="n">
        <f aca="false">datos_base!$H$4*parametros_recargas!O$57+sobrestock_sustitutos!$G$53/12</f>
        <v>1882.67221470677</v>
      </c>
      <c r="O196" s="26" t="n">
        <f aca="false">datos_base!$H$4*parametros_recargas!P$57+sobrestock_sustitutos!$G$53/12</f>
        <v>1953.73824584538</v>
      </c>
      <c r="P196" s="12" t="n">
        <f aca="false">SUM(D196:O196)</f>
        <v>22983.2948855283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6" t="n">
        <f aca="false">datos_base!$H$5*parametros_recargas!E$58+sobrestock_sustitutos!$G$54/12</f>
        <v>89.8495764080864</v>
      </c>
      <c r="E197" s="26" t="n">
        <f aca="false">datos_base!$H$5*parametros_recargas!F$58+sobrestock_sustitutos!$G$54/12</f>
        <v>89.8495764080864</v>
      </c>
      <c r="F197" s="26" t="n">
        <f aca="false">datos_base!$H$5*parametros_recargas!G$58+sobrestock_sustitutos!$G$54/12</f>
        <v>113.778394128191</v>
      </c>
      <c r="G197" s="26" t="n">
        <f aca="false">datos_base!$H$5*parametros_recargas!H$58+sobrestock_sustitutos!$G$54/12</f>
        <v>136.400158887594</v>
      </c>
      <c r="H197" s="26" t="n">
        <f aca="false">datos_base!$H$5*parametros_recargas!I$58+sobrestock_sustitutos!$G$54/12</f>
        <v>138.164461876079</v>
      </c>
      <c r="I197" s="26" t="n">
        <f aca="false">datos_base!$H$5*parametros_recargas!J$58+sobrestock_sustitutos!$G$54/12</f>
        <v>133.940701101511</v>
      </c>
      <c r="J197" s="26" t="n">
        <f aca="false">datos_base!$H$5*parametros_recargas!K$58+sobrestock_sustitutos!$G$54/12</f>
        <v>105.907074991745</v>
      </c>
      <c r="K197" s="26" t="n">
        <f aca="false">datos_base!$H$5*parametros_recargas!L$58+sobrestock_sustitutos!$G$54/12</f>
        <v>107.552425595324</v>
      </c>
      <c r="L197" s="26" t="n">
        <f aca="false">datos_base!$H$5*parametros_recargas!M$58+sobrestock_sustitutos!$G$54/12</f>
        <v>111.776186369892</v>
      </c>
      <c r="M197" s="26" t="n">
        <f aca="false">datos_base!$H$5*parametros_recargas!N$58+sobrestock_sustitutos!$G$54/12</f>
        <v>111.776186369892</v>
      </c>
      <c r="N197" s="26" t="n">
        <f aca="false">datos_base!$H$5*parametros_recargas!O$58+sobrestock_sustitutos!$G$54/12</f>
        <v>110.011883381407</v>
      </c>
      <c r="O197" s="26" t="n">
        <f aca="false">datos_base!$H$5*parametros_recargas!P$58+sobrestock_sustitutos!$G$54/12</f>
        <v>114.235644155975</v>
      </c>
      <c r="P197" s="12" t="n">
        <f aca="false">SUM(D197:O197)</f>
        <v>1363.24226967378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6" t="n">
        <f aca="false">datos_base!$H$6*parametros_recargas!E$59+sobrestock_sustitutos!$G$55/12</f>
        <v>128.68897190787</v>
      </c>
      <c r="E198" s="26" t="n">
        <f aca="false">datos_base!$H$6*parametros_recargas!F$59+sobrestock_sustitutos!$G$55/12</f>
        <v>128.68897190787</v>
      </c>
      <c r="F198" s="26" t="n">
        <f aca="false">datos_base!$H$6*parametros_recargas!G$59+sobrestock_sustitutos!$G$55/12</f>
        <v>158.527534445063</v>
      </c>
      <c r="G198" s="26" t="n">
        <f aca="false">datos_base!$H$6*parametros_recargas!H$59+sobrestock_sustitutos!$G$55/12</f>
        <v>189.617255973546</v>
      </c>
      <c r="H198" s="26" t="n">
        <f aca="false">datos_base!$H$6*parametros_recargas!I$59+sobrestock_sustitutos!$G$55/12</f>
        <v>191.255508472474</v>
      </c>
      <c r="I198" s="26" t="n">
        <f aca="false">datos_base!$H$6*parametros_recargas!J$59+sobrestock_sustitutos!$G$55/12</f>
        <v>185.021634894896</v>
      </c>
      <c r="J198" s="26" t="n">
        <f aca="false">datos_base!$H$6*parametros_recargas!K$59+sobrestock_sustitutos!$G$55/12</f>
        <v>149.82969233973</v>
      </c>
      <c r="K198" s="26" t="n">
        <f aca="false">datos_base!$H$6*parametros_recargas!L$59+sobrestock_sustitutos!$G$55/12</f>
        <v>150.587451279054</v>
      </c>
      <c r="L198" s="26" t="n">
        <f aca="false">datos_base!$H$6*parametros_recargas!M$59+sobrestock_sustitutos!$G$55/12</f>
        <v>156.398067349206</v>
      </c>
      <c r="M198" s="26" t="n">
        <f aca="false">datos_base!$H$6*parametros_recargas!N$59+sobrestock_sustitutos!$G$55/12</f>
        <v>156.398067349206</v>
      </c>
      <c r="N198" s="26" t="n">
        <f aca="false">datos_base!$H$6*parametros_recargas!O$59+sobrestock_sustitutos!$G$55/12</f>
        <v>154.759814850278</v>
      </c>
      <c r="O198" s="26" t="n">
        <f aca="false">datos_base!$H$6*parametros_recargas!P$59+sobrestock_sustitutos!$G$55/12</f>
        <v>160.993688427856</v>
      </c>
      <c r="P198" s="12" t="n">
        <f aca="false">SUM(D198:O198)</f>
        <v>1910.76665919705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6" t="n">
        <f aca="false">datos_base!$H$7*parametros_recargas!E$60+sobrestock_sustitutos!$G$56/12</f>
        <v>29.0354971683448</v>
      </c>
      <c r="E199" s="26" t="n">
        <f aca="false">datos_base!$H$7*parametros_recargas!F$60+sobrestock_sustitutos!$G$56/12</f>
        <v>29.0354971683448</v>
      </c>
      <c r="F199" s="26" t="n">
        <f aca="false">datos_base!$H$7*parametros_recargas!G$60+sobrestock_sustitutos!$G$56/12</f>
        <v>29.0354971683448</v>
      </c>
      <c r="G199" s="26" t="n">
        <f aca="false">datos_base!$H$7*parametros_recargas!H$60+sobrestock_sustitutos!$G$56/12</f>
        <v>29.0354971683448</v>
      </c>
      <c r="H199" s="26" t="n">
        <f aca="false">datos_base!$H$7*parametros_recargas!I$60+sobrestock_sustitutos!$G$56/12</f>
        <v>29.0354971683448</v>
      </c>
      <c r="I199" s="26" t="n">
        <f aca="false">datos_base!$H$7*parametros_recargas!J$60+sobrestock_sustitutos!$G$56/12</f>
        <v>29.0354971683448</v>
      </c>
      <c r="J199" s="26" t="n">
        <f aca="false">datos_base!$H$7*parametros_recargas!K$60+sobrestock_sustitutos!$G$56/12</f>
        <v>29.0354971683448</v>
      </c>
      <c r="K199" s="26" t="n">
        <f aca="false">datos_base!$H$7*parametros_recargas!L$60+sobrestock_sustitutos!$G$56/12</f>
        <v>29.0354971683448</v>
      </c>
      <c r="L199" s="26" t="n">
        <f aca="false">datos_base!$H$7*parametros_recargas!M$60+sobrestock_sustitutos!$G$56/12</f>
        <v>29.0354971683448</v>
      </c>
      <c r="M199" s="26" t="n">
        <f aca="false">datos_base!$H$7*parametros_recargas!N$60+sobrestock_sustitutos!$G$56/12</f>
        <v>29.0354971683448</v>
      </c>
      <c r="N199" s="26" t="n">
        <f aca="false">datos_base!$H$7*parametros_recargas!O$60+sobrestock_sustitutos!$G$56/12</f>
        <v>29.0354971683448</v>
      </c>
      <c r="O199" s="26" t="n">
        <f aca="false">datos_base!$H$7*parametros_recargas!P$60+sobrestock_sustitutos!$G$56/12</f>
        <v>29.0354971683448</v>
      </c>
      <c r="P199" s="12" t="n">
        <f aca="false">SUM(D199:O199)</f>
        <v>348.425966020138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6" t="n">
        <f aca="false">datos_base!$H$8*parametros_recargas!E$61+sobrestock_sustitutos!$G$57/12</f>
        <v>15.2766369076494</v>
      </c>
      <c r="E200" s="26" t="n">
        <f aca="false">datos_base!$H$8*parametros_recargas!F$61+sobrestock_sustitutos!$G$57/12</f>
        <v>15.2766369076494</v>
      </c>
      <c r="F200" s="26" t="n">
        <f aca="false">datos_base!$H$8*parametros_recargas!G$61+sobrestock_sustitutos!$G$57/12</f>
        <v>15.2766369076494</v>
      </c>
      <c r="G200" s="26" t="n">
        <f aca="false">datos_base!$H$8*parametros_recargas!H$61+sobrestock_sustitutos!$G$57/12</f>
        <v>15.2766369076494</v>
      </c>
      <c r="H200" s="26" t="n">
        <f aca="false">datos_base!$H$8*parametros_recargas!I$61+sobrestock_sustitutos!$G$57/12</f>
        <v>15.2766369076494</v>
      </c>
      <c r="I200" s="26" t="n">
        <f aca="false">datos_base!$H$8*parametros_recargas!J$61+sobrestock_sustitutos!$G$57/12</f>
        <v>15.2766369076494</v>
      </c>
      <c r="J200" s="26" t="n">
        <f aca="false">datos_base!$H$8*parametros_recargas!K$61+sobrestock_sustitutos!$G$57/12</f>
        <v>15.2766369076494</v>
      </c>
      <c r="K200" s="26" t="n">
        <f aca="false">datos_base!$H$8*parametros_recargas!L$61+sobrestock_sustitutos!$G$57/12</f>
        <v>15.2766369076494</v>
      </c>
      <c r="L200" s="26" t="n">
        <f aca="false">datos_base!$H$8*parametros_recargas!M$61+sobrestock_sustitutos!$G$57/12</f>
        <v>15.2766369076494</v>
      </c>
      <c r="M200" s="26" t="n">
        <f aca="false">datos_base!$H$8*parametros_recargas!N$61+sobrestock_sustitutos!$G$57/12</f>
        <v>15.2766369076494</v>
      </c>
      <c r="N200" s="26" t="n">
        <f aca="false">datos_base!$H$8*parametros_recargas!O$61+sobrestock_sustitutos!$G$57/12</f>
        <v>15.2766369076494</v>
      </c>
      <c r="O200" s="26" t="n">
        <f aca="false">datos_base!$H$8*parametros_recargas!P$61+sobrestock_sustitutos!$G$57/12</f>
        <v>15.2766369076494</v>
      </c>
      <c r="P200" s="12" t="n">
        <f aca="false">SUM(D200:O200)</f>
        <v>183.319642891793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6" t="n">
        <f aca="false">datos_base!$H$9*parametros_recargas!E$62+sobrestock_sustitutos!$G$58/12</f>
        <v>9.02619619555095</v>
      </c>
      <c r="E201" s="26" t="n">
        <f aca="false">datos_base!$H$9*parametros_recargas!F$62+sobrestock_sustitutos!$G$58/12</f>
        <v>9.02619619555095</v>
      </c>
      <c r="F201" s="26" t="n">
        <f aca="false">datos_base!$H$9*parametros_recargas!G$62+sobrestock_sustitutos!$G$58/12</f>
        <v>9.02619619555095</v>
      </c>
      <c r="G201" s="26" t="n">
        <f aca="false">datos_base!$H$9*parametros_recargas!H$62+sobrestock_sustitutos!$G$58/12</f>
        <v>9.02619619555095</v>
      </c>
      <c r="H201" s="26" t="n">
        <f aca="false">datos_base!$H$9*parametros_recargas!I$62+sobrestock_sustitutos!$G$58/12</f>
        <v>9.02619619555095</v>
      </c>
      <c r="I201" s="26" t="n">
        <f aca="false">datos_base!$H$9*parametros_recargas!J$62+sobrestock_sustitutos!$G$58/12</f>
        <v>9.02619619555095</v>
      </c>
      <c r="J201" s="26" t="n">
        <f aca="false">datos_base!$H$9*parametros_recargas!K$62+sobrestock_sustitutos!$G$58/12</f>
        <v>9.02619619555095</v>
      </c>
      <c r="K201" s="26" t="n">
        <f aca="false">datos_base!$H$9*parametros_recargas!L$62+sobrestock_sustitutos!$G$58/12</f>
        <v>9.02619619555095</v>
      </c>
      <c r="L201" s="26" t="n">
        <f aca="false">datos_base!$H$9*parametros_recargas!M$62+sobrestock_sustitutos!$G$58/12</f>
        <v>9.02619619555095</v>
      </c>
      <c r="M201" s="26" t="n">
        <f aca="false">datos_base!$H$9*parametros_recargas!N$62+sobrestock_sustitutos!$G$58/12</f>
        <v>9.02619619555095</v>
      </c>
      <c r="N201" s="26" t="n">
        <f aca="false">datos_base!$H$9*parametros_recargas!O$62+sobrestock_sustitutos!$G$58/12</f>
        <v>9.02619619555095</v>
      </c>
      <c r="O201" s="26" t="n">
        <f aca="false">datos_base!$H$9*parametros_recargas!P$62+sobrestock_sustitutos!$G$58/12</f>
        <v>9.02619619555095</v>
      </c>
      <c r="P201" s="12" t="n">
        <f aca="false">SUM(D201:O201)</f>
        <v>108.314354346611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6" t="n">
        <f aca="false">datos_base!$H$10*parametros_recargas!E$63+sobrestock_sustitutos!$G$59/12</f>
        <v>64.952697343665</v>
      </c>
      <c r="E202" s="26" t="n">
        <f aca="false">datos_base!$H$10*parametros_recargas!F$63+sobrestock_sustitutos!$G$59/12</f>
        <v>64.952697343665</v>
      </c>
      <c r="F202" s="26" t="n">
        <f aca="false">datos_base!$H$10*parametros_recargas!G$63+sobrestock_sustitutos!$G$59/12</f>
        <v>78.4515057537848</v>
      </c>
      <c r="G202" s="26" t="n">
        <f aca="false">datos_base!$H$10*parametros_recargas!H$63+sobrestock_sustitutos!$G$59/12</f>
        <v>87.7381727231149</v>
      </c>
      <c r="H202" s="26" t="n">
        <f aca="false">datos_base!$H$10*parametros_recargas!I$63+sobrestock_sustitutos!$G$59/12</f>
        <v>90.8254474397514</v>
      </c>
      <c r="I202" s="26" t="n">
        <f aca="false">datos_base!$H$10*parametros_recargas!J$63+sobrestock_sustitutos!$G$59/12</f>
        <v>88.8421496739365</v>
      </c>
      <c r="J202" s="26" t="n">
        <f aca="false">datos_base!$H$10*parametros_recargas!K$63+sobrestock_sustitutos!$G$59/12</f>
        <v>71.8268510263494</v>
      </c>
      <c r="K202" s="26" t="n">
        <f aca="false">datos_base!$H$10*parametros_recargas!L$63+sobrestock_sustitutos!$G$59/12</f>
        <v>76.4473182146383</v>
      </c>
      <c r="L202" s="26" t="n">
        <f aca="false">datos_base!$H$10*parametros_recargas!M$63+sobrestock_sustitutos!$G$59/12</f>
        <v>78.4306159804532</v>
      </c>
      <c r="M202" s="26" t="n">
        <f aca="false">datos_base!$H$10*parametros_recargas!N$63+sobrestock_sustitutos!$G$59/12</f>
        <v>78.4306159804532</v>
      </c>
      <c r="N202" s="26" t="n">
        <f aca="false">datos_base!$H$10*parametros_recargas!O$63+sobrestock_sustitutos!$G$59/12</f>
        <v>75.3433412638167</v>
      </c>
      <c r="O202" s="26" t="n">
        <f aca="false">datos_base!$H$10*parametros_recargas!P$63+sobrestock_sustitutos!$G$59/12</f>
        <v>77.3266390296316</v>
      </c>
      <c r="P202" s="12" t="n">
        <f aca="false">SUM(D202:O202)</f>
        <v>933.56805177326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6" t="n">
        <f aca="false">datos_base!$H$11*parametros_recargas!E$64+sobrestock_sustitutos!$G$60/12</f>
        <v>324.718777153732</v>
      </c>
      <c r="E203" s="26" t="n">
        <f aca="false">datos_base!$H$11*parametros_recargas!F$64+sobrestock_sustitutos!$G$60/12</f>
        <v>324.718777153732</v>
      </c>
      <c r="F203" s="26" t="n">
        <f aca="false">datos_base!$H$11*parametros_recargas!G$64+sobrestock_sustitutos!$G$60/12</f>
        <v>431.415553850514</v>
      </c>
      <c r="G203" s="26" t="n">
        <f aca="false">datos_base!$H$11*parametros_recargas!H$64+sobrestock_sustitutos!$G$60/12</f>
        <v>529.366316680771</v>
      </c>
      <c r="H203" s="26" t="n">
        <f aca="false">datos_base!$H$11*parametros_recargas!I$64+sobrestock_sustitutos!$G$60/12</f>
        <v>532.398421085022</v>
      </c>
      <c r="I203" s="26" t="n">
        <f aca="false">datos_base!$H$11*parametros_recargas!J$64+sobrestock_sustitutos!$G$60/12</f>
        <v>525.070639427053</v>
      </c>
      <c r="J203" s="26" t="n">
        <f aca="false">datos_base!$H$11*parametros_recargas!K$64+sobrestock_sustitutos!$G$60/12</f>
        <v>414.534822228171</v>
      </c>
      <c r="K203" s="26" t="n">
        <f aca="false">datos_base!$H$11*parametros_recargas!L$64+sobrestock_sustitutos!$G$60/12</f>
        <v>414.078185476552</v>
      </c>
      <c r="L203" s="26" t="n">
        <f aca="false">datos_base!$H$11*parametros_recargas!M$64+sobrestock_sustitutos!$G$60/12</f>
        <v>421.405967134521</v>
      </c>
      <c r="M203" s="26" t="n">
        <f aca="false">datos_base!$H$11*parametros_recargas!N$64+sobrestock_sustitutos!$G$60/12</f>
        <v>421.405967134521</v>
      </c>
      <c r="N203" s="26" t="n">
        <f aca="false">datos_base!$H$11*parametros_recargas!O$64+sobrestock_sustitutos!$G$60/12</f>
        <v>418.37386273027</v>
      </c>
      <c r="O203" s="26" t="n">
        <f aca="false">datos_base!$H$11*parametros_recargas!P$64+sobrestock_sustitutos!$G$60/12</f>
        <v>425.70164438824</v>
      </c>
      <c r="P203" s="12" t="n">
        <f aca="false">SUM(D203:O203)</f>
        <v>5183.1889344431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6" t="n">
        <f aca="false">datos_base!$H$12*parametros_recargas!E$65+sobrestock_sustitutos!$G$61/12</f>
        <v>129.966478065182</v>
      </c>
      <c r="E204" s="26" t="n">
        <f aca="false">datos_base!$H$12*parametros_recargas!F$65+sobrestock_sustitutos!$G$61/12</f>
        <v>129.966478065182</v>
      </c>
      <c r="F204" s="26" t="n">
        <f aca="false">datos_base!$H$12*parametros_recargas!G$65+sobrestock_sustitutos!$G$61/12</f>
        <v>141.348554841691</v>
      </c>
      <c r="G204" s="26" t="n">
        <f aca="false">datos_base!$H$12*parametros_recargas!H$65+sobrestock_sustitutos!$G$61/12</f>
        <v>157.082330740433</v>
      </c>
      <c r="H204" s="26" t="n">
        <f aca="false">datos_base!$H$12*parametros_recargas!I$65+sobrestock_sustitutos!$G$61/12</f>
        <v>160.634050431</v>
      </c>
      <c r="I204" s="26" t="n">
        <f aca="false">datos_base!$H$12*parametros_recargas!J$65+sobrestock_sustitutos!$G$61/12</f>
        <v>152.096301492962</v>
      </c>
      <c r="J204" s="26" t="n">
        <f aca="false">datos_base!$H$12*parametros_recargas!K$65+sobrestock_sustitutos!$G$61/12</f>
        <v>132.895146556275</v>
      </c>
      <c r="K204" s="26" t="n">
        <f aca="false">datos_base!$H$12*parametros_recargas!L$65+sobrestock_sustitutos!$G$61/12</f>
        <v>135.728195468982</v>
      </c>
      <c r="L204" s="26" t="n">
        <f aca="false">datos_base!$H$12*parametros_recargas!M$65+sobrestock_sustitutos!$G$61/12</f>
        <v>142.289331704116</v>
      </c>
      <c r="M204" s="26" t="n">
        <f aca="false">datos_base!$H$12*parametros_recargas!N$65+sobrestock_sustitutos!$G$61/12</f>
        <v>142.289331704116</v>
      </c>
      <c r="N204" s="26" t="n">
        <f aca="false">datos_base!$H$12*parametros_recargas!O$65+sobrestock_sustitutos!$G$61/12</f>
        <v>138.737612013549</v>
      </c>
      <c r="O204" s="26" t="n">
        <f aca="false">datos_base!$H$12*parametros_recargas!P$65+sobrestock_sustitutos!$G$61/12</f>
        <v>147.275360951587</v>
      </c>
      <c r="P204" s="12" t="n">
        <f aca="false">SUM(D204:O204)</f>
        <v>1710.30917203508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6" t="n">
        <f aca="false">datos_base!$H$13*parametros_recargas!E$66+sobrestock_sustitutos!$G$62/12</f>
        <v>25.1107318024488</v>
      </c>
      <c r="E205" s="26" t="n">
        <f aca="false">datos_base!$H$13*parametros_recargas!F$66+sobrestock_sustitutos!$G$62/12</f>
        <v>25.1107318024488</v>
      </c>
      <c r="F205" s="26" t="n">
        <f aca="false">datos_base!$H$13*parametros_recargas!G$66+sobrestock_sustitutos!$G$62/12</f>
        <v>23.0283273222774</v>
      </c>
      <c r="G205" s="26" t="n">
        <f aca="false">datos_base!$H$13*parametros_recargas!H$66+sobrestock_sustitutos!$G$62/12</f>
        <v>23.0283273222774</v>
      </c>
      <c r="H205" s="26" t="n">
        <f aca="false">datos_base!$H$13*parametros_recargas!I$66+sobrestock_sustitutos!$G$62/12</f>
        <v>23.0283273222774</v>
      </c>
      <c r="I205" s="26" t="n">
        <f aca="false">datos_base!$H$13*parametros_recargas!J$66+sobrestock_sustitutos!$G$62/12</f>
        <v>20.9459228421059</v>
      </c>
      <c r="J205" s="26" t="n">
        <f aca="false">datos_base!$H$13*parametros_recargas!K$66+sobrestock_sustitutos!$G$62/12</f>
        <v>20.9459228421059</v>
      </c>
      <c r="K205" s="26" t="n">
        <f aca="false">datos_base!$H$13*parametros_recargas!L$66+sobrestock_sustitutos!$G$62/12</f>
        <v>20.9459228421059</v>
      </c>
      <c r="L205" s="26" t="n">
        <f aca="false">datos_base!$H$13*parametros_recargas!M$66+sobrestock_sustitutos!$G$62/12</f>
        <v>23.0283273222774</v>
      </c>
      <c r="M205" s="26" t="n">
        <f aca="false">datos_base!$H$13*parametros_recargas!N$66+sobrestock_sustitutos!$G$62/12</f>
        <v>23.0283273222774</v>
      </c>
      <c r="N205" s="26" t="n">
        <f aca="false">datos_base!$H$13*parametros_recargas!O$66+sobrestock_sustitutos!$G$62/12</f>
        <v>23.0283273222774</v>
      </c>
      <c r="O205" s="26" t="n">
        <f aca="false">datos_base!$H$13*parametros_recargas!P$66+sobrestock_sustitutos!$G$62/12</f>
        <v>25.1107318024488</v>
      </c>
      <c r="P205" s="12" t="n">
        <f aca="false">SUM(D205:O205)</f>
        <v>276.339927867329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6" t="n">
        <f aca="false">datos_base!$H$14*parametros_recargas!E$67+sobrestock_sustitutos!$G$63/12</f>
        <v>7.97183570134346</v>
      </c>
      <c r="E206" s="26" t="n">
        <f aca="false">datos_base!$H$14*parametros_recargas!F$67+sobrestock_sustitutos!$G$63/12</f>
        <v>7.97183570134346</v>
      </c>
      <c r="F206" s="26" t="n">
        <f aca="false">datos_base!$H$14*parametros_recargas!G$67+sobrestock_sustitutos!$G$63/12</f>
        <v>7.97183570134346</v>
      </c>
      <c r="G206" s="26" t="n">
        <f aca="false">datos_base!$H$14*parametros_recargas!H$67+sobrestock_sustitutos!$G$63/12</f>
        <v>7.97183570134346</v>
      </c>
      <c r="H206" s="26" t="n">
        <f aca="false">datos_base!$H$14*parametros_recargas!I$67+sobrestock_sustitutos!$G$63/12</f>
        <v>7.97183570134346</v>
      </c>
      <c r="I206" s="26" t="n">
        <f aca="false">datos_base!$H$14*parametros_recargas!J$67+sobrestock_sustitutos!$G$63/12</f>
        <v>7.97183570134346</v>
      </c>
      <c r="J206" s="26" t="n">
        <f aca="false">datos_base!$H$14*parametros_recargas!K$67+sobrestock_sustitutos!$G$63/12</f>
        <v>7.97183570134346</v>
      </c>
      <c r="K206" s="26" t="n">
        <f aca="false">datos_base!$H$14*parametros_recargas!L$67+sobrestock_sustitutos!$G$63/12</f>
        <v>7.97183570134346</v>
      </c>
      <c r="L206" s="26" t="n">
        <f aca="false">datos_base!$H$14*parametros_recargas!M$67+sobrestock_sustitutos!$G$63/12</f>
        <v>7.97183570134346</v>
      </c>
      <c r="M206" s="26" t="n">
        <f aca="false">datos_base!$H$14*parametros_recargas!N$67+sobrestock_sustitutos!$G$63/12</f>
        <v>7.97183570134346</v>
      </c>
      <c r="N206" s="26" t="n">
        <f aca="false">datos_base!$H$14*parametros_recargas!O$67+sobrestock_sustitutos!$G$63/12</f>
        <v>7.97183570134346</v>
      </c>
      <c r="O206" s="26" t="n">
        <f aca="false">datos_base!$H$14*parametros_recargas!P$67+sobrestock_sustitutos!$G$63/12</f>
        <v>7.97183570134346</v>
      </c>
      <c r="P206" s="12" t="n">
        <f aca="false">SUM(D206:O206)</f>
        <v>95.6620284161215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6" t="n">
        <f aca="false">datos_base!$H$15*parametros_recargas!E$68+sobrestock_sustitutos!$G$64/12</f>
        <v>17.1930965075737</v>
      </c>
      <c r="E207" s="26" t="n">
        <f aca="false">datos_base!$H$15*parametros_recargas!F$68+sobrestock_sustitutos!$G$64/12</f>
        <v>17.1930965075737</v>
      </c>
      <c r="F207" s="26" t="n">
        <f aca="false">datos_base!$H$15*parametros_recargas!G$68+sobrestock_sustitutos!$G$64/12</f>
        <v>19.2050131180162</v>
      </c>
      <c r="G207" s="26" t="n">
        <f aca="false">datos_base!$H$15*parametros_recargas!H$68+sobrestock_sustitutos!$G$64/12</f>
        <v>21.9193301976262</v>
      </c>
      <c r="H207" s="26" t="n">
        <f aca="false">datos_base!$H$15*parametros_recargas!I$68+sobrestock_sustitutos!$G$64/12</f>
        <v>22.0808334683995</v>
      </c>
      <c r="I207" s="26" t="n">
        <f aca="false">datos_base!$H$15*parametros_recargas!J$68+sobrestock_sustitutos!$G$64/12</f>
        <v>21.0716330783262</v>
      </c>
      <c r="J207" s="26" t="n">
        <f aca="false">datos_base!$H$15*parametros_recargas!K$68+sobrestock_sustitutos!$G$64/12</f>
        <v>17.9616611321035</v>
      </c>
      <c r="K207" s="26" t="n">
        <f aca="false">datos_base!$H$15*parametros_recargas!L$68+sobrestock_sustitutos!$G$64/12</f>
        <v>18.2120193485838</v>
      </c>
      <c r="L207" s="26" t="n">
        <f aca="false">datos_base!$H$15*parametros_recargas!M$68+sobrestock_sustitutos!$G$64/12</f>
        <v>19.221219738657</v>
      </c>
      <c r="M207" s="26" t="n">
        <f aca="false">datos_base!$H$15*parametros_recargas!N$68+sobrestock_sustitutos!$G$64/12</f>
        <v>19.221219738657</v>
      </c>
      <c r="N207" s="26" t="n">
        <f aca="false">datos_base!$H$15*parametros_recargas!O$68+sobrestock_sustitutos!$G$64/12</f>
        <v>19.0597164678838</v>
      </c>
      <c r="O207" s="26" t="n">
        <f aca="false">datos_base!$H$15*parametros_recargas!P$68+sobrestock_sustitutos!$G$64/12</f>
        <v>20.068916857957</v>
      </c>
      <c r="P207" s="12" t="n">
        <f aca="false">SUM(D207:O207)</f>
        <v>232.407756161358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6" t="n">
        <f aca="false">datos_base!$H$16*parametros_recargas!E$69+sobrestock_sustitutos!$G$65/12</f>
        <v>37.6747134290398</v>
      </c>
      <c r="E208" s="26" t="n">
        <f aca="false">datos_base!$H$16*parametros_recargas!F$69+sobrestock_sustitutos!$G$65/12</f>
        <v>37.6747134290398</v>
      </c>
      <c r="F208" s="26" t="n">
        <f aca="false">datos_base!$H$16*parametros_recargas!G$69+sobrestock_sustitutos!$G$65/12</f>
        <v>42.1009417921913</v>
      </c>
      <c r="G208" s="26" t="n">
        <f aca="false">datos_base!$H$16*parametros_recargas!H$69+sobrestock_sustitutos!$G$65/12</f>
        <v>48.0727353833182</v>
      </c>
      <c r="H208" s="26" t="n">
        <f aca="false">datos_base!$H$16*parametros_recargas!I$69+sobrestock_sustitutos!$G$65/12</f>
        <v>48.4278993822434</v>
      </c>
      <c r="I208" s="26" t="n">
        <f aca="false">datos_base!$H$16*parametros_recargas!J$69+sobrestock_sustitutos!$G$65/12</f>
        <v>46.2076555730303</v>
      </c>
      <c r="J208" s="26" t="n">
        <f aca="false">datos_base!$H$16*parametros_recargas!K$69+sobrestock_sustitutos!$G$65/12</f>
        <v>39.3657766928968</v>
      </c>
      <c r="K208" s="26" t="n">
        <f aca="false">datos_base!$H$16*parametros_recargas!L$69+sobrestock_sustitutos!$G$65/12</f>
        <v>39.9163473995908</v>
      </c>
      <c r="L208" s="26" t="n">
        <f aca="false">datos_base!$H$16*parametros_recargas!M$69+sobrestock_sustitutos!$G$65/12</f>
        <v>42.1365912088039</v>
      </c>
      <c r="M208" s="26" t="n">
        <f aca="false">datos_base!$H$16*parametros_recargas!N$69+sobrestock_sustitutos!$G$65/12</f>
        <v>42.1365912088039</v>
      </c>
      <c r="N208" s="26" t="n">
        <f aca="false">datos_base!$H$16*parametros_recargas!O$69+sobrestock_sustitutos!$G$65/12</f>
        <v>41.7814272098787</v>
      </c>
      <c r="O208" s="26" t="n">
        <f aca="false">datos_base!$H$16*parametros_recargas!P$69+sobrestock_sustitutos!$G$65/12</f>
        <v>44.0016710190918</v>
      </c>
      <c r="P208" s="12" t="n">
        <f aca="false">SUM(D208:O208)</f>
        <v>509.497063727929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6" t="n">
        <f aca="false">datos_base!$H$17*parametros_recargas!E$70+sobrestock_sustitutos!$G$66/12</f>
        <v>8.25925934730609</v>
      </c>
      <c r="E209" s="26" t="n">
        <f aca="false">datos_base!$H$17*parametros_recargas!F$70+sobrestock_sustitutos!$G$66/12</f>
        <v>8.25925934730609</v>
      </c>
      <c r="F209" s="26" t="n">
        <f aca="false">datos_base!$H$17*parametros_recargas!G$70+sobrestock_sustitutos!$G$66/12</f>
        <v>9.22503413183396</v>
      </c>
      <c r="G209" s="26" t="n">
        <f aca="false">datos_base!$H$17*parametros_recargas!H$70+sobrestock_sustitutos!$G$66/12</f>
        <v>10.5280328139369</v>
      </c>
      <c r="H209" s="26" t="n">
        <f aca="false">datos_base!$H$17*parametros_recargas!I$70+sobrestock_sustitutos!$G$66/12</f>
        <v>10.6055237285465</v>
      </c>
      <c r="I209" s="26" t="n">
        <f aca="false">datos_base!$H$17*parametros_recargas!J$70+sobrestock_sustitutos!$G$66/12</f>
        <v>10.1211199587624</v>
      </c>
      <c r="J209" s="26" t="n">
        <f aca="false">datos_base!$H$17*parametros_recargas!K$70+sobrestock_sustitutos!$G$66/12</f>
        <v>8.62829496864043</v>
      </c>
      <c r="K209" s="26" t="n">
        <f aca="false">datos_base!$H$17*parametros_recargas!L$70+sobrestock_sustitutos!$G$66/12</f>
        <v>8.74843231905996</v>
      </c>
      <c r="L209" s="26" t="n">
        <f aca="false">datos_base!$H$17*parametros_recargas!M$70+sobrestock_sustitutos!$G$66/12</f>
        <v>9.23283608884413</v>
      </c>
      <c r="M209" s="26" t="n">
        <f aca="false">datos_base!$H$17*parametros_recargas!N$70+sobrestock_sustitutos!$G$66/12</f>
        <v>9.23283608884413</v>
      </c>
      <c r="N209" s="26" t="n">
        <f aca="false">datos_base!$H$17*parametros_recargas!O$70+sobrestock_sustitutos!$G$66/12</f>
        <v>9.1553451742345</v>
      </c>
      <c r="O209" s="26" t="n">
        <f aca="false">datos_base!$H$17*parametros_recargas!P$70+sobrestock_sustitutos!$G$66/12</f>
        <v>9.63974894401867</v>
      </c>
      <c r="P209" s="12" t="n">
        <f aca="false">SUM(D209:O209)</f>
        <v>111.635722911334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6" t="n">
        <f aca="false">datos_base!$H$18*parametros_recargas!E$71+sobrestock_sustitutos!$G$67/12</f>
        <v>5.47832429283885</v>
      </c>
      <c r="E210" s="26" t="n">
        <f aca="false">datos_base!$H$18*parametros_recargas!F$71+sobrestock_sustitutos!$G$67/12</f>
        <v>5.47832429283885</v>
      </c>
      <c r="F210" s="26" t="n">
        <f aca="false">datos_base!$H$18*parametros_recargas!G$71+sobrestock_sustitutos!$G$67/12</f>
        <v>6.12224610356052</v>
      </c>
      <c r="G210" s="26" t="n">
        <f aca="false">datos_base!$H$18*parametros_recargas!H$71+sobrestock_sustitutos!$G$67/12</f>
        <v>6.99099116520031</v>
      </c>
      <c r="H210" s="26" t="n">
        <f aca="false">datos_base!$H$18*parametros_recargas!I$71+sobrestock_sustitutos!$G$67/12</f>
        <v>7.04261291367609</v>
      </c>
      <c r="I210" s="26" t="n">
        <f aca="false">datos_base!$H$18*parametros_recargas!J$71+sobrestock_sustitutos!$G$67/12</f>
        <v>6.71970662517943</v>
      </c>
      <c r="J210" s="26" t="n">
        <f aca="false">datos_base!$H$18*parametros_recargas!K$71+sobrestock_sustitutos!$G$67/12</f>
        <v>5.7244874220367</v>
      </c>
      <c r="K210" s="26" t="n">
        <f aca="false">datos_base!$H$18*parametros_recargas!L$71+sobrestock_sustitutos!$G$67/12</f>
        <v>5.80450027443688</v>
      </c>
      <c r="L210" s="26" t="n">
        <f aca="false">datos_base!$H$18*parametros_recargas!M$71+sobrestock_sustitutos!$G$67/12</f>
        <v>6.12740656293354</v>
      </c>
      <c r="M210" s="26" t="n">
        <f aca="false">datos_base!$H$18*parametros_recargas!N$71+sobrestock_sustitutos!$G$67/12</f>
        <v>6.12740656293354</v>
      </c>
      <c r="N210" s="26" t="n">
        <f aca="false">datos_base!$H$18*parametros_recargas!O$71+sobrestock_sustitutos!$G$67/12</f>
        <v>6.07578481445776</v>
      </c>
      <c r="O210" s="26" t="n">
        <f aca="false">datos_base!$H$18*parametros_recargas!P$71+sobrestock_sustitutos!$G$67/12</f>
        <v>6.39869110295442</v>
      </c>
      <c r="P210" s="12" t="n">
        <f aca="false">SUM(D210:O210)</f>
        <v>74.0904821330469</v>
      </c>
    </row>
    <row r="211" customFormat="false" ht="15" hidden="false" customHeight="false" outlineLevel="0" collapsed="false">
      <c r="A211" s="4" t="s">
        <v>385</v>
      </c>
      <c r="D211" s="12" t="n">
        <f aca="false">SUM(D194:D210)</f>
        <v>7767.22549665841</v>
      </c>
      <c r="E211" s="12" t="n">
        <f aca="false">SUM(E194:E210)</f>
        <v>6689.87710426144</v>
      </c>
      <c r="F211" s="12" t="n">
        <f aca="false">SUM(F194:F210)</f>
        <v>6303.17799912082</v>
      </c>
      <c r="G211" s="12" t="n">
        <f aca="false">SUM(G194:G210)</f>
        <v>6939.69294114444</v>
      </c>
      <c r="H211" s="12" t="n">
        <f aca="false">SUM(H194:H210)</f>
        <v>6996.04671641949</v>
      </c>
      <c r="I211" s="12" t="n">
        <f aca="false">SUM(I194:I210)</f>
        <v>6924.83158467418</v>
      </c>
      <c r="J211" s="12" t="n">
        <f aca="false">SUM(J194:J210)</f>
        <v>6162.97604250797</v>
      </c>
      <c r="K211" s="12" t="n">
        <f aca="false">SUM(K194:K210)</f>
        <v>6219.32094094758</v>
      </c>
      <c r="L211" s="12" t="n">
        <f aca="false">SUM(L194:L210)</f>
        <v>6279.60367206339</v>
      </c>
      <c r="M211" s="12" t="n">
        <f aca="false">SUM(M194:M210)</f>
        <v>6279.60367206339</v>
      </c>
      <c r="N211" s="12" t="n">
        <f aca="false">SUM(N194:N210)</f>
        <v>7300.5982891853</v>
      </c>
      <c r="O211" s="12" t="n">
        <f aca="false">SUM(O194:O210)</f>
        <v>8449.16181332758</v>
      </c>
      <c r="P211" s="12" t="n">
        <f aca="false">SUM(P194:P210)</f>
        <v>82312.116272374</v>
      </c>
    </row>
    <row r="212" customFormat="false" ht="15" hidden="false" customHeight="false" outlineLevel="0" collapsed="false">
      <c r="A212" s="4" t="s">
        <v>386</v>
      </c>
    </row>
    <row r="213" customFormat="false" ht="15" hidden="false" customHeight="false" outlineLevel="0" collapsed="false">
      <c r="A213" s="5" t="s">
        <v>165</v>
      </c>
      <c r="D213" s="26" t="n">
        <f aca="false">SUMPRODUCT(($B$194:$B$210=$A213)*D$194:D$210*$C$194:$C$210)</f>
        <v>7400.26116441448</v>
      </c>
      <c r="E213" s="26" t="n">
        <f aca="false">SUMPRODUCT(($B$194:$B$210=$A213)*E$194:E$210*$C$194:$C$210)</f>
        <v>6322.91277201752</v>
      </c>
      <c r="F213" s="26" t="n">
        <f aca="false">SUMPRODUCT(($B$194:$B$210=$A213)*F$194:F$210*$C$194:$C$210)</f>
        <v>5820.02314959619</v>
      </c>
      <c r="G213" s="26" t="n">
        <f aca="false">SUMPRODUCT(($B$194:$B$210=$A213)*G$194:G$210*$C$194:$C$210)</f>
        <v>6360.68453530504</v>
      </c>
      <c r="H213" s="26" t="n">
        <f aca="false">SUMPRODUCT(($B$194:$B$210=$A213)*H$194:H$210*$C$194:$C$210)</f>
        <v>6409.19089112477</v>
      </c>
      <c r="I213" s="26" t="n">
        <f aca="false">SUMPRODUCT(($B$194:$B$210=$A213)*I$194:I$210*$C$194:$C$210)</f>
        <v>6342.50041609493</v>
      </c>
      <c r="J213" s="26" t="n">
        <f aca="false">SUMPRODUCT(($B$194:$B$210=$A213)*J$194:J$210*$C$194:$C$210)</f>
        <v>5695.90062784651</v>
      </c>
      <c r="K213" s="26" t="n">
        <f aca="false">SUMPRODUCT(($B$194:$B$210=$A213)*K$194:K$210*$C$194:$C$210)</f>
        <v>5749.85752690919</v>
      </c>
      <c r="L213" s="26" t="n">
        <f aca="false">SUMPRODUCT(($B$194:$B$210=$A213)*L$194:L$210*$C$194:$C$210)</f>
        <v>5808.01547151986</v>
      </c>
      <c r="M213" s="26" t="n">
        <f aca="false">SUMPRODUCT(($B$194:$B$210=$A213)*M$194:M$210*$C$194:$C$210)</f>
        <v>5808.01547151986</v>
      </c>
      <c r="N213" s="26" t="n">
        <f aca="false">SUMPRODUCT(($B$194:$B$210=$A213)*N$194:N$210*$C$194:$C$210)</f>
        <v>6836.85750809709</v>
      </c>
      <c r="O213" s="26" t="n">
        <f aca="false">SUMPRODUCT(($B$194:$B$210=$A213)*O$194:O$210*$C$194:$C$210)</f>
        <v>7980.8963755239</v>
      </c>
      <c r="P213" s="26" t="n">
        <f aca="false">SUMPRODUCT(($B$194:$B$210=$A213)*P$194:P$210*$C$194:$C$210)</f>
        <v>76535.1159099694</v>
      </c>
    </row>
    <row r="214" customFormat="false" ht="15" hidden="false" customHeight="false" outlineLevel="0" collapsed="false">
      <c r="A214" s="5" t="s">
        <v>166</v>
      </c>
      <c r="D214" s="26" t="n">
        <f aca="false">SUMPRODUCT(($B$194:$B$210=$A214)*D$194:D$210*$C$194:$C$210)</f>
        <v>9.02619619555095</v>
      </c>
      <c r="E214" s="26" t="n">
        <f aca="false">SUMPRODUCT(($B$194:$B$210=$A214)*E$194:E$210*$C$194:$C$210)</f>
        <v>9.02619619555095</v>
      </c>
      <c r="F214" s="26" t="n">
        <f aca="false">SUMPRODUCT(($B$194:$B$210=$A214)*F$194:F$210*$C$194:$C$210)</f>
        <v>9.02619619555095</v>
      </c>
      <c r="G214" s="26" t="n">
        <f aca="false">SUMPRODUCT(($B$194:$B$210=$A214)*G$194:G$210*$C$194:$C$210)</f>
        <v>9.02619619555095</v>
      </c>
      <c r="H214" s="26" t="n">
        <f aca="false">SUMPRODUCT(($B$194:$B$210=$A214)*H$194:H$210*$C$194:$C$210)</f>
        <v>9.02619619555095</v>
      </c>
      <c r="I214" s="26" t="n">
        <f aca="false">SUMPRODUCT(($B$194:$B$210=$A214)*I$194:I$210*$C$194:$C$210)</f>
        <v>9.02619619555095</v>
      </c>
      <c r="J214" s="26" t="n">
        <f aca="false">SUMPRODUCT(($B$194:$B$210=$A214)*J$194:J$210*$C$194:$C$210)</f>
        <v>9.02619619555095</v>
      </c>
      <c r="K214" s="26" t="n">
        <f aca="false">SUMPRODUCT(($B$194:$B$210=$A214)*K$194:K$210*$C$194:$C$210)</f>
        <v>9.02619619555095</v>
      </c>
      <c r="L214" s="26" t="n">
        <f aca="false">SUMPRODUCT(($B$194:$B$210=$A214)*L$194:L$210*$C$194:$C$210)</f>
        <v>9.02619619555095</v>
      </c>
      <c r="M214" s="26" t="n">
        <f aca="false">SUMPRODUCT(($B$194:$B$210=$A214)*M$194:M$210*$C$194:$C$210)</f>
        <v>9.02619619555095</v>
      </c>
      <c r="N214" s="26" t="n">
        <f aca="false">SUMPRODUCT(($B$194:$B$210=$A214)*N$194:N$210*$C$194:$C$210)</f>
        <v>9.02619619555095</v>
      </c>
      <c r="O214" s="26" t="n">
        <f aca="false">SUMPRODUCT(($B$194:$B$210=$A214)*O$194:O$210*$C$194:$C$210)</f>
        <v>9.02619619555095</v>
      </c>
      <c r="P214" s="26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5" t="s">
        <v>167</v>
      </c>
      <c r="D215" s="26" t="n">
        <f aca="false">SUMPRODUCT(($B$194:$B$210=$A215)*D$194:D$210*$C$194:$C$210)</f>
        <v>7.97183570134346</v>
      </c>
      <c r="E215" s="26" t="n">
        <f aca="false">SUMPRODUCT(($B$194:$B$210=$A215)*E$194:E$210*$C$194:$C$210)</f>
        <v>7.97183570134346</v>
      </c>
      <c r="F215" s="26" t="n">
        <f aca="false">SUMPRODUCT(($B$194:$B$210=$A215)*F$194:F$210*$C$194:$C$210)</f>
        <v>7.97183570134346</v>
      </c>
      <c r="G215" s="26" t="n">
        <f aca="false">SUMPRODUCT(($B$194:$B$210=$A215)*G$194:G$210*$C$194:$C$210)</f>
        <v>7.97183570134346</v>
      </c>
      <c r="H215" s="26" t="n">
        <f aca="false">SUMPRODUCT(($B$194:$B$210=$A215)*H$194:H$210*$C$194:$C$210)</f>
        <v>7.97183570134346</v>
      </c>
      <c r="I215" s="26" t="n">
        <f aca="false">SUMPRODUCT(($B$194:$B$210=$A215)*I$194:I$210*$C$194:$C$210)</f>
        <v>7.97183570134346</v>
      </c>
      <c r="J215" s="26" t="n">
        <f aca="false">SUMPRODUCT(($B$194:$B$210=$A215)*J$194:J$210*$C$194:$C$210)</f>
        <v>7.97183570134346</v>
      </c>
      <c r="K215" s="26" t="n">
        <f aca="false">SUMPRODUCT(($B$194:$B$210=$A215)*K$194:K$210*$C$194:$C$210)</f>
        <v>7.97183570134346</v>
      </c>
      <c r="L215" s="26" t="n">
        <f aca="false">SUMPRODUCT(($B$194:$B$210=$A215)*L$194:L$210*$C$194:$C$210)</f>
        <v>7.97183570134346</v>
      </c>
      <c r="M215" s="26" t="n">
        <f aca="false">SUMPRODUCT(($B$194:$B$210=$A215)*M$194:M$210*$C$194:$C$210)</f>
        <v>7.97183570134346</v>
      </c>
      <c r="N215" s="26" t="n">
        <f aca="false">SUMPRODUCT(($B$194:$B$210=$A215)*N$194:N$210*$C$194:$C$210)</f>
        <v>7.97183570134346</v>
      </c>
      <c r="O215" s="26" t="n">
        <f aca="false">SUMPRODUCT(($B$194:$B$210=$A215)*O$194:O$210*$C$194:$C$210)</f>
        <v>7.97183570134346</v>
      </c>
      <c r="P215" s="26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5" t="s">
        <v>168</v>
      </c>
      <c r="D216" s="26" t="n">
        <f aca="false">SUMPRODUCT(($B$194:$B$210=$A216)*D$194:D$210*$C$194:$C$210)</f>
        <v>128.68897190787</v>
      </c>
      <c r="E216" s="26" t="n">
        <f aca="false">SUMPRODUCT(($B$194:$B$210=$A216)*E$194:E$210*$C$194:$C$210)</f>
        <v>128.68897190787</v>
      </c>
      <c r="F216" s="26" t="n">
        <f aca="false">SUMPRODUCT(($B$194:$B$210=$A216)*F$194:F$210*$C$194:$C$210)</f>
        <v>158.527534445063</v>
      </c>
      <c r="G216" s="26" t="n">
        <f aca="false">SUMPRODUCT(($B$194:$B$210=$A216)*G$194:G$210*$C$194:$C$210)</f>
        <v>189.617255973546</v>
      </c>
      <c r="H216" s="26" t="n">
        <f aca="false">SUMPRODUCT(($B$194:$B$210=$A216)*H$194:H$210*$C$194:$C$210)</f>
        <v>191.255508472474</v>
      </c>
      <c r="I216" s="26" t="n">
        <f aca="false">SUMPRODUCT(($B$194:$B$210=$A216)*I$194:I$210*$C$194:$C$210)</f>
        <v>185.021634894896</v>
      </c>
      <c r="J216" s="26" t="n">
        <f aca="false">SUMPRODUCT(($B$194:$B$210=$A216)*J$194:J$210*$C$194:$C$210)</f>
        <v>149.82969233973</v>
      </c>
      <c r="K216" s="26" t="n">
        <f aca="false">SUMPRODUCT(($B$194:$B$210=$A216)*K$194:K$210*$C$194:$C$210)</f>
        <v>150.587451279054</v>
      </c>
      <c r="L216" s="26" t="n">
        <f aca="false">SUMPRODUCT(($B$194:$B$210=$A216)*L$194:L$210*$C$194:$C$210)</f>
        <v>156.398067349206</v>
      </c>
      <c r="M216" s="26" t="n">
        <f aca="false">SUMPRODUCT(($B$194:$B$210=$A216)*M$194:M$210*$C$194:$C$210)</f>
        <v>156.398067349206</v>
      </c>
      <c r="N216" s="26" t="n">
        <f aca="false">SUMPRODUCT(($B$194:$B$210=$A216)*N$194:N$210*$C$194:$C$210)</f>
        <v>154.759814850278</v>
      </c>
      <c r="O216" s="26" t="n">
        <f aca="false">SUMPRODUCT(($B$194:$B$210=$A216)*O$194:O$210*$C$194:$C$210)</f>
        <v>160.993688427856</v>
      </c>
      <c r="P216" s="26" t="n">
        <f aca="false">SUMPRODUCT(($B$194:$B$210=$A216)*P$194:P$210*$C$194:$C$210)</f>
        <v>1910.76665919705</v>
      </c>
    </row>
    <row r="217" customFormat="false" ht="15" hidden="false" customHeight="false" outlineLevel="0" collapsed="false">
      <c r="A217" s="5" t="s">
        <v>169</v>
      </c>
      <c r="D217" s="26" t="n">
        <f aca="false">SUMPRODUCT(($B$194:$B$210=$A217)*D$194:D$210*$C$194:$C$210)</f>
        <v>126.207952239334</v>
      </c>
      <c r="E217" s="26" t="n">
        <f aca="false">SUMPRODUCT(($B$194:$B$210=$A217)*E$194:E$210*$C$194:$C$210)</f>
        <v>126.207952239334</v>
      </c>
      <c r="F217" s="26" t="n">
        <f aca="false">SUMPRODUCT(($B$194:$B$210=$A217)*F$194:F$210*$C$194:$C$210)</f>
        <v>126.207952239334</v>
      </c>
      <c r="G217" s="26" t="n">
        <f aca="false">SUMPRODUCT(($B$194:$B$210=$A217)*G$194:G$210*$C$194:$C$210)</f>
        <v>126.207952239334</v>
      </c>
      <c r="H217" s="26" t="n">
        <f aca="false">SUMPRODUCT(($B$194:$B$210=$A217)*H$194:H$210*$C$194:$C$210)</f>
        <v>126.207952239334</v>
      </c>
      <c r="I217" s="26" t="n">
        <f aca="false">SUMPRODUCT(($B$194:$B$210=$A217)*I$194:I$210*$C$194:$C$210)</f>
        <v>126.207952239334</v>
      </c>
      <c r="J217" s="26" t="n">
        <f aca="false">SUMPRODUCT(($B$194:$B$210=$A217)*J$194:J$210*$C$194:$C$210)</f>
        <v>126.207952239334</v>
      </c>
      <c r="K217" s="26" t="n">
        <f aca="false">SUMPRODUCT(($B$194:$B$210=$A217)*K$194:K$210*$C$194:$C$210)</f>
        <v>126.207952239334</v>
      </c>
      <c r="L217" s="26" t="n">
        <f aca="false">SUMPRODUCT(($B$194:$B$210=$A217)*L$194:L$210*$C$194:$C$210)</f>
        <v>126.207952239334</v>
      </c>
      <c r="M217" s="26" t="n">
        <f aca="false">SUMPRODUCT(($B$194:$B$210=$A217)*M$194:M$210*$C$194:$C$210)</f>
        <v>126.207952239334</v>
      </c>
      <c r="N217" s="26" t="n">
        <f aca="false">SUMPRODUCT(($B$194:$B$210=$A217)*N$194:N$210*$C$194:$C$210)</f>
        <v>126.207952239334</v>
      </c>
      <c r="O217" s="26" t="n">
        <f aca="false">SUMPRODUCT(($B$194:$B$210=$A217)*O$194:O$210*$C$194:$C$210)</f>
        <v>126.207952239334</v>
      </c>
      <c r="P217" s="26" t="n">
        <f aca="false">SUMPRODUCT(($B$194:$B$210=$A217)*P$194:P$210*$C$194:$C$210)</f>
        <v>1514.49542687201</v>
      </c>
    </row>
    <row r="218" customFormat="false" ht="15" hidden="false" customHeight="false" outlineLevel="0" collapsed="false">
      <c r="A218" s="5" t="s">
        <v>170</v>
      </c>
      <c r="D218" s="26" t="n">
        <f aca="false">SUMPRODUCT(($B$194:$B$210=$A218)*D$194:D$210*$C$194:$C$210)</f>
        <v>64.952697343665</v>
      </c>
      <c r="E218" s="26" t="n">
        <f aca="false">SUMPRODUCT(($B$194:$B$210=$A218)*E$194:E$210*$C$194:$C$210)</f>
        <v>64.952697343665</v>
      </c>
      <c r="F218" s="26" t="n">
        <f aca="false">SUMPRODUCT(($B$194:$B$210=$A218)*F$194:F$210*$C$194:$C$210)</f>
        <v>78.4515057537848</v>
      </c>
      <c r="G218" s="26" t="n">
        <f aca="false">SUMPRODUCT(($B$194:$B$210=$A218)*G$194:G$210*$C$194:$C$210)</f>
        <v>87.7381727231149</v>
      </c>
      <c r="H218" s="26" t="n">
        <f aca="false">SUMPRODUCT(($B$194:$B$210=$A218)*H$194:H$210*$C$194:$C$210)</f>
        <v>90.8254474397514</v>
      </c>
      <c r="I218" s="26" t="n">
        <f aca="false">SUMPRODUCT(($B$194:$B$210=$A218)*I$194:I$210*$C$194:$C$210)</f>
        <v>88.8421496739365</v>
      </c>
      <c r="J218" s="26" t="n">
        <f aca="false">SUMPRODUCT(($B$194:$B$210=$A218)*J$194:J$210*$C$194:$C$210)</f>
        <v>71.8268510263494</v>
      </c>
      <c r="K218" s="26" t="n">
        <f aca="false">SUMPRODUCT(($B$194:$B$210=$A218)*K$194:K$210*$C$194:$C$210)</f>
        <v>76.4473182146383</v>
      </c>
      <c r="L218" s="26" t="n">
        <f aca="false">SUMPRODUCT(($B$194:$B$210=$A218)*L$194:L$210*$C$194:$C$210)</f>
        <v>78.4306159804532</v>
      </c>
      <c r="M218" s="26" t="n">
        <f aca="false">SUMPRODUCT(($B$194:$B$210=$A218)*M$194:M$210*$C$194:$C$210)</f>
        <v>78.4306159804532</v>
      </c>
      <c r="N218" s="26" t="n">
        <f aca="false">SUMPRODUCT(($B$194:$B$210=$A218)*N$194:N$210*$C$194:$C$210)</f>
        <v>75.3433412638167</v>
      </c>
      <c r="O218" s="26" t="n">
        <f aca="false">SUMPRODUCT(($B$194:$B$210=$A218)*O$194:O$210*$C$194:$C$210)</f>
        <v>77.3266390296316</v>
      </c>
      <c r="P218" s="26" t="n">
        <f aca="false">SUMPRODUCT(($B$194:$B$210=$A218)*P$194:P$210*$C$194:$C$210)</f>
        <v>933.56805177326</v>
      </c>
    </row>
    <row r="219" customFormat="false" ht="15" hidden="false" customHeight="false" outlineLevel="0" collapsed="false">
      <c r="A219" s="5" t="s">
        <v>171</v>
      </c>
      <c r="D219" s="26" t="n">
        <f aca="false">SUMPRODUCT(($B$194:$B$210=$A219)*D$194:D$210*$C$194:$C$210)</f>
        <v>454.685255218914</v>
      </c>
      <c r="E219" s="26" t="n">
        <f aca="false">SUMPRODUCT(($B$194:$B$210=$A219)*E$194:E$210*$C$194:$C$210)</f>
        <v>454.685255218914</v>
      </c>
      <c r="F219" s="26" t="n">
        <f aca="false">SUMPRODUCT(($B$194:$B$210=$A219)*F$194:F$210*$C$194:$C$210)</f>
        <v>572.764108692205</v>
      </c>
      <c r="G219" s="26" t="n">
        <f aca="false">SUMPRODUCT(($B$194:$B$210=$A219)*G$194:G$210*$C$194:$C$210)</f>
        <v>686.448647421204</v>
      </c>
      <c r="H219" s="26" t="n">
        <f aca="false">SUMPRODUCT(($B$194:$B$210=$A219)*H$194:H$210*$C$194:$C$210)</f>
        <v>693.032471516023</v>
      </c>
      <c r="I219" s="26" t="n">
        <f aca="false">SUMPRODUCT(($B$194:$B$210=$A219)*I$194:I$210*$C$194:$C$210)</f>
        <v>677.166940920014</v>
      </c>
      <c r="J219" s="26" t="n">
        <f aca="false">SUMPRODUCT(($B$194:$B$210=$A219)*J$194:J$210*$C$194:$C$210)</f>
        <v>547.429968784446</v>
      </c>
      <c r="K219" s="26" t="n">
        <f aca="false">SUMPRODUCT(($B$194:$B$210=$A219)*K$194:K$210*$C$194:$C$210)</f>
        <v>549.806380945533</v>
      </c>
      <c r="L219" s="26" t="n">
        <f aca="false">SUMPRODUCT(($B$194:$B$210=$A219)*L$194:L$210*$C$194:$C$210)</f>
        <v>563.695298838638</v>
      </c>
      <c r="M219" s="26" t="n">
        <f aca="false">SUMPRODUCT(($B$194:$B$210=$A219)*M$194:M$210*$C$194:$C$210)</f>
        <v>563.695298838638</v>
      </c>
      <c r="N219" s="26" t="n">
        <f aca="false">SUMPRODUCT(($B$194:$B$210=$A219)*N$194:N$210*$C$194:$C$210)</f>
        <v>557.111474743819</v>
      </c>
      <c r="O219" s="26" t="n">
        <f aca="false">SUMPRODUCT(($B$194:$B$210=$A219)*O$194:O$210*$C$194:$C$210)</f>
        <v>572.977005339827</v>
      </c>
      <c r="P219" s="26" t="n">
        <f aca="false">SUMPRODUCT(($B$194:$B$210=$A219)*P$194:P$210*$C$194:$C$210)</f>
        <v>6893.49810647818</v>
      </c>
    </row>
    <row r="220" customFormat="false" ht="15" hidden="false" customHeight="false" outlineLevel="0" collapsed="false">
      <c r="A220" s="5" t="s">
        <v>172</v>
      </c>
      <c r="D220" s="26" t="n">
        <f aca="false">SUMPRODUCT(($B$194:$B$210=$A220)*D$194:D$210*$C$194:$C$210)</f>
        <v>25.1107318024488</v>
      </c>
      <c r="E220" s="26" t="n">
        <f aca="false">SUMPRODUCT(($B$194:$B$210=$A220)*E$194:E$210*$C$194:$C$210)</f>
        <v>25.1107318024488</v>
      </c>
      <c r="F220" s="26" t="n">
        <f aca="false">SUMPRODUCT(($B$194:$B$210=$A220)*F$194:F$210*$C$194:$C$210)</f>
        <v>23.0283273222774</v>
      </c>
      <c r="G220" s="26" t="n">
        <f aca="false">SUMPRODUCT(($B$194:$B$210=$A220)*G$194:G$210*$C$194:$C$210)</f>
        <v>23.0283273222774</v>
      </c>
      <c r="H220" s="26" t="n">
        <f aca="false">SUMPRODUCT(($B$194:$B$210=$A220)*H$194:H$210*$C$194:$C$210)</f>
        <v>23.0283273222774</v>
      </c>
      <c r="I220" s="26" t="n">
        <f aca="false">SUMPRODUCT(($B$194:$B$210=$A220)*I$194:I$210*$C$194:$C$210)</f>
        <v>20.9459228421059</v>
      </c>
      <c r="J220" s="26" t="n">
        <f aca="false">SUMPRODUCT(($B$194:$B$210=$A220)*J$194:J$210*$C$194:$C$210)</f>
        <v>20.9459228421059</v>
      </c>
      <c r="K220" s="26" t="n">
        <f aca="false">SUMPRODUCT(($B$194:$B$210=$A220)*K$194:K$210*$C$194:$C$210)</f>
        <v>20.9459228421059</v>
      </c>
      <c r="L220" s="26" t="n">
        <f aca="false">SUMPRODUCT(($B$194:$B$210=$A220)*L$194:L$210*$C$194:$C$210)</f>
        <v>23.0283273222774</v>
      </c>
      <c r="M220" s="26" t="n">
        <f aca="false">SUMPRODUCT(($B$194:$B$210=$A220)*M$194:M$210*$C$194:$C$210)</f>
        <v>23.0283273222774</v>
      </c>
      <c r="N220" s="26" t="n">
        <f aca="false">SUMPRODUCT(($B$194:$B$210=$A220)*N$194:N$210*$C$194:$C$210)</f>
        <v>23.0283273222774</v>
      </c>
      <c r="O220" s="26" t="n">
        <f aca="false">SUMPRODUCT(($B$194:$B$210=$A220)*O$194:O$210*$C$194:$C$210)</f>
        <v>25.1107318024488</v>
      </c>
      <c r="P220" s="26" t="n">
        <f aca="false">SUMPRODUCT(($B$194:$B$210=$A220)*P$194:P$210*$C$194:$C$210)</f>
        <v>276.339927867329</v>
      </c>
    </row>
    <row r="221" customFormat="false" ht="15" hidden="false" customHeight="false" outlineLevel="0" collapsed="false">
      <c r="A221" s="4" t="s">
        <v>387</v>
      </c>
      <c r="D221" s="27" t="n">
        <f aca="false">SUMPRODUCT(D$194:D$210*parametros_recargas!$D$55:$D$71)</f>
        <v>213.84850854959</v>
      </c>
      <c r="E221" s="27" t="n">
        <f aca="false">SUMPRODUCT(E$194:E$210*parametros_recargas!$D$55:$D$71)</f>
        <v>213.84850854959</v>
      </c>
      <c r="F221" s="27" t="n">
        <f aca="false">SUMPRODUCT(F$194:F$210*parametros_recargas!$D$55:$D$71)</f>
        <v>233.278426894942</v>
      </c>
      <c r="G221" s="27" t="n">
        <f aca="false">SUMPRODUCT(G$194:G$210*parametros_recargas!$D$55:$D$71)</f>
        <v>259.870057208164</v>
      </c>
      <c r="H221" s="27" t="n">
        <f aca="false">SUMPRODUCT(H$194:H$210*parametros_recargas!$D$55:$D$71)</f>
        <v>264.067556831515</v>
      </c>
      <c r="I221" s="27" t="n">
        <f aca="false">SUMPRODUCT(I$194:I$210*parametros_recargas!$D$55:$D$71)</f>
        <v>251.493053635909</v>
      </c>
      <c r="J221" s="27" t="n">
        <f aca="false">SUMPRODUCT(J$194:J$210*parametros_recargas!$D$55:$D$71)</f>
        <v>219.852003679601</v>
      </c>
      <c r="K221" s="27" t="n">
        <f aca="false">SUMPRODUCT(K$194:K$210*parametros_recargas!$D$55:$D$71)</f>
        <v>223.686131718303</v>
      </c>
      <c r="L221" s="27" t="n">
        <f aca="false">SUMPRODUCT(L$194:L$210*parametros_recargas!$D$55:$D$71)</f>
        <v>234.284022211004</v>
      </c>
      <c r="M221" s="27" t="n">
        <f aca="false">SUMPRODUCT(M$194:M$210*parametros_recargas!$D$55:$D$71)</f>
        <v>234.284022211004</v>
      </c>
      <c r="N221" s="27" t="n">
        <f aca="false">SUMPRODUCT(N$194:N$210*parametros_recargas!$D$55:$D$71)</f>
        <v>230.086522587653</v>
      </c>
      <c r="O221" s="27" t="n">
        <f aca="false">SUMPRODUCT(O$194:O$210*parametros_recargas!$D$55:$D$71)</f>
        <v>242.661025783259</v>
      </c>
      <c r="P221" s="27" t="n">
        <f aca="false">SUMPRODUCT(P$194:P$210*parametros_recargas!$D$55:$D$71)</f>
        <v>2821.25983986054</v>
      </c>
    </row>
    <row r="222" customFormat="false" ht="15" hidden="false" customHeight="false" outlineLevel="0" collapsed="false">
      <c r="A222" s="4" t="s">
        <v>388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0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0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0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0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0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0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0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0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0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0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0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0</v>
      </c>
      <c r="P222" s="12" t="n">
        <f aca="false">SUM(D222:O222)</f>
        <v>0</v>
      </c>
    </row>
    <row r="225" customFormat="false" ht="15" hidden="false" customHeight="false" outlineLevel="0" collapsed="false">
      <c r="A225" s="28" t="n">
        <v>2033</v>
      </c>
      <c r="B225" s="3" t="s">
        <v>383</v>
      </c>
      <c r="C225" s="3" t="s">
        <v>384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6" t="n">
        <f aca="false">datos_base!$I$2*parametros_recargas!E$55+sobrestock_sustitutos!$H$51/12</f>
        <v>5923.42605598535</v>
      </c>
      <c r="E226" s="26" t="n">
        <f aca="false">datos_base!$I$2*parametros_recargas!F$55+sobrestock_sustitutos!$H$51/12</f>
        <v>4717.64008724792</v>
      </c>
      <c r="F226" s="26" t="n">
        <f aca="false">datos_base!$I$2*parametros_recargas!G$55+sobrestock_sustitutos!$H$51/12</f>
        <v>3513.91067778399</v>
      </c>
      <c r="G226" s="26" t="n">
        <f aca="false">datos_base!$I$2*parametros_recargas!H$55+sobrestock_sustitutos!$H$51/12</f>
        <v>3513.91067778399</v>
      </c>
      <c r="H226" s="26" t="n">
        <f aca="false">datos_base!$I$2*parametros_recargas!I$55+sobrestock_sustitutos!$H$51/12</f>
        <v>3515.9672370575</v>
      </c>
      <c r="I226" s="26" t="n">
        <f aca="false">datos_base!$I$2*parametros_recargas!J$55+sobrestock_sustitutos!$H$51/12</f>
        <v>3515.9672370575</v>
      </c>
      <c r="J226" s="26" t="n">
        <f aca="false">datos_base!$I$2*parametros_recargas!K$55+sobrestock_sustitutos!$H$51/12</f>
        <v>3512.61722726048</v>
      </c>
      <c r="K226" s="26" t="n">
        <f aca="false">datos_base!$I$2*parametros_recargas!L$55+sobrestock_sustitutos!$H$51/12</f>
        <v>3515.9672370575</v>
      </c>
      <c r="L226" s="26" t="n">
        <f aca="false">datos_base!$I$2*parametros_recargas!M$55+sobrestock_sustitutos!$H$51/12</f>
        <v>3515.5856826825</v>
      </c>
      <c r="M226" s="26" t="n">
        <f aca="false">datos_base!$I$2*parametros_recargas!N$55+sobrestock_sustitutos!$H$51/12</f>
        <v>3515.5856826825</v>
      </c>
      <c r="N226" s="26" t="n">
        <f aca="false">datos_base!$I$2*parametros_recargas!O$55+sobrestock_sustitutos!$H$51/12</f>
        <v>4719.31509214643</v>
      </c>
      <c r="O226" s="26" t="n">
        <f aca="false">datos_base!$I$2*parametros_recargas!P$55+sobrestock_sustitutos!$H$51/12</f>
        <v>5925.10106088387</v>
      </c>
      <c r="P226" s="12" t="n">
        <f aca="false">SUM(D226:O226)</f>
        <v>49404.9939556295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6" t="n">
        <f aca="false">datos_base!$I$3*parametros_recargas!E$56+sobrestock_sustitutos!$H$52/12</f>
        <v>255.016269359323</v>
      </c>
      <c r="E227" s="26" t="n">
        <f aca="false">datos_base!$I$3*parametros_recargas!F$56+sobrestock_sustitutos!$H$52/12</f>
        <v>255.016269359323</v>
      </c>
      <c r="F227" s="26" t="n">
        <f aca="false">datos_base!$I$3*parametros_recargas!G$56+sobrestock_sustitutos!$H$52/12</f>
        <v>344.67480320341</v>
      </c>
      <c r="G227" s="26" t="n">
        <f aca="false">datos_base!$I$3*parametros_recargas!H$56+sobrestock_sustitutos!$H$52/12</f>
        <v>396.86514847911</v>
      </c>
      <c r="H227" s="26" t="n">
        <f aca="false">datos_base!$I$3*parametros_recargas!I$56+sobrestock_sustitutos!$H$52/12</f>
        <v>429.63348910439</v>
      </c>
      <c r="I227" s="26" t="n">
        <f aca="false">datos_base!$I$3*parametros_recargas!J$56+sobrestock_sustitutos!$H$52/12</f>
        <v>424.435174781185</v>
      </c>
      <c r="J227" s="26" t="n">
        <f aca="false">datos_base!$I$3*parametros_recargas!K$56+sobrestock_sustitutos!$H$52/12</f>
        <v>311.210547709414</v>
      </c>
      <c r="K227" s="26" t="n">
        <f aca="false">datos_base!$I$3*parametros_recargas!L$56+sobrestock_sustitutos!$H$52/12</f>
        <v>362.346667239173</v>
      </c>
      <c r="L227" s="26" t="n">
        <f aca="false">datos_base!$I$3*parametros_recargas!M$56+sobrestock_sustitutos!$H$52/12</f>
        <v>362.819241268555</v>
      </c>
      <c r="M227" s="26" t="n">
        <f aca="false">datos_base!$I$3*parametros_recargas!N$56+sobrestock_sustitutos!$H$52/12</f>
        <v>362.819241268555</v>
      </c>
      <c r="N227" s="26" t="n">
        <f aca="false">datos_base!$I$3*parametros_recargas!O$56+sobrestock_sustitutos!$H$52/12</f>
        <v>330.050900643275</v>
      </c>
      <c r="O227" s="26" t="n">
        <f aca="false">datos_base!$I$3*parametros_recargas!P$56+sobrestock_sustitutos!$H$52/12</f>
        <v>335.24921496648</v>
      </c>
      <c r="P227" s="12" t="n">
        <f aca="false">SUM(D227:O227)</f>
        <v>4170.13696738219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6" t="n">
        <f aca="false">datos_base!$I$4*parametros_recargas!E$57+sobrestock_sustitutos!$H$53/12</f>
        <v>1713.07043884966</v>
      </c>
      <c r="E228" s="26" t="n">
        <f aca="false">datos_base!$I$4*parametros_recargas!F$57+sobrestock_sustitutos!$H$53/12</f>
        <v>1669.91210219409</v>
      </c>
      <c r="F228" s="26" t="n">
        <f aca="false">datos_base!$I$4*parametros_recargas!G$57+sobrestock_sustitutos!$H$53/12</f>
        <v>2088.91384604934</v>
      </c>
      <c r="G228" s="26" t="n">
        <f aca="false">datos_base!$I$4*parametros_recargas!H$57+sobrestock_sustitutos!$H$53/12</f>
        <v>2534.51488818883</v>
      </c>
      <c r="H228" s="26" t="n">
        <f aca="false">datos_base!$I$4*parametros_recargas!I$57+sobrestock_sustitutos!$H$53/12</f>
        <v>2547.1852527412</v>
      </c>
      <c r="I228" s="26" t="n">
        <f aca="false">datos_base!$I$4*parametros_recargas!J$57+sobrestock_sustitutos!$H$53/12</f>
        <v>2511.58957780205</v>
      </c>
      <c r="J228" s="26" t="n">
        <f aca="false">datos_base!$I$4*parametros_recargas!K$57+sobrestock_sustitutos!$H$53/12</f>
        <v>2029.68170852534</v>
      </c>
      <c r="K228" s="26" t="n">
        <f aca="false">datos_base!$I$4*parametros_recargas!L$57+sobrestock_sustitutos!$H$53/12</f>
        <v>2026.50418690444</v>
      </c>
      <c r="L228" s="26" t="n">
        <f aca="false">datos_base!$I$4*parametros_recargas!M$57+sobrestock_sustitutos!$H$53/12</f>
        <v>2057.7118236703</v>
      </c>
      <c r="M228" s="26" t="n">
        <f aca="false">datos_base!$I$4*parametros_recargas!N$57+sobrestock_sustitutos!$H$53/12</f>
        <v>2057.7118236703</v>
      </c>
      <c r="N228" s="26" t="n">
        <f aca="false">datos_base!$I$4*parametros_recargas!O$57+sobrestock_sustitutos!$H$53/12</f>
        <v>2088.1997957735</v>
      </c>
      <c r="O228" s="26" t="n">
        <f aca="false">datos_base!$I$4*parametros_recargas!P$57+sobrestock_sustitutos!$H$53/12</f>
        <v>2166.95380736823</v>
      </c>
      <c r="P228" s="12" t="n">
        <f aca="false">SUM(D228:O228)</f>
        <v>25491.9492517373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6" t="n">
        <f aca="false">datos_base!$I$5*parametros_recargas!E$58+sobrestock_sustitutos!$H$54/12</f>
        <v>99.5785663430491</v>
      </c>
      <c r="E229" s="26" t="n">
        <f aca="false">datos_base!$I$5*parametros_recargas!F$58+sobrestock_sustitutos!$H$54/12</f>
        <v>99.5785663430491</v>
      </c>
      <c r="F229" s="26" t="n">
        <f aca="false">datos_base!$I$5*parametros_recargas!G$58+sobrestock_sustitutos!$H$54/12</f>
        <v>126.077120968488</v>
      </c>
      <c r="G229" s="26" t="n">
        <f aca="false">datos_base!$I$5*parametros_recargas!H$58+sobrestock_sustitutos!$H$54/12</f>
        <v>151.128257059397</v>
      </c>
      <c r="H229" s="26" t="n">
        <f aca="false">datos_base!$I$5*parametros_recargas!I$58+sobrestock_sustitutos!$H$54/12</f>
        <v>153.082030106735</v>
      </c>
      <c r="I229" s="26" t="n">
        <f aca="false">datos_base!$I$5*parametros_recargas!J$58+sobrestock_sustitutos!$H$54/12</f>
        <v>148.404675925728</v>
      </c>
      <c r="J229" s="26" t="n">
        <f aca="false">datos_base!$I$5*parametros_recargas!K$58+sobrestock_sustitutos!$H$54/12</f>
        <v>117.360493906043</v>
      </c>
      <c r="K229" s="26" t="n">
        <f aca="false">datos_base!$I$5*parametros_recargas!L$58+sobrestock_sustitutos!$H$54/12</f>
        <v>119.18254016662</v>
      </c>
      <c r="L229" s="26" t="n">
        <f aca="false">datos_base!$I$5*parametros_recargas!M$58+sobrestock_sustitutos!$H$54/12</f>
        <v>123.859894347627</v>
      </c>
      <c r="M229" s="26" t="n">
        <f aca="false">datos_base!$I$5*parametros_recargas!N$58+sobrestock_sustitutos!$H$54/12</f>
        <v>123.859894347627</v>
      </c>
      <c r="N229" s="26" t="n">
        <f aca="false">datos_base!$I$5*parametros_recargas!O$58+sobrestock_sustitutos!$H$54/12</f>
        <v>121.906121300289</v>
      </c>
      <c r="O229" s="26" t="n">
        <f aca="false">datos_base!$I$5*parametros_recargas!P$58+sobrestock_sustitutos!$H$54/12</f>
        <v>126.583475481296</v>
      </c>
      <c r="P229" s="12" t="n">
        <f aca="false">SUM(D229:O229)</f>
        <v>1510.60163629595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6" t="n">
        <f aca="false">datos_base!$I$6*parametros_recargas!E$59+sobrestock_sustitutos!$H$55/12</f>
        <v>143.163729597172</v>
      </c>
      <c r="E230" s="26" t="n">
        <f aca="false">datos_base!$I$6*parametros_recargas!F$59+sobrestock_sustitutos!$H$55/12</f>
        <v>143.163729597172</v>
      </c>
      <c r="F230" s="26" t="n">
        <f aca="false">datos_base!$I$6*parametros_recargas!G$59+sobrestock_sustitutos!$H$55/12</f>
        <v>176.337354471445</v>
      </c>
      <c r="G230" s="26" t="n">
        <f aca="false">datos_base!$I$6*parametros_recargas!H$59+sobrestock_sustitutos!$H$55/12</f>
        <v>210.901980637533</v>
      </c>
      <c r="H230" s="26" t="n">
        <f aca="false">datos_base!$I$6*parametros_recargas!I$59+sobrestock_sustitutos!$H$55/12</f>
        <v>212.723340958796</v>
      </c>
      <c r="I230" s="26" t="n">
        <f aca="false">datos_base!$I$6*parametros_recargas!J$59+sobrestock_sustitutos!$H$55/12</f>
        <v>205.792706035669</v>
      </c>
      <c r="J230" s="26" t="n">
        <f aca="false">datos_base!$I$6*parametros_recargas!K$59+sobrestock_sustitutos!$H$55/12</f>
        <v>166.667352746049</v>
      </c>
      <c r="K230" s="26" t="n">
        <f aca="false">datos_base!$I$6*parametros_recargas!L$59+sobrestock_sustitutos!$H$55/12</f>
        <v>167.509806559531</v>
      </c>
      <c r="L230" s="26" t="n">
        <f aca="false">datos_base!$I$6*parametros_recargas!M$59+sobrestock_sustitutos!$H$55/12</f>
        <v>173.969876395649</v>
      </c>
      <c r="M230" s="26" t="n">
        <f aca="false">datos_base!$I$6*parametros_recargas!N$59+sobrestock_sustitutos!$H$55/12</f>
        <v>173.969876395649</v>
      </c>
      <c r="N230" s="26" t="n">
        <f aca="false">datos_base!$I$6*parametros_recargas!O$59+sobrestock_sustitutos!$H$55/12</f>
        <v>172.148516074386</v>
      </c>
      <c r="O230" s="26" t="n">
        <f aca="false">datos_base!$I$6*parametros_recargas!P$59+sobrestock_sustitutos!$H$55/12</f>
        <v>179.079150997514</v>
      </c>
      <c r="P230" s="12" t="n">
        <f aca="false">SUM(D230:O230)</f>
        <v>2125.42742046656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6" t="n">
        <f aca="false">datos_base!$I$7*parametros_recargas!E$60+sobrestock_sustitutos!$H$56/12</f>
        <v>32.8821178001395</v>
      </c>
      <c r="E231" s="26" t="n">
        <f aca="false">datos_base!$I$7*parametros_recargas!F$60+sobrestock_sustitutos!$H$56/12</f>
        <v>32.8821178001395</v>
      </c>
      <c r="F231" s="26" t="n">
        <f aca="false">datos_base!$I$7*parametros_recargas!G$60+sobrestock_sustitutos!$H$56/12</f>
        <v>32.8821178001395</v>
      </c>
      <c r="G231" s="26" t="n">
        <f aca="false">datos_base!$I$7*parametros_recargas!H$60+sobrestock_sustitutos!$H$56/12</f>
        <v>32.8821178001395</v>
      </c>
      <c r="H231" s="26" t="n">
        <f aca="false">datos_base!$I$7*parametros_recargas!I$60+sobrestock_sustitutos!$H$56/12</f>
        <v>32.8821178001395</v>
      </c>
      <c r="I231" s="26" t="n">
        <f aca="false">datos_base!$I$7*parametros_recargas!J$60+sobrestock_sustitutos!$H$56/12</f>
        <v>32.8821178001395</v>
      </c>
      <c r="J231" s="26" t="n">
        <f aca="false">datos_base!$I$7*parametros_recargas!K$60+sobrestock_sustitutos!$H$56/12</f>
        <v>32.8821178001395</v>
      </c>
      <c r="K231" s="26" t="n">
        <f aca="false">datos_base!$I$7*parametros_recargas!L$60+sobrestock_sustitutos!$H$56/12</f>
        <v>32.8821178001395</v>
      </c>
      <c r="L231" s="26" t="n">
        <f aca="false">datos_base!$I$7*parametros_recargas!M$60+sobrestock_sustitutos!$H$56/12</f>
        <v>32.8821178001395</v>
      </c>
      <c r="M231" s="26" t="n">
        <f aca="false">datos_base!$I$7*parametros_recargas!N$60+sobrestock_sustitutos!$H$56/12</f>
        <v>32.8821178001395</v>
      </c>
      <c r="N231" s="26" t="n">
        <f aca="false">datos_base!$I$7*parametros_recargas!O$60+sobrestock_sustitutos!$H$56/12</f>
        <v>32.8821178001395</v>
      </c>
      <c r="O231" s="26" t="n">
        <f aca="false">datos_base!$I$7*parametros_recargas!P$60+sobrestock_sustitutos!$H$56/12</f>
        <v>32.8821178001395</v>
      </c>
      <c r="P231" s="12" t="n">
        <f aca="false">SUM(D231:O231)</f>
        <v>394.585413601674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6" t="n">
        <f aca="false">datos_base!$I$8*parametros_recargas!E$61+sobrestock_sustitutos!$H$57/12</f>
        <v>17.3322890355129</v>
      </c>
      <c r="E232" s="26" t="n">
        <f aca="false">datos_base!$I$8*parametros_recargas!F$61+sobrestock_sustitutos!$H$57/12</f>
        <v>17.3322890355129</v>
      </c>
      <c r="F232" s="26" t="n">
        <f aca="false">datos_base!$I$8*parametros_recargas!G$61+sobrestock_sustitutos!$H$57/12</f>
        <v>17.3322890355129</v>
      </c>
      <c r="G232" s="26" t="n">
        <f aca="false">datos_base!$I$8*parametros_recargas!H$61+sobrestock_sustitutos!$H$57/12</f>
        <v>17.3322890355129</v>
      </c>
      <c r="H232" s="26" t="n">
        <f aca="false">datos_base!$I$8*parametros_recargas!I$61+sobrestock_sustitutos!$H$57/12</f>
        <v>17.3322890355129</v>
      </c>
      <c r="I232" s="26" t="n">
        <f aca="false">datos_base!$I$8*parametros_recargas!J$61+sobrestock_sustitutos!$H$57/12</f>
        <v>17.3322890355129</v>
      </c>
      <c r="J232" s="26" t="n">
        <f aca="false">datos_base!$I$8*parametros_recargas!K$61+sobrestock_sustitutos!$H$57/12</f>
        <v>17.3322890355129</v>
      </c>
      <c r="K232" s="26" t="n">
        <f aca="false">datos_base!$I$8*parametros_recargas!L$61+sobrestock_sustitutos!$H$57/12</f>
        <v>17.3322890355129</v>
      </c>
      <c r="L232" s="26" t="n">
        <f aca="false">datos_base!$I$8*parametros_recargas!M$61+sobrestock_sustitutos!$H$57/12</f>
        <v>17.3322890355129</v>
      </c>
      <c r="M232" s="26" t="n">
        <f aca="false">datos_base!$I$8*parametros_recargas!N$61+sobrestock_sustitutos!$H$57/12</f>
        <v>17.3322890355129</v>
      </c>
      <c r="N232" s="26" t="n">
        <f aca="false">datos_base!$I$8*parametros_recargas!O$61+sobrestock_sustitutos!$H$57/12</f>
        <v>17.3322890355129</v>
      </c>
      <c r="O232" s="26" t="n">
        <f aca="false">datos_base!$I$8*parametros_recargas!P$61+sobrestock_sustitutos!$H$57/12</f>
        <v>17.3322890355129</v>
      </c>
      <c r="P232" s="12" t="n">
        <f aca="false">SUM(D232:O232)</f>
        <v>207.987468426155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6" t="n">
        <f aca="false">datos_base!$I$9*parametros_recargas!E$62+sobrestock_sustitutos!$H$58/12</f>
        <v>9.97653078563615</v>
      </c>
      <c r="E233" s="26" t="n">
        <f aca="false">datos_base!$I$9*parametros_recargas!F$62+sobrestock_sustitutos!$H$58/12</f>
        <v>9.97653078563615</v>
      </c>
      <c r="F233" s="26" t="n">
        <f aca="false">datos_base!$I$9*parametros_recargas!G$62+sobrestock_sustitutos!$H$58/12</f>
        <v>9.97653078563615</v>
      </c>
      <c r="G233" s="26" t="n">
        <f aca="false">datos_base!$I$9*parametros_recargas!H$62+sobrestock_sustitutos!$H$58/12</f>
        <v>9.97653078563615</v>
      </c>
      <c r="H233" s="26" t="n">
        <f aca="false">datos_base!$I$9*parametros_recargas!I$62+sobrestock_sustitutos!$H$58/12</f>
        <v>9.97653078563615</v>
      </c>
      <c r="I233" s="26" t="n">
        <f aca="false">datos_base!$I$9*parametros_recargas!J$62+sobrestock_sustitutos!$H$58/12</f>
        <v>9.97653078563615</v>
      </c>
      <c r="J233" s="26" t="n">
        <f aca="false">datos_base!$I$9*parametros_recargas!K$62+sobrestock_sustitutos!$H$58/12</f>
        <v>9.97653078563615</v>
      </c>
      <c r="K233" s="26" t="n">
        <f aca="false">datos_base!$I$9*parametros_recargas!L$62+sobrestock_sustitutos!$H$58/12</f>
        <v>9.97653078563615</v>
      </c>
      <c r="L233" s="26" t="n">
        <f aca="false">datos_base!$I$9*parametros_recargas!M$62+sobrestock_sustitutos!$H$58/12</f>
        <v>9.97653078563615</v>
      </c>
      <c r="M233" s="26" t="n">
        <f aca="false">datos_base!$I$9*parametros_recargas!N$62+sobrestock_sustitutos!$H$58/12</f>
        <v>9.97653078563615</v>
      </c>
      <c r="N233" s="26" t="n">
        <f aca="false">datos_base!$I$9*parametros_recargas!O$62+sobrestock_sustitutos!$H$58/12</f>
        <v>9.97653078563615</v>
      </c>
      <c r="O233" s="26" t="n">
        <f aca="false">datos_base!$I$9*parametros_recargas!P$62+sobrestock_sustitutos!$H$58/12</f>
        <v>9.97653078563615</v>
      </c>
      <c r="P233" s="12" t="n">
        <f aca="false">SUM(D233:O233)</f>
        <v>119.718369427634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6" t="n">
        <f aca="false">datos_base!$I$10*parametros_recargas!E$63+sobrestock_sustitutos!$H$59/12</f>
        <v>72.7457692812745</v>
      </c>
      <c r="E234" s="26" t="n">
        <f aca="false">datos_base!$I$10*parametros_recargas!F$63+sobrestock_sustitutos!$H$59/12</f>
        <v>72.7457692812745</v>
      </c>
      <c r="F234" s="26" t="n">
        <f aca="false">datos_base!$I$10*parametros_recargas!G$63+sobrestock_sustitutos!$H$59/12</f>
        <v>87.8543203275363</v>
      </c>
      <c r="G234" s="26" t="n">
        <f aca="false">datos_base!$I$10*parametros_recargas!H$63+sobrestock_sustitutos!$H$59/12</f>
        <v>98.2484290290548</v>
      </c>
      <c r="H234" s="26" t="n">
        <f aca="false">datos_base!$I$10*parametros_recargas!I$63+sobrestock_sustitutos!$H$59/12</f>
        <v>101.703863481711</v>
      </c>
      <c r="I234" s="26" t="n">
        <f aca="false">datos_base!$I$10*parametros_recargas!J$63+sobrestock_sustitutos!$H$59/12</f>
        <v>99.4840560272779</v>
      </c>
      <c r="J234" s="26" t="n">
        <f aca="false">datos_base!$I$10*parametros_recargas!K$63+sobrestock_sustitutos!$H$59/12</f>
        <v>80.4396707471864</v>
      </c>
      <c r="K234" s="26" t="n">
        <f aca="false">datos_base!$I$10*parametros_recargas!L$63+sobrestock_sustitutos!$H$59/12</f>
        <v>85.6111319792392</v>
      </c>
      <c r="L234" s="26" t="n">
        <f aca="false">datos_base!$I$10*parametros_recargas!M$63+sobrestock_sustitutos!$H$59/12</f>
        <v>87.8309394336725</v>
      </c>
      <c r="M234" s="26" t="n">
        <f aca="false">datos_base!$I$10*parametros_recargas!N$63+sobrestock_sustitutos!$H$59/12</f>
        <v>87.8309394336725</v>
      </c>
      <c r="N234" s="26" t="n">
        <f aca="false">datos_base!$I$10*parametros_recargas!O$63+sobrestock_sustitutos!$H$59/12</f>
        <v>84.3755049810161</v>
      </c>
      <c r="O234" s="26" t="n">
        <f aca="false">datos_base!$I$10*parametros_recargas!P$63+sobrestock_sustitutos!$H$59/12</f>
        <v>86.5953124354494</v>
      </c>
      <c r="P234" s="12" t="n">
        <f aca="false">SUM(D234:O234)</f>
        <v>1045.46570643837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6" t="n">
        <f aca="false">datos_base!$I$11*parametros_recargas!E$64+sobrestock_sustitutos!$H$60/12</f>
        <v>359.43425105406</v>
      </c>
      <c r="E235" s="26" t="n">
        <f aca="false">datos_base!$I$11*parametros_recargas!F$64+sobrestock_sustitutos!$H$60/12</f>
        <v>359.43425105406</v>
      </c>
      <c r="F235" s="26" t="n">
        <f aca="false">datos_base!$I$11*parametros_recargas!G$64+sobrestock_sustitutos!$H$60/12</f>
        <v>477.378221779534</v>
      </c>
      <c r="G235" s="26" t="n">
        <f aca="false">datos_base!$I$11*parametros_recargas!H$64+sobrestock_sustitutos!$H$60/12</f>
        <v>585.654237807843</v>
      </c>
      <c r="H235" s="26" t="n">
        <f aca="false">datos_base!$I$11*parametros_recargas!I$64+sobrestock_sustitutos!$H$60/12</f>
        <v>589.005964487533</v>
      </c>
      <c r="I235" s="26" t="n">
        <f aca="false">datos_base!$I$11*parametros_recargas!J$64+sobrestock_sustitutos!$H$60/12</f>
        <v>580.905741668184</v>
      </c>
      <c r="J235" s="26" t="n">
        <f aca="false">datos_base!$I$11*parametros_recargas!K$64+sobrestock_sustitutos!$H$60/12</f>
        <v>458.718046862083</v>
      </c>
      <c r="K235" s="26" t="n">
        <f aca="false">datos_base!$I$11*parametros_recargas!L$64+sobrestock_sustitutos!$H$60/12</f>
        <v>458.213274803052</v>
      </c>
      <c r="L235" s="26" t="n">
        <f aca="false">datos_base!$I$11*parametros_recargas!M$64+sobrestock_sustitutos!$H$60/12</f>
        <v>466.313497622401</v>
      </c>
      <c r="M235" s="26" t="n">
        <f aca="false">datos_base!$I$11*parametros_recargas!N$64+sobrestock_sustitutos!$H$60/12</f>
        <v>466.313497622401</v>
      </c>
      <c r="N235" s="26" t="n">
        <f aca="false">datos_base!$I$11*parametros_recargas!O$64+sobrestock_sustitutos!$H$60/12</f>
        <v>462.96177094271</v>
      </c>
      <c r="O235" s="26" t="n">
        <f aca="false">datos_base!$I$11*parametros_recargas!P$64+sobrestock_sustitutos!$H$60/12</f>
        <v>471.061993762059</v>
      </c>
      <c r="P235" s="12" t="n">
        <f aca="false">SUM(D235:O235)</f>
        <v>5735.39474946592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6" t="n">
        <f aca="false">datos_base!$I$12*parametros_recargas!E$65+sobrestock_sustitutos!$H$61/12</f>
        <v>146.721800248658</v>
      </c>
      <c r="E236" s="26" t="n">
        <f aca="false">datos_base!$I$12*parametros_recargas!F$65+sobrestock_sustitutos!$H$61/12</f>
        <v>146.721800248658</v>
      </c>
      <c r="F236" s="26" t="n">
        <f aca="false">datos_base!$I$12*parametros_recargas!G$65+sobrestock_sustitutos!$H$61/12</f>
        <v>159.571000188111</v>
      </c>
      <c r="G236" s="26" t="n">
        <f aca="false">datos_base!$I$12*parametros_recargas!H$65+sobrestock_sustitutos!$H$61/12</f>
        <v>177.332823122104</v>
      </c>
      <c r="H236" s="26" t="n">
        <f aca="false">datos_base!$I$12*parametros_recargas!I$65+sobrestock_sustitutos!$H$61/12</f>
        <v>181.342351201126</v>
      </c>
      <c r="I236" s="26" t="n">
        <f aca="false">datos_base!$I$12*parametros_recargas!J$65+sobrestock_sustitutos!$H$61/12</f>
        <v>171.704106327913</v>
      </c>
      <c r="J236" s="26" t="n">
        <f aca="false">datos_base!$I$12*parametros_recargas!K$65+sobrestock_sustitutos!$H$61/12</f>
        <v>150.02796728103</v>
      </c>
      <c r="K236" s="26" t="n">
        <f aca="false">datos_base!$I$12*parametros_recargas!L$65+sobrestock_sustitutos!$H$61/12</f>
        <v>153.226189594269</v>
      </c>
      <c r="L236" s="26" t="n">
        <f aca="false">datos_base!$I$12*parametros_recargas!M$65+sobrestock_sustitutos!$H$61/12</f>
        <v>160.633040994992</v>
      </c>
      <c r="M236" s="26" t="n">
        <f aca="false">datos_base!$I$12*parametros_recargas!N$65+sobrestock_sustitutos!$H$61/12</f>
        <v>160.633040994992</v>
      </c>
      <c r="N236" s="26" t="n">
        <f aca="false">datos_base!$I$12*parametros_recargas!O$65+sobrestock_sustitutos!$H$61/12</f>
        <v>156.623512915971</v>
      </c>
      <c r="O236" s="26" t="n">
        <f aca="false">datos_base!$I$12*parametros_recargas!P$65+sobrestock_sustitutos!$H$61/12</f>
        <v>166.261757789184</v>
      </c>
      <c r="P236" s="12" t="n">
        <f aca="false">SUM(D236:O236)</f>
        <v>1930.79939090701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6" t="n">
        <f aca="false">datos_base!$I$13*parametros_recargas!E$66+sobrestock_sustitutos!$H$62/12</f>
        <v>28.5345883606468</v>
      </c>
      <c r="E237" s="26" t="n">
        <f aca="false">datos_base!$I$13*parametros_recargas!F$66+sobrestock_sustitutos!$H$62/12</f>
        <v>28.5345883606468</v>
      </c>
      <c r="F237" s="26" t="n">
        <f aca="false">datos_base!$I$13*parametros_recargas!G$66+sobrestock_sustitutos!$H$62/12</f>
        <v>26.1714312204152</v>
      </c>
      <c r="G237" s="26" t="n">
        <f aca="false">datos_base!$I$13*parametros_recargas!H$66+sobrestock_sustitutos!$H$62/12</f>
        <v>26.1714312204152</v>
      </c>
      <c r="H237" s="26" t="n">
        <f aca="false">datos_base!$I$13*parametros_recargas!I$66+sobrestock_sustitutos!$H$62/12</f>
        <v>26.1714312204152</v>
      </c>
      <c r="I237" s="26" t="n">
        <f aca="false">datos_base!$I$13*parametros_recargas!J$66+sobrestock_sustitutos!$H$62/12</f>
        <v>23.8082740801836</v>
      </c>
      <c r="J237" s="26" t="n">
        <f aca="false">datos_base!$I$13*parametros_recargas!K$66+sobrestock_sustitutos!$H$62/12</f>
        <v>23.8082740801836</v>
      </c>
      <c r="K237" s="26" t="n">
        <f aca="false">datos_base!$I$13*parametros_recargas!L$66+sobrestock_sustitutos!$H$62/12</f>
        <v>23.8082740801836</v>
      </c>
      <c r="L237" s="26" t="n">
        <f aca="false">datos_base!$I$13*parametros_recargas!M$66+sobrestock_sustitutos!$H$62/12</f>
        <v>26.1714312204152</v>
      </c>
      <c r="M237" s="26" t="n">
        <f aca="false">datos_base!$I$13*parametros_recargas!N$66+sobrestock_sustitutos!$H$62/12</f>
        <v>26.1714312204152</v>
      </c>
      <c r="N237" s="26" t="n">
        <f aca="false">datos_base!$I$13*parametros_recargas!O$66+sobrestock_sustitutos!$H$62/12</f>
        <v>26.1714312204152</v>
      </c>
      <c r="O237" s="26" t="n">
        <f aca="false">datos_base!$I$13*parametros_recargas!P$66+sobrestock_sustitutos!$H$62/12</f>
        <v>28.5345883606468</v>
      </c>
      <c r="P237" s="12" t="n">
        <f aca="false">SUM(D237:O237)</f>
        <v>314.057174644982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6" t="n">
        <f aca="false">datos_base!$I$14*parametros_recargas!E$67+sobrestock_sustitutos!$H$63/12</f>
        <v>8.97969168539883</v>
      </c>
      <c r="E238" s="26" t="n">
        <f aca="false">datos_base!$I$14*parametros_recargas!F$67+sobrestock_sustitutos!$H$63/12</f>
        <v>8.97969168539883</v>
      </c>
      <c r="F238" s="26" t="n">
        <f aca="false">datos_base!$I$14*parametros_recargas!G$67+sobrestock_sustitutos!$H$63/12</f>
        <v>8.97969168539883</v>
      </c>
      <c r="G238" s="26" t="n">
        <f aca="false">datos_base!$I$14*parametros_recargas!H$67+sobrestock_sustitutos!$H$63/12</f>
        <v>8.97969168539883</v>
      </c>
      <c r="H238" s="26" t="n">
        <f aca="false">datos_base!$I$14*parametros_recargas!I$67+sobrestock_sustitutos!$H$63/12</f>
        <v>8.97969168539883</v>
      </c>
      <c r="I238" s="26" t="n">
        <f aca="false">datos_base!$I$14*parametros_recargas!J$67+sobrestock_sustitutos!$H$63/12</f>
        <v>8.97969168539883</v>
      </c>
      <c r="J238" s="26" t="n">
        <f aca="false">datos_base!$I$14*parametros_recargas!K$67+sobrestock_sustitutos!$H$63/12</f>
        <v>8.97969168539883</v>
      </c>
      <c r="K238" s="26" t="n">
        <f aca="false">datos_base!$I$14*parametros_recargas!L$67+sobrestock_sustitutos!$H$63/12</f>
        <v>8.97969168539883</v>
      </c>
      <c r="L238" s="26" t="n">
        <f aca="false">datos_base!$I$14*parametros_recargas!M$67+sobrestock_sustitutos!$H$63/12</f>
        <v>8.97969168539883</v>
      </c>
      <c r="M238" s="26" t="n">
        <f aca="false">datos_base!$I$14*parametros_recargas!N$67+sobrestock_sustitutos!$H$63/12</f>
        <v>8.97969168539883</v>
      </c>
      <c r="N238" s="26" t="n">
        <f aca="false">datos_base!$I$14*parametros_recargas!O$67+sobrestock_sustitutos!$H$63/12</f>
        <v>8.97969168539883</v>
      </c>
      <c r="O238" s="26" t="n">
        <f aca="false">datos_base!$I$14*parametros_recargas!P$67+sobrestock_sustitutos!$H$63/12</f>
        <v>8.97969168539883</v>
      </c>
      <c r="P238" s="12" t="n">
        <f aca="false">SUM(D238:O238)</f>
        <v>107.756300224786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6" t="n">
        <f aca="false">datos_base!$I$15*parametros_recargas!E$68+sobrestock_sustitutos!$H$64/12</f>
        <v>19.2620998710842</v>
      </c>
      <c r="E239" s="26" t="n">
        <f aca="false">datos_base!$I$15*parametros_recargas!F$68+sobrestock_sustitutos!$H$64/12</f>
        <v>19.2620998710842</v>
      </c>
      <c r="F239" s="26" t="n">
        <f aca="false">datos_base!$I$15*parametros_recargas!G$68+sobrestock_sustitutos!$H$64/12</f>
        <v>21.5209156930451</v>
      </c>
      <c r="G239" s="26" t="n">
        <f aca="false">datos_base!$I$15*parametros_recargas!H$68+sobrestock_sustitutos!$H$64/12</f>
        <v>24.5683294543409</v>
      </c>
      <c r="H239" s="26" t="n">
        <f aca="false">datos_base!$I$15*parametros_recargas!I$68+sobrestock_sustitutos!$H$64/12</f>
        <v>24.7496521500369</v>
      </c>
      <c r="I239" s="26" t="n">
        <f aca="false">datos_base!$I$15*parametros_recargas!J$68+sobrestock_sustitutos!$H$64/12</f>
        <v>23.6166042906999</v>
      </c>
      <c r="J239" s="26" t="n">
        <f aca="false">datos_base!$I$15*parametros_recargas!K$68+sobrestock_sustitutos!$H$64/12</f>
        <v>20.124981525859</v>
      </c>
      <c r="K239" s="26" t="n">
        <f aca="false">datos_base!$I$15*parametros_recargas!L$68+sobrestock_sustitutos!$H$64/12</f>
        <v>20.4060633050979</v>
      </c>
      <c r="L239" s="26" t="n">
        <f aca="false">datos_base!$I$15*parametros_recargas!M$68+sobrestock_sustitutos!$H$64/12</f>
        <v>21.5391111644349</v>
      </c>
      <c r="M239" s="26" t="n">
        <f aca="false">datos_base!$I$15*parametros_recargas!N$68+sobrestock_sustitutos!$H$64/12</f>
        <v>21.5391111644349</v>
      </c>
      <c r="N239" s="26" t="n">
        <f aca="false">datos_base!$I$15*parametros_recargas!O$68+sobrestock_sustitutos!$H$64/12</f>
        <v>21.3577884687389</v>
      </c>
      <c r="O239" s="26" t="n">
        <f aca="false">datos_base!$I$15*parametros_recargas!P$68+sobrestock_sustitutos!$H$64/12</f>
        <v>22.490836328076</v>
      </c>
      <c r="P239" s="12" t="n">
        <f aca="false">SUM(D239:O239)</f>
        <v>260.437593286933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6" t="n">
        <f aca="false">datos_base!$I$16*parametros_recargas!E$69+sobrestock_sustitutos!$H$65/12</f>
        <v>42.3098420039217</v>
      </c>
      <c r="E240" s="26" t="n">
        <f aca="false">datos_base!$I$16*parametros_recargas!F$69+sobrestock_sustitutos!$H$65/12</f>
        <v>42.3098420039217</v>
      </c>
      <c r="F240" s="26" t="n">
        <f aca="false">datos_base!$I$16*parametros_recargas!G$69+sobrestock_sustitutos!$H$65/12</f>
        <v>47.2792500802415</v>
      </c>
      <c r="G240" s="26" t="n">
        <f aca="false">datos_base!$I$16*parametros_recargas!H$69+sobrestock_sustitutos!$H$65/12</f>
        <v>53.9838926940109</v>
      </c>
      <c r="H240" s="26" t="n">
        <f aca="false">datos_base!$I$16*parametros_recargas!I$69+sobrestock_sustitutos!$H$65/12</f>
        <v>54.3826418546665</v>
      </c>
      <c r="I240" s="26" t="n">
        <f aca="false">datos_base!$I$16*parametros_recargas!J$69+sobrestock_sustitutos!$H$65/12</f>
        <v>51.8899332522919</v>
      </c>
      <c r="J240" s="26" t="n">
        <f aca="false">datos_base!$I$16*parametros_recargas!K$69+sobrestock_sustitutos!$H$65/12</f>
        <v>44.2084298650766</v>
      </c>
      <c r="K240" s="26" t="n">
        <f aca="false">datos_base!$I$16*parametros_recargas!L$69+sobrestock_sustitutos!$H$65/12</f>
        <v>44.826565734253</v>
      </c>
      <c r="L240" s="26" t="n">
        <f aca="false">datos_base!$I$16*parametros_recargas!M$69+sobrestock_sustitutos!$H$65/12</f>
        <v>47.3192743366276</v>
      </c>
      <c r="M240" s="26" t="n">
        <f aca="false">datos_base!$I$16*parametros_recargas!N$69+sobrestock_sustitutos!$H$65/12</f>
        <v>47.3192743366276</v>
      </c>
      <c r="N240" s="26" t="n">
        <f aca="false">datos_base!$I$16*parametros_recargas!O$69+sobrestock_sustitutos!$H$65/12</f>
        <v>46.9205251759721</v>
      </c>
      <c r="O240" s="26" t="n">
        <f aca="false">datos_base!$I$16*parametros_recargas!P$69+sobrestock_sustitutos!$H$65/12</f>
        <v>49.4132337783467</v>
      </c>
      <c r="P240" s="12" t="n">
        <f aca="false">SUM(D240:O240)</f>
        <v>572.162705115958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6" t="n">
        <f aca="false">datos_base!$I$17*parametros_recargas!E$70+sobrestock_sustitutos!$H$66/12</f>
        <v>9.25236946623397</v>
      </c>
      <c r="E241" s="26" t="n">
        <f aca="false">datos_base!$I$17*parametros_recargas!F$70+sobrestock_sustitutos!$H$66/12</f>
        <v>9.25236946623397</v>
      </c>
      <c r="F241" s="26" t="n">
        <f aca="false">datos_base!$I$17*parametros_recargas!G$70+sobrestock_sustitutos!$H$66/12</f>
        <v>10.3366625982149</v>
      </c>
      <c r="G241" s="26" t="n">
        <f aca="false">datos_base!$I$17*parametros_recargas!H$70+sobrestock_sustitutos!$H$66/12</f>
        <v>11.7995632088113</v>
      </c>
      <c r="H241" s="26" t="n">
        <f aca="false">datos_base!$I$17*parametros_recargas!I$70+sobrestock_sustitutos!$H$66/12</f>
        <v>11.8865636853698</v>
      </c>
      <c r="I241" s="26" t="n">
        <f aca="false">datos_base!$I$17*parametros_recargas!J$70+sobrestock_sustitutos!$H$66/12</f>
        <v>11.3427146544185</v>
      </c>
      <c r="J241" s="26" t="n">
        <f aca="false">datos_base!$I$17*parametros_recargas!K$70+sobrestock_sustitutos!$H$66/12</f>
        <v>9.66669255281647</v>
      </c>
      <c r="K241" s="26" t="n">
        <f aca="false">datos_base!$I$17*parametros_recargas!L$70+sobrestock_sustitutos!$H$66/12</f>
        <v>9.8015729680449</v>
      </c>
      <c r="L241" s="26" t="n">
        <f aca="false">datos_base!$I$17*parametros_recargas!M$70+sobrestock_sustitutos!$H$66/12</f>
        <v>10.3454219989962</v>
      </c>
      <c r="M241" s="26" t="n">
        <f aca="false">datos_base!$I$17*parametros_recargas!N$70+sobrestock_sustitutos!$H$66/12</f>
        <v>10.3454219989962</v>
      </c>
      <c r="N241" s="26" t="n">
        <f aca="false">datos_base!$I$17*parametros_recargas!O$70+sobrestock_sustitutos!$H$66/12</f>
        <v>10.2584215224376</v>
      </c>
      <c r="O241" s="26" t="n">
        <f aca="false">datos_base!$I$17*parametros_recargas!P$70+sobrestock_sustitutos!$H$66/12</f>
        <v>10.8022705533889</v>
      </c>
      <c r="P241" s="12" t="n">
        <f aca="false">SUM(D241:O241)</f>
        <v>125.090044673963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6" t="n">
        <f aca="false">datos_base!$I$18*parametros_recargas!E$71+sobrestock_sustitutos!$H$67/12</f>
        <v>6.22372233101751</v>
      </c>
      <c r="E242" s="26" t="n">
        <f aca="false">datos_base!$I$18*parametros_recargas!F$71+sobrestock_sustitutos!$H$67/12</f>
        <v>6.22372233101751</v>
      </c>
      <c r="F242" s="26" t="n">
        <f aca="false">datos_base!$I$18*parametros_recargas!G$71+sobrestock_sustitutos!$H$67/12</f>
        <v>6.94666520159986</v>
      </c>
      <c r="G242" s="26" t="n">
        <f aca="false">datos_base!$I$18*parametros_recargas!H$71+sobrestock_sustitutos!$H$67/12</f>
        <v>7.92202127466442</v>
      </c>
      <c r="H242" s="26" t="n">
        <f aca="false">datos_base!$I$18*parametros_recargas!I$71+sobrestock_sustitutos!$H$67/12</f>
        <v>7.97997796196118</v>
      </c>
      <c r="I242" s="26" t="n">
        <f aca="false">datos_base!$I$18*parametros_recargas!J$71+sobrestock_sustitutos!$H$67/12</f>
        <v>7.61744512762025</v>
      </c>
      <c r="J242" s="26" t="n">
        <f aca="false">datos_base!$I$18*parametros_recargas!K$71+sobrestock_sustitutos!$H$67/12</f>
        <v>6.5000942076812</v>
      </c>
      <c r="K242" s="26" t="n">
        <f aca="false">datos_base!$I$18*parametros_recargas!L$71+sobrestock_sustitutos!$H$67/12</f>
        <v>6.58992610999374</v>
      </c>
      <c r="L242" s="26" t="n">
        <f aca="false">datos_base!$I$18*parametros_recargas!M$71+sobrestock_sustitutos!$H$67/12</f>
        <v>6.95245894433467</v>
      </c>
      <c r="M242" s="26" t="n">
        <f aca="false">datos_base!$I$18*parametros_recargas!N$71+sobrestock_sustitutos!$H$67/12</f>
        <v>6.95245894433467</v>
      </c>
      <c r="N242" s="26" t="n">
        <f aca="false">datos_base!$I$18*parametros_recargas!O$71+sobrestock_sustitutos!$H$67/12</f>
        <v>6.89450225703791</v>
      </c>
      <c r="O242" s="26" t="n">
        <f aca="false">datos_base!$I$18*parametros_recargas!P$71+sobrestock_sustitutos!$H$67/12</f>
        <v>7.25703509137884</v>
      </c>
      <c r="P242" s="12" t="n">
        <f aca="false">SUM(D242:O242)</f>
        <v>84.0600297826418</v>
      </c>
    </row>
    <row r="243" customFormat="false" ht="15" hidden="false" customHeight="false" outlineLevel="0" collapsed="false">
      <c r="A243" s="4" t="s">
        <v>385</v>
      </c>
      <c r="D243" s="12" t="n">
        <f aca="false">SUM(D226:D242)</f>
        <v>8887.91013205814</v>
      </c>
      <c r="E243" s="12" t="n">
        <f aca="false">SUM(E226:E242)</f>
        <v>7638.96582666513</v>
      </c>
      <c r="F243" s="12" t="n">
        <f aca="false">SUM(F226:F242)</f>
        <v>7156.14289887206</v>
      </c>
      <c r="G243" s="12" t="n">
        <f aca="false">SUM(G226:G242)</f>
        <v>7862.17230926679</v>
      </c>
      <c r="H243" s="12" t="n">
        <f aca="false">SUM(H226:H242)</f>
        <v>7924.98442531813</v>
      </c>
      <c r="I243" s="12" t="n">
        <f aca="false">SUM(I226:I242)</f>
        <v>7845.7288763374</v>
      </c>
      <c r="J243" s="12" t="n">
        <f aca="false">SUM(J226:J242)</f>
        <v>7000.20211657592</v>
      </c>
      <c r="K243" s="12" t="n">
        <f aca="false">SUM(K226:K242)</f>
        <v>7063.16406580808</v>
      </c>
      <c r="L243" s="12" t="n">
        <f aca="false">SUM(L226:L242)</f>
        <v>7130.22232338719</v>
      </c>
      <c r="M243" s="12" t="n">
        <f aca="false">SUM(M226:M242)</f>
        <v>7130.22232338719</v>
      </c>
      <c r="N243" s="12" t="n">
        <f aca="false">SUM(N226:N242)</f>
        <v>8316.35451272887</v>
      </c>
      <c r="O243" s="12" t="n">
        <f aca="false">SUM(O226:O242)</f>
        <v>9644.55436710261</v>
      </c>
      <c r="P243" s="12" t="n">
        <f aca="false">SUM(P226:P242)</f>
        <v>93600.6241775075</v>
      </c>
    </row>
    <row r="244" customFormat="false" ht="15" hidden="false" customHeight="false" outlineLevel="0" collapsed="false">
      <c r="A244" s="4" t="s">
        <v>386</v>
      </c>
    </row>
    <row r="245" customFormat="false" ht="15" hidden="false" customHeight="false" outlineLevel="0" collapsed="false">
      <c r="A245" s="5" t="s">
        <v>165</v>
      </c>
      <c r="D245" s="26" t="n">
        <f aca="false">SUMPRODUCT(($B$226:$B$242=$A245)*D$226:D$242*$C$226:$C$242)</f>
        <v>8481.1826140827</v>
      </c>
      <c r="E245" s="26" t="n">
        <f aca="false">SUMPRODUCT(($B$226:$B$242=$A245)*E$226:E$242*$C$226:$C$242)</f>
        <v>7232.23830868968</v>
      </c>
      <c r="F245" s="26" t="n">
        <f aca="false">SUMPRODUCT(($B$226:$B$242=$A245)*F$226:F$242*$C$226:$C$242)</f>
        <v>6621.14097167323</v>
      </c>
      <c r="G245" s="26" t="n">
        <f aca="false">SUMPRODUCT(($B$226:$B$242=$A245)*G$226:G$242*$C$226:$C$242)</f>
        <v>7221.52429523639</v>
      </c>
      <c r="H245" s="26" t="n">
        <f aca="false">SUMPRODUCT(($B$226:$B$242=$A245)*H$226:H$242*$C$226:$C$242)</f>
        <v>7275.58513638756</v>
      </c>
      <c r="I245" s="26" t="n">
        <f aca="false">SUMPRODUCT(($B$226:$B$242=$A245)*I$226:I$242*$C$226:$C$242)</f>
        <v>7201.28552330483</v>
      </c>
      <c r="J245" s="26" t="n">
        <f aca="false">SUMPRODUCT(($B$226:$B$242=$A245)*J$226:J$242*$C$226:$C$242)</f>
        <v>6482.91997475108</v>
      </c>
      <c r="K245" s="26" t="n">
        <f aca="false">SUMPRODUCT(($B$226:$B$242=$A245)*K$226:K$242*$C$226:$C$242)</f>
        <v>6543.19978299672</v>
      </c>
      <c r="L245" s="26" t="n">
        <f aca="false">SUMPRODUCT(($B$226:$B$242=$A245)*L$226:L$242*$C$226:$C$242)</f>
        <v>6608.00406323734</v>
      </c>
      <c r="M245" s="26" t="n">
        <f aca="false">SUMPRODUCT(($B$226:$B$242=$A245)*M$226:M$242*$C$226:$C$242)</f>
        <v>6608.00406323734</v>
      </c>
      <c r="N245" s="26" t="n">
        <f aca="false">SUMPRODUCT(($B$226:$B$242=$A245)*N$226:N$242*$C$226:$C$242)</f>
        <v>7802.88752747918</v>
      </c>
      <c r="O245" s="26" t="n">
        <f aca="false">SUMPRODUCT(($B$226:$B$242=$A245)*O$226:O$242*$C$226:$C$242)</f>
        <v>9126.13144595492</v>
      </c>
      <c r="P245" s="26" t="n">
        <f aca="false">SUMPRODUCT(($B$226:$B$242=$A245)*P$226:P$242*$C$226:$C$242)</f>
        <v>87204.1037070309</v>
      </c>
    </row>
    <row r="246" customFormat="false" ht="15" hidden="false" customHeight="false" outlineLevel="0" collapsed="false">
      <c r="A246" s="5" t="s">
        <v>166</v>
      </c>
      <c r="D246" s="26" t="n">
        <f aca="false">SUMPRODUCT(($B$226:$B$242=$A246)*D$226:D$242*$C$226:$C$242)</f>
        <v>9.97653078563615</v>
      </c>
      <c r="E246" s="26" t="n">
        <f aca="false">SUMPRODUCT(($B$226:$B$242=$A246)*E$226:E$242*$C$226:$C$242)</f>
        <v>9.97653078563615</v>
      </c>
      <c r="F246" s="26" t="n">
        <f aca="false">SUMPRODUCT(($B$226:$B$242=$A246)*F$226:F$242*$C$226:$C$242)</f>
        <v>9.97653078563615</v>
      </c>
      <c r="G246" s="26" t="n">
        <f aca="false">SUMPRODUCT(($B$226:$B$242=$A246)*G$226:G$242*$C$226:$C$242)</f>
        <v>9.97653078563615</v>
      </c>
      <c r="H246" s="26" t="n">
        <f aca="false">SUMPRODUCT(($B$226:$B$242=$A246)*H$226:H$242*$C$226:$C$242)</f>
        <v>9.97653078563615</v>
      </c>
      <c r="I246" s="26" t="n">
        <f aca="false">SUMPRODUCT(($B$226:$B$242=$A246)*I$226:I$242*$C$226:$C$242)</f>
        <v>9.97653078563615</v>
      </c>
      <c r="J246" s="26" t="n">
        <f aca="false">SUMPRODUCT(($B$226:$B$242=$A246)*J$226:J$242*$C$226:$C$242)</f>
        <v>9.97653078563615</v>
      </c>
      <c r="K246" s="26" t="n">
        <f aca="false">SUMPRODUCT(($B$226:$B$242=$A246)*K$226:K$242*$C$226:$C$242)</f>
        <v>9.97653078563615</v>
      </c>
      <c r="L246" s="26" t="n">
        <f aca="false">SUMPRODUCT(($B$226:$B$242=$A246)*L$226:L$242*$C$226:$C$242)</f>
        <v>9.97653078563615</v>
      </c>
      <c r="M246" s="26" t="n">
        <f aca="false">SUMPRODUCT(($B$226:$B$242=$A246)*M$226:M$242*$C$226:$C$242)</f>
        <v>9.97653078563615</v>
      </c>
      <c r="N246" s="26" t="n">
        <f aca="false">SUMPRODUCT(($B$226:$B$242=$A246)*N$226:N$242*$C$226:$C$242)</f>
        <v>9.97653078563615</v>
      </c>
      <c r="O246" s="26" t="n">
        <f aca="false">SUMPRODUCT(($B$226:$B$242=$A246)*O$226:O$242*$C$226:$C$242)</f>
        <v>9.97653078563615</v>
      </c>
      <c r="P246" s="26" t="n">
        <f aca="false">SUMPRODUCT(($B$226:$B$242=$A246)*P$226:P$242*$C$226:$C$242)</f>
        <v>119.718369427634</v>
      </c>
    </row>
    <row r="247" customFormat="false" ht="15" hidden="false" customHeight="false" outlineLevel="0" collapsed="false">
      <c r="A247" s="5" t="s">
        <v>167</v>
      </c>
      <c r="D247" s="26" t="n">
        <f aca="false">SUMPRODUCT(($B$226:$B$242=$A247)*D$226:D$242*$C$226:$C$242)</f>
        <v>8.97969168539883</v>
      </c>
      <c r="E247" s="26" t="n">
        <f aca="false">SUMPRODUCT(($B$226:$B$242=$A247)*E$226:E$242*$C$226:$C$242)</f>
        <v>8.97969168539883</v>
      </c>
      <c r="F247" s="26" t="n">
        <f aca="false">SUMPRODUCT(($B$226:$B$242=$A247)*F$226:F$242*$C$226:$C$242)</f>
        <v>8.97969168539883</v>
      </c>
      <c r="G247" s="26" t="n">
        <f aca="false">SUMPRODUCT(($B$226:$B$242=$A247)*G$226:G$242*$C$226:$C$242)</f>
        <v>8.97969168539883</v>
      </c>
      <c r="H247" s="26" t="n">
        <f aca="false">SUMPRODUCT(($B$226:$B$242=$A247)*H$226:H$242*$C$226:$C$242)</f>
        <v>8.97969168539883</v>
      </c>
      <c r="I247" s="26" t="n">
        <f aca="false">SUMPRODUCT(($B$226:$B$242=$A247)*I$226:I$242*$C$226:$C$242)</f>
        <v>8.97969168539883</v>
      </c>
      <c r="J247" s="26" t="n">
        <f aca="false">SUMPRODUCT(($B$226:$B$242=$A247)*J$226:J$242*$C$226:$C$242)</f>
        <v>8.97969168539883</v>
      </c>
      <c r="K247" s="26" t="n">
        <f aca="false">SUMPRODUCT(($B$226:$B$242=$A247)*K$226:K$242*$C$226:$C$242)</f>
        <v>8.97969168539883</v>
      </c>
      <c r="L247" s="26" t="n">
        <f aca="false">SUMPRODUCT(($B$226:$B$242=$A247)*L$226:L$242*$C$226:$C$242)</f>
        <v>8.97969168539883</v>
      </c>
      <c r="M247" s="26" t="n">
        <f aca="false">SUMPRODUCT(($B$226:$B$242=$A247)*M$226:M$242*$C$226:$C$242)</f>
        <v>8.97969168539883</v>
      </c>
      <c r="N247" s="26" t="n">
        <f aca="false">SUMPRODUCT(($B$226:$B$242=$A247)*N$226:N$242*$C$226:$C$242)</f>
        <v>8.97969168539883</v>
      </c>
      <c r="O247" s="26" t="n">
        <f aca="false">SUMPRODUCT(($B$226:$B$242=$A247)*O$226:O$242*$C$226:$C$242)</f>
        <v>8.97969168539883</v>
      </c>
      <c r="P247" s="26" t="n">
        <f aca="false">SUMPRODUCT(($B$226:$B$242=$A247)*P$226:P$242*$C$226:$C$242)</f>
        <v>107.756300224786</v>
      </c>
    </row>
    <row r="248" customFormat="false" ht="15" hidden="false" customHeight="false" outlineLevel="0" collapsed="false">
      <c r="A248" s="5" t="s">
        <v>168</v>
      </c>
      <c r="D248" s="26" t="n">
        <f aca="false">SUMPRODUCT(($B$226:$B$242=$A248)*D$226:D$242*$C$226:$C$242)</f>
        <v>143.163729597172</v>
      </c>
      <c r="E248" s="26" t="n">
        <f aca="false">SUMPRODUCT(($B$226:$B$242=$A248)*E$226:E$242*$C$226:$C$242)</f>
        <v>143.163729597172</v>
      </c>
      <c r="F248" s="26" t="n">
        <f aca="false">SUMPRODUCT(($B$226:$B$242=$A248)*F$226:F$242*$C$226:$C$242)</f>
        <v>176.337354471445</v>
      </c>
      <c r="G248" s="26" t="n">
        <f aca="false">SUMPRODUCT(($B$226:$B$242=$A248)*G$226:G$242*$C$226:$C$242)</f>
        <v>210.901980637533</v>
      </c>
      <c r="H248" s="26" t="n">
        <f aca="false">SUMPRODUCT(($B$226:$B$242=$A248)*H$226:H$242*$C$226:$C$242)</f>
        <v>212.723340958796</v>
      </c>
      <c r="I248" s="26" t="n">
        <f aca="false">SUMPRODUCT(($B$226:$B$242=$A248)*I$226:I$242*$C$226:$C$242)</f>
        <v>205.792706035669</v>
      </c>
      <c r="J248" s="26" t="n">
        <f aca="false">SUMPRODUCT(($B$226:$B$242=$A248)*J$226:J$242*$C$226:$C$242)</f>
        <v>166.667352746049</v>
      </c>
      <c r="K248" s="26" t="n">
        <f aca="false">SUMPRODUCT(($B$226:$B$242=$A248)*K$226:K$242*$C$226:$C$242)</f>
        <v>167.509806559531</v>
      </c>
      <c r="L248" s="26" t="n">
        <f aca="false">SUMPRODUCT(($B$226:$B$242=$A248)*L$226:L$242*$C$226:$C$242)</f>
        <v>173.969876395649</v>
      </c>
      <c r="M248" s="26" t="n">
        <f aca="false">SUMPRODUCT(($B$226:$B$242=$A248)*M$226:M$242*$C$226:$C$242)</f>
        <v>173.969876395649</v>
      </c>
      <c r="N248" s="26" t="n">
        <f aca="false">SUMPRODUCT(($B$226:$B$242=$A248)*N$226:N$242*$C$226:$C$242)</f>
        <v>172.148516074386</v>
      </c>
      <c r="O248" s="26" t="n">
        <f aca="false">SUMPRODUCT(($B$226:$B$242=$A248)*O$226:O$242*$C$226:$C$242)</f>
        <v>179.079150997514</v>
      </c>
      <c r="P248" s="26" t="n">
        <f aca="false">SUMPRODUCT(($B$226:$B$242=$A248)*P$226:P$242*$C$226:$C$242)</f>
        <v>2125.42742046656</v>
      </c>
    </row>
    <row r="249" customFormat="false" ht="15" hidden="false" customHeight="false" outlineLevel="0" collapsed="false">
      <c r="A249" s="5" t="s">
        <v>169</v>
      </c>
      <c r="D249" s="26" t="n">
        <f aca="false">SUMPRODUCT(($B$226:$B$242=$A249)*D$226:D$242*$C$226:$C$242)</f>
        <v>143.130275674302</v>
      </c>
      <c r="E249" s="26" t="n">
        <f aca="false">SUMPRODUCT(($B$226:$B$242=$A249)*E$226:E$242*$C$226:$C$242)</f>
        <v>143.130275674302</v>
      </c>
      <c r="F249" s="26" t="n">
        <f aca="false">SUMPRODUCT(($B$226:$B$242=$A249)*F$226:F$242*$C$226:$C$242)</f>
        <v>143.130275674302</v>
      </c>
      <c r="G249" s="26" t="n">
        <f aca="false">SUMPRODUCT(($B$226:$B$242=$A249)*G$226:G$242*$C$226:$C$242)</f>
        <v>143.130275674302</v>
      </c>
      <c r="H249" s="26" t="n">
        <f aca="false">SUMPRODUCT(($B$226:$B$242=$A249)*H$226:H$242*$C$226:$C$242)</f>
        <v>143.130275674302</v>
      </c>
      <c r="I249" s="26" t="n">
        <f aca="false">SUMPRODUCT(($B$226:$B$242=$A249)*I$226:I$242*$C$226:$C$242)</f>
        <v>143.130275674302</v>
      </c>
      <c r="J249" s="26" t="n">
        <f aca="false">SUMPRODUCT(($B$226:$B$242=$A249)*J$226:J$242*$C$226:$C$242)</f>
        <v>143.130275674302</v>
      </c>
      <c r="K249" s="26" t="n">
        <f aca="false">SUMPRODUCT(($B$226:$B$242=$A249)*K$226:K$242*$C$226:$C$242)</f>
        <v>143.130275674302</v>
      </c>
      <c r="L249" s="26" t="n">
        <f aca="false">SUMPRODUCT(($B$226:$B$242=$A249)*L$226:L$242*$C$226:$C$242)</f>
        <v>143.130275674302</v>
      </c>
      <c r="M249" s="26" t="n">
        <f aca="false">SUMPRODUCT(($B$226:$B$242=$A249)*M$226:M$242*$C$226:$C$242)</f>
        <v>143.130275674302</v>
      </c>
      <c r="N249" s="26" t="n">
        <f aca="false">SUMPRODUCT(($B$226:$B$242=$A249)*N$226:N$242*$C$226:$C$242)</f>
        <v>143.130275674302</v>
      </c>
      <c r="O249" s="26" t="n">
        <f aca="false">SUMPRODUCT(($B$226:$B$242=$A249)*O$226:O$242*$C$226:$C$242)</f>
        <v>143.130275674302</v>
      </c>
      <c r="P249" s="26" t="n">
        <f aca="false">SUMPRODUCT(($B$226:$B$242=$A249)*P$226:P$242*$C$226:$C$242)</f>
        <v>1717.56330809162</v>
      </c>
    </row>
    <row r="250" customFormat="false" ht="15" hidden="false" customHeight="false" outlineLevel="0" collapsed="false">
      <c r="A250" s="5" t="s">
        <v>170</v>
      </c>
      <c r="D250" s="26" t="n">
        <f aca="false">SUMPRODUCT(($B$226:$B$242=$A250)*D$226:D$242*$C$226:$C$242)</f>
        <v>72.7457692812745</v>
      </c>
      <c r="E250" s="26" t="n">
        <f aca="false">SUMPRODUCT(($B$226:$B$242=$A250)*E$226:E$242*$C$226:$C$242)</f>
        <v>72.7457692812745</v>
      </c>
      <c r="F250" s="26" t="n">
        <f aca="false">SUMPRODUCT(($B$226:$B$242=$A250)*F$226:F$242*$C$226:$C$242)</f>
        <v>87.8543203275363</v>
      </c>
      <c r="G250" s="26" t="n">
        <f aca="false">SUMPRODUCT(($B$226:$B$242=$A250)*G$226:G$242*$C$226:$C$242)</f>
        <v>98.2484290290548</v>
      </c>
      <c r="H250" s="26" t="n">
        <f aca="false">SUMPRODUCT(($B$226:$B$242=$A250)*H$226:H$242*$C$226:$C$242)</f>
        <v>101.703863481711</v>
      </c>
      <c r="I250" s="26" t="n">
        <f aca="false">SUMPRODUCT(($B$226:$B$242=$A250)*I$226:I$242*$C$226:$C$242)</f>
        <v>99.4840560272779</v>
      </c>
      <c r="J250" s="26" t="n">
        <f aca="false">SUMPRODUCT(($B$226:$B$242=$A250)*J$226:J$242*$C$226:$C$242)</f>
        <v>80.4396707471864</v>
      </c>
      <c r="K250" s="26" t="n">
        <f aca="false">SUMPRODUCT(($B$226:$B$242=$A250)*K$226:K$242*$C$226:$C$242)</f>
        <v>85.6111319792392</v>
      </c>
      <c r="L250" s="26" t="n">
        <f aca="false">SUMPRODUCT(($B$226:$B$242=$A250)*L$226:L$242*$C$226:$C$242)</f>
        <v>87.8309394336725</v>
      </c>
      <c r="M250" s="26" t="n">
        <f aca="false">SUMPRODUCT(($B$226:$B$242=$A250)*M$226:M$242*$C$226:$C$242)</f>
        <v>87.8309394336725</v>
      </c>
      <c r="N250" s="26" t="n">
        <f aca="false">SUMPRODUCT(($B$226:$B$242=$A250)*N$226:N$242*$C$226:$C$242)</f>
        <v>84.3755049810161</v>
      </c>
      <c r="O250" s="26" t="n">
        <f aca="false">SUMPRODUCT(($B$226:$B$242=$A250)*O$226:O$242*$C$226:$C$242)</f>
        <v>86.5953124354494</v>
      </c>
      <c r="P250" s="26" t="n">
        <f aca="false">SUMPRODUCT(($B$226:$B$242=$A250)*P$226:P$242*$C$226:$C$242)</f>
        <v>1045.46570643837</v>
      </c>
    </row>
    <row r="251" customFormat="false" ht="15" hidden="false" customHeight="false" outlineLevel="0" collapsed="false">
      <c r="A251" s="5" t="s">
        <v>171</v>
      </c>
      <c r="D251" s="26" t="n">
        <f aca="false">SUMPRODUCT(($B$226:$B$242=$A251)*D$226:D$242*$C$226:$C$242)</f>
        <v>506.156051302719</v>
      </c>
      <c r="E251" s="26" t="n">
        <f aca="false">SUMPRODUCT(($B$226:$B$242=$A251)*E$226:E$242*$C$226:$C$242)</f>
        <v>506.156051302719</v>
      </c>
      <c r="F251" s="26" t="n">
        <f aca="false">SUMPRODUCT(($B$226:$B$242=$A251)*F$226:F$242*$C$226:$C$242)</f>
        <v>636.949221967645</v>
      </c>
      <c r="G251" s="26" t="n">
        <f aca="false">SUMPRODUCT(($B$226:$B$242=$A251)*G$226:G$242*$C$226:$C$242)</f>
        <v>762.987060929947</v>
      </c>
      <c r="H251" s="26" t="n">
        <f aca="false">SUMPRODUCT(($B$226:$B$242=$A251)*H$226:H$242*$C$226:$C$242)</f>
        <v>770.348315688659</v>
      </c>
      <c r="I251" s="26" t="n">
        <f aca="false">SUMPRODUCT(($B$226:$B$242=$A251)*I$226:I$242*$C$226:$C$242)</f>
        <v>752.609847996097</v>
      </c>
      <c r="J251" s="26" t="n">
        <f aca="false">SUMPRODUCT(($B$226:$B$242=$A251)*J$226:J$242*$C$226:$C$242)</f>
        <v>608.746014143113</v>
      </c>
      <c r="K251" s="26" t="n">
        <f aca="false">SUMPRODUCT(($B$226:$B$242=$A251)*K$226:K$242*$C$226:$C$242)</f>
        <v>611.43946439732</v>
      </c>
      <c r="L251" s="26" t="n">
        <f aca="false">SUMPRODUCT(($B$226:$B$242=$A251)*L$226:L$242*$C$226:$C$242)</f>
        <v>626.946538617393</v>
      </c>
      <c r="M251" s="26" t="n">
        <f aca="false">SUMPRODUCT(($B$226:$B$242=$A251)*M$226:M$242*$C$226:$C$242)</f>
        <v>626.946538617393</v>
      </c>
      <c r="N251" s="26" t="n">
        <f aca="false">SUMPRODUCT(($B$226:$B$242=$A251)*N$226:N$242*$C$226:$C$242)</f>
        <v>619.585283858681</v>
      </c>
      <c r="O251" s="26" t="n">
        <f aca="false">SUMPRODUCT(($B$226:$B$242=$A251)*O$226:O$242*$C$226:$C$242)</f>
        <v>637.323751551243</v>
      </c>
      <c r="P251" s="26" t="n">
        <f aca="false">SUMPRODUCT(($B$226:$B$242=$A251)*P$226:P$242*$C$226:$C$242)</f>
        <v>7666.19414037293</v>
      </c>
    </row>
    <row r="252" customFormat="false" ht="15" hidden="false" customHeight="false" outlineLevel="0" collapsed="false">
      <c r="A252" s="5" t="s">
        <v>172</v>
      </c>
      <c r="D252" s="26" t="n">
        <f aca="false">SUMPRODUCT(($B$226:$B$242=$A252)*D$226:D$242*$C$226:$C$242)</f>
        <v>28.5345883606468</v>
      </c>
      <c r="E252" s="26" t="n">
        <f aca="false">SUMPRODUCT(($B$226:$B$242=$A252)*E$226:E$242*$C$226:$C$242)</f>
        <v>28.5345883606468</v>
      </c>
      <c r="F252" s="26" t="n">
        <f aca="false">SUMPRODUCT(($B$226:$B$242=$A252)*F$226:F$242*$C$226:$C$242)</f>
        <v>26.1714312204152</v>
      </c>
      <c r="G252" s="26" t="n">
        <f aca="false">SUMPRODUCT(($B$226:$B$242=$A252)*G$226:G$242*$C$226:$C$242)</f>
        <v>26.1714312204152</v>
      </c>
      <c r="H252" s="26" t="n">
        <f aca="false">SUMPRODUCT(($B$226:$B$242=$A252)*H$226:H$242*$C$226:$C$242)</f>
        <v>26.1714312204152</v>
      </c>
      <c r="I252" s="26" t="n">
        <f aca="false">SUMPRODUCT(($B$226:$B$242=$A252)*I$226:I$242*$C$226:$C$242)</f>
        <v>23.8082740801836</v>
      </c>
      <c r="J252" s="26" t="n">
        <f aca="false">SUMPRODUCT(($B$226:$B$242=$A252)*J$226:J$242*$C$226:$C$242)</f>
        <v>23.8082740801836</v>
      </c>
      <c r="K252" s="26" t="n">
        <f aca="false">SUMPRODUCT(($B$226:$B$242=$A252)*K$226:K$242*$C$226:$C$242)</f>
        <v>23.8082740801836</v>
      </c>
      <c r="L252" s="26" t="n">
        <f aca="false">SUMPRODUCT(($B$226:$B$242=$A252)*L$226:L$242*$C$226:$C$242)</f>
        <v>26.1714312204152</v>
      </c>
      <c r="M252" s="26" t="n">
        <f aca="false">SUMPRODUCT(($B$226:$B$242=$A252)*M$226:M$242*$C$226:$C$242)</f>
        <v>26.1714312204152</v>
      </c>
      <c r="N252" s="26" t="n">
        <f aca="false">SUMPRODUCT(($B$226:$B$242=$A252)*N$226:N$242*$C$226:$C$242)</f>
        <v>26.1714312204152</v>
      </c>
      <c r="O252" s="26" t="n">
        <f aca="false">SUMPRODUCT(($B$226:$B$242=$A252)*O$226:O$242*$C$226:$C$242)</f>
        <v>28.5345883606468</v>
      </c>
      <c r="P252" s="26" t="n">
        <f aca="false">SUMPRODUCT(($B$226:$B$242=$A252)*P$226:P$242*$C$226:$C$242)</f>
        <v>314.057174644982</v>
      </c>
    </row>
    <row r="253" customFormat="false" ht="15" hidden="false" customHeight="false" outlineLevel="0" collapsed="false">
      <c r="A253" s="4" t="s">
        <v>387</v>
      </c>
      <c r="D253" s="27" t="n">
        <f aca="false">SUMPRODUCT(D$226:D$242*parametros_recargas!$D$55:$D$71)</f>
        <v>241.102122956429</v>
      </c>
      <c r="E253" s="27" t="n">
        <f aca="false">SUMPRODUCT(E$226:E$242*parametros_recargas!$D$55:$D$71)</f>
        <v>241.102122956429</v>
      </c>
      <c r="F253" s="27" t="n">
        <f aca="false">SUMPRODUCT(F$226:F$242*parametros_recargas!$D$55:$D$71)</f>
        <v>262.986782796725</v>
      </c>
      <c r="G253" s="27" t="n">
        <f aca="false">SUMPRODUCT(G$226:G$242*parametros_recargas!$D$55:$D$71)</f>
        <v>292.938918789445</v>
      </c>
      <c r="H253" s="27" t="n">
        <f aca="false">SUMPRODUCT(H$226:H$242*parametros_recargas!$D$55:$D$71)</f>
        <v>297.673475888673</v>
      </c>
      <c r="I253" s="27" t="n">
        <f aca="false">SUMPRODUCT(I$226:I$242*parametros_recargas!$D$55:$D$71)</f>
        <v>283.503092688456</v>
      </c>
      <c r="J253" s="27" t="n">
        <f aca="false">SUMPRODUCT(J$226:J$242*parametros_recargas!$D$55:$D$71)</f>
        <v>247.860454467976</v>
      </c>
      <c r="K253" s="27" t="n">
        <f aca="false">SUMPRODUCT(K$226:K$242*parametros_recargas!$D$55:$D$71)</f>
        <v>252.182606747171</v>
      </c>
      <c r="L253" s="27" t="n">
        <f aca="false">SUMPRODUCT(L$226:L$242*parametros_recargas!$D$55:$D$71)</f>
        <v>264.121596474899</v>
      </c>
      <c r="M253" s="27" t="n">
        <f aca="false">SUMPRODUCT(M$226:M$242*parametros_recargas!$D$55:$D$71)</f>
        <v>264.121596474899</v>
      </c>
      <c r="N253" s="27" t="n">
        <f aca="false">SUMPRODUCT(N$226:N$242*parametros_recargas!$D$55:$D$71)</f>
        <v>259.38703937567</v>
      </c>
      <c r="O253" s="27" t="n">
        <f aca="false">SUMPRODUCT(O$226:O$242*parametros_recargas!$D$55:$D$71)</f>
        <v>273.557422575887</v>
      </c>
      <c r="P253" s="27" t="n">
        <f aca="false">SUMPRODUCT(P$226:P$242*parametros_recargas!$D$55:$D$71)</f>
        <v>3180.53723219266</v>
      </c>
    </row>
    <row r="254" customFormat="false" ht="15" hidden="false" customHeight="false" outlineLevel="0" collapsed="false">
      <c r="A254" s="4" t="s">
        <v>388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0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0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0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0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0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0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0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0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0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0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0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0</v>
      </c>
      <c r="P254" s="12" t="n">
        <f aca="false">SUM(D254:O254)</f>
        <v>0</v>
      </c>
    </row>
    <row r="257" customFormat="false" ht="15" hidden="false" customHeight="false" outlineLevel="0" collapsed="false">
      <c r="A257" s="28" t="n">
        <v>2034</v>
      </c>
      <c r="B257" s="3" t="s">
        <v>383</v>
      </c>
      <c r="C257" s="3" t="s">
        <v>384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6" t="n">
        <f aca="false">datos_base!$J$2*parametros_recargas!E$55+sobrestock_sustitutos!$I$51/12</f>
        <v>6348.01518724195</v>
      </c>
      <c r="E258" s="26" t="n">
        <f aca="false">datos_base!$J$2*parametros_recargas!F$55+sobrestock_sustitutos!$I$51/12</f>
        <v>5055.79889724975</v>
      </c>
      <c r="F258" s="26" t="n">
        <f aca="false">datos_base!$J$2*parametros_recargas!G$55+sobrestock_sustitutos!$I$51/12</f>
        <v>3765.7865799886</v>
      </c>
      <c r="G258" s="26" t="n">
        <f aca="false">datos_base!$J$2*parametros_recargas!H$55+sobrestock_sustitutos!$I$51/12</f>
        <v>3765.7865799886</v>
      </c>
      <c r="H258" s="26" t="n">
        <f aca="false">datos_base!$J$2*parametros_recargas!I$55+sobrestock_sustitutos!$I$51/12</f>
        <v>3767.99055271963</v>
      </c>
      <c r="I258" s="26" t="n">
        <f aca="false">datos_base!$J$2*parametros_recargas!J$55+sobrestock_sustitutos!$I$51/12</f>
        <v>3767.99055271963</v>
      </c>
      <c r="J258" s="26" t="n">
        <f aca="false">datos_base!$J$2*parametros_recargas!K$55+sobrestock_sustitutos!$I$51/12</f>
        <v>3764.40041537886</v>
      </c>
      <c r="K258" s="26" t="n">
        <f aca="false">datos_base!$J$2*parametros_recargas!L$55+sobrestock_sustitutos!$I$51/12</f>
        <v>3767.99055271963</v>
      </c>
      <c r="L258" s="26" t="n">
        <f aca="false">datos_base!$J$2*parametros_recargas!M$55+sobrestock_sustitutos!$I$51/12</f>
        <v>3767.58164865898</v>
      </c>
      <c r="M258" s="26" t="n">
        <f aca="false">datos_base!$J$2*parametros_recargas!N$55+sobrestock_sustitutos!$I$51/12</f>
        <v>3767.58164865898</v>
      </c>
      <c r="N258" s="26" t="n">
        <f aca="false">datos_base!$J$2*parametros_recargas!O$55+sobrestock_sustitutos!$I$51/12</f>
        <v>5057.59396592014</v>
      </c>
      <c r="O258" s="26" t="n">
        <f aca="false">datos_base!$J$2*parametros_recargas!P$55+sobrestock_sustitutos!$I$51/12</f>
        <v>6349.81025591234</v>
      </c>
      <c r="P258" s="12" t="n">
        <f aca="false">SUM(D258:O258)</f>
        <v>52946.3268371571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6" t="n">
        <f aca="false">datos_base!$J$3*parametros_recargas!E$56+sobrestock_sustitutos!$I$52/12</f>
        <v>276.028468349223</v>
      </c>
      <c r="E259" s="26" t="n">
        <f aca="false">datos_base!$J$3*parametros_recargas!F$56+sobrestock_sustitutos!$I$52/12</f>
        <v>276.028468349223</v>
      </c>
      <c r="F259" s="26" t="n">
        <f aca="false">datos_base!$J$3*parametros_recargas!G$56+sobrestock_sustitutos!$I$52/12</f>
        <v>373.040447251009</v>
      </c>
      <c r="G259" s="26" t="n">
        <f aca="false">datos_base!$J$3*parametros_recargas!H$56+sobrestock_sustitutos!$I$52/12</f>
        <v>429.511242140067</v>
      </c>
      <c r="H259" s="26" t="n">
        <f aca="false">datos_base!$J$3*parametros_recargas!I$56+sobrestock_sustitutos!$I$52/12</f>
        <v>464.967114917489</v>
      </c>
      <c r="I259" s="26" t="n">
        <f aca="false">datos_base!$J$3*parametros_recargas!J$56+sobrestock_sustitutos!$I$52/12</f>
        <v>459.342455023713</v>
      </c>
      <c r="J259" s="26" t="n">
        <f aca="false">datos_base!$J$3*parametros_recargas!K$56+sobrestock_sustitutos!$I$52/12</f>
        <v>336.83158336759</v>
      </c>
      <c r="K259" s="26" t="n">
        <f aca="false">datos_base!$J$3*parametros_recargas!L$56+sobrestock_sustitutos!$I$52/12</f>
        <v>392.161689005574</v>
      </c>
      <c r="L259" s="26" t="n">
        <f aca="false">datos_base!$J$3*parametros_recargas!M$56+sobrestock_sustitutos!$I$52/12</f>
        <v>392.67302172319</v>
      </c>
      <c r="M259" s="26" t="n">
        <f aca="false">datos_base!$J$3*parametros_recargas!N$56+sobrestock_sustitutos!$I$52/12</f>
        <v>392.67302172319</v>
      </c>
      <c r="N259" s="26" t="n">
        <f aca="false">datos_base!$J$3*parametros_recargas!O$56+sobrestock_sustitutos!$I$52/12</f>
        <v>357.217148945767</v>
      </c>
      <c r="O259" s="26" t="n">
        <f aca="false">datos_base!$J$3*parametros_recargas!P$56+sobrestock_sustitutos!$I$52/12</f>
        <v>362.841808839543</v>
      </c>
      <c r="P259" s="12" t="n">
        <f aca="false">SUM(D259:O259)</f>
        <v>4513.31646963558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6" t="n">
        <f aca="false">datos_base!$J$4*parametros_recargas!E$57+sobrestock_sustitutos!$I$53/12</f>
        <v>1848.79712348691</v>
      </c>
      <c r="E260" s="26" t="n">
        <f aca="false">datos_base!$J$4*parametros_recargas!F$57+sobrestock_sustitutos!$I$53/12</f>
        <v>1802.24178711721</v>
      </c>
      <c r="F260" s="26" t="n">
        <f aca="false">datos_base!$J$4*parametros_recargas!G$57+sobrestock_sustitutos!$I$53/12</f>
        <v>2254.22322653978</v>
      </c>
      <c r="G260" s="26" t="n">
        <f aca="false">datos_base!$J$4*parametros_recargas!H$57+sobrestock_sustitutos!$I$53/12</f>
        <v>2734.89759935095</v>
      </c>
      <c r="H260" s="26" t="n">
        <f aca="false">datos_base!$J$4*parametros_recargas!I$57+sobrestock_sustitutos!$I$53/12</f>
        <v>2748.56525036285</v>
      </c>
      <c r="I260" s="26" t="n">
        <f aca="false">datos_base!$J$4*parametros_recargas!J$57+sobrestock_sustitutos!$I$53/12</f>
        <v>2710.16783404618</v>
      </c>
      <c r="J260" s="26" t="n">
        <f aca="false">datos_base!$J$4*parametros_recargas!K$57+sobrestock_sustitutos!$I$53/12</f>
        <v>2190.32891781485</v>
      </c>
      <c r="K260" s="26" t="n">
        <f aca="false">datos_base!$J$4*parametros_recargas!L$57+sobrestock_sustitutos!$I$53/12</f>
        <v>2186.90129294914</v>
      </c>
      <c r="L260" s="26" t="n">
        <f aca="false">datos_base!$J$4*parametros_recargas!M$57+sobrestock_sustitutos!$I$53/12</f>
        <v>2220.56528789253</v>
      </c>
      <c r="M260" s="26" t="n">
        <f aca="false">datos_base!$J$4*parametros_recargas!N$57+sobrestock_sustitutos!$I$53/12</f>
        <v>2220.56528789253</v>
      </c>
      <c r="N260" s="26" t="n">
        <f aca="false">datos_base!$J$4*parametros_recargas!O$57+sobrestock_sustitutos!$I$53/12</f>
        <v>2253.45297325033</v>
      </c>
      <c r="O260" s="26" t="n">
        <f aca="false">datos_base!$J$4*parametros_recargas!P$57+sobrestock_sustitutos!$I$53/12</f>
        <v>2338.40572593669</v>
      </c>
      <c r="P260" s="12" t="n">
        <f aca="false">SUM(D260:O260)</f>
        <v>27509.1123066399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6" t="n">
        <f aca="false">datos_base!$J$5*parametros_recargas!E$58+sobrestock_sustitutos!$I$54/12</f>
        <v>107.448806408932</v>
      </c>
      <c r="E261" s="26" t="n">
        <f aca="false">datos_base!$J$5*parametros_recargas!F$58+sobrestock_sustitutos!$I$54/12</f>
        <v>107.448806408932</v>
      </c>
      <c r="F261" s="26" t="n">
        <f aca="false">datos_base!$J$5*parametros_recargas!G$58+sobrestock_sustitutos!$I$54/12</f>
        <v>136.035785750795</v>
      </c>
      <c r="G261" s="26" t="n">
        <f aca="false">datos_base!$J$5*parametros_recargas!H$58+sobrestock_sustitutos!$I$54/12</f>
        <v>163.061271481761</v>
      </c>
      <c r="H261" s="26" t="n">
        <f aca="false">datos_base!$J$5*parametros_recargas!I$58+sobrestock_sustitutos!$I$54/12</f>
        <v>165.16902681153</v>
      </c>
      <c r="I261" s="26" t="n">
        <f aca="false">datos_base!$J$5*parametros_recargas!J$58+sobrestock_sustitutos!$I$54/12</f>
        <v>160.123037351461</v>
      </c>
      <c r="J261" s="26" t="n">
        <f aca="false">datos_base!$J$5*parametros_recargas!K$58+sobrestock_sustitutos!$I$54/12</f>
        <v>126.632177090359</v>
      </c>
      <c r="K261" s="26" t="n">
        <f aca="false">datos_base!$J$5*parametros_recargas!L$58+sobrestock_sustitutos!$I$54/12</f>
        <v>128.597823879298</v>
      </c>
      <c r="L261" s="26" t="n">
        <f aca="false">datos_base!$J$5*parametros_recargas!M$58+sobrestock_sustitutos!$I$54/12</f>
        <v>133.643813339367</v>
      </c>
      <c r="M261" s="26" t="n">
        <f aca="false">datos_base!$J$5*parametros_recargas!N$58+sobrestock_sustitutos!$I$54/12</f>
        <v>133.643813339367</v>
      </c>
      <c r="N261" s="26" t="n">
        <f aca="false">datos_base!$J$5*parametros_recargas!O$58+sobrestock_sustitutos!$I$54/12</f>
        <v>131.536058009598</v>
      </c>
      <c r="O261" s="26" t="n">
        <f aca="false">datos_base!$J$5*parametros_recargas!P$58+sobrestock_sustitutos!$I$54/12</f>
        <v>136.582047469667</v>
      </c>
      <c r="P261" s="12" t="n">
        <f aca="false">SUM(D261:O261)</f>
        <v>1629.92246734107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6" t="n">
        <f aca="false">datos_base!$J$6*parametros_recargas!E$59+sobrestock_sustitutos!$I$55/12</f>
        <v>154.744923125438</v>
      </c>
      <c r="E262" s="26" t="n">
        <f aca="false">datos_base!$J$6*parametros_recargas!F$59+sobrestock_sustitutos!$I$55/12</f>
        <v>154.744923125438</v>
      </c>
      <c r="F262" s="26" t="n">
        <f aca="false">datos_base!$J$6*parametros_recargas!G$59+sobrestock_sustitutos!$I$55/12</f>
        <v>190.590855669648</v>
      </c>
      <c r="G262" s="26" t="n">
        <f aca="false">datos_base!$J$6*parametros_recargas!H$59+sobrestock_sustitutos!$I$55/12</f>
        <v>227.939841879664</v>
      </c>
      <c r="H262" s="26" t="n">
        <f aca="false">datos_base!$J$6*parametros_recargas!I$59+sobrestock_sustitutos!$I$55/12</f>
        <v>229.907922228499</v>
      </c>
      <c r="I262" s="26" t="n">
        <f aca="false">datos_base!$J$6*parametros_recargas!J$59+sobrestock_sustitutos!$I$55/12</f>
        <v>222.418988689142</v>
      </c>
      <c r="J262" s="26" t="n">
        <f aca="false">datos_base!$J$6*parametros_recargas!K$59+sobrestock_sustitutos!$I$55/12</f>
        <v>180.141885113532</v>
      </c>
      <c r="K262" s="26" t="n">
        <f aca="false">datos_base!$J$6*parametros_recargas!L$59+sobrestock_sustitutos!$I$55/12</f>
        <v>181.052202954411</v>
      </c>
      <c r="L262" s="26" t="n">
        <f aca="false">datos_base!$J$6*parametros_recargas!M$59+sobrestock_sustitutos!$I$55/12</f>
        <v>188.032664946551</v>
      </c>
      <c r="M262" s="26" t="n">
        <f aca="false">datos_base!$J$6*parametros_recargas!N$59+sobrestock_sustitutos!$I$55/12</f>
        <v>188.032664946551</v>
      </c>
      <c r="N262" s="26" t="n">
        <f aca="false">datos_base!$J$6*parametros_recargas!O$59+sobrestock_sustitutos!$I$55/12</f>
        <v>186.064584597716</v>
      </c>
      <c r="O262" s="26" t="n">
        <f aca="false">datos_base!$J$6*parametros_recargas!P$59+sobrestock_sustitutos!$I$55/12</f>
        <v>193.553518137072</v>
      </c>
      <c r="P262" s="12" t="n">
        <f aca="false">SUM(D262:O262)</f>
        <v>2297.22497541366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6" t="n">
        <f aca="false">datos_base!$J$7*parametros_recargas!E$60+sobrestock_sustitutos!$I$56/12</f>
        <v>35.9069600093257</v>
      </c>
      <c r="E263" s="26" t="n">
        <f aca="false">datos_base!$J$7*parametros_recargas!F$60+sobrestock_sustitutos!$I$56/12</f>
        <v>35.9069600093257</v>
      </c>
      <c r="F263" s="26" t="n">
        <f aca="false">datos_base!$J$7*parametros_recargas!G$60+sobrestock_sustitutos!$I$56/12</f>
        <v>35.9069600093257</v>
      </c>
      <c r="G263" s="26" t="n">
        <f aca="false">datos_base!$J$7*parametros_recargas!H$60+sobrestock_sustitutos!$I$56/12</f>
        <v>35.9069600093257</v>
      </c>
      <c r="H263" s="26" t="n">
        <f aca="false">datos_base!$J$7*parametros_recargas!I$60+sobrestock_sustitutos!$I$56/12</f>
        <v>35.9069600093257</v>
      </c>
      <c r="I263" s="26" t="n">
        <f aca="false">datos_base!$J$7*parametros_recargas!J$60+sobrestock_sustitutos!$I$56/12</f>
        <v>35.9069600093257</v>
      </c>
      <c r="J263" s="26" t="n">
        <f aca="false">datos_base!$J$7*parametros_recargas!K$60+sobrestock_sustitutos!$I$56/12</f>
        <v>35.9069600093257</v>
      </c>
      <c r="K263" s="26" t="n">
        <f aca="false">datos_base!$J$7*parametros_recargas!L$60+sobrestock_sustitutos!$I$56/12</f>
        <v>35.9069600093257</v>
      </c>
      <c r="L263" s="26" t="n">
        <f aca="false">datos_base!$J$7*parametros_recargas!M$60+sobrestock_sustitutos!$I$56/12</f>
        <v>35.9069600093257</v>
      </c>
      <c r="M263" s="26" t="n">
        <f aca="false">datos_base!$J$7*parametros_recargas!N$60+sobrestock_sustitutos!$I$56/12</f>
        <v>35.9069600093257</v>
      </c>
      <c r="N263" s="26" t="n">
        <f aca="false">datos_base!$J$7*parametros_recargas!O$60+sobrestock_sustitutos!$I$56/12</f>
        <v>35.9069600093257</v>
      </c>
      <c r="O263" s="26" t="n">
        <f aca="false">datos_base!$J$7*parametros_recargas!P$60+sobrestock_sustitutos!$I$56/12</f>
        <v>35.9069600093257</v>
      </c>
      <c r="P263" s="12" t="n">
        <f aca="false">SUM(D263:O263)</f>
        <v>430.883520111909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6" t="n">
        <f aca="false">datos_base!$J$8*parametros_recargas!E$61+sobrestock_sustitutos!$I$57/12</f>
        <v>18.8271065158775</v>
      </c>
      <c r="E264" s="26" t="n">
        <f aca="false">datos_base!$J$8*parametros_recargas!F$61+sobrestock_sustitutos!$I$57/12</f>
        <v>18.8271065158775</v>
      </c>
      <c r="F264" s="26" t="n">
        <f aca="false">datos_base!$J$8*parametros_recargas!G$61+sobrestock_sustitutos!$I$57/12</f>
        <v>18.8271065158775</v>
      </c>
      <c r="G264" s="26" t="n">
        <f aca="false">datos_base!$J$8*parametros_recargas!H$61+sobrestock_sustitutos!$I$57/12</f>
        <v>18.8271065158775</v>
      </c>
      <c r="H264" s="26" t="n">
        <f aca="false">datos_base!$J$8*parametros_recargas!I$61+sobrestock_sustitutos!$I$57/12</f>
        <v>18.8271065158775</v>
      </c>
      <c r="I264" s="26" t="n">
        <f aca="false">datos_base!$J$8*parametros_recargas!J$61+sobrestock_sustitutos!$I$57/12</f>
        <v>18.8271065158775</v>
      </c>
      <c r="J264" s="26" t="n">
        <f aca="false">datos_base!$J$8*parametros_recargas!K$61+sobrestock_sustitutos!$I$57/12</f>
        <v>18.8271065158775</v>
      </c>
      <c r="K264" s="26" t="n">
        <f aca="false">datos_base!$J$8*parametros_recargas!L$61+sobrestock_sustitutos!$I$57/12</f>
        <v>18.8271065158775</v>
      </c>
      <c r="L264" s="26" t="n">
        <f aca="false">datos_base!$J$8*parametros_recargas!M$61+sobrestock_sustitutos!$I$57/12</f>
        <v>18.8271065158775</v>
      </c>
      <c r="M264" s="26" t="n">
        <f aca="false">datos_base!$J$8*parametros_recargas!N$61+sobrestock_sustitutos!$I$57/12</f>
        <v>18.8271065158775</v>
      </c>
      <c r="N264" s="26" t="n">
        <f aca="false">datos_base!$J$8*parametros_recargas!O$61+sobrestock_sustitutos!$I$57/12</f>
        <v>18.8271065158775</v>
      </c>
      <c r="O264" s="26" t="n">
        <f aca="false">datos_base!$J$8*parametros_recargas!P$61+sobrestock_sustitutos!$I$57/12</f>
        <v>18.8271065158775</v>
      </c>
      <c r="P264" s="12" t="n">
        <f aca="false">SUM(D264:O264)</f>
        <v>225.92527819053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6" t="n">
        <f aca="false">datos_base!$J$9*parametros_recargas!E$62+sobrestock_sustitutos!$I$58/12</f>
        <v>10.8742191461297</v>
      </c>
      <c r="E265" s="26" t="n">
        <f aca="false">datos_base!$J$9*parametros_recargas!F$62+sobrestock_sustitutos!$I$58/12</f>
        <v>10.8742191461297</v>
      </c>
      <c r="F265" s="26" t="n">
        <f aca="false">datos_base!$J$9*parametros_recargas!G$62+sobrestock_sustitutos!$I$58/12</f>
        <v>10.8742191461297</v>
      </c>
      <c r="G265" s="26" t="n">
        <f aca="false">datos_base!$J$9*parametros_recargas!H$62+sobrestock_sustitutos!$I$58/12</f>
        <v>10.8742191461297</v>
      </c>
      <c r="H265" s="26" t="n">
        <f aca="false">datos_base!$J$9*parametros_recargas!I$62+sobrestock_sustitutos!$I$58/12</f>
        <v>10.8742191461297</v>
      </c>
      <c r="I265" s="26" t="n">
        <f aca="false">datos_base!$J$9*parametros_recargas!J$62+sobrestock_sustitutos!$I$58/12</f>
        <v>10.8742191461297</v>
      </c>
      <c r="J265" s="26" t="n">
        <f aca="false">datos_base!$J$9*parametros_recargas!K$62+sobrestock_sustitutos!$I$58/12</f>
        <v>10.8742191461297</v>
      </c>
      <c r="K265" s="26" t="n">
        <f aca="false">datos_base!$J$9*parametros_recargas!L$62+sobrestock_sustitutos!$I$58/12</f>
        <v>10.8742191461297</v>
      </c>
      <c r="L265" s="26" t="n">
        <f aca="false">datos_base!$J$9*parametros_recargas!M$62+sobrestock_sustitutos!$I$58/12</f>
        <v>10.8742191461297</v>
      </c>
      <c r="M265" s="26" t="n">
        <f aca="false">datos_base!$J$9*parametros_recargas!N$62+sobrestock_sustitutos!$I$58/12</f>
        <v>10.8742191461297</v>
      </c>
      <c r="N265" s="26" t="n">
        <f aca="false">datos_base!$J$9*parametros_recargas!O$62+sobrestock_sustitutos!$I$58/12</f>
        <v>10.8742191461297</v>
      </c>
      <c r="O265" s="26" t="n">
        <f aca="false">datos_base!$J$9*parametros_recargas!P$62+sobrestock_sustitutos!$I$58/12</f>
        <v>10.8742191461297</v>
      </c>
      <c r="P265" s="12" t="n">
        <f aca="false">SUM(D265:O265)</f>
        <v>130.490629753557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6" t="n">
        <f aca="false">datos_base!$J$10*parametros_recargas!E$63+sobrestock_sustitutos!$I$59/12</f>
        <v>78.757285699627</v>
      </c>
      <c r="E266" s="26" t="n">
        <f aca="false">datos_base!$J$10*parametros_recargas!F$63+sobrestock_sustitutos!$I$59/12</f>
        <v>78.757285699627</v>
      </c>
      <c r="F266" s="26" t="n">
        <f aca="false">datos_base!$J$10*parametros_recargas!G$63+sobrestock_sustitutos!$I$59/12</f>
        <v>95.099537750867</v>
      </c>
      <c r="G266" s="26" t="n">
        <f aca="false">datos_base!$J$10*parametros_recargas!H$63+sobrestock_sustitutos!$I$59/12</f>
        <v>106.342385839217</v>
      </c>
      <c r="H266" s="26" t="n">
        <f aca="false">datos_base!$J$10*parametros_recargas!I$63+sobrestock_sustitutos!$I$59/12</f>
        <v>110.079976598181</v>
      </c>
      <c r="I266" s="26" t="n">
        <f aca="false">datos_base!$J$10*parametros_recargas!J$63+sobrestock_sustitutos!$I$59/12</f>
        <v>107.678908963403</v>
      </c>
      <c r="J266" s="26" t="n">
        <f aca="false">datos_base!$J$10*parametros_recargas!K$63+sobrestock_sustitutos!$I$59/12</f>
        <v>87.0794389377728</v>
      </c>
      <c r="K266" s="26" t="n">
        <f aca="false">datos_base!$J$10*parametros_recargas!L$63+sobrestock_sustitutos!$I$59/12</f>
        <v>92.6731800363496</v>
      </c>
      <c r="L266" s="26" t="n">
        <f aca="false">datos_base!$J$10*parametros_recargas!M$63+sobrestock_sustitutos!$I$59/12</f>
        <v>95.0742476711276</v>
      </c>
      <c r="M266" s="26" t="n">
        <f aca="false">datos_base!$J$10*parametros_recargas!N$63+sobrestock_sustitutos!$I$59/12</f>
        <v>95.0742476711276</v>
      </c>
      <c r="N266" s="26" t="n">
        <f aca="false">datos_base!$J$10*parametros_recargas!O$63+sobrestock_sustitutos!$I$59/12</f>
        <v>91.3366569121633</v>
      </c>
      <c r="O266" s="26" t="n">
        <f aca="false">datos_base!$J$10*parametros_recargas!P$63+sobrestock_sustitutos!$I$59/12</f>
        <v>93.7377245469413</v>
      </c>
      <c r="P266" s="12" t="n">
        <f aca="false">SUM(D266:O266)</f>
        <v>1131.6908763264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6" t="n">
        <f aca="false">datos_base!$J$11*parametros_recargas!E$64+sobrestock_sustitutos!$I$60/12</f>
        <v>387.870233483333</v>
      </c>
      <c r="E267" s="26" t="n">
        <f aca="false">datos_base!$J$11*parametros_recargas!F$64+sobrestock_sustitutos!$I$60/12</f>
        <v>387.870233483333</v>
      </c>
      <c r="F267" s="26" t="n">
        <f aca="false">datos_base!$J$11*parametros_recargas!G$64+sobrestock_sustitutos!$I$60/12</f>
        <v>515.100763944839</v>
      </c>
      <c r="G267" s="26" t="n">
        <f aca="false">datos_base!$J$11*parametros_recargas!H$64+sobrestock_sustitutos!$I$60/12</f>
        <v>631.902113524676</v>
      </c>
      <c r="H267" s="26" t="n">
        <f aca="false">datos_base!$J$11*parametros_recargas!I$64+sobrestock_sustitutos!$I$60/12</f>
        <v>635.517745258931</v>
      </c>
      <c r="I267" s="26" t="n">
        <f aca="false">datos_base!$J$11*parametros_recargas!J$64+sobrestock_sustitutos!$I$60/12</f>
        <v>626.779734830564</v>
      </c>
      <c r="J267" s="26" t="n">
        <f aca="false">datos_base!$J$11*parametros_recargas!K$64+sobrestock_sustitutos!$I$60/12</f>
        <v>494.971341994327</v>
      </c>
      <c r="K267" s="26" t="n">
        <f aca="false">datos_base!$J$11*parametros_recargas!L$64+sobrestock_sustitutos!$I$60/12</f>
        <v>494.426825674946</v>
      </c>
      <c r="L267" s="26" t="n">
        <f aca="false">datos_base!$J$11*parametros_recargas!M$64+sobrestock_sustitutos!$I$60/12</f>
        <v>503.164836103313</v>
      </c>
      <c r="M267" s="26" t="n">
        <f aca="false">datos_base!$J$11*parametros_recargas!N$64+sobrestock_sustitutos!$I$60/12</f>
        <v>503.164836103313</v>
      </c>
      <c r="N267" s="26" t="n">
        <f aca="false">datos_base!$J$11*parametros_recargas!O$64+sobrestock_sustitutos!$I$60/12</f>
        <v>499.549204369058</v>
      </c>
      <c r="O267" s="26" t="n">
        <f aca="false">datos_base!$J$11*parametros_recargas!P$64+sobrestock_sustitutos!$I$60/12</f>
        <v>508.287214797425</v>
      </c>
      <c r="P267" s="12" t="n">
        <f aca="false">SUM(D267:O267)</f>
        <v>6188.60508356806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6" t="n">
        <f aca="false">datos_base!$J$12*parametros_recargas!E$65+sobrestock_sustitutos!$I$61/12</f>
        <v>159.598680556913</v>
      </c>
      <c r="E268" s="26" t="n">
        <f aca="false">datos_base!$J$12*parametros_recargas!F$65+sobrestock_sustitutos!$I$61/12</f>
        <v>159.598680556913</v>
      </c>
      <c r="F268" s="26" t="n">
        <f aca="false">datos_base!$J$12*parametros_recargas!G$65+sobrestock_sustitutos!$I$61/12</f>
        <v>173.570257167964</v>
      </c>
      <c r="G268" s="26" t="n">
        <f aca="false">datos_base!$J$12*parametros_recargas!H$65+sobrestock_sustitutos!$I$61/12</f>
        <v>192.883574031551</v>
      </c>
      <c r="H268" s="26" t="n">
        <f aca="false">datos_base!$J$12*parametros_recargas!I$65+sobrestock_sustitutos!$I$61/12</f>
        <v>197.243334093982</v>
      </c>
      <c r="I268" s="26" t="n">
        <f aca="false">datos_base!$J$12*parametros_recargas!J$65+sobrestock_sustitutos!$I$61/12</f>
        <v>186.763189238526</v>
      </c>
      <c r="J268" s="26" t="n">
        <f aca="false">datos_base!$J$12*parametros_recargas!K$65+sobrestock_sustitutos!$I$61/12</f>
        <v>163.193641036895</v>
      </c>
      <c r="K268" s="26" t="n">
        <f aca="false">datos_base!$J$12*parametros_recargas!L$65+sobrestock_sustitutos!$I$61/12</f>
        <v>166.67122783445</v>
      </c>
      <c r="L268" s="26" t="n">
        <f aca="false">datos_base!$J$12*parametros_recargas!M$65+sobrestock_sustitutos!$I$61/12</f>
        <v>174.725067161375</v>
      </c>
      <c r="M268" s="26" t="n">
        <f aca="false">datos_base!$J$12*parametros_recargas!N$65+sobrestock_sustitutos!$I$61/12</f>
        <v>174.725067161375</v>
      </c>
      <c r="N268" s="26" t="n">
        <f aca="false">datos_base!$J$12*parametros_recargas!O$65+sobrestock_sustitutos!$I$61/12</f>
        <v>170.365307098944</v>
      </c>
      <c r="O268" s="26" t="n">
        <f aca="false">datos_base!$J$12*parametros_recargas!P$65+sobrestock_sustitutos!$I$61/12</f>
        <v>180.8454519544</v>
      </c>
      <c r="P268" s="12" t="n">
        <f aca="false">SUM(D268:O268)</f>
        <v>2100.18347789329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6" t="n">
        <f aca="false">datos_base!$J$13*parametros_recargas!E$66+sobrestock_sustitutos!$I$62/12</f>
        <v>31.1428223516875</v>
      </c>
      <c r="E269" s="26" t="n">
        <f aca="false">datos_base!$J$13*parametros_recargas!F$66+sobrestock_sustitutos!$I$62/12</f>
        <v>31.1428223516875</v>
      </c>
      <c r="F269" s="26" t="n">
        <f aca="false">datos_base!$J$13*parametros_recargas!G$66+sobrestock_sustitutos!$I$62/12</f>
        <v>28.5604574461593</v>
      </c>
      <c r="G269" s="26" t="n">
        <f aca="false">datos_base!$J$13*parametros_recargas!H$66+sobrestock_sustitutos!$I$62/12</f>
        <v>28.5604574461593</v>
      </c>
      <c r="H269" s="26" t="n">
        <f aca="false">datos_base!$J$13*parametros_recargas!I$66+sobrestock_sustitutos!$I$62/12</f>
        <v>28.5604574461593</v>
      </c>
      <c r="I269" s="26" t="n">
        <f aca="false">datos_base!$J$13*parametros_recargas!J$66+sobrestock_sustitutos!$I$62/12</f>
        <v>25.978092540631</v>
      </c>
      <c r="J269" s="26" t="n">
        <f aca="false">datos_base!$J$13*parametros_recargas!K$66+sobrestock_sustitutos!$I$62/12</f>
        <v>25.978092540631</v>
      </c>
      <c r="K269" s="26" t="n">
        <f aca="false">datos_base!$J$13*parametros_recargas!L$66+sobrestock_sustitutos!$I$62/12</f>
        <v>25.978092540631</v>
      </c>
      <c r="L269" s="26" t="n">
        <f aca="false">datos_base!$J$13*parametros_recargas!M$66+sobrestock_sustitutos!$I$62/12</f>
        <v>28.5604574461593</v>
      </c>
      <c r="M269" s="26" t="n">
        <f aca="false">datos_base!$J$13*parametros_recargas!N$66+sobrestock_sustitutos!$I$62/12</f>
        <v>28.5604574461593</v>
      </c>
      <c r="N269" s="26" t="n">
        <f aca="false">datos_base!$J$13*parametros_recargas!O$66+sobrestock_sustitutos!$I$62/12</f>
        <v>28.5604574461593</v>
      </c>
      <c r="O269" s="26" t="n">
        <f aca="false">datos_base!$J$13*parametros_recargas!P$66+sobrestock_sustitutos!$I$62/12</f>
        <v>31.1428223516875</v>
      </c>
      <c r="P269" s="12" t="n">
        <f aca="false">SUM(D269:O269)</f>
        <v>342.725489353911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6" t="n">
        <f aca="false">datos_base!$J$14*parametros_recargas!E$67+sobrestock_sustitutos!$I$63/12</f>
        <v>9.81494429574624</v>
      </c>
      <c r="E270" s="26" t="n">
        <f aca="false">datos_base!$J$14*parametros_recargas!F$67+sobrestock_sustitutos!$I$63/12</f>
        <v>9.81494429574624</v>
      </c>
      <c r="F270" s="26" t="n">
        <f aca="false">datos_base!$J$14*parametros_recargas!G$67+sobrestock_sustitutos!$I$63/12</f>
        <v>9.81494429574624</v>
      </c>
      <c r="G270" s="26" t="n">
        <f aca="false">datos_base!$J$14*parametros_recargas!H$67+sobrestock_sustitutos!$I$63/12</f>
        <v>9.81494429574624</v>
      </c>
      <c r="H270" s="26" t="n">
        <f aca="false">datos_base!$J$14*parametros_recargas!I$67+sobrestock_sustitutos!$I$63/12</f>
        <v>9.81494429574624</v>
      </c>
      <c r="I270" s="26" t="n">
        <f aca="false">datos_base!$J$14*parametros_recargas!J$67+sobrestock_sustitutos!$I$63/12</f>
        <v>9.81494429574624</v>
      </c>
      <c r="J270" s="26" t="n">
        <f aca="false">datos_base!$J$14*parametros_recargas!K$67+sobrestock_sustitutos!$I$63/12</f>
        <v>9.81494429574624</v>
      </c>
      <c r="K270" s="26" t="n">
        <f aca="false">datos_base!$J$14*parametros_recargas!L$67+sobrestock_sustitutos!$I$63/12</f>
        <v>9.81494429574624</v>
      </c>
      <c r="L270" s="26" t="n">
        <f aca="false">datos_base!$J$14*parametros_recargas!M$67+sobrestock_sustitutos!$I$63/12</f>
        <v>9.81494429574624</v>
      </c>
      <c r="M270" s="26" t="n">
        <f aca="false">datos_base!$J$14*parametros_recargas!N$67+sobrestock_sustitutos!$I$63/12</f>
        <v>9.81494429574624</v>
      </c>
      <c r="N270" s="26" t="n">
        <f aca="false">datos_base!$J$14*parametros_recargas!O$67+sobrestock_sustitutos!$I$63/12</f>
        <v>9.81494429574624</v>
      </c>
      <c r="O270" s="26" t="n">
        <f aca="false">datos_base!$J$14*parametros_recargas!P$67+sobrestock_sustitutos!$I$63/12</f>
        <v>9.81494429574624</v>
      </c>
      <c r="P270" s="12" t="n">
        <f aca="false">SUM(D270:O270)</f>
        <v>117.779331548955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6" t="n">
        <f aca="false">datos_base!$J$15*parametros_recargas!E$68+sobrestock_sustitutos!$I$64/12</f>
        <v>20.8712747628213</v>
      </c>
      <c r="E271" s="26" t="n">
        <f aca="false">datos_base!$J$15*parametros_recargas!F$68+sobrestock_sustitutos!$I$64/12</f>
        <v>20.8712747628213</v>
      </c>
      <c r="F271" s="26" t="n">
        <f aca="false">datos_base!$J$15*parametros_recargas!G$68+sobrestock_sustitutos!$I$64/12</f>
        <v>23.3221173446088</v>
      </c>
      <c r="G271" s="26" t="n">
        <f aca="false">datos_base!$J$15*parametros_recargas!H$68+sobrestock_sustitutos!$I$64/12</f>
        <v>26.6285982616874</v>
      </c>
      <c r="H271" s="26" t="n">
        <f aca="false">datos_base!$J$15*parametros_recargas!I$68+sobrestock_sustitutos!$I$64/12</f>
        <v>26.825335587208</v>
      </c>
      <c r="I271" s="26" t="n">
        <f aca="false">datos_base!$J$15*parametros_recargas!J$68+sobrestock_sustitutos!$I$64/12</f>
        <v>25.5959649081697</v>
      </c>
      <c r="J271" s="26" t="n">
        <f aca="false">datos_base!$J$15*parametros_recargas!K$68+sobrestock_sustitutos!$I$64/12</f>
        <v>21.8075118309366</v>
      </c>
      <c r="K271" s="26" t="n">
        <f aca="false">datos_base!$J$15*parametros_recargas!L$68+sobrestock_sustitutos!$I$64/12</f>
        <v>22.1124889728646</v>
      </c>
      <c r="L271" s="26" t="n">
        <f aca="false">datos_base!$J$15*parametros_recargas!M$68+sobrestock_sustitutos!$I$64/12</f>
        <v>23.3418596519028</v>
      </c>
      <c r="M271" s="26" t="n">
        <f aca="false">datos_base!$J$15*parametros_recargas!N$68+sobrestock_sustitutos!$I$64/12</f>
        <v>23.3418596519028</v>
      </c>
      <c r="N271" s="26" t="n">
        <f aca="false">datos_base!$J$15*parametros_recargas!O$68+sobrestock_sustitutos!$I$64/12</f>
        <v>23.1451223263822</v>
      </c>
      <c r="O271" s="26" t="n">
        <f aca="false">datos_base!$J$15*parametros_recargas!P$68+sobrestock_sustitutos!$I$64/12</f>
        <v>24.3744930054205</v>
      </c>
      <c r="P271" s="12" t="n">
        <f aca="false">SUM(D271:O271)</f>
        <v>282.237901066726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6" t="n">
        <f aca="false">datos_base!$J$16*parametros_recargas!E$69+sobrestock_sustitutos!$I$65/12</f>
        <v>45.933350646794</v>
      </c>
      <c r="E272" s="26" t="n">
        <f aca="false">datos_base!$J$16*parametros_recargas!F$69+sobrestock_sustitutos!$I$65/12</f>
        <v>45.933350646794</v>
      </c>
      <c r="F272" s="26" t="n">
        <f aca="false">datos_base!$J$16*parametros_recargas!G$69+sobrestock_sustitutos!$I$65/12</f>
        <v>51.3252187212368</v>
      </c>
      <c r="G272" s="26" t="n">
        <f aca="false">datos_base!$J$16*parametros_recargas!H$69+sobrestock_sustitutos!$I$65/12</f>
        <v>58.5998373286312</v>
      </c>
      <c r="H272" s="26" t="n">
        <f aca="false">datos_base!$J$16*parametros_recargas!I$69+sobrestock_sustitutos!$I$65/12</f>
        <v>59.032485007395</v>
      </c>
      <c r="I272" s="26" t="n">
        <f aca="false">datos_base!$J$16*parametros_recargas!J$69+sobrestock_sustitutos!$I$65/12</f>
        <v>56.3278659208525</v>
      </c>
      <c r="J272" s="26" t="n">
        <f aca="false">datos_base!$J$16*parametros_recargas!K$69+sobrestock_sustitutos!$I$65/12</f>
        <v>47.9933415185171</v>
      </c>
      <c r="K272" s="26" t="n">
        <f aca="false">datos_base!$J$16*parametros_recargas!L$69+sobrestock_sustitutos!$I$65/12</f>
        <v>48.6640264386311</v>
      </c>
      <c r="L272" s="26" t="n">
        <f aca="false">datos_base!$J$16*parametros_recargas!M$69+sobrestock_sustitutos!$I$65/12</f>
        <v>51.3686455251735</v>
      </c>
      <c r="M272" s="26" t="n">
        <f aca="false">datos_base!$J$16*parametros_recargas!N$69+sobrestock_sustitutos!$I$65/12</f>
        <v>51.3686455251735</v>
      </c>
      <c r="N272" s="26" t="n">
        <f aca="false">datos_base!$J$16*parametros_recargas!O$69+sobrestock_sustitutos!$I$65/12</f>
        <v>50.9359978464098</v>
      </c>
      <c r="O272" s="26" t="n">
        <f aca="false">datos_base!$J$16*parametros_recargas!P$69+sobrestock_sustitutos!$I$65/12</f>
        <v>53.6406169329522</v>
      </c>
      <c r="P272" s="12" t="n">
        <f aca="false">SUM(D272:O272)</f>
        <v>621.123382058561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6" t="n">
        <f aca="false">datos_base!$J$17*parametros_recargas!E$70+sobrestock_sustitutos!$I$66/12</f>
        <v>10.0247644887802</v>
      </c>
      <c r="E273" s="26" t="n">
        <f aca="false">datos_base!$J$17*parametros_recargas!F$70+sobrestock_sustitutos!$I$66/12</f>
        <v>10.0247644887802</v>
      </c>
      <c r="F273" s="26" t="n">
        <f aca="false">datos_base!$J$17*parametros_recargas!G$70+sobrestock_sustitutos!$I$66/12</f>
        <v>11.2012356984067</v>
      </c>
      <c r="G273" s="26" t="n">
        <f aca="false">datos_base!$J$17*parametros_recargas!H$70+sobrestock_sustitutos!$I$66/12</f>
        <v>12.7885006179654</v>
      </c>
      <c r="H273" s="26" t="n">
        <f aca="false">datos_base!$J$17*parametros_recargas!I$70+sobrestock_sustitutos!$I$66/12</f>
        <v>12.8828971910654</v>
      </c>
      <c r="I273" s="26" t="n">
        <f aca="false">datos_base!$J$17*parametros_recargas!J$70+sobrestock_sustitutos!$I$66/12</f>
        <v>12.2928143911047</v>
      </c>
      <c r="J273" s="26" t="n">
        <f aca="false">datos_base!$J$17*parametros_recargas!K$70+sobrestock_sustitutos!$I$66/12</f>
        <v>10.4743100668818</v>
      </c>
      <c r="K273" s="26" t="n">
        <f aca="false">datos_base!$J$17*parametros_recargas!L$70+sobrestock_sustitutos!$I$66/12</f>
        <v>10.6206569546176</v>
      </c>
      <c r="L273" s="26" t="n">
        <f aca="false">datos_base!$J$17*parametros_recargas!M$70+sobrestock_sustitutos!$I$66/12</f>
        <v>11.2107397545783</v>
      </c>
      <c r="M273" s="26" t="n">
        <f aca="false">datos_base!$J$17*parametros_recargas!N$70+sobrestock_sustitutos!$I$66/12</f>
        <v>11.2107397545783</v>
      </c>
      <c r="N273" s="26" t="n">
        <f aca="false">datos_base!$J$17*parametros_recargas!O$70+sobrestock_sustitutos!$I$66/12</f>
        <v>11.1163431814782</v>
      </c>
      <c r="O273" s="26" t="n">
        <f aca="false">datos_base!$J$17*parametros_recargas!P$70+sobrestock_sustitutos!$I$66/12</f>
        <v>11.7064259814389</v>
      </c>
      <c r="P273" s="12" t="n">
        <f aca="false">SUM(D273:O273)</f>
        <v>135.554192569676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6" t="n">
        <f aca="false">datos_base!$J$18*parametros_recargas!E$71+sobrestock_sustitutos!$I$67/12</f>
        <v>6.73864557748547</v>
      </c>
      <c r="E274" s="26" t="n">
        <f aca="false">datos_base!$J$18*parametros_recargas!F$71+sobrestock_sustitutos!$I$67/12</f>
        <v>6.73864557748547</v>
      </c>
      <c r="F274" s="26" t="n">
        <f aca="false">datos_base!$J$18*parametros_recargas!G$71+sobrestock_sustitutos!$I$67/12</f>
        <v>7.52304736648623</v>
      </c>
      <c r="G274" s="26" t="n">
        <f aca="false">datos_base!$J$18*parametros_recargas!H$71+sobrestock_sustitutos!$I$67/12</f>
        <v>8.58132054374063</v>
      </c>
      <c r="H274" s="26" t="n">
        <f aca="false">datos_base!$J$18*parametros_recargas!I$71+sobrestock_sustitutos!$I$67/12</f>
        <v>8.64420425288284</v>
      </c>
      <c r="I274" s="26" t="n">
        <f aca="false">datos_base!$J$18*parametros_recargas!J$71+sobrestock_sustitutos!$I$67/12</f>
        <v>8.25085172753119</v>
      </c>
      <c r="J274" s="26" t="n">
        <f aca="false">datos_base!$J$18*parametros_recargas!K$71+sobrestock_sustitutos!$I$67/12</f>
        <v>7.03851241801447</v>
      </c>
      <c r="K274" s="26" t="n">
        <f aca="false">datos_base!$J$18*parametros_recargas!L$71+sobrestock_sustitutos!$I$67/12</f>
        <v>7.13598112232099</v>
      </c>
      <c r="L274" s="26" t="n">
        <f aca="false">datos_base!$J$18*parametros_recargas!M$71+sobrestock_sustitutos!$I$67/12</f>
        <v>7.52933364767264</v>
      </c>
      <c r="M274" s="26" t="n">
        <f aca="false">datos_base!$J$18*parametros_recargas!N$71+sobrestock_sustitutos!$I$67/12</f>
        <v>7.52933364767264</v>
      </c>
      <c r="N274" s="26" t="n">
        <f aca="false">datos_base!$J$18*parametros_recargas!O$71+sobrestock_sustitutos!$I$67/12</f>
        <v>7.46644993853043</v>
      </c>
      <c r="O274" s="26" t="n">
        <f aca="false">datos_base!$J$18*parametros_recargas!P$71+sobrestock_sustitutos!$I$67/12</f>
        <v>7.85980246388208</v>
      </c>
      <c r="P274" s="12" t="n">
        <f aca="false">SUM(D274:O274)</f>
        <v>91.0361282837051</v>
      </c>
    </row>
    <row r="275" customFormat="false" ht="15" hidden="false" customHeight="false" outlineLevel="0" collapsed="false">
      <c r="A275" s="4" t="s">
        <v>385</v>
      </c>
      <c r="D275" s="12" t="n">
        <f aca="false">SUM(D258:D274)</f>
        <v>9551.39479614697</v>
      </c>
      <c r="E275" s="12" t="n">
        <f aca="false">SUM(E258:E274)</f>
        <v>8212.62316978508</v>
      </c>
      <c r="F275" s="12" t="n">
        <f aca="false">SUM(F258:F274)</f>
        <v>7700.80276060748</v>
      </c>
      <c r="G275" s="12" t="n">
        <f aca="false">SUM(G258:G274)</f>
        <v>8462.90655240174</v>
      </c>
      <c r="H275" s="12" t="n">
        <f aca="false">SUM(H258:H274)</f>
        <v>8530.80953244288</v>
      </c>
      <c r="I275" s="12" t="n">
        <f aca="false">SUM(I258:I274)</f>
        <v>8445.133520318</v>
      </c>
      <c r="J275" s="12" t="n">
        <f aca="false">SUM(J258:J274)</f>
        <v>7532.29439907624</v>
      </c>
      <c r="K275" s="12" t="n">
        <f aca="false">SUM(K258:K274)</f>
        <v>7600.40927104995</v>
      </c>
      <c r="L275" s="12" t="n">
        <f aca="false">SUM(L258:L274)</f>
        <v>7672.894853489</v>
      </c>
      <c r="M275" s="12" t="n">
        <f aca="false">SUM(M258:M274)</f>
        <v>7672.894853489</v>
      </c>
      <c r="N275" s="12" t="n">
        <f aca="false">SUM(N258:N274)</f>
        <v>8943.76349980976</v>
      </c>
      <c r="O275" s="12" t="n">
        <f aca="false">SUM(O258:O274)</f>
        <v>10368.2111382965</v>
      </c>
      <c r="P275" s="12" t="n">
        <f aca="false">SUM(P258:P274)</f>
        <v>100694.138346913</v>
      </c>
    </row>
    <row r="276" customFormat="false" ht="15" hidden="false" customHeight="false" outlineLevel="0" collapsed="false">
      <c r="A276" s="4" t="s">
        <v>386</v>
      </c>
    </row>
    <row r="277" customFormat="false" ht="15" hidden="false" customHeight="false" outlineLevel="0" collapsed="false">
      <c r="A277" s="5" t="s">
        <v>165</v>
      </c>
      <c r="D277" s="26" t="n">
        <f aca="false">SUMPRODUCT(($B$258:$B$274=$A277)*D$258:D$274*$C$258:$C$274)</f>
        <v>9111.85364776991</v>
      </c>
      <c r="E277" s="26" t="n">
        <f aca="false">SUMPRODUCT(($B$258:$B$274=$A277)*E$258:E$274*$C$258:$C$274)</f>
        <v>7773.08202140801</v>
      </c>
      <c r="F277" s="26" t="n">
        <f aca="false">SUMPRODUCT(($B$258:$B$274=$A277)*F$258:F$274*$C$258:$C$274)</f>
        <v>7123.00926489297</v>
      </c>
      <c r="G277" s="26" t="n">
        <f aca="false">SUMPRODUCT(($B$258:$B$274=$A277)*G$258:G$274*$C$258:$C$274)</f>
        <v>7771.31262749073</v>
      </c>
      <c r="H277" s="26" t="n">
        <f aca="false">SUMPRODUCT(($B$258:$B$274=$A277)*H$258:H$274*$C$258:$C$274)</f>
        <v>7829.75174227699</v>
      </c>
      <c r="I277" s="26" t="n">
        <f aca="false">SUMPRODUCT(($B$258:$B$274=$A277)*I$258:I$274*$C$258:$C$274)</f>
        <v>7749.40465416206</v>
      </c>
      <c r="J277" s="26" t="n">
        <f aca="false">SUMPRODUCT(($B$258:$B$274=$A277)*J$258:J$274*$C$258:$C$274)</f>
        <v>6973.58262692307</v>
      </c>
      <c r="K277" s="26" t="n">
        <f aca="false">SUMPRODUCT(($B$258:$B$274=$A277)*K$258:K$274*$C$258:$C$274)</f>
        <v>7038.79781098653</v>
      </c>
      <c r="L277" s="26" t="n">
        <f aca="false">SUMPRODUCT(($B$258:$B$274=$A277)*L$258:L$274*$C$258:$C$274)</f>
        <v>7108.88924649137</v>
      </c>
      <c r="M277" s="26" t="n">
        <f aca="false">SUMPRODUCT(($B$258:$B$274=$A277)*M$258:M$274*$C$258:$C$274)</f>
        <v>7108.88924649137</v>
      </c>
      <c r="N277" s="26" t="n">
        <f aca="false">SUMPRODUCT(($B$258:$B$274=$A277)*N$258:N$274*$C$258:$C$274)</f>
        <v>8389.22175806701</v>
      </c>
      <c r="O277" s="26" t="n">
        <f aca="false">SUMPRODUCT(($B$258:$B$274=$A277)*O$258:O$274*$C$258:$C$274)</f>
        <v>9808.34047254384</v>
      </c>
      <c r="P277" s="26" t="n">
        <f aca="false">SUMPRODUCT(($B$258:$B$274=$A277)*P$258:P$274*$C$258:$C$274)</f>
        <v>93786.1351195039</v>
      </c>
    </row>
    <row r="278" customFormat="false" ht="15" hidden="false" customHeight="false" outlineLevel="0" collapsed="false">
      <c r="A278" s="5" t="s">
        <v>166</v>
      </c>
      <c r="D278" s="26" t="n">
        <f aca="false">SUMPRODUCT(($B$258:$B$274=$A278)*D$258:D$274*$C$258:$C$274)</f>
        <v>10.8742191461297</v>
      </c>
      <c r="E278" s="26" t="n">
        <f aca="false">SUMPRODUCT(($B$258:$B$274=$A278)*E$258:E$274*$C$258:$C$274)</f>
        <v>10.8742191461297</v>
      </c>
      <c r="F278" s="26" t="n">
        <f aca="false">SUMPRODUCT(($B$258:$B$274=$A278)*F$258:F$274*$C$258:$C$274)</f>
        <v>10.8742191461297</v>
      </c>
      <c r="G278" s="26" t="n">
        <f aca="false">SUMPRODUCT(($B$258:$B$274=$A278)*G$258:G$274*$C$258:$C$274)</f>
        <v>10.8742191461297</v>
      </c>
      <c r="H278" s="26" t="n">
        <f aca="false">SUMPRODUCT(($B$258:$B$274=$A278)*H$258:H$274*$C$258:$C$274)</f>
        <v>10.8742191461297</v>
      </c>
      <c r="I278" s="26" t="n">
        <f aca="false">SUMPRODUCT(($B$258:$B$274=$A278)*I$258:I$274*$C$258:$C$274)</f>
        <v>10.8742191461297</v>
      </c>
      <c r="J278" s="26" t="n">
        <f aca="false">SUMPRODUCT(($B$258:$B$274=$A278)*J$258:J$274*$C$258:$C$274)</f>
        <v>10.8742191461297</v>
      </c>
      <c r="K278" s="26" t="n">
        <f aca="false">SUMPRODUCT(($B$258:$B$274=$A278)*K$258:K$274*$C$258:$C$274)</f>
        <v>10.8742191461297</v>
      </c>
      <c r="L278" s="26" t="n">
        <f aca="false">SUMPRODUCT(($B$258:$B$274=$A278)*L$258:L$274*$C$258:$C$274)</f>
        <v>10.8742191461297</v>
      </c>
      <c r="M278" s="26" t="n">
        <f aca="false">SUMPRODUCT(($B$258:$B$274=$A278)*M$258:M$274*$C$258:$C$274)</f>
        <v>10.8742191461297</v>
      </c>
      <c r="N278" s="26" t="n">
        <f aca="false">SUMPRODUCT(($B$258:$B$274=$A278)*N$258:N$274*$C$258:$C$274)</f>
        <v>10.8742191461297</v>
      </c>
      <c r="O278" s="26" t="n">
        <f aca="false">SUMPRODUCT(($B$258:$B$274=$A278)*O$258:O$274*$C$258:$C$274)</f>
        <v>10.8742191461297</v>
      </c>
      <c r="P278" s="26" t="n">
        <f aca="false">SUMPRODUCT(($B$258:$B$274=$A278)*P$258:P$274*$C$258:$C$274)</f>
        <v>130.490629753557</v>
      </c>
    </row>
    <row r="279" customFormat="false" ht="15" hidden="false" customHeight="false" outlineLevel="0" collapsed="false">
      <c r="A279" s="5" t="s">
        <v>167</v>
      </c>
      <c r="D279" s="26" t="n">
        <f aca="false">SUMPRODUCT(($B$258:$B$274=$A279)*D$258:D$274*$C$258:$C$274)</f>
        <v>9.81494429574624</v>
      </c>
      <c r="E279" s="26" t="n">
        <f aca="false">SUMPRODUCT(($B$258:$B$274=$A279)*E$258:E$274*$C$258:$C$274)</f>
        <v>9.81494429574624</v>
      </c>
      <c r="F279" s="26" t="n">
        <f aca="false">SUMPRODUCT(($B$258:$B$274=$A279)*F$258:F$274*$C$258:$C$274)</f>
        <v>9.81494429574624</v>
      </c>
      <c r="G279" s="26" t="n">
        <f aca="false">SUMPRODUCT(($B$258:$B$274=$A279)*G$258:G$274*$C$258:$C$274)</f>
        <v>9.81494429574624</v>
      </c>
      <c r="H279" s="26" t="n">
        <f aca="false">SUMPRODUCT(($B$258:$B$274=$A279)*H$258:H$274*$C$258:$C$274)</f>
        <v>9.81494429574624</v>
      </c>
      <c r="I279" s="26" t="n">
        <f aca="false">SUMPRODUCT(($B$258:$B$274=$A279)*I$258:I$274*$C$258:$C$274)</f>
        <v>9.81494429574624</v>
      </c>
      <c r="J279" s="26" t="n">
        <f aca="false">SUMPRODUCT(($B$258:$B$274=$A279)*J$258:J$274*$C$258:$C$274)</f>
        <v>9.81494429574624</v>
      </c>
      <c r="K279" s="26" t="n">
        <f aca="false">SUMPRODUCT(($B$258:$B$274=$A279)*K$258:K$274*$C$258:$C$274)</f>
        <v>9.81494429574624</v>
      </c>
      <c r="L279" s="26" t="n">
        <f aca="false">SUMPRODUCT(($B$258:$B$274=$A279)*L$258:L$274*$C$258:$C$274)</f>
        <v>9.81494429574624</v>
      </c>
      <c r="M279" s="26" t="n">
        <f aca="false">SUMPRODUCT(($B$258:$B$274=$A279)*M$258:M$274*$C$258:$C$274)</f>
        <v>9.81494429574624</v>
      </c>
      <c r="N279" s="26" t="n">
        <f aca="false">SUMPRODUCT(($B$258:$B$274=$A279)*N$258:N$274*$C$258:$C$274)</f>
        <v>9.81494429574624</v>
      </c>
      <c r="O279" s="26" t="n">
        <f aca="false">SUMPRODUCT(($B$258:$B$274=$A279)*O$258:O$274*$C$258:$C$274)</f>
        <v>9.81494429574624</v>
      </c>
      <c r="P279" s="26" t="n">
        <f aca="false">SUMPRODUCT(($B$258:$B$274=$A279)*P$258:P$274*$C$258:$C$274)</f>
        <v>117.779331548955</v>
      </c>
    </row>
    <row r="280" customFormat="false" ht="15" hidden="false" customHeight="false" outlineLevel="0" collapsed="false">
      <c r="A280" s="5" t="s">
        <v>168</v>
      </c>
      <c r="D280" s="26" t="n">
        <f aca="false">SUMPRODUCT(($B$258:$B$274=$A280)*D$258:D$274*$C$258:$C$274)</f>
        <v>154.744923125438</v>
      </c>
      <c r="E280" s="26" t="n">
        <f aca="false">SUMPRODUCT(($B$258:$B$274=$A280)*E$258:E$274*$C$258:$C$274)</f>
        <v>154.744923125438</v>
      </c>
      <c r="F280" s="26" t="n">
        <f aca="false">SUMPRODUCT(($B$258:$B$274=$A280)*F$258:F$274*$C$258:$C$274)</f>
        <v>190.590855669648</v>
      </c>
      <c r="G280" s="26" t="n">
        <f aca="false">SUMPRODUCT(($B$258:$B$274=$A280)*G$258:G$274*$C$258:$C$274)</f>
        <v>227.939841879664</v>
      </c>
      <c r="H280" s="26" t="n">
        <f aca="false">SUMPRODUCT(($B$258:$B$274=$A280)*H$258:H$274*$C$258:$C$274)</f>
        <v>229.907922228499</v>
      </c>
      <c r="I280" s="26" t="n">
        <f aca="false">SUMPRODUCT(($B$258:$B$274=$A280)*I$258:I$274*$C$258:$C$274)</f>
        <v>222.418988689142</v>
      </c>
      <c r="J280" s="26" t="n">
        <f aca="false">SUMPRODUCT(($B$258:$B$274=$A280)*J$258:J$274*$C$258:$C$274)</f>
        <v>180.141885113532</v>
      </c>
      <c r="K280" s="26" t="n">
        <f aca="false">SUMPRODUCT(($B$258:$B$274=$A280)*K$258:K$274*$C$258:$C$274)</f>
        <v>181.052202954411</v>
      </c>
      <c r="L280" s="26" t="n">
        <f aca="false">SUMPRODUCT(($B$258:$B$274=$A280)*L$258:L$274*$C$258:$C$274)</f>
        <v>188.032664946551</v>
      </c>
      <c r="M280" s="26" t="n">
        <f aca="false">SUMPRODUCT(($B$258:$B$274=$A280)*M$258:M$274*$C$258:$C$274)</f>
        <v>188.032664946551</v>
      </c>
      <c r="N280" s="26" t="n">
        <f aca="false">SUMPRODUCT(($B$258:$B$274=$A280)*N$258:N$274*$C$258:$C$274)</f>
        <v>186.064584597716</v>
      </c>
      <c r="O280" s="26" t="n">
        <f aca="false">SUMPRODUCT(($B$258:$B$274=$A280)*O$258:O$274*$C$258:$C$274)</f>
        <v>193.553518137072</v>
      </c>
      <c r="P280" s="26" t="n">
        <f aca="false">SUMPRODUCT(($B$258:$B$274=$A280)*P$258:P$274*$C$258:$C$274)</f>
        <v>2297.22497541366</v>
      </c>
    </row>
    <row r="281" customFormat="false" ht="15" hidden="false" customHeight="false" outlineLevel="0" collapsed="false">
      <c r="A281" s="5" t="s">
        <v>169</v>
      </c>
      <c r="D281" s="26" t="n">
        <f aca="false">SUMPRODUCT(($B$258:$B$274=$A281)*D$258:D$274*$C$258:$C$274)</f>
        <v>155.663433445883</v>
      </c>
      <c r="E281" s="26" t="n">
        <f aca="false">SUMPRODUCT(($B$258:$B$274=$A281)*E$258:E$274*$C$258:$C$274)</f>
        <v>155.663433445883</v>
      </c>
      <c r="F281" s="26" t="n">
        <f aca="false">SUMPRODUCT(($B$258:$B$274=$A281)*F$258:F$274*$C$258:$C$274)</f>
        <v>155.663433445883</v>
      </c>
      <c r="G281" s="26" t="n">
        <f aca="false">SUMPRODUCT(($B$258:$B$274=$A281)*G$258:G$274*$C$258:$C$274)</f>
        <v>155.663433445883</v>
      </c>
      <c r="H281" s="26" t="n">
        <f aca="false">SUMPRODUCT(($B$258:$B$274=$A281)*H$258:H$274*$C$258:$C$274)</f>
        <v>155.663433445883</v>
      </c>
      <c r="I281" s="26" t="n">
        <f aca="false">SUMPRODUCT(($B$258:$B$274=$A281)*I$258:I$274*$C$258:$C$274)</f>
        <v>155.663433445883</v>
      </c>
      <c r="J281" s="26" t="n">
        <f aca="false">SUMPRODUCT(($B$258:$B$274=$A281)*J$258:J$274*$C$258:$C$274)</f>
        <v>155.663433445883</v>
      </c>
      <c r="K281" s="26" t="n">
        <f aca="false">SUMPRODUCT(($B$258:$B$274=$A281)*K$258:K$274*$C$258:$C$274)</f>
        <v>155.663433445883</v>
      </c>
      <c r="L281" s="26" t="n">
        <f aca="false">SUMPRODUCT(($B$258:$B$274=$A281)*L$258:L$274*$C$258:$C$274)</f>
        <v>155.663433445883</v>
      </c>
      <c r="M281" s="26" t="n">
        <f aca="false">SUMPRODUCT(($B$258:$B$274=$A281)*M$258:M$274*$C$258:$C$274)</f>
        <v>155.663433445883</v>
      </c>
      <c r="N281" s="26" t="n">
        <f aca="false">SUMPRODUCT(($B$258:$B$274=$A281)*N$258:N$274*$C$258:$C$274)</f>
        <v>155.663433445883</v>
      </c>
      <c r="O281" s="26" t="n">
        <f aca="false">SUMPRODUCT(($B$258:$B$274=$A281)*O$258:O$274*$C$258:$C$274)</f>
        <v>155.663433445883</v>
      </c>
      <c r="P281" s="26" t="n">
        <f aca="false">SUMPRODUCT(($B$258:$B$274=$A281)*P$258:P$274*$C$258:$C$274)</f>
        <v>1867.9612013506</v>
      </c>
    </row>
    <row r="282" customFormat="false" ht="15" hidden="false" customHeight="false" outlineLevel="0" collapsed="false">
      <c r="A282" s="5" t="s">
        <v>170</v>
      </c>
      <c r="D282" s="26" t="n">
        <f aca="false">SUMPRODUCT(($B$258:$B$274=$A282)*D$258:D$274*$C$258:$C$274)</f>
        <v>78.757285699627</v>
      </c>
      <c r="E282" s="26" t="n">
        <f aca="false">SUMPRODUCT(($B$258:$B$274=$A282)*E$258:E$274*$C$258:$C$274)</f>
        <v>78.757285699627</v>
      </c>
      <c r="F282" s="26" t="n">
        <f aca="false">SUMPRODUCT(($B$258:$B$274=$A282)*F$258:F$274*$C$258:$C$274)</f>
        <v>95.099537750867</v>
      </c>
      <c r="G282" s="26" t="n">
        <f aca="false">SUMPRODUCT(($B$258:$B$274=$A282)*G$258:G$274*$C$258:$C$274)</f>
        <v>106.342385839217</v>
      </c>
      <c r="H282" s="26" t="n">
        <f aca="false">SUMPRODUCT(($B$258:$B$274=$A282)*H$258:H$274*$C$258:$C$274)</f>
        <v>110.079976598181</v>
      </c>
      <c r="I282" s="26" t="n">
        <f aca="false">SUMPRODUCT(($B$258:$B$274=$A282)*I$258:I$274*$C$258:$C$274)</f>
        <v>107.678908963403</v>
      </c>
      <c r="J282" s="26" t="n">
        <f aca="false">SUMPRODUCT(($B$258:$B$274=$A282)*J$258:J$274*$C$258:$C$274)</f>
        <v>87.0794389377728</v>
      </c>
      <c r="K282" s="26" t="n">
        <f aca="false">SUMPRODUCT(($B$258:$B$274=$A282)*K$258:K$274*$C$258:$C$274)</f>
        <v>92.6731800363496</v>
      </c>
      <c r="L282" s="26" t="n">
        <f aca="false">SUMPRODUCT(($B$258:$B$274=$A282)*L$258:L$274*$C$258:$C$274)</f>
        <v>95.0742476711276</v>
      </c>
      <c r="M282" s="26" t="n">
        <f aca="false">SUMPRODUCT(($B$258:$B$274=$A282)*M$258:M$274*$C$258:$C$274)</f>
        <v>95.0742476711276</v>
      </c>
      <c r="N282" s="26" t="n">
        <f aca="false">SUMPRODUCT(($B$258:$B$274=$A282)*N$258:N$274*$C$258:$C$274)</f>
        <v>91.3366569121633</v>
      </c>
      <c r="O282" s="26" t="n">
        <f aca="false">SUMPRODUCT(($B$258:$B$274=$A282)*O$258:O$274*$C$258:$C$274)</f>
        <v>93.7377245469413</v>
      </c>
      <c r="P282" s="26" t="n">
        <f aca="false">SUMPRODUCT(($B$258:$B$274=$A282)*P$258:P$274*$C$258:$C$274)</f>
        <v>1131.6908763264</v>
      </c>
    </row>
    <row r="283" customFormat="false" ht="15" hidden="false" customHeight="false" outlineLevel="0" collapsed="false">
      <c r="A283" s="5" t="s">
        <v>171</v>
      </c>
      <c r="D283" s="26" t="n">
        <f aca="false">SUMPRODUCT(($B$258:$B$274=$A283)*D$258:D$274*$C$258:$C$274)</f>
        <v>547.468914040246</v>
      </c>
      <c r="E283" s="26" t="n">
        <f aca="false">SUMPRODUCT(($B$258:$B$274=$A283)*E$258:E$274*$C$258:$C$274)</f>
        <v>547.468914040246</v>
      </c>
      <c r="F283" s="26" t="n">
        <f aca="false">SUMPRODUCT(($B$258:$B$274=$A283)*F$258:F$274*$C$258:$C$274)</f>
        <v>688.671021112803</v>
      </c>
      <c r="G283" s="26" t="n">
        <f aca="false">SUMPRODUCT(($B$258:$B$274=$A283)*G$258:G$274*$C$258:$C$274)</f>
        <v>824.785687556227</v>
      </c>
      <c r="H283" s="26" t="n">
        <f aca="false">SUMPRODUCT(($B$258:$B$274=$A283)*H$258:H$274*$C$258:$C$274)</f>
        <v>832.761079352912</v>
      </c>
      <c r="I283" s="26" t="n">
        <f aca="false">SUMPRODUCT(($B$258:$B$274=$A283)*I$258:I$274*$C$258:$C$274)</f>
        <v>813.54292406909</v>
      </c>
      <c r="J283" s="26" t="n">
        <f aca="false">SUMPRODUCT(($B$258:$B$274=$A283)*J$258:J$274*$C$258:$C$274)</f>
        <v>658.164983031222</v>
      </c>
      <c r="K283" s="26" t="n">
        <f aca="false">SUMPRODUCT(($B$258:$B$274=$A283)*K$258:K$274*$C$258:$C$274)</f>
        <v>661.098053509396</v>
      </c>
      <c r="L283" s="26" t="n">
        <f aca="false">SUMPRODUCT(($B$258:$B$274=$A283)*L$258:L$274*$C$258:$C$274)</f>
        <v>677.889903264688</v>
      </c>
      <c r="M283" s="26" t="n">
        <f aca="false">SUMPRODUCT(($B$258:$B$274=$A283)*M$258:M$274*$C$258:$C$274)</f>
        <v>677.889903264688</v>
      </c>
      <c r="N283" s="26" t="n">
        <f aca="false">SUMPRODUCT(($B$258:$B$274=$A283)*N$258:N$274*$C$258:$C$274)</f>
        <v>669.914511468003</v>
      </c>
      <c r="O283" s="26" t="n">
        <f aca="false">SUMPRODUCT(($B$258:$B$274=$A283)*O$258:O$274*$C$258:$C$274)</f>
        <v>689.132666751825</v>
      </c>
      <c r="P283" s="26" t="n">
        <f aca="false">SUMPRODUCT(($B$258:$B$274=$A283)*P$258:P$274*$C$258:$C$274)</f>
        <v>8288.78856146135</v>
      </c>
    </row>
    <row r="284" customFormat="false" ht="15" hidden="false" customHeight="false" outlineLevel="0" collapsed="false">
      <c r="A284" s="5" t="s">
        <v>172</v>
      </c>
      <c r="D284" s="26" t="n">
        <f aca="false">SUMPRODUCT(($B$258:$B$274=$A284)*D$258:D$274*$C$258:$C$274)</f>
        <v>31.1428223516875</v>
      </c>
      <c r="E284" s="26" t="n">
        <f aca="false">SUMPRODUCT(($B$258:$B$274=$A284)*E$258:E$274*$C$258:$C$274)</f>
        <v>31.1428223516875</v>
      </c>
      <c r="F284" s="26" t="n">
        <f aca="false">SUMPRODUCT(($B$258:$B$274=$A284)*F$258:F$274*$C$258:$C$274)</f>
        <v>28.5604574461593</v>
      </c>
      <c r="G284" s="26" t="n">
        <f aca="false">SUMPRODUCT(($B$258:$B$274=$A284)*G$258:G$274*$C$258:$C$274)</f>
        <v>28.5604574461593</v>
      </c>
      <c r="H284" s="26" t="n">
        <f aca="false">SUMPRODUCT(($B$258:$B$274=$A284)*H$258:H$274*$C$258:$C$274)</f>
        <v>28.5604574461593</v>
      </c>
      <c r="I284" s="26" t="n">
        <f aca="false">SUMPRODUCT(($B$258:$B$274=$A284)*I$258:I$274*$C$258:$C$274)</f>
        <v>25.978092540631</v>
      </c>
      <c r="J284" s="26" t="n">
        <f aca="false">SUMPRODUCT(($B$258:$B$274=$A284)*J$258:J$274*$C$258:$C$274)</f>
        <v>25.978092540631</v>
      </c>
      <c r="K284" s="26" t="n">
        <f aca="false">SUMPRODUCT(($B$258:$B$274=$A284)*K$258:K$274*$C$258:$C$274)</f>
        <v>25.978092540631</v>
      </c>
      <c r="L284" s="26" t="n">
        <f aca="false">SUMPRODUCT(($B$258:$B$274=$A284)*L$258:L$274*$C$258:$C$274)</f>
        <v>28.5604574461593</v>
      </c>
      <c r="M284" s="26" t="n">
        <f aca="false">SUMPRODUCT(($B$258:$B$274=$A284)*M$258:M$274*$C$258:$C$274)</f>
        <v>28.5604574461593</v>
      </c>
      <c r="N284" s="26" t="n">
        <f aca="false">SUMPRODUCT(($B$258:$B$274=$A284)*N$258:N$274*$C$258:$C$274)</f>
        <v>28.5604574461593</v>
      </c>
      <c r="O284" s="26" t="n">
        <f aca="false">SUMPRODUCT(($B$258:$B$274=$A284)*O$258:O$274*$C$258:$C$274)</f>
        <v>31.1428223516875</v>
      </c>
      <c r="P284" s="26" t="n">
        <f aca="false">SUMPRODUCT(($B$258:$B$274=$A284)*P$258:P$274*$C$258:$C$274)</f>
        <v>342.725489353911</v>
      </c>
    </row>
    <row r="285" customFormat="false" ht="15" hidden="false" customHeight="false" outlineLevel="0" collapsed="false">
      <c r="A285" s="4" t="s">
        <v>387</v>
      </c>
      <c r="D285" s="27" t="n">
        <f aca="false">SUMPRODUCT(D$258:D$274*parametros_recargas!$D$55:$D$71)</f>
        <v>261.993822548672</v>
      </c>
      <c r="E285" s="27" t="n">
        <f aca="false">SUMPRODUCT(E$258:E$274*parametros_recargas!$D$55:$D$71)</f>
        <v>261.993822548672</v>
      </c>
      <c r="F285" s="27" t="n">
        <f aca="false">SUMPRODUCT(F$258:F$274*parametros_recargas!$D$55:$D$71)</f>
        <v>285.76898281458</v>
      </c>
      <c r="G285" s="27" t="n">
        <f aca="false">SUMPRODUCT(G$258:G$274*parametros_recargas!$D$55:$D$71)</f>
        <v>318.308937299453</v>
      </c>
      <c r="H285" s="27" t="n">
        <f aca="false">SUMPRODUCT(H$258:H$274*parametros_recargas!$D$55:$D$71)</f>
        <v>323.45536264841</v>
      </c>
      <c r="I285" s="27" t="n">
        <f aca="false">SUMPRODUCT(I$258:I$274*parametros_recargas!$D$55:$D$71)</f>
        <v>308.057792702062</v>
      </c>
      <c r="J285" s="27" t="n">
        <f aca="false">SUMPRODUCT(J$258:J$274*parametros_recargas!$D$55:$D$71)</f>
        <v>269.334423387122</v>
      </c>
      <c r="K285" s="27" t="n">
        <f aca="false">SUMPRODUCT(K$258:K$274*parametros_recargas!$D$55:$D$71)</f>
        <v>274.031487838762</v>
      </c>
      <c r="L285" s="27" t="n">
        <f aca="false">SUMPRODUCT(L$258:L$274*parametros_recargas!$D$55:$D$71)</f>
        <v>287.00275225658</v>
      </c>
      <c r="M285" s="27" t="n">
        <f aca="false">SUMPRODUCT(M$258:M$274*parametros_recargas!$D$55:$D$71)</f>
        <v>287.00275225658</v>
      </c>
      <c r="N285" s="27" t="n">
        <f aca="false">SUMPRODUCT(N$258:N$274*parametros_recargas!$D$55:$D$71)</f>
        <v>281.856326907622</v>
      </c>
      <c r="O285" s="27" t="n">
        <f aca="false">SUMPRODUCT(O$258:O$274*parametros_recargas!$D$55:$D$71)</f>
        <v>297.253896853971</v>
      </c>
      <c r="P285" s="27" t="n">
        <f aca="false">SUMPRODUCT(P$258:P$274*parametros_recargas!$D$55:$D$71)</f>
        <v>3456.06036006249</v>
      </c>
    </row>
    <row r="286" customFormat="false" ht="15" hidden="false" customHeight="false" outlineLevel="0" collapsed="false">
      <c r="A286" s="4" t="s">
        <v>388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0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0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0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0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0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0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0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0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0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0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0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0</v>
      </c>
      <c r="P286" s="12" t="n">
        <f aca="false">SUM(D286:O286)</f>
        <v>0</v>
      </c>
    </row>
    <row r="289" customFormat="false" ht="15" hidden="false" customHeight="false" outlineLevel="0" collapsed="false">
      <c r="A289" s="28" t="n">
        <v>2035</v>
      </c>
      <c r="B289" s="3" t="s">
        <v>383</v>
      </c>
      <c r="C289" s="3" t="s">
        <v>384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6" t="n">
        <f aca="false">datos_base!$K$2*parametros_recargas!E$55+sobrestock_sustitutos!$J$51/12</f>
        <v>6783.17634208996</v>
      </c>
      <c r="E290" s="26" t="n">
        <f aca="false">datos_base!$K$2*parametros_recargas!F$55+sobrestock_sustitutos!$J$51/12</f>
        <v>5402.37766587466</v>
      </c>
      <c r="F290" s="26" t="n">
        <f aca="false">datos_base!$K$2*parametros_recargas!G$55+sobrestock_sustitutos!$J$51/12</f>
        <v>4023.93404635768</v>
      </c>
      <c r="G290" s="26" t="n">
        <f aca="false">datos_base!$K$2*parametros_recargas!H$55+sobrestock_sustitutos!$J$51/12</f>
        <v>4023.93404635768</v>
      </c>
      <c r="H290" s="26" t="n">
        <f aca="false">datos_base!$K$2*parametros_recargas!I$55+sobrestock_sustitutos!$J$51/12</f>
        <v>4026.28910305601</v>
      </c>
      <c r="I290" s="26" t="n">
        <f aca="false">datos_base!$K$2*parametros_recargas!J$55+sobrestock_sustitutos!$J$51/12</f>
        <v>4026.28910305601</v>
      </c>
      <c r="J290" s="26" t="n">
        <f aca="false">datos_base!$K$2*parametros_recargas!K$55+sobrestock_sustitutos!$J$51/12</f>
        <v>4022.45285913464</v>
      </c>
      <c r="K290" s="26" t="n">
        <f aca="false">datos_base!$K$2*parametros_recargas!L$55+sobrestock_sustitutos!$J$51/12</f>
        <v>4026.28910305601</v>
      </c>
      <c r="L290" s="26" t="n">
        <f aca="false">datos_base!$K$2*parametros_recargas!M$55+sobrestock_sustitutos!$J$51/12</f>
        <v>4025.85216831836</v>
      </c>
      <c r="M290" s="26" t="n">
        <f aca="false">datos_base!$K$2*parametros_recargas!N$55+sobrestock_sustitutos!$J$51/12</f>
        <v>4025.85216831836</v>
      </c>
      <c r="N290" s="26" t="n">
        <f aca="false">datos_base!$K$2*parametros_recargas!O$55+sobrestock_sustitutos!$J$51/12</f>
        <v>5404.29578783534</v>
      </c>
      <c r="O290" s="26" t="n">
        <f aca="false">datos_base!$K$2*parametros_recargas!P$55+sobrestock_sustitutos!$J$51/12</f>
        <v>6785.09446405064</v>
      </c>
      <c r="P290" s="12" t="n">
        <f aca="false">SUM(D290:O290)</f>
        <v>56575.8368575054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6" t="n">
        <f aca="false">datos_base!$K$3*parametros_recargas!E$56+sobrestock_sustitutos!$J$52/12</f>
        <v>297.274534813951</v>
      </c>
      <c r="E291" s="26" t="n">
        <f aca="false">datos_base!$K$3*parametros_recargas!F$56+sobrestock_sustitutos!$J$52/12</f>
        <v>297.274534813951</v>
      </c>
      <c r="F291" s="26" t="n">
        <f aca="false">datos_base!$K$3*parametros_recargas!G$56+sobrestock_sustitutos!$J$52/12</f>
        <v>401.753672506235</v>
      </c>
      <c r="G291" s="26" t="n">
        <f aca="false">datos_base!$K$3*parametros_recargas!H$56+sobrestock_sustitutos!$J$52/12</f>
        <v>462.571109915482</v>
      </c>
      <c r="H291" s="26" t="n">
        <f aca="false">datos_base!$K$3*parametros_recargas!I$56+sobrestock_sustitutos!$J$52/12</f>
        <v>500.756074863602</v>
      </c>
      <c r="I291" s="26" t="n">
        <f aca="false">datos_base!$K$3*parametros_recargas!J$56+sobrestock_sustitutos!$J$52/12</f>
        <v>494.698476387963</v>
      </c>
      <c r="J291" s="26" t="n">
        <f aca="false">datos_base!$K$3*parametros_recargas!K$56+sobrestock_sustitutos!$J$52/12</f>
        <v>362.757757587451</v>
      </c>
      <c r="K291" s="26" t="n">
        <f aca="false">datos_base!$K$3*parametros_recargas!L$56+sobrestock_sustitutos!$J$52/12</f>
        <v>422.346705168162</v>
      </c>
      <c r="L291" s="26" t="n">
        <f aca="false">datos_base!$K$3*parametros_recargas!M$56+sobrestock_sustitutos!$J$52/12</f>
        <v>422.897395938674</v>
      </c>
      <c r="M291" s="26" t="n">
        <f aca="false">datos_base!$K$3*parametros_recargas!N$56+sobrestock_sustitutos!$J$52/12</f>
        <v>422.897395938674</v>
      </c>
      <c r="N291" s="26" t="n">
        <f aca="false">datos_base!$K$3*parametros_recargas!O$56+sobrestock_sustitutos!$J$52/12</f>
        <v>384.712430990554</v>
      </c>
      <c r="O291" s="26" t="n">
        <f aca="false">datos_base!$K$3*parametros_recargas!P$56+sobrestock_sustitutos!$J$52/12</f>
        <v>390.770029466192</v>
      </c>
      <c r="P291" s="12" t="n">
        <f aca="false">SUM(D291:O291)</f>
        <v>4860.71011839089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6" t="n">
        <f aca="false">datos_base!$K$4*parametros_recargas!E$57+sobrestock_sustitutos!$J$53/12</f>
        <v>1986.27135341884</v>
      </c>
      <c r="E292" s="26" t="n">
        <f aca="false">datos_base!$K$4*parametros_recargas!F$57+sobrestock_sustitutos!$J$53/12</f>
        <v>1936.25715043527</v>
      </c>
      <c r="F292" s="26" t="n">
        <f aca="false">datos_base!$K$4*parametros_recargas!G$57+sobrestock_sustitutos!$J$53/12</f>
        <v>2421.81891883439</v>
      </c>
      <c r="G292" s="26" t="n">
        <f aca="false">datos_base!$K$4*parametros_recargas!H$57+sobrestock_sustitutos!$J$53/12</f>
        <v>2938.20538546564</v>
      </c>
      <c r="H292" s="26" t="n">
        <f aca="false">datos_base!$K$4*parametros_recargas!I$57+sobrestock_sustitutos!$J$53/12</f>
        <v>2952.88848573559</v>
      </c>
      <c r="I292" s="26" t="n">
        <f aca="false">datos_base!$K$4*parametros_recargas!J$57+sobrestock_sustitutos!$J$53/12</f>
        <v>2911.63830211634</v>
      </c>
      <c r="J292" s="26" t="n">
        <f aca="false">datos_base!$K$4*parametros_recargas!K$57+sobrestock_sustitutos!$J$53/12</f>
        <v>2353.17753042969</v>
      </c>
      <c r="K292" s="26" t="n">
        <f aca="false">datos_base!$K$4*parametros_recargas!L$57+sobrestock_sustitutos!$J$53/12</f>
        <v>2349.49524738434</v>
      </c>
      <c r="L292" s="26" t="n">
        <f aca="false">datos_base!$K$4*parametros_recargas!M$57+sobrestock_sustitutos!$J$53/12</f>
        <v>2385.66033623615</v>
      </c>
      <c r="M292" s="26" t="n">
        <f aca="false">datos_base!$K$4*parametros_recargas!N$57+sobrestock_sustitutos!$J$53/12</f>
        <v>2385.66033623615</v>
      </c>
      <c r="N292" s="26" t="n">
        <f aca="false">datos_base!$K$4*parametros_recargas!O$57+sobrestock_sustitutos!$J$53/12</f>
        <v>2420.99143894977</v>
      </c>
      <c r="O292" s="26" t="n">
        <f aca="false">datos_base!$K$4*parametros_recargas!P$57+sobrestock_sustitutos!$J$53/12</f>
        <v>2512.2558255526</v>
      </c>
      <c r="P292" s="12" t="n">
        <f aca="false">SUM(D292:O292)</f>
        <v>29554.3203107948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6" t="n">
        <f aca="false">datos_base!$K$5*parametros_recargas!E$58+sobrestock_sustitutos!$J$54/12</f>
        <v>115.458661798088</v>
      </c>
      <c r="E293" s="26" t="n">
        <f aca="false">datos_base!$K$5*parametros_recargas!F$58+sobrestock_sustitutos!$J$54/12</f>
        <v>115.458661798088</v>
      </c>
      <c r="F293" s="26" t="n">
        <f aca="false">datos_base!$K$5*parametros_recargas!G$58+sobrestock_sustitutos!$J$54/12</f>
        <v>146.171915316206</v>
      </c>
      <c r="G293" s="26" t="n">
        <f aca="false">datos_base!$K$5*parametros_recargas!H$58+sobrestock_sustitutos!$J$54/12</f>
        <v>175.207532713176</v>
      </c>
      <c r="H293" s="26" t="n">
        <f aca="false">datos_base!$K$5*parametros_recargas!I$58+sobrestock_sustitutos!$J$54/12</f>
        <v>177.472061015491</v>
      </c>
      <c r="I293" s="26" t="n">
        <f aca="false">datos_base!$K$5*parametros_recargas!J$58+sobrestock_sustitutos!$J$54/12</f>
        <v>172.050755333506</v>
      </c>
      <c r="J293" s="26" t="n">
        <f aca="false">datos_base!$K$5*parametros_recargas!K$58+sobrestock_sustitutos!$J$54/12</f>
        <v>136.068874581496</v>
      </c>
      <c r="K293" s="26" t="n">
        <f aca="false">datos_base!$K$5*parametros_recargas!L$58+sobrestock_sustitutos!$J$54/12</f>
        <v>138.180724435718</v>
      </c>
      <c r="L293" s="26" t="n">
        <f aca="false">datos_base!$K$5*parametros_recargas!M$58+sobrestock_sustitutos!$J$54/12</f>
        <v>143.602030117703</v>
      </c>
      <c r="M293" s="26" t="n">
        <f aca="false">datos_base!$K$5*parametros_recargas!N$58+sobrestock_sustitutos!$J$54/12</f>
        <v>143.602030117703</v>
      </c>
      <c r="N293" s="26" t="n">
        <f aca="false">datos_base!$K$5*parametros_recargas!O$58+sobrestock_sustitutos!$J$54/12</f>
        <v>141.337501815388</v>
      </c>
      <c r="O293" s="26" t="n">
        <f aca="false">datos_base!$K$5*parametros_recargas!P$58+sobrestock_sustitutos!$J$54/12</f>
        <v>146.758807497373</v>
      </c>
      <c r="P293" s="12" t="n">
        <f aca="false">SUM(D293:O293)</f>
        <v>1751.36955653994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6" t="n">
        <f aca="false">datos_base!$K$6*parametros_recargas!E$59+sobrestock_sustitutos!$J$55/12</f>
        <v>166.514788389117</v>
      </c>
      <c r="E294" s="26" t="n">
        <f aca="false">datos_base!$K$6*parametros_recargas!F$59+sobrestock_sustitutos!$J$55/12</f>
        <v>166.514788389117</v>
      </c>
      <c r="F294" s="26" t="n">
        <f aca="false">datos_base!$K$6*parametros_recargas!G$59+sobrestock_sustitutos!$J$55/12</f>
        <v>205.077524262472</v>
      </c>
      <c r="G294" s="26" t="n">
        <f aca="false">datos_base!$K$6*parametros_recargas!H$59+sobrestock_sustitutos!$J$55/12</f>
        <v>245.257231920462</v>
      </c>
      <c r="H294" s="26" t="n">
        <f aca="false">datos_base!$K$6*parametros_recargas!I$59+sobrestock_sustitutos!$J$55/12</f>
        <v>247.37447528067</v>
      </c>
      <c r="I294" s="26" t="n">
        <f aca="false">datos_base!$K$6*parametros_recargas!J$59+sobrestock_sustitutos!$J$55/12</f>
        <v>239.317947090333</v>
      </c>
      <c r="J294" s="26" t="n">
        <f aca="false">datos_base!$K$6*parametros_recargas!K$59+sobrestock_sustitutos!$J$55/12</f>
        <v>193.836614538419</v>
      </c>
      <c r="K294" s="26" t="n">
        <f aca="false">datos_base!$K$6*parametros_recargas!L$59+sobrestock_sustitutos!$J$55/12</f>
        <v>194.815926386851</v>
      </c>
      <c r="L294" s="26" t="n">
        <f aca="false">datos_base!$K$6*parametros_recargas!M$59+sobrestock_sustitutos!$J$55/12</f>
        <v>202.325445402568</v>
      </c>
      <c r="M294" s="26" t="n">
        <f aca="false">datos_base!$K$6*parametros_recargas!N$59+sobrestock_sustitutos!$J$55/12</f>
        <v>202.325445402568</v>
      </c>
      <c r="N294" s="26" t="n">
        <f aca="false">datos_base!$K$6*parametros_recargas!O$59+sobrestock_sustitutos!$J$55/12</f>
        <v>200.20820204236</v>
      </c>
      <c r="O294" s="26" t="n">
        <f aca="false">datos_base!$K$6*parametros_recargas!P$59+sobrestock_sustitutos!$J$55/12</f>
        <v>208.264730232697</v>
      </c>
      <c r="P294" s="12" t="n">
        <f aca="false">SUM(D294:O294)</f>
        <v>2471.83311933763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6" t="n">
        <f aca="false">datos_base!$K$7*parametros_recargas!E$60+sobrestock_sustitutos!$J$56/12</f>
        <v>39.0382157297276</v>
      </c>
      <c r="E295" s="26" t="n">
        <f aca="false">datos_base!$K$7*parametros_recargas!F$60+sobrestock_sustitutos!$J$56/12</f>
        <v>39.0382157297276</v>
      </c>
      <c r="F295" s="26" t="n">
        <f aca="false">datos_base!$K$7*parametros_recargas!G$60+sobrestock_sustitutos!$J$56/12</f>
        <v>39.0382157297276</v>
      </c>
      <c r="G295" s="26" t="n">
        <f aca="false">datos_base!$K$7*parametros_recargas!H$60+sobrestock_sustitutos!$J$56/12</f>
        <v>39.0382157297276</v>
      </c>
      <c r="H295" s="26" t="n">
        <f aca="false">datos_base!$K$7*parametros_recargas!I$60+sobrestock_sustitutos!$J$56/12</f>
        <v>39.0382157297276</v>
      </c>
      <c r="I295" s="26" t="n">
        <f aca="false">datos_base!$K$7*parametros_recargas!J$60+sobrestock_sustitutos!$J$56/12</f>
        <v>39.0382157297276</v>
      </c>
      <c r="J295" s="26" t="n">
        <f aca="false">datos_base!$K$7*parametros_recargas!K$60+sobrestock_sustitutos!$J$56/12</f>
        <v>39.0382157297276</v>
      </c>
      <c r="K295" s="26" t="n">
        <f aca="false">datos_base!$K$7*parametros_recargas!L$60+sobrestock_sustitutos!$J$56/12</f>
        <v>39.0382157297276</v>
      </c>
      <c r="L295" s="26" t="n">
        <f aca="false">datos_base!$K$7*parametros_recargas!M$60+sobrestock_sustitutos!$J$56/12</f>
        <v>39.0382157297276</v>
      </c>
      <c r="M295" s="26" t="n">
        <f aca="false">datos_base!$K$7*parametros_recargas!N$60+sobrestock_sustitutos!$J$56/12</f>
        <v>39.0382157297276</v>
      </c>
      <c r="N295" s="26" t="n">
        <f aca="false">datos_base!$K$7*parametros_recargas!O$60+sobrestock_sustitutos!$J$56/12</f>
        <v>39.0382157297276</v>
      </c>
      <c r="O295" s="26" t="n">
        <f aca="false">datos_base!$K$7*parametros_recargas!P$60+sobrestock_sustitutos!$J$56/12</f>
        <v>39.0382157297276</v>
      </c>
      <c r="P295" s="12" t="n">
        <f aca="false">SUM(D295:O295)</f>
        <v>468.458588756731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6" t="n">
        <f aca="false">datos_base!$K$8*parametros_recargas!E$61+sobrestock_sustitutos!$J$57/12</f>
        <v>20.338902783776</v>
      </c>
      <c r="E296" s="26" t="n">
        <f aca="false">datos_base!$K$8*parametros_recargas!F$61+sobrestock_sustitutos!$J$57/12</f>
        <v>20.338902783776</v>
      </c>
      <c r="F296" s="26" t="n">
        <f aca="false">datos_base!$K$8*parametros_recargas!G$61+sobrestock_sustitutos!$J$57/12</f>
        <v>20.338902783776</v>
      </c>
      <c r="G296" s="26" t="n">
        <f aca="false">datos_base!$K$8*parametros_recargas!H$61+sobrestock_sustitutos!$J$57/12</f>
        <v>20.338902783776</v>
      </c>
      <c r="H296" s="26" t="n">
        <f aca="false">datos_base!$K$8*parametros_recargas!I$61+sobrestock_sustitutos!$J$57/12</f>
        <v>20.338902783776</v>
      </c>
      <c r="I296" s="26" t="n">
        <f aca="false">datos_base!$K$8*parametros_recargas!J$61+sobrestock_sustitutos!$J$57/12</f>
        <v>20.338902783776</v>
      </c>
      <c r="J296" s="26" t="n">
        <f aca="false">datos_base!$K$8*parametros_recargas!K$61+sobrestock_sustitutos!$J$57/12</f>
        <v>20.338902783776</v>
      </c>
      <c r="K296" s="26" t="n">
        <f aca="false">datos_base!$K$8*parametros_recargas!L$61+sobrestock_sustitutos!$J$57/12</f>
        <v>20.338902783776</v>
      </c>
      <c r="L296" s="26" t="n">
        <f aca="false">datos_base!$K$8*parametros_recargas!M$61+sobrestock_sustitutos!$J$57/12</f>
        <v>20.338902783776</v>
      </c>
      <c r="M296" s="26" t="n">
        <f aca="false">datos_base!$K$8*parametros_recargas!N$61+sobrestock_sustitutos!$J$57/12</f>
        <v>20.338902783776</v>
      </c>
      <c r="N296" s="26" t="n">
        <f aca="false">datos_base!$K$8*parametros_recargas!O$61+sobrestock_sustitutos!$J$57/12</f>
        <v>20.338902783776</v>
      </c>
      <c r="O296" s="26" t="n">
        <f aca="false">datos_base!$K$8*parametros_recargas!P$61+sobrestock_sustitutos!$J$57/12</f>
        <v>20.338902783776</v>
      </c>
      <c r="P296" s="12" t="n">
        <f aca="false">SUM(D296:O296)</f>
        <v>244.066833405312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6" t="n">
        <f aca="false">datos_base!$K$9*parametros_recargas!E$62+sobrestock_sustitutos!$J$58/12</f>
        <v>11.7796963295538</v>
      </c>
      <c r="E297" s="26" t="n">
        <f aca="false">datos_base!$K$9*parametros_recargas!F$62+sobrestock_sustitutos!$J$58/12</f>
        <v>11.7796963295538</v>
      </c>
      <c r="F297" s="26" t="n">
        <f aca="false">datos_base!$K$9*parametros_recargas!G$62+sobrestock_sustitutos!$J$58/12</f>
        <v>11.7796963295538</v>
      </c>
      <c r="G297" s="26" t="n">
        <f aca="false">datos_base!$K$9*parametros_recargas!H$62+sobrestock_sustitutos!$J$58/12</f>
        <v>11.7796963295538</v>
      </c>
      <c r="H297" s="26" t="n">
        <f aca="false">datos_base!$K$9*parametros_recargas!I$62+sobrestock_sustitutos!$J$58/12</f>
        <v>11.7796963295538</v>
      </c>
      <c r="I297" s="26" t="n">
        <f aca="false">datos_base!$K$9*parametros_recargas!J$62+sobrestock_sustitutos!$J$58/12</f>
        <v>11.7796963295538</v>
      </c>
      <c r="J297" s="26" t="n">
        <f aca="false">datos_base!$K$9*parametros_recargas!K$62+sobrestock_sustitutos!$J$58/12</f>
        <v>11.7796963295538</v>
      </c>
      <c r="K297" s="26" t="n">
        <f aca="false">datos_base!$K$9*parametros_recargas!L$62+sobrestock_sustitutos!$J$58/12</f>
        <v>11.7796963295538</v>
      </c>
      <c r="L297" s="26" t="n">
        <f aca="false">datos_base!$K$9*parametros_recargas!M$62+sobrestock_sustitutos!$J$58/12</f>
        <v>11.7796963295538</v>
      </c>
      <c r="M297" s="26" t="n">
        <f aca="false">datos_base!$K$9*parametros_recargas!N$62+sobrestock_sustitutos!$J$58/12</f>
        <v>11.7796963295538</v>
      </c>
      <c r="N297" s="26" t="n">
        <f aca="false">datos_base!$K$9*parametros_recargas!O$62+sobrestock_sustitutos!$J$58/12</f>
        <v>11.7796963295538</v>
      </c>
      <c r="O297" s="26" t="n">
        <f aca="false">datos_base!$K$9*parametros_recargas!P$62+sobrestock_sustitutos!$J$58/12</f>
        <v>11.7796963295538</v>
      </c>
      <c r="P297" s="12" t="n">
        <f aca="false">SUM(D297:O297)</f>
        <v>141.356355954645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6" t="n">
        <f aca="false">datos_base!$K$10*parametros_recargas!E$63+sobrestock_sustitutos!$J$59/12</f>
        <v>84.7775410784081</v>
      </c>
      <c r="E298" s="26" t="n">
        <f aca="false">datos_base!$K$10*parametros_recargas!F$63+sobrestock_sustitutos!$J$59/12</f>
        <v>84.7775410784081</v>
      </c>
      <c r="F298" s="26" t="n">
        <f aca="false">datos_base!$K$10*parametros_recargas!G$63+sobrestock_sustitutos!$J$59/12</f>
        <v>102.372928283693</v>
      </c>
      <c r="G298" s="26" t="n">
        <f aca="false">datos_base!$K$10*parametros_recargas!H$63+sobrestock_sustitutos!$J$59/12</f>
        <v>114.477885714557</v>
      </c>
      <c r="H298" s="26" t="n">
        <f aca="false">datos_base!$K$10*parametros_recargas!I$63+sobrestock_sustitutos!$J$59/12</f>
        <v>118.502077509707</v>
      </c>
      <c r="I298" s="26" t="n">
        <f aca="false">datos_base!$K$10*parametros_recargas!J$63+sobrestock_sustitutos!$J$59/12</f>
        <v>115.916894353338</v>
      </c>
      <c r="J298" s="26" t="n">
        <f aca="false">datos_base!$K$10*parametros_recargas!K$63+sobrestock_sustitutos!$J$59/12</f>
        <v>93.7378427643545</v>
      </c>
      <c r="K298" s="26" t="n">
        <f aca="false">datos_base!$K$10*parametros_recargas!L$63+sobrestock_sustitutos!$J$59/12</f>
        <v>99.7605157868347</v>
      </c>
      <c r="L298" s="26" t="n">
        <f aca="false">datos_base!$K$10*parametros_recargas!M$63+sobrestock_sustitutos!$J$59/12</f>
        <v>102.345698943203</v>
      </c>
      <c r="M298" s="26" t="n">
        <f aca="false">datos_base!$K$10*parametros_recargas!N$63+sobrestock_sustitutos!$J$59/12</f>
        <v>102.345698943203</v>
      </c>
      <c r="N298" s="26" t="n">
        <f aca="false">datos_base!$K$10*parametros_recargas!O$63+sobrestock_sustitutos!$J$59/12</f>
        <v>98.3215071480534</v>
      </c>
      <c r="O298" s="26" t="n">
        <f aca="false">datos_base!$K$10*parametros_recargas!P$63+sobrestock_sustitutos!$J$59/12</f>
        <v>100.906690304422</v>
      </c>
      <c r="P298" s="12" t="n">
        <f aca="false">SUM(D298:O298)</f>
        <v>1218.24282190818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6" t="n">
        <f aca="false">datos_base!$K$11*parametros_recargas!E$64+sobrestock_sustitutos!$J$60/12</f>
        <v>416.727977337431</v>
      </c>
      <c r="E299" s="26" t="n">
        <f aca="false">datos_base!$K$11*parametros_recargas!F$64+sobrestock_sustitutos!$J$60/12</f>
        <v>416.727977337431</v>
      </c>
      <c r="F299" s="26" t="n">
        <f aca="false">datos_base!$K$11*parametros_recargas!G$64+sobrestock_sustitutos!$J$60/12</f>
        <v>553.413980326486</v>
      </c>
      <c r="G299" s="26" t="n">
        <f aca="false">datos_base!$K$11*parametros_recargas!H$64+sobrestock_sustitutos!$J$60/12</f>
        <v>678.895730342656</v>
      </c>
      <c r="H299" s="26" t="n">
        <f aca="false">datos_base!$K$11*parametros_recargas!I$64+sobrestock_sustitutos!$J$60/12</f>
        <v>682.780067287908</v>
      </c>
      <c r="I299" s="26" t="n">
        <f aca="false">datos_base!$K$11*parametros_recargas!J$64+sobrestock_sustitutos!$J$60/12</f>
        <v>673.392668562164</v>
      </c>
      <c r="J299" s="26" t="n">
        <f aca="false">datos_base!$K$11*parametros_recargas!K$64+sobrestock_sustitutos!$J$60/12</f>
        <v>531.788587278801</v>
      </c>
      <c r="K299" s="26" t="n">
        <f aca="false">datos_base!$K$11*parametros_recargas!L$64+sobrestock_sustitutos!$J$60/12</f>
        <v>531.203603792616</v>
      </c>
      <c r="L299" s="26" t="n">
        <f aca="false">datos_base!$K$11*parametros_recargas!M$64+sobrestock_sustitutos!$J$60/12</f>
        <v>540.59100251836</v>
      </c>
      <c r="M299" s="26" t="n">
        <f aca="false">datos_base!$K$11*parametros_recargas!N$64+sobrestock_sustitutos!$J$60/12</f>
        <v>540.59100251836</v>
      </c>
      <c r="N299" s="26" t="n">
        <f aca="false">datos_base!$K$11*parametros_recargas!O$64+sobrestock_sustitutos!$J$60/12</f>
        <v>536.706665573108</v>
      </c>
      <c r="O299" s="26" t="n">
        <f aca="false">datos_base!$K$11*parametros_recargas!P$64+sobrestock_sustitutos!$J$60/12</f>
        <v>546.094064298853</v>
      </c>
      <c r="P299" s="12" t="n">
        <f aca="false">SUM(D299:O299)</f>
        <v>6648.91332717417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6" t="n">
        <f aca="false">datos_base!$K$12*parametros_recargas!E$65+sobrestock_sustitutos!$J$61/12</f>
        <v>172.537040389873</v>
      </c>
      <c r="E300" s="26" t="n">
        <f aca="false">datos_base!$K$12*parametros_recargas!F$65+sobrestock_sustitutos!$J$61/12</f>
        <v>172.537040389873</v>
      </c>
      <c r="F300" s="26" t="n">
        <f aca="false">datos_base!$K$12*parametros_recargas!G$65+sobrestock_sustitutos!$J$61/12</f>
        <v>187.643865781044</v>
      </c>
      <c r="G300" s="26" t="n">
        <f aca="false">datos_base!$K$12*parametros_recargas!H$65+sobrestock_sustitutos!$J$61/12</f>
        <v>208.526470064357</v>
      </c>
      <c r="H300" s="26" t="n">
        <f aca="false">datos_base!$K$12*parametros_recargas!I$65+sobrestock_sustitutos!$J$61/12</f>
        <v>213.240478786783</v>
      </c>
      <c r="I300" s="26" t="n">
        <f aca="false">datos_base!$K$12*parametros_recargas!J$65+sobrestock_sustitutos!$J$61/12</f>
        <v>201.908778520378</v>
      </c>
      <c r="J300" s="26" t="n">
        <f aca="false">datos_base!$K$12*parametros_recargas!K$65+sobrestock_sustitutos!$J$61/12</f>
        <v>176.424106378996</v>
      </c>
      <c r="K300" s="26" t="n">
        <f aca="false">datos_base!$K$12*parametros_recargas!L$65+sobrestock_sustitutos!$J$61/12</f>
        <v>180.184261585228</v>
      </c>
      <c r="L300" s="26" t="n">
        <f aca="false">datos_base!$K$12*parametros_recargas!M$65+sobrestock_sustitutos!$J$61/12</f>
        <v>188.892508895282</v>
      </c>
      <c r="M300" s="26" t="n">
        <f aca="false">datos_base!$K$12*parametros_recargas!N$65+sobrestock_sustitutos!$J$61/12</f>
        <v>188.892508895282</v>
      </c>
      <c r="N300" s="26" t="n">
        <f aca="false">datos_base!$K$12*parametros_recargas!O$65+sobrestock_sustitutos!$J$61/12</f>
        <v>184.178500172856</v>
      </c>
      <c r="O300" s="26" t="n">
        <f aca="false">datos_base!$K$12*parametros_recargas!P$65+sobrestock_sustitutos!$J$61/12</f>
        <v>195.510200439261</v>
      </c>
      <c r="P300" s="12" t="n">
        <f aca="false">SUM(D300:O300)</f>
        <v>2270.47576029921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6" t="n">
        <f aca="false">datos_base!$K$13*parametros_recargas!E$66+sobrestock_sustitutos!$J$62/12</f>
        <v>33.8549559516501</v>
      </c>
      <c r="E301" s="26" t="n">
        <f aca="false">datos_base!$K$13*parametros_recargas!F$66+sobrestock_sustitutos!$J$62/12</f>
        <v>33.8549559516501</v>
      </c>
      <c r="F301" s="26" t="n">
        <f aca="false">datos_base!$K$13*parametros_recargas!G$66+sobrestock_sustitutos!$J$62/12</f>
        <v>31.0516547981325</v>
      </c>
      <c r="G301" s="26" t="n">
        <f aca="false">datos_base!$K$13*parametros_recargas!H$66+sobrestock_sustitutos!$J$62/12</f>
        <v>31.0516547981325</v>
      </c>
      <c r="H301" s="26" t="n">
        <f aca="false">datos_base!$K$13*parametros_recargas!I$66+sobrestock_sustitutos!$J$62/12</f>
        <v>31.0516547981325</v>
      </c>
      <c r="I301" s="26" t="n">
        <f aca="false">datos_base!$K$13*parametros_recargas!J$66+sobrestock_sustitutos!$J$62/12</f>
        <v>28.2483536446148</v>
      </c>
      <c r="J301" s="26" t="n">
        <f aca="false">datos_base!$K$13*parametros_recargas!K$66+sobrestock_sustitutos!$J$62/12</f>
        <v>28.2483536446148</v>
      </c>
      <c r="K301" s="26" t="n">
        <f aca="false">datos_base!$K$13*parametros_recargas!L$66+sobrestock_sustitutos!$J$62/12</f>
        <v>28.2483536446148</v>
      </c>
      <c r="L301" s="26" t="n">
        <f aca="false">datos_base!$K$13*parametros_recargas!M$66+sobrestock_sustitutos!$J$62/12</f>
        <v>31.0516547981325</v>
      </c>
      <c r="M301" s="26" t="n">
        <f aca="false">datos_base!$K$13*parametros_recargas!N$66+sobrestock_sustitutos!$J$62/12</f>
        <v>31.0516547981325</v>
      </c>
      <c r="N301" s="26" t="n">
        <f aca="false">datos_base!$K$13*parametros_recargas!O$66+sobrestock_sustitutos!$J$62/12</f>
        <v>31.0516547981325</v>
      </c>
      <c r="O301" s="26" t="n">
        <f aca="false">datos_base!$K$13*parametros_recargas!P$66+sobrestock_sustitutos!$J$62/12</f>
        <v>33.8549559516501</v>
      </c>
      <c r="P301" s="12" t="n">
        <f aca="false">SUM(D301:O301)</f>
        <v>372.61985757759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6" t="n">
        <f aca="false">datos_base!$K$14*parametros_recargas!E$67+sobrestock_sustitutos!$J$63/12</f>
        <v>10.6557560034767</v>
      </c>
      <c r="E302" s="26" t="n">
        <f aca="false">datos_base!$K$14*parametros_recargas!F$67+sobrestock_sustitutos!$J$63/12</f>
        <v>10.6557560034767</v>
      </c>
      <c r="F302" s="26" t="n">
        <f aca="false">datos_base!$K$14*parametros_recargas!G$67+sobrestock_sustitutos!$J$63/12</f>
        <v>10.6557560034767</v>
      </c>
      <c r="G302" s="26" t="n">
        <f aca="false">datos_base!$K$14*parametros_recargas!H$67+sobrestock_sustitutos!$J$63/12</f>
        <v>10.6557560034767</v>
      </c>
      <c r="H302" s="26" t="n">
        <f aca="false">datos_base!$K$14*parametros_recargas!I$67+sobrestock_sustitutos!$J$63/12</f>
        <v>10.6557560034767</v>
      </c>
      <c r="I302" s="26" t="n">
        <f aca="false">datos_base!$K$14*parametros_recargas!J$67+sobrestock_sustitutos!$J$63/12</f>
        <v>10.6557560034767</v>
      </c>
      <c r="J302" s="26" t="n">
        <f aca="false">datos_base!$K$14*parametros_recargas!K$67+sobrestock_sustitutos!$J$63/12</f>
        <v>10.6557560034767</v>
      </c>
      <c r="K302" s="26" t="n">
        <f aca="false">datos_base!$K$14*parametros_recargas!L$67+sobrestock_sustitutos!$J$63/12</f>
        <v>10.6557560034767</v>
      </c>
      <c r="L302" s="26" t="n">
        <f aca="false">datos_base!$K$14*parametros_recargas!M$67+sobrestock_sustitutos!$J$63/12</f>
        <v>10.6557560034767</v>
      </c>
      <c r="M302" s="26" t="n">
        <f aca="false">datos_base!$K$14*parametros_recargas!N$67+sobrestock_sustitutos!$J$63/12</f>
        <v>10.6557560034767</v>
      </c>
      <c r="N302" s="26" t="n">
        <f aca="false">datos_base!$K$14*parametros_recargas!O$67+sobrestock_sustitutos!$J$63/12</f>
        <v>10.6557560034767</v>
      </c>
      <c r="O302" s="26" t="n">
        <f aca="false">datos_base!$K$14*parametros_recargas!P$67+sobrestock_sustitutos!$J$63/12</f>
        <v>10.6557560034767</v>
      </c>
      <c r="P302" s="12" t="n">
        <f aca="false">SUM(D302:O302)</f>
        <v>127.86907204172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6" t="n">
        <f aca="false">datos_base!$K$15*parametros_recargas!E$68+sobrestock_sustitutos!$J$64/12</f>
        <v>22.5849566107596</v>
      </c>
      <c r="E303" s="26" t="n">
        <f aca="false">datos_base!$K$15*parametros_recargas!F$68+sobrestock_sustitutos!$J$64/12</f>
        <v>22.5849566107596</v>
      </c>
      <c r="F303" s="26" t="n">
        <f aca="false">datos_base!$K$15*parametros_recargas!G$68+sobrestock_sustitutos!$J$64/12</f>
        <v>25.23035265237</v>
      </c>
      <c r="G303" s="26" t="n">
        <f aca="false">datos_base!$K$15*parametros_recargas!H$68+sobrestock_sustitutos!$J$64/12</f>
        <v>28.7993095469089</v>
      </c>
      <c r="H303" s="26" t="n">
        <f aca="false">datos_base!$K$15*parametros_recargas!I$68+sobrestock_sustitutos!$J$64/12</f>
        <v>29.0116643289079</v>
      </c>
      <c r="I303" s="26" t="n">
        <f aca="false">datos_base!$K$15*parametros_recargas!J$68+sobrestock_sustitutos!$J$64/12</f>
        <v>27.6847034085424</v>
      </c>
      <c r="J303" s="26" t="n">
        <f aca="false">datos_base!$K$15*parametros_recargas!K$68+sobrestock_sustitutos!$J$64/12</f>
        <v>23.5955143072865</v>
      </c>
      <c r="K303" s="26" t="n">
        <f aca="false">datos_base!$K$15*parametros_recargas!L$68+sobrestock_sustitutos!$J$64/12</f>
        <v>23.9247012285654</v>
      </c>
      <c r="L303" s="26" t="n">
        <f aca="false">datos_base!$K$15*parametros_recargas!M$68+sobrestock_sustitutos!$J$64/12</f>
        <v>25.2516621489309</v>
      </c>
      <c r="M303" s="26" t="n">
        <f aca="false">datos_base!$K$15*parametros_recargas!N$68+sobrestock_sustitutos!$J$64/12</f>
        <v>25.2516621489309</v>
      </c>
      <c r="N303" s="26" t="n">
        <f aca="false">datos_base!$K$15*parametros_recargas!O$68+sobrestock_sustitutos!$J$64/12</f>
        <v>25.0393073669319</v>
      </c>
      <c r="O303" s="26" t="n">
        <f aca="false">datos_base!$K$15*parametros_recargas!P$68+sobrestock_sustitutos!$J$64/12</f>
        <v>26.3662682872975</v>
      </c>
      <c r="P303" s="12" t="n">
        <f aca="false">SUM(D303:O303)</f>
        <v>305.325058646191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6" t="n">
        <f aca="false">datos_base!$K$16*parametros_recargas!E$69+sobrestock_sustitutos!$J$65/12</f>
        <v>49.6034411400251</v>
      </c>
      <c r="E304" s="26" t="n">
        <f aca="false">datos_base!$K$16*parametros_recargas!F$69+sobrestock_sustitutos!$J$65/12</f>
        <v>49.6034411400251</v>
      </c>
      <c r="F304" s="26" t="n">
        <f aca="false">datos_base!$K$16*parametros_recargas!G$69+sobrestock_sustitutos!$J$65/12</f>
        <v>55.4233279679333</v>
      </c>
      <c r="G304" s="26" t="n">
        <f aca="false">datos_base!$K$16*parametros_recargas!H$69+sobrestock_sustitutos!$J$65/12</f>
        <v>63.2754223490826</v>
      </c>
      <c r="H304" s="26" t="n">
        <f aca="false">datos_base!$K$16*parametros_recargas!I$69+sobrestock_sustitutos!$J$65/12</f>
        <v>63.7424145847972</v>
      </c>
      <c r="I304" s="26" t="n">
        <f aca="false">datos_base!$K$16*parametros_recargas!J$69+sobrestock_sustitutos!$J$65/12</f>
        <v>60.8230966825497</v>
      </c>
      <c r="J304" s="26" t="n">
        <f aca="false">datos_base!$K$16*parametros_recargas!K$69+sobrestock_sustitutos!$J$65/12</f>
        <v>51.8269587733253</v>
      </c>
      <c r="K304" s="26" t="n">
        <f aca="false">datos_base!$K$16*parametros_recargas!L$69+sobrestock_sustitutos!$J$65/12</f>
        <v>52.5508841881087</v>
      </c>
      <c r="L304" s="26" t="n">
        <f aca="false">datos_base!$K$16*parametros_recargas!M$69+sobrestock_sustitutos!$J$65/12</f>
        <v>55.4702020903562</v>
      </c>
      <c r="M304" s="26" t="n">
        <f aca="false">datos_base!$K$16*parametros_recargas!N$69+sobrestock_sustitutos!$J$65/12</f>
        <v>55.4702020903562</v>
      </c>
      <c r="N304" s="26" t="n">
        <f aca="false">datos_base!$K$16*parametros_recargas!O$69+sobrestock_sustitutos!$J$65/12</f>
        <v>55.0032098546416</v>
      </c>
      <c r="O304" s="26" t="n">
        <f aca="false">datos_base!$K$16*parametros_recargas!P$69+sobrestock_sustitutos!$J$65/12</f>
        <v>57.922527756889</v>
      </c>
      <c r="P304" s="12" t="n">
        <f aca="false">SUM(D304:O304)</f>
        <v>670.71512861809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6" t="n">
        <f aca="false">datos_base!$K$17*parametros_recargas!E$70+sobrestock_sustitutos!$J$66/12</f>
        <v>10.890656050719</v>
      </c>
      <c r="E305" s="26" t="n">
        <f aca="false">datos_base!$K$17*parametros_recargas!F$70+sobrestock_sustitutos!$J$66/12</f>
        <v>10.890656050719</v>
      </c>
      <c r="F305" s="26" t="n">
        <f aca="false">datos_base!$K$17*parametros_recargas!G$70+sobrestock_sustitutos!$J$66/12</f>
        <v>12.1605182209977</v>
      </c>
      <c r="G305" s="26" t="n">
        <f aca="false">datos_base!$K$17*parametros_recargas!H$70+sobrestock_sustitutos!$J$66/12</f>
        <v>13.873783840305</v>
      </c>
      <c r="H305" s="26" t="n">
        <f aca="false">datos_base!$K$17*parametros_recargas!I$70+sobrestock_sustitutos!$J$66/12</f>
        <v>13.9756738280946</v>
      </c>
      <c r="I305" s="26" t="n">
        <f aca="false">datos_base!$K$17*parametros_recargas!J$70+sobrestock_sustitutos!$J$66/12</f>
        <v>13.3387489132554</v>
      </c>
      <c r="J305" s="26" t="n">
        <f aca="false">datos_base!$K$17*parametros_recargas!K$70+sobrestock_sustitutos!$J$66/12</f>
        <v>11.3758875793583</v>
      </c>
      <c r="K305" s="26" t="n">
        <f aca="false">datos_base!$K$17*parametros_recargas!L$70+sobrestock_sustitutos!$J$66/12</f>
        <v>11.533851815927</v>
      </c>
      <c r="L305" s="26" t="n">
        <f aca="false">datos_base!$K$17*parametros_recargas!M$70+sobrestock_sustitutos!$J$66/12</f>
        <v>12.1707767307663</v>
      </c>
      <c r="M305" s="26" t="n">
        <f aca="false">datos_base!$K$17*parametros_recargas!N$70+sobrestock_sustitutos!$J$66/12</f>
        <v>12.1707767307663</v>
      </c>
      <c r="N305" s="26" t="n">
        <f aca="false">datos_base!$K$17*parametros_recargas!O$70+sobrestock_sustitutos!$J$66/12</f>
        <v>12.0688867429767</v>
      </c>
      <c r="O305" s="26" t="n">
        <f aca="false">datos_base!$K$17*parametros_recargas!P$70+sobrestock_sustitutos!$J$66/12</f>
        <v>12.7058116578159</v>
      </c>
      <c r="P305" s="12" t="n">
        <f aca="false">SUM(D305:O305)</f>
        <v>147.156028161701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6" t="n">
        <f aca="false">datos_base!$K$18*parametros_recargas!E$71+sobrestock_sustitutos!$J$67/12</f>
        <v>7.2603442056918</v>
      </c>
      <c r="E306" s="26" t="n">
        <f aca="false">datos_base!$K$18*parametros_recargas!F$71+sobrestock_sustitutos!$J$67/12</f>
        <v>7.2603442056918</v>
      </c>
      <c r="F306" s="26" t="n">
        <f aca="false">datos_base!$K$18*parametros_recargas!G$71+sobrestock_sustitutos!$J$67/12</f>
        <v>8.10701359214492</v>
      </c>
      <c r="G306" s="26" t="n">
        <f aca="false">datos_base!$K$18*parametros_recargas!H$71+sobrestock_sustitutos!$J$67/12</f>
        <v>9.24929490033417</v>
      </c>
      <c r="H306" s="26" t="n">
        <f aca="false">datos_base!$K$18*parametros_recargas!I$71+sobrestock_sustitutos!$J$67/12</f>
        <v>9.31717046128255</v>
      </c>
      <c r="I306" s="26" t="n">
        <f aca="false">datos_base!$K$18*parametros_recargas!J$71+sobrestock_sustitutos!$J$67/12</f>
        <v>8.89259271812935</v>
      </c>
      <c r="J306" s="26" t="n">
        <f aca="false">datos_base!$K$18*parametros_recargas!K$71+sobrestock_sustitutos!$J$67/12</f>
        <v>7.58401515780901</v>
      </c>
      <c r="K306" s="26" t="n">
        <f aca="false">datos_base!$K$18*parametros_recargas!L$71+sobrestock_sustitutos!$J$67/12</f>
        <v>7.68922114947141</v>
      </c>
      <c r="L306" s="26" t="n">
        <f aca="false">datos_base!$K$18*parametros_recargas!M$71+sobrestock_sustitutos!$J$67/12</f>
        <v>8.11379889262461</v>
      </c>
      <c r="M306" s="26" t="n">
        <f aca="false">datos_base!$K$18*parametros_recargas!N$71+sobrestock_sustitutos!$J$67/12</f>
        <v>8.11379889262461</v>
      </c>
      <c r="N306" s="26" t="n">
        <f aca="false">datos_base!$K$18*parametros_recargas!O$71+sobrestock_sustitutos!$J$67/12</f>
        <v>8.04592333167623</v>
      </c>
      <c r="O306" s="26" t="n">
        <f aca="false">datos_base!$K$18*parametros_recargas!P$71+sobrestock_sustitutos!$J$67/12</f>
        <v>8.47050107482943</v>
      </c>
      <c r="P306" s="12" t="n">
        <f aca="false">SUM(D306:O306)</f>
        <v>98.1040185823099</v>
      </c>
    </row>
    <row r="307" customFormat="false" ht="15" hidden="false" customHeight="false" outlineLevel="0" collapsed="false">
      <c r="A307" s="4" t="s">
        <v>385</v>
      </c>
      <c r="D307" s="12" t="n">
        <f aca="false">SUM(D290:D306)</f>
        <v>10228.745164121</v>
      </c>
      <c r="E307" s="12" t="n">
        <f aca="false">SUM(E290:E306)</f>
        <v>8797.93228492217</v>
      </c>
      <c r="F307" s="12" t="n">
        <f aca="false">SUM(F290:F306)</f>
        <v>8255.97228974632</v>
      </c>
      <c r="G307" s="12" t="n">
        <f aca="false">SUM(G290:G306)</f>
        <v>9075.1374287753</v>
      </c>
      <c r="H307" s="12" t="n">
        <f aca="false">SUM(H290:H306)</f>
        <v>9148.21397238351</v>
      </c>
      <c r="I307" s="12" t="n">
        <f aca="false">SUM(I290:I306)</f>
        <v>9056.01299163365</v>
      </c>
      <c r="J307" s="12" t="n">
        <f aca="false">SUM(J290:J306)</f>
        <v>8074.68747300278</v>
      </c>
      <c r="K307" s="12" t="n">
        <f aca="false">SUM(K290:K306)</f>
        <v>8148.03567046898</v>
      </c>
      <c r="L307" s="12" t="n">
        <f aca="false">SUM(L290:L306)</f>
        <v>8226.03725187765</v>
      </c>
      <c r="M307" s="12" t="n">
        <f aca="false">SUM(M290:M306)</f>
        <v>8226.03725187765</v>
      </c>
      <c r="N307" s="12" t="n">
        <f aca="false">SUM(N290:N306)</f>
        <v>9583.77358746833</v>
      </c>
      <c r="O307" s="12" t="n">
        <f aca="false">SUM(O290:O306)</f>
        <v>11106.7874474171</v>
      </c>
      <c r="P307" s="12" t="n">
        <f aca="false">SUM(P290:P306)</f>
        <v>107927.372813694</v>
      </c>
    </row>
    <row r="308" customFormat="false" ht="15" hidden="false" customHeight="false" outlineLevel="0" collapsed="false">
      <c r="A308" s="4" t="s">
        <v>386</v>
      </c>
    </row>
    <row r="309" customFormat="false" ht="15" hidden="false" customHeight="false" outlineLevel="0" collapsed="false">
      <c r="A309" s="5" t="s">
        <v>165</v>
      </c>
      <c r="D309" s="26" t="n">
        <f aca="false">SUMPRODUCT(($B$290:$B$306=$A309)*D$290:D$306*$C$290:$C$306)</f>
        <v>9756.81660200007</v>
      </c>
      <c r="E309" s="26" t="n">
        <f aca="false">SUMPRODUCT(($B$290:$B$306=$A309)*E$290:E$306*$C$290:$C$306)</f>
        <v>8326.0037228012</v>
      </c>
      <c r="F309" s="26" t="n">
        <f aca="false">SUMPRODUCT(($B$290:$B$306=$A309)*F$290:F$306*$C$290:$C$306)</f>
        <v>7635.6236381915</v>
      </c>
      <c r="G309" s="26" t="n">
        <f aca="false">SUMPRODUCT(($B$290:$B$306=$A309)*G$290:G$306*$C$290:$C$306)</f>
        <v>8332.67451463151</v>
      </c>
      <c r="H309" s="26" t="n">
        <f aca="false">SUMPRODUCT(($B$290:$B$306=$A309)*H$290:H$306*$C$290:$C$306)</f>
        <v>8395.56324580884</v>
      </c>
      <c r="I309" s="26" t="n">
        <f aca="false">SUMPRODUCT(($B$290:$B$306=$A309)*I$290:I$306*$C$290:$C$306)</f>
        <v>8309.0721356334</v>
      </c>
      <c r="J309" s="26" t="n">
        <f aca="false">SUMPRODUCT(($B$290:$B$306=$A309)*J$290:J$306*$C$290:$C$306)</f>
        <v>7474.8095226855</v>
      </c>
      <c r="K309" s="26" t="n">
        <f aca="false">SUMPRODUCT(($B$290:$B$306=$A309)*K$290:K$306*$C$290:$C$306)</f>
        <v>7545.03696204613</v>
      </c>
      <c r="L309" s="26" t="n">
        <f aca="false">SUMPRODUCT(($B$290:$B$306=$A309)*L$290:L$306*$C$290:$C$306)</f>
        <v>7620.49913501137</v>
      </c>
      <c r="M309" s="26" t="n">
        <f aca="false">SUMPRODUCT(($B$290:$B$306=$A309)*M$290:M$306*$C$290:$C$306)</f>
        <v>7620.49913501137</v>
      </c>
      <c r="N309" s="26" t="n">
        <f aca="false">SUMPRODUCT(($B$290:$B$306=$A309)*N$290:N$306*$C$290:$C$306)</f>
        <v>8988.4232830329</v>
      </c>
      <c r="O309" s="26" t="n">
        <f aca="false">SUMPRODUCT(($B$290:$B$306=$A309)*O$290:O$306*$C$290:$C$306)</f>
        <v>10505.7272724072</v>
      </c>
      <c r="P309" s="26" t="n">
        <f aca="false">SUMPRODUCT(($B$290:$B$306=$A309)*P$290:P$306*$C$290:$C$306)</f>
        <v>100510.749169261</v>
      </c>
    </row>
    <row r="310" customFormat="false" ht="15" hidden="false" customHeight="false" outlineLevel="0" collapsed="false">
      <c r="A310" s="5" t="s">
        <v>166</v>
      </c>
      <c r="D310" s="26" t="n">
        <f aca="false">SUMPRODUCT(($B$290:$B$306=$A310)*D$290:D$306*$C$290:$C$306)</f>
        <v>11.7796963295538</v>
      </c>
      <c r="E310" s="26" t="n">
        <f aca="false">SUMPRODUCT(($B$290:$B$306=$A310)*E$290:E$306*$C$290:$C$306)</f>
        <v>11.7796963295538</v>
      </c>
      <c r="F310" s="26" t="n">
        <f aca="false">SUMPRODUCT(($B$290:$B$306=$A310)*F$290:F$306*$C$290:$C$306)</f>
        <v>11.7796963295538</v>
      </c>
      <c r="G310" s="26" t="n">
        <f aca="false">SUMPRODUCT(($B$290:$B$306=$A310)*G$290:G$306*$C$290:$C$306)</f>
        <v>11.7796963295538</v>
      </c>
      <c r="H310" s="26" t="n">
        <f aca="false">SUMPRODUCT(($B$290:$B$306=$A310)*H$290:H$306*$C$290:$C$306)</f>
        <v>11.7796963295538</v>
      </c>
      <c r="I310" s="26" t="n">
        <f aca="false">SUMPRODUCT(($B$290:$B$306=$A310)*I$290:I$306*$C$290:$C$306)</f>
        <v>11.7796963295538</v>
      </c>
      <c r="J310" s="26" t="n">
        <f aca="false">SUMPRODUCT(($B$290:$B$306=$A310)*J$290:J$306*$C$290:$C$306)</f>
        <v>11.7796963295538</v>
      </c>
      <c r="K310" s="26" t="n">
        <f aca="false">SUMPRODUCT(($B$290:$B$306=$A310)*K$290:K$306*$C$290:$C$306)</f>
        <v>11.7796963295538</v>
      </c>
      <c r="L310" s="26" t="n">
        <f aca="false">SUMPRODUCT(($B$290:$B$306=$A310)*L$290:L$306*$C$290:$C$306)</f>
        <v>11.7796963295538</v>
      </c>
      <c r="M310" s="26" t="n">
        <f aca="false">SUMPRODUCT(($B$290:$B$306=$A310)*M$290:M$306*$C$290:$C$306)</f>
        <v>11.7796963295538</v>
      </c>
      <c r="N310" s="26" t="n">
        <f aca="false">SUMPRODUCT(($B$290:$B$306=$A310)*N$290:N$306*$C$290:$C$306)</f>
        <v>11.7796963295538</v>
      </c>
      <c r="O310" s="26" t="n">
        <f aca="false">SUMPRODUCT(($B$290:$B$306=$A310)*O$290:O$306*$C$290:$C$306)</f>
        <v>11.7796963295538</v>
      </c>
      <c r="P310" s="26" t="n">
        <f aca="false">SUMPRODUCT(($B$290:$B$306=$A310)*P$290:P$306*$C$290:$C$306)</f>
        <v>141.356355954645</v>
      </c>
    </row>
    <row r="311" customFormat="false" ht="15" hidden="false" customHeight="false" outlineLevel="0" collapsed="false">
      <c r="A311" s="5" t="s">
        <v>167</v>
      </c>
      <c r="D311" s="26" t="n">
        <f aca="false">SUMPRODUCT(($B$290:$B$306=$A311)*D$290:D$306*$C$290:$C$306)</f>
        <v>10.6557560034767</v>
      </c>
      <c r="E311" s="26" t="n">
        <f aca="false">SUMPRODUCT(($B$290:$B$306=$A311)*E$290:E$306*$C$290:$C$306)</f>
        <v>10.6557560034767</v>
      </c>
      <c r="F311" s="26" t="n">
        <f aca="false">SUMPRODUCT(($B$290:$B$306=$A311)*F$290:F$306*$C$290:$C$306)</f>
        <v>10.6557560034767</v>
      </c>
      <c r="G311" s="26" t="n">
        <f aca="false">SUMPRODUCT(($B$290:$B$306=$A311)*G$290:G$306*$C$290:$C$306)</f>
        <v>10.6557560034767</v>
      </c>
      <c r="H311" s="26" t="n">
        <f aca="false">SUMPRODUCT(($B$290:$B$306=$A311)*H$290:H$306*$C$290:$C$306)</f>
        <v>10.6557560034767</v>
      </c>
      <c r="I311" s="26" t="n">
        <f aca="false">SUMPRODUCT(($B$290:$B$306=$A311)*I$290:I$306*$C$290:$C$306)</f>
        <v>10.6557560034767</v>
      </c>
      <c r="J311" s="26" t="n">
        <f aca="false">SUMPRODUCT(($B$290:$B$306=$A311)*J$290:J$306*$C$290:$C$306)</f>
        <v>10.6557560034767</v>
      </c>
      <c r="K311" s="26" t="n">
        <f aca="false">SUMPRODUCT(($B$290:$B$306=$A311)*K$290:K$306*$C$290:$C$306)</f>
        <v>10.6557560034767</v>
      </c>
      <c r="L311" s="26" t="n">
        <f aca="false">SUMPRODUCT(($B$290:$B$306=$A311)*L$290:L$306*$C$290:$C$306)</f>
        <v>10.6557560034767</v>
      </c>
      <c r="M311" s="26" t="n">
        <f aca="false">SUMPRODUCT(($B$290:$B$306=$A311)*M$290:M$306*$C$290:$C$306)</f>
        <v>10.6557560034767</v>
      </c>
      <c r="N311" s="26" t="n">
        <f aca="false">SUMPRODUCT(($B$290:$B$306=$A311)*N$290:N$306*$C$290:$C$306)</f>
        <v>10.6557560034767</v>
      </c>
      <c r="O311" s="26" t="n">
        <f aca="false">SUMPRODUCT(($B$290:$B$306=$A311)*O$290:O$306*$C$290:$C$306)</f>
        <v>10.6557560034767</v>
      </c>
      <c r="P311" s="26" t="n">
        <f aca="false">SUMPRODUCT(($B$290:$B$306=$A311)*P$290:P$306*$C$290:$C$306)</f>
        <v>127.86907204172</v>
      </c>
    </row>
    <row r="312" customFormat="false" ht="15" hidden="false" customHeight="false" outlineLevel="0" collapsed="false">
      <c r="A312" s="5" t="s">
        <v>168</v>
      </c>
      <c r="D312" s="26" t="n">
        <f aca="false">SUMPRODUCT(($B$290:$B$306=$A312)*D$290:D$306*$C$290:$C$306)</f>
        <v>166.514788389117</v>
      </c>
      <c r="E312" s="26" t="n">
        <f aca="false">SUMPRODUCT(($B$290:$B$306=$A312)*E$290:E$306*$C$290:$C$306)</f>
        <v>166.514788389117</v>
      </c>
      <c r="F312" s="26" t="n">
        <f aca="false">SUMPRODUCT(($B$290:$B$306=$A312)*F$290:F$306*$C$290:$C$306)</f>
        <v>205.077524262472</v>
      </c>
      <c r="G312" s="26" t="n">
        <f aca="false">SUMPRODUCT(($B$290:$B$306=$A312)*G$290:G$306*$C$290:$C$306)</f>
        <v>245.257231920462</v>
      </c>
      <c r="H312" s="26" t="n">
        <f aca="false">SUMPRODUCT(($B$290:$B$306=$A312)*H$290:H$306*$C$290:$C$306)</f>
        <v>247.37447528067</v>
      </c>
      <c r="I312" s="26" t="n">
        <f aca="false">SUMPRODUCT(($B$290:$B$306=$A312)*I$290:I$306*$C$290:$C$306)</f>
        <v>239.317947090333</v>
      </c>
      <c r="J312" s="26" t="n">
        <f aca="false">SUMPRODUCT(($B$290:$B$306=$A312)*J$290:J$306*$C$290:$C$306)</f>
        <v>193.836614538419</v>
      </c>
      <c r="K312" s="26" t="n">
        <f aca="false">SUMPRODUCT(($B$290:$B$306=$A312)*K$290:K$306*$C$290:$C$306)</f>
        <v>194.815926386851</v>
      </c>
      <c r="L312" s="26" t="n">
        <f aca="false">SUMPRODUCT(($B$290:$B$306=$A312)*L$290:L$306*$C$290:$C$306)</f>
        <v>202.325445402568</v>
      </c>
      <c r="M312" s="26" t="n">
        <f aca="false">SUMPRODUCT(($B$290:$B$306=$A312)*M$290:M$306*$C$290:$C$306)</f>
        <v>202.325445402568</v>
      </c>
      <c r="N312" s="26" t="n">
        <f aca="false">SUMPRODUCT(($B$290:$B$306=$A312)*N$290:N$306*$C$290:$C$306)</f>
        <v>200.20820204236</v>
      </c>
      <c r="O312" s="26" t="n">
        <f aca="false">SUMPRODUCT(($B$290:$B$306=$A312)*O$290:O$306*$C$290:$C$306)</f>
        <v>208.264730232697</v>
      </c>
      <c r="P312" s="26" t="n">
        <f aca="false">SUMPRODUCT(($B$290:$B$306=$A312)*P$290:P$306*$C$290:$C$306)</f>
        <v>2471.83311933763</v>
      </c>
    </row>
    <row r="313" customFormat="false" ht="15" hidden="false" customHeight="false" outlineLevel="0" collapsed="false">
      <c r="A313" s="5" t="s">
        <v>169</v>
      </c>
      <c r="D313" s="26" t="n">
        <f aca="false">SUMPRODUCT(($B$290:$B$306=$A313)*D$290:D$306*$C$290:$C$306)</f>
        <v>168.411004315157</v>
      </c>
      <c r="E313" s="26" t="n">
        <f aca="false">SUMPRODUCT(($B$290:$B$306=$A313)*E$290:E$306*$C$290:$C$306)</f>
        <v>168.411004315157</v>
      </c>
      <c r="F313" s="26" t="n">
        <f aca="false">SUMPRODUCT(($B$290:$B$306=$A313)*F$290:F$306*$C$290:$C$306)</f>
        <v>168.411004315157</v>
      </c>
      <c r="G313" s="26" t="n">
        <f aca="false">SUMPRODUCT(($B$290:$B$306=$A313)*G$290:G$306*$C$290:$C$306)</f>
        <v>168.411004315157</v>
      </c>
      <c r="H313" s="26" t="n">
        <f aca="false">SUMPRODUCT(($B$290:$B$306=$A313)*H$290:H$306*$C$290:$C$306)</f>
        <v>168.411004315157</v>
      </c>
      <c r="I313" s="26" t="n">
        <f aca="false">SUMPRODUCT(($B$290:$B$306=$A313)*I$290:I$306*$C$290:$C$306)</f>
        <v>168.411004315157</v>
      </c>
      <c r="J313" s="26" t="n">
        <f aca="false">SUMPRODUCT(($B$290:$B$306=$A313)*J$290:J$306*$C$290:$C$306)</f>
        <v>168.411004315157</v>
      </c>
      <c r="K313" s="26" t="n">
        <f aca="false">SUMPRODUCT(($B$290:$B$306=$A313)*K$290:K$306*$C$290:$C$306)</f>
        <v>168.411004315157</v>
      </c>
      <c r="L313" s="26" t="n">
        <f aca="false">SUMPRODUCT(($B$290:$B$306=$A313)*L$290:L$306*$C$290:$C$306)</f>
        <v>168.411004315157</v>
      </c>
      <c r="M313" s="26" t="n">
        <f aca="false">SUMPRODUCT(($B$290:$B$306=$A313)*M$290:M$306*$C$290:$C$306)</f>
        <v>168.411004315157</v>
      </c>
      <c r="N313" s="26" t="n">
        <f aca="false">SUMPRODUCT(($B$290:$B$306=$A313)*N$290:N$306*$C$290:$C$306)</f>
        <v>168.411004315157</v>
      </c>
      <c r="O313" s="26" t="n">
        <f aca="false">SUMPRODUCT(($B$290:$B$306=$A313)*O$290:O$306*$C$290:$C$306)</f>
        <v>168.411004315157</v>
      </c>
      <c r="P313" s="26" t="n">
        <f aca="false">SUMPRODUCT(($B$290:$B$306=$A313)*P$290:P$306*$C$290:$C$306)</f>
        <v>2020.93205178189</v>
      </c>
    </row>
    <row r="314" customFormat="false" ht="15" hidden="false" customHeight="false" outlineLevel="0" collapsed="false">
      <c r="A314" s="5" t="s">
        <v>170</v>
      </c>
      <c r="D314" s="26" t="n">
        <f aca="false">SUMPRODUCT(($B$290:$B$306=$A314)*D$290:D$306*$C$290:$C$306)</f>
        <v>84.7775410784081</v>
      </c>
      <c r="E314" s="26" t="n">
        <f aca="false">SUMPRODUCT(($B$290:$B$306=$A314)*E$290:E$306*$C$290:$C$306)</f>
        <v>84.7775410784081</v>
      </c>
      <c r="F314" s="26" t="n">
        <f aca="false">SUMPRODUCT(($B$290:$B$306=$A314)*F$290:F$306*$C$290:$C$306)</f>
        <v>102.372928283693</v>
      </c>
      <c r="G314" s="26" t="n">
        <f aca="false">SUMPRODUCT(($B$290:$B$306=$A314)*G$290:G$306*$C$290:$C$306)</f>
        <v>114.477885714557</v>
      </c>
      <c r="H314" s="26" t="n">
        <f aca="false">SUMPRODUCT(($B$290:$B$306=$A314)*H$290:H$306*$C$290:$C$306)</f>
        <v>118.502077509707</v>
      </c>
      <c r="I314" s="26" t="n">
        <f aca="false">SUMPRODUCT(($B$290:$B$306=$A314)*I$290:I$306*$C$290:$C$306)</f>
        <v>115.916894353338</v>
      </c>
      <c r="J314" s="26" t="n">
        <f aca="false">SUMPRODUCT(($B$290:$B$306=$A314)*J$290:J$306*$C$290:$C$306)</f>
        <v>93.7378427643545</v>
      </c>
      <c r="K314" s="26" t="n">
        <f aca="false">SUMPRODUCT(($B$290:$B$306=$A314)*K$290:K$306*$C$290:$C$306)</f>
        <v>99.7605157868347</v>
      </c>
      <c r="L314" s="26" t="n">
        <f aca="false">SUMPRODUCT(($B$290:$B$306=$A314)*L$290:L$306*$C$290:$C$306)</f>
        <v>102.345698943203</v>
      </c>
      <c r="M314" s="26" t="n">
        <f aca="false">SUMPRODUCT(($B$290:$B$306=$A314)*M$290:M$306*$C$290:$C$306)</f>
        <v>102.345698943203</v>
      </c>
      <c r="N314" s="26" t="n">
        <f aca="false">SUMPRODUCT(($B$290:$B$306=$A314)*N$290:N$306*$C$290:$C$306)</f>
        <v>98.3215071480534</v>
      </c>
      <c r="O314" s="26" t="n">
        <f aca="false">SUMPRODUCT(($B$290:$B$306=$A314)*O$290:O$306*$C$290:$C$306)</f>
        <v>100.906690304422</v>
      </c>
      <c r="P314" s="26" t="n">
        <f aca="false">SUMPRODUCT(($B$290:$B$306=$A314)*P$290:P$306*$C$290:$C$306)</f>
        <v>1218.24282190818</v>
      </c>
    </row>
    <row r="315" customFormat="false" ht="15" hidden="false" customHeight="false" outlineLevel="0" collapsed="false">
      <c r="A315" s="5" t="s">
        <v>171</v>
      </c>
      <c r="D315" s="26" t="n">
        <f aca="false">SUMPRODUCT(($B$290:$B$306=$A315)*D$290:D$306*$C$290:$C$306)</f>
        <v>589.265017727304</v>
      </c>
      <c r="E315" s="26" t="n">
        <f aca="false">SUMPRODUCT(($B$290:$B$306=$A315)*E$290:E$306*$C$290:$C$306)</f>
        <v>589.265017727304</v>
      </c>
      <c r="F315" s="26" t="n">
        <f aca="false">SUMPRODUCT(($B$290:$B$306=$A315)*F$290:F$306*$C$290:$C$306)</f>
        <v>741.05784610753</v>
      </c>
      <c r="G315" s="26" t="n">
        <f aca="false">SUMPRODUCT(($B$290:$B$306=$A315)*G$290:G$306*$C$290:$C$306)</f>
        <v>887.422200407013</v>
      </c>
      <c r="H315" s="26" t="n">
        <f aca="false">SUMPRODUCT(($B$290:$B$306=$A315)*H$290:H$306*$C$290:$C$306)</f>
        <v>896.020546074691</v>
      </c>
      <c r="I315" s="26" t="n">
        <f aca="false">SUMPRODUCT(($B$290:$B$306=$A315)*I$290:I$306*$C$290:$C$306)</f>
        <v>875.301447082541</v>
      </c>
      <c r="J315" s="26" t="n">
        <f aca="false">SUMPRODUCT(($B$290:$B$306=$A315)*J$290:J$306*$C$290:$C$306)</f>
        <v>708.212693657797</v>
      </c>
      <c r="K315" s="26" t="n">
        <f aca="false">SUMPRODUCT(($B$290:$B$306=$A315)*K$290:K$306*$C$290:$C$306)</f>
        <v>711.387865377843</v>
      </c>
      <c r="L315" s="26" t="n">
        <f aca="false">SUMPRODUCT(($B$290:$B$306=$A315)*L$290:L$306*$C$290:$C$306)</f>
        <v>729.483511413642</v>
      </c>
      <c r="M315" s="26" t="n">
        <f aca="false">SUMPRODUCT(($B$290:$B$306=$A315)*M$290:M$306*$C$290:$C$306)</f>
        <v>729.483511413642</v>
      </c>
      <c r="N315" s="26" t="n">
        <f aca="false">SUMPRODUCT(($B$290:$B$306=$A315)*N$290:N$306*$C$290:$C$306)</f>
        <v>720.885165745964</v>
      </c>
      <c r="O315" s="26" t="n">
        <f aca="false">SUMPRODUCT(($B$290:$B$306=$A315)*O$290:O$306*$C$290:$C$306)</f>
        <v>741.604264738113</v>
      </c>
      <c r="P315" s="26" t="n">
        <f aca="false">SUMPRODUCT(($B$290:$B$306=$A315)*P$290:P$306*$C$290:$C$306)</f>
        <v>8919.38908747338</v>
      </c>
    </row>
    <row r="316" customFormat="false" ht="15" hidden="false" customHeight="false" outlineLevel="0" collapsed="false">
      <c r="A316" s="5" t="s">
        <v>172</v>
      </c>
      <c r="D316" s="26" t="n">
        <f aca="false">SUMPRODUCT(($B$290:$B$306=$A316)*D$290:D$306*$C$290:$C$306)</f>
        <v>33.8549559516501</v>
      </c>
      <c r="E316" s="26" t="n">
        <f aca="false">SUMPRODUCT(($B$290:$B$306=$A316)*E$290:E$306*$C$290:$C$306)</f>
        <v>33.8549559516501</v>
      </c>
      <c r="F316" s="26" t="n">
        <f aca="false">SUMPRODUCT(($B$290:$B$306=$A316)*F$290:F$306*$C$290:$C$306)</f>
        <v>31.0516547981325</v>
      </c>
      <c r="G316" s="26" t="n">
        <f aca="false">SUMPRODUCT(($B$290:$B$306=$A316)*G$290:G$306*$C$290:$C$306)</f>
        <v>31.0516547981325</v>
      </c>
      <c r="H316" s="26" t="n">
        <f aca="false">SUMPRODUCT(($B$290:$B$306=$A316)*H$290:H$306*$C$290:$C$306)</f>
        <v>31.0516547981325</v>
      </c>
      <c r="I316" s="26" t="n">
        <f aca="false">SUMPRODUCT(($B$290:$B$306=$A316)*I$290:I$306*$C$290:$C$306)</f>
        <v>28.2483536446148</v>
      </c>
      <c r="J316" s="26" t="n">
        <f aca="false">SUMPRODUCT(($B$290:$B$306=$A316)*J$290:J$306*$C$290:$C$306)</f>
        <v>28.2483536446148</v>
      </c>
      <c r="K316" s="26" t="n">
        <f aca="false">SUMPRODUCT(($B$290:$B$306=$A316)*K$290:K$306*$C$290:$C$306)</f>
        <v>28.2483536446148</v>
      </c>
      <c r="L316" s="26" t="n">
        <f aca="false">SUMPRODUCT(($B$290:$B$306=$A316)*L$290:L$306*$C$290:$C$306)</f>
        <v>31.0516547981325</v>
      </c>
      <c r="M316" s="26" t="n">
        <f aca="false">SUMPRODUCT(($B$290:$B$306=$A316)*M$290:M$306*$C$290:$C$306)</f>
        <v>31.0516547981325</v>
      </c>
      <c r="N316" s="26" t="n">
        <f aca="false">SUMPRODUCT(($B$290:$B$306=$A316)*N$290:N$306*$C$290:$C$306)</f>
        <v>31.0516547981325</v>
      </c>
      <c r="O316" s="26" t="n">
        <f aca="false">SUMPRODUCT(($B$290:$B$306=$A316)*O$290:O$306*$C$290:$C$306)</f>
        <v>33.8549559516501</v>
      </c>
      <c r="P316" s="26" t="n">
        <f aca="false">SUMPRODUCT(($B$290:$B$306=$A316)*P$290:P$306*$C$290:$C$306)</f>
        <v>372.61985757759</v>
      </c>
    </row>
    <row r="317" customFormat="false" ht="15" hidden="false" customHeight="false" outlineLevel="0" collapsed="false">
      <c r="A317" s="4" t="s">
        <v>387</v>
      </c>
      <c r="D317" s="27" t="n">
        <f aca="false">SUMPRODUCT(D$290:D$306*parametros_recargas!$D$55:$D$71)</f>
        <v>283.215341180844</v>
      </c>
      <c r="E317" s="27" t="n">
        <f aca="false">SUMPRODUCT(E$290:E$306*parametros_recargas!$D$55:$D$71)</f>
        <v>283.215341180844</v>
      </c>
      <c r="F317" s="27" t="n">
        <f aca="false">SUMPRODUCT(F$290:F$306*parametros_recargas!$D$55:$D$71)</f>
        <v>308.903980998266</v>
      </c>
      <c r="G317" s="27" t="n">
        <f aca="false">SUMPRODUCT(G$290:G$306*parametros_recargas!$D$55:$D$71)</f>
        <v>344.063183484763</v>
      </c>
      <c r="H317" s="27" t="n">
        <f aca="false">SUMPRODUCT(H$290:H$306*parametros_recargas!$D$55:$D$71)</f>
        <v>349.626304773641</v>
      </c>
      <c r="I317" s="27" t="n">
        <f aca="false">SUMPRODUCT(I$290:I$306*parametros_recargas!$D$55:$D$71)</f>
        <v>332.986823026631</v>
      </c>
      <c r="J317" s="27" t="n">
        <f aca="false">SUMPRODUCT(J$290:J$306*parametros_recargas!$D$55:$D$71)</f>
        <v>291.145384980551</v>
      </c>
      <c r="K317" s="27" t="n">
        <f aca="false">SUMPRODUCT(K$290:K$306*parametros_recargas!$D$55:$D$71)</f>
        <v>296.221822751076</v>
      </c>
      <c r="L317" s="27" t="n">
        <f aca="false">SUMPRODUCT(L$290:L$306*parametros_recargas!$D$55:$D$71)</f>
        <v>310.237851541736</v>
      </c>
      <c r="M317" s="27" t="n">
        <f aca="false">SUMPRODUCT(M$290:M$306*parametros_recargas!$D$55:$D$71)</f>
        <v>310.237851541736</v>
      </c>
      <c r="N317" s="27" t="n">
        <f aca="false">SUMPRODUCT(N$290:N$306*parametros_recargas!$D$55:$D$71)</f>
        <v>304.674730252858</v>
      </c>
      <c r="O317" s="27" t="n">
        <f aca="false">SUMPRODUCT(O$290:O$306*parametros_recargas!$D$55:$D$71)</f>
        <v>321.314211999868</v>
      </c>
      <c r="P317" s="27" t="n">
        <f aca="false">SUMPRODUCT(P$290:P$306*parametros_recargas!$D$55:$D$71)</f>
        <v>3735.84282771281</v>
      </c>
    </row>
    <row r="318" customFormat="false" ht="15" hidden="false" customHeight="false" outlineLevel="0" collapsed="false">
      <c r="A318" s="4" t="s">
        <v>388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0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0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0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0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0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0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0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0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0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0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0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0</v>
      </c>
      <c r="P318" s="12" t="n">
        <f aca="false">SUM(D318:O318)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389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390</v>
      </c>
      <c r="O1" s="3" t="s">
        <v>391</v>
      </c>
      <c r="P1" s="3" t="s">
        <v>392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194.054114807064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168.626008201526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161.378637054218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178.478866430161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179.970167611299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177.763925050118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157.318888754276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158.868248211845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160.806731186255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160.806731186255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184.743536610654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212.377885777374</v>
      </c>
      <c r="N2" s="12" t="n">
        <f aca="false">SUM(B2:M2)</f>
        <v>2095.19374088105</v>
      </c>
      <c r="O2" s="27" t="n">
        <f aca="false">MAX(B2:M2)</f>
        <v>212.377885777374</v>
      </c>
      <c r="P2" s="16" t="n">
        <f aca="false">O2/parametros_recargas!$B$6</f>
        <v>1.41585257184916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194.054114807064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168.626008201526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161.378637054218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178.478866430161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179.970167611299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177.763925050118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157.318888754276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158.868248211845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160.806731186255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160.806731186255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184.743536610654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212.377885777374</v>
      </c>
      <c r="N3" s="12" t="n">
        <f aca="false">SUM(B3:M3)</f>
        <v>2095.19374088105</v>
      </c>
      <c r="O3" s="27" t="n">
        <f aca="false">MAX(B3:M3)</f>
        <v>212.377885777374</v>
      </c>
      <c r="P3" s="16" t="n">
        <f aca="false">O3/parametros_recargas!$B$6</f>
        <v>1.41585257184916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149.969433175071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128.228402027335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118.624431565188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129.979892969024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131.022429809758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129.658881471433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116.03500363605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117.200809288255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118.380376306783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118.380376306783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139.078870613785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162.183450099844</v>
      </c>
      <c r="N4" s="12" t="n">
        <f aca="false">SUM(B4:M4)</f>
        <v>1558.74235726931</v>
      </c>
      <c r="O4" s="27" t="n">
        <f aca="false">MAX(B4:M4)</f>
        <v>162.183450099844</v>
      </c>
      <c r="P4" s="16" t="n">
        <f aca="false">O4/parametros_recargas!$B$6</f>
        <v>1.08122300066563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16.9748607959949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14.5591906684688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13.4920828393412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14.7538007731008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14.869638199849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14.7181328289241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13.2043686249927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13.3339025863487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13.4649655884074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13.4649655884074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15.7647982891854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18.3319737876364</v>
      </c>
      <c r="N5" s="12" t="n">
        <f aca="false">SUM(B5:M5)</f>
        <v>176.932680570657</v>
      </c>
      <c r="O5" s="27" t="n">
        <f aca="false">MAX(B5:M5)</f>
        <v>18.3319737876364</v>
      </c>
      <c r="P5" s="16" t="n">
        <f aca="false">O5/parametros_recargas!$B$6</f>
        <v>0.122213158584243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6.65616450625297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6.65616450625297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7.67538685239111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8.62102736865261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8.7341006431617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8.5415374015687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7.31280691076719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7.44282508834665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7.62559209346043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7.62559209346043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7.51251881895133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7.70508206054434</v>
      </c>
      <c r="N6" s="12" t="n">
        <f aca="false">SUM(B6:M6)</f>
        <v>92.1087983438104</v>
      </c>
      <c r="O6" s="27" t="n">
        <f aca="false">MAX(B6:M6)</f>
        <v>8.7341006431617</v>
      </c>
      <c r="P6" s="16" t="n">
        <f aca="false">O6/parametros_recargas!$B$6</f>
        <v>0.058227337621078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6.57135191845469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6.57135191845469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8.36136809050321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10.0731615850359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10.1658786394358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9.94240018493811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7.99192676888127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8.02162261279182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8.21947795424827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8.21947795424827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8.12676089984839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8.35023935434603</v>
      </c>
      <c r="N7" s="12" t="n">
        <f aca="false">SUM(B7:M7)</f>
        <v>100.615017881186</v>
      </c>
      <c r="O7" s="27" t="n">
        <f aca="false">MAX(B7:M7)</f>
        <v>10.1658786394358</v>
      </c>
      <c r="P7" s="16" t="n">
        <f aca="false">O7/parametros_recargas!$B$6</f>
        <v>0.067772524262905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0.167106353207608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0.167106353207608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0.153061980509708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0.153061980509708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0.153061980509708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0.139017607811808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0.139017607811808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0.139017607811808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0.153061980509708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0.153061980509708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0.153061980509708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0.167106353207608</v>
      </c>
      <c r="N8" s="12" t="n">
        <f aca="false">SUM(B8:M8)</f>
        <v>1.8367437661165</v>
      </c>
      <c r="O8" s="27" t="n">
        <f aca="false">MAX(B8:M8)</f>
        <v>0.167106353207608</v>
      </c>
      <c r="P8" s="16" t="n">
        <f aca="false">O8/parametros_recargas!$B$6</f>
        <v>0.00111404235471739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175.730835759017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150.302729153478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139.070015162662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152.351256570657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153.570597904849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151.975804526692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136.041444485309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137.404959868004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138.78457041599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138.78457041599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162.993335687337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190.016235671033</v>
      </c>
      <c r="N9" s="12" t="n">
        <f aca="false">SUM(B9:M9)</f>
        <v>1827.02635562102</v>
      </c>
      <c r="O9" s="27" t="n">
        <f aca="false">MAX(B9:M9)</f>
        <v>190.016235671033</v>
      </c>
      <c r="P9" s="16" t="n">
        <f aca="false">O9/parametros_recargas!$B$6</f>
        <v>1.26677490447355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10.4253983183522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10.4253983183522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12.3700007717076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14.212484910916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14.3773900146384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14.0500602164428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11.7914769784619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11.9430330686141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12.2473715603185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12.2473715603185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12.0824664565962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12.4097962547918</v>
      </c>
      <c r="N10" s="12" t="n">
        <f aca="false">SUM(B10:M10)</f>
        <v>148.58224842951</v>
      </c>
      <c r="O10" s="27" t="n">
        <f aca="false">MAX(B10:M10)</f>
        <v>14.3773900146384</v>
      </c>
      <c r="P10" s="16" t="n">
        <f aca="false">O10/parametros_recargas!$B$6</f>
        <v>0.0958492667642557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1.82538092431222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1.56075590912245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1.44385939155812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1.58207450776202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1.59476393934604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1.57816725645233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1.41234168660547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1.42653150751721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1.44088882746558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1.44088882746558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1.69282441107133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1.9740461091548</v>
      </c>
      <c r="N11" s="12" t="n">
        <f aca="false">SUM(B11:M11)</f>
        <v>18.9725232978332</v>
      </c>
      <c r="O11" s="27" t="n">
        <f aca="false">MAX(B11:M11)</f>
        <v>1.9740461091548</v>
      </c>
      <c r="P11" s="16" t="n">
        <f aca="false">O11/parametros_recargas!$B$6</f>
        <v>0.0131603073943653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50.6154753879512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44.2584487365666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42.7684656379939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47.3421463029041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47.7506789480338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47.138308863025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41.6390296340745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42.067427870334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42.609764510288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42.609764510288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48.558258516543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55.5276552529364</v>
      </c>
      <c r="N12" s="12" t="n">
        <f aca="false">SUM(B12:M12)</f>
        <v>552.885424170939</v>
      </c>
      <c r="O12" s="27" t="n">
        <f aca="false">MAX(B12:M12)</f>
        <v>55.5276552529364</v>
      </c>
      <c r="P12" s="16" t="n">
        <f aca="false">O12/parametros_recargas!$B$6</f>
        <v>0.370184368352909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48.5192148208686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41.9079071034286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39.7155207698151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43.8745377604434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44.2298003441992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43.7129663073837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38.7657137621677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39.1324734704975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39.5827937392866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39.5827937392866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45.8388388729708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52.9669806272263</v>
      </c>
      <c r="N13" s="12" t="n">
        <f aca="false">SUM(B13:M13)</f>
        <v>517.829541317574</v>
      </c>
      <c r="O13" s="27" t="n">
        <f aca="false">MAX(B13:M13)</f>
        <v>52.9669806272263</v>
      </c>
      <c r="P13" s="16" t="n">
        <f aca="false">O13/parametros_recargas!$B$6</f>
        <v>0.353113204181509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48.5192148208686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41.9079071034286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39.7155207698151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43.8745377604434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44.2298003441992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43.7129663073837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38.7657137621677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39.1324734704975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39.5827937392866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39.5827937392866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45.8388388729708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52.9669806272263</v>
      </c>
      <c r="N14" s="12" t="n">
        <f aca="false">SUM(B14:M14)</f>
        <v>517.829541317574</v>
      </c>
      <c r="O14" s="27" t="n">
        <f aca="false">MAX(B14:M14)</f>
        <v>52.9669806272263</v>
      </c>
      <c r="P14" s="16" t="n">
        <f aca="false">O14/parametros_recargas!$B$6</f>
        <v>0.353113204181509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29.1081172210596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25.2939012302289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24.2067955581327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26.7718299645241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26.9955251416949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26.6645887575178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23.5978333131415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23.8302372317768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24.1210096779382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24.1210096779382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27.7115304915982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31.8566828666061</v>
      </c>
      <c r="N15" s="12" t="n">
        <f aca="false">SUM(B15:M15)</f>
        <v>314.279061132157</v>
      </c>
      <c r="O15" s="27" t="n">
        <f aca="false">MAX(B15:M15)</f>
        <v>31.8566828666061</v>
      </c>
      <c r="P15" s="16" t="n">
        <f aca="false">O15/parametros_recargas!$B$6</f>
        <v>0.212377885777374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175.968628465676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150.540521860138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139.307807869322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152.589049277317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153.808390611509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152.213597233351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136.279237191968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137.642752574664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139.02236312265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139.02236312265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163.231128393996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190.254028377692</v>
      </c>
      <c r="N16" s="12" t="n">
        <f aca="false">SUM(B16:M16)</f>
        <v>1829.87986810093</v>
      </c>
      <c r="O16" s="27" t="n">
        <f aca="false">MAX(B16:M16)</f>
        <v>190.254028377692</v>
      </c>
      <c r="P16" s="16" t="n">
        <f aca="false">O16/parametros_recargas!$B$6</f>
        <v>1.26836018918461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175.730835759017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150.302729153478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139.070015162662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152.351256570657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153.570597904849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151.975804526692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136.041444485309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137.404959868004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138.78457041599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138.78457041599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162.993335687337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190.016235671033</v>
      </c>
      <c r="N17" s="12" t="n">
        <f aca="false">SUM(B17:M17)</f>
        <v>1827.02635562102</v>
      </c>
      <c r="O17" s="27" t="n">
        <f aca="false">MAX(B17:M17)</f>
        <v>190.016235671033</v>
      </c>
      <c r="P17" s="16" t="n">
        <f aca="false">O17/parametros_recargas!$B$6</f>
        <v>1.26677490447355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175.730835759017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150.302729153478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139.070015162662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152.351256570657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153.570597904849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151.975804526692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136.041444485309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137.404959868004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138.78457041599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138.78457041599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162.993335687337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190.016235671033</v>
      </c>
      <c r="N18" s="12" t="n">
        <f aca="false">SUM(B18:M18)</f>
        <v>1827.02635562102</v>
      </c>
      <c r="O18" s="27" t="n">
        <f aca="false">MAX(B18:M18)</f>
        <v>190.016235671033</v>
      </c>
      <c r="P18" s="16" t="n">
        <f aca="false">O18/parametros_recargas!$B$6</f>
        <v>1.26677490447355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10.4253983183522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10.4253983183522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12.3700007717076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14.212484910916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14.3773900146384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14.0500602164428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11.7914769784619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11.9430330686141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12.2473715603185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12.2473715603185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12.0824664565962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12.4097962547918</v>
      </c>
      <c r="N19" s="12" t="n">
        <f aca="false">SUM(B19:M19)</f>
        <v>148.58224842951</v>
      </c>
      <c r="O19" s="27" t="n">
        <f aca="false">MAX(B19:M19)</f>
        <v>14.3773900146384</v>
      </c>
      <c r="P19" s="16" t="n">
        <f aca="false">O19/parametros_recargas!$B$6</f>
        <v>0.0958492667642557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7.35591356116319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7.35591356116319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9.24902375155976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11.0843487353886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11.18375671124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10.9180685391541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8.82683930956738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8.85867815252303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9.09689412093591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9.09689412093591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8.9974861450845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9.26317431717041</v>
      </c>
      <c r="N20" s="12" t="n">
        <f aca="false">SUM(B20:M20)</f>
        <v>111.286991025886</v>
      </c>
      <c r="O20" s="27" t="n">
        <f aca="false">MAX(B20:M20)</f>
        <v>11.18375671124</v>
      </c>
      <c r="P20" s="16" t="n">
        <f aca="false">O20/parametros_recargas!$B$6</f>
        <v>0.0745583780749334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194.054114807064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168.626008201526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161.378637054218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178.478866430161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179.970167611299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177.763925050118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157.318888754276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158.868248211845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160.806731186255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160.806731186255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184.743536610654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212.377885777374</v>
      </c>
      <c r="N21" s="12" t="n">
        <f aca="false">SUM(B21:M21)</f>
        <v>2095.19374088105</v>
      </c>
      <c r="O21" s="27" t="n">
        <f aca="false">MAX(B21:M21)</f>
        <v>212.377885777374</v>
      </c>
      <c r="P21" s="16" t="n">
        <f aca="false">O21/parametros_recargas!$B$6</f>
        <v>1.41585257184916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194.054114807064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168.626008201526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161.378637054218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178.478866430161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179.970167611299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177.763925050118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157.318888754276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158.868248211845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160.806731186255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160.806731186255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184.743536610654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212.377885777374</v>
      </c>
      <c r="N22" s="12" t="n">
        <f aca="false">SUM(B22:M22)</f>
        <v>2095.19374088105</v>
      </c>
      <c r="O22" s="27" t="n">
        <f aca="false">MAX(B22:M22)</f>
        <v>212.377885777374</v>
      </c>
      <c r="P22" s="16" t="n">
        <f aca="false">O22/parametros_recargas!$B$6</f>
        <v>1.41585257184916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15.343673461721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13.309424933278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12.6804251749078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14.0013839100132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14.1181390820466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13.9477834147328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12.3658017733626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12.4889341493795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12.6385734652303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12.6385734652303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14.55606682164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16.7606710173969</v>
      </c>
      <c r="N23" s="12" t="n">
        <f aca="false">SUM(B23:M23)</f>
        <v>164.849450668939</v>
      </c>
      <c r="O23" s="27" t="n">
        <f aca="false">MAX(B23:M23)</f>
        <v>16.7606710173969</v>
      </c>
      <c r="P23" s="16" t="n">
        <f aca="false">O23/parametros_recargas!$B$6</f>
        <v>0.111737806782646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26" t="n">
        <f aca="false">'Plan mensual'!D29</f>
        <v>4.51238529649481</v>
      </c>
      <c r="C24" s="26" t="n">
        <f aca="false">'Plan mensual'!E29</f>
        <v>4.51238529649481</v>
      </c>
      <c r="D24" s="26" t="n">
        <f aca="false">'Plan mensual'!F29</f>
        <v>4.93488949484694</v>
      </c>
      <c r="E24" s="26" t="n">
        <f aca="false">'Plan mensual'!G29</f>
        <v>5.51298849806761</v>
      </c>
      <c r="F24" s="26" t="n">
        <f aca="false">'Plan mensual'!H29</f>
        <v>5.60330677050839</v>
      </c>
      <c r="G24" s="26" t="n">
        <f aca="false">'Plan mensual'!I29</f>
        <v>5.33089922772459</v>
      </c>
      <c r="H24" s="26" t="n">
        <f aca="false">'Plan mensual'!J29</f>
        <v>4.6434463043406</v>
      </c>
      <c r="I24" s="26" t="n">
        <f aca="false">'Plan mensual'!K29</f>
        <v>4.72630575902944</v>
      </c>
      <c r="J24" s="26" t="n">
        <f aca="false">'Plan mensual'!L29</f>
        <v>4.9564483730855</v>
      </c>
      <c r="K24" s="26" t="n">
        <f aca="false">'Plan mensual'!M29</f>
        <v>4.9564483730855</v>
      </c>
      <c r="L24" s="26" t="n">
        <f aca="false">'Plan mensual'!N29</f>
        <v>4.86613010064472</v>
      </c>
      <c r="M24" s="26" t="n">
        <f aca="false">'Plan mensual'!O29</f>
        <v>5.13853764342852</v>
      </c>
      <c r="N24" s="12" t="n">
        <f aca="false">SUM(B24:M24)</f>
        <v>59.6941711377515</v>
      </c>
      <c r="O24" s="27" t="n">
        <f aca="false">MAX(B24:M24)</f>
        <v>5.60330677050839</v>
      </c>
      <c r="P24" s="16" t="n">
        <f aca="false">O24/parametros_recargas!$B$6</f>
        <v>0.037355378470056</v>
      </c>
    </row>
    <row r="33" customFormat="false" ht="23.85" hidden="false" customHeight="false" outlineLevel="0" collapsed="false">
      <c r="A33" s="3" t="s">
        <v>393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390</v>
      </c>
      <c r="O33" s="3" t="s">
        <v>391</v>
      </c>
      <c r="P33" s="3" t="s">
        <v>392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905.501929752116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782.233309037355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732.223370916594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801.793090896954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807.871833281451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798.307828933639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715.230099848368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721.563884376325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730.009594747856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730.009594747856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847.19947307812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980.032098140693</v>
      </c>
      <c r="N34" s="12" t="n">
        <f aca="false">SUM(B34:M34)</f>
        <v>9551.97610775732</v>
      </c>
      <c r="O34" s="27" t="n">
        <f aca="false">MAX(B34:M34)</f>
        <v>980.032098140693</v>
      </c>
      <c r="P34" s="16" t="n">
        <f aca="false">O34/parametros_recargas!$B$6</f>
        <v>6.53354732093795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905.501929752116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782.233309037355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732.223370916594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801.793090896954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807.871833281451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798.307828933639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715.230099848368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721.563884376325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730.009594747856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730.009594747856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847.19947307812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980.032098140693</v>
      </c>
      <c r="N35" s="12" t="n">
        <f aca="false">SUM(B35:M35)</f>
        <v>9551.97610775732</v>
      </c>
      <c r="O35" s="27" t="n">
        <f aca="false">MAX(B35:M35)</f>
        <v>980.032098140693</v>
      </c>
      <c r="P35" s="16" t="n">
        <f aca="false">O35/parametros_recargas!$B$6</f>
        <v>6.53354732093795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699.901507693702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594.506836982581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538.444135157494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584.989433536186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589.190217763266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583.328308500725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527.626980608868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532.33521457923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537.462405485573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537.462405485573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638.656291969614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749.912871943275</v>
      </c>
      <c r="N36" s="12" t="n">
        <f aca="false">SUM(B36:M36)</f>
        <v>7113.81660970609</v>
      </c>
      <c r="O36" s="27" t="n">
        <f aca="false">MAX(B36:M36)</f>
        <v>749.912871943275</v>
      </c>
      <c r="P36" s="16" t="n">
        <f aca="false">O36/parametros_recargas!$B$6</f>
        <v>4.9994191462885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80.0734641616217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68.3629451937193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62.1337561020431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67.3054559218978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67.7722097249066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67.1208864735132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60.9318500410847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61.4549871489026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62.0246750273851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62.0246750273851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73.2684401922786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85.6302824115743</v>
      </c>
      <c r="N37" s="12" t="n">
        <f aca="false">SUM(B37:M37)</f>
        <v>818.103627426312</v>
      </c>
      <c r="O37" s="27" t="n">
        <f aca="false">MAX(B37:M37)</f>
        <v>85.6302824115743</v>
      </c>
      <c r="P37" s="16" t="n">
        <f aca="false">O37/parametros_recargas!$B$6</f>
        <v>0.570868549410495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34.7021346609967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34.7021346609967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38.8366475640717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42.6683486298828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43.1291578793959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42.3487754201512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37.3633943240264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37.8946893073445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38.635506270484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38.635506270484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38.1746970209709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38.9550794802156</v>
      </c>
      <c r="N38" s="12" t="n">
        <f aca="false">SUM(B38:M38)</f>
        <v>466.04607148902</v>
      </c>
      <c r="O38" s="27" t="n">
        <f aca="false">MAX(B38:M38)</f>
        <v>43.1291578793959</v>
      </c>
      <c r="P38" s="16" t="n">
        <f aca="false">O38/parametros_recargas!$B$6</f>
        <v>0.287527719195973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27.2356158147482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27.2356158147482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34.1804296754024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40.9082314355833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41.3207737027546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40.3268229729346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32.6382346214351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32.8006006496317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33.6627972671593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33.6627972671593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33.250254999988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34.244205729808</v>
      </c>
      <c r="N39" s="12" t="n">
        <f aca="false">SUM(B39:M39)</f>
        <v>411.466379951352</v>
      </c>
      <c r="O39" s="27" t="n">
        <f aca="false">MAX(B39:M39)</f>
        <v>41.3207737027546</v>
      </c>
      <c r="P39" s="16" t="n">
        <f aca="false">O39/parametros_recargas!$B$6</f>
        <v>0.27547182468503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1.05782378466033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1.05782378466033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0.971370794297347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0.971370794297347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0.971370794297347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0.884917803934363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0.884917803934363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0.884917803934363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0.971370794297347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0.971370794297347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0.971370794297347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1.05782378466033</v>
      </c>
      <c r="N40" s="12" t="n">
        <f aca="false">SUM(B40:M40)</f>
        <v>11.6564495315682</v>
      </c>
      <c r="O40" s="27" t="n">
        <f aca="false">MAX(B40:M40)</f>
        <v>1.05782378466033</v>
      </c>
      <c r="P40" s="16" t="n">
        <f aca="false">O40/parametros_recargas!$B$6</f>
        <v>0.00705215856440221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821.026286163498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697.757665448737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632.187253957408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686.626199429562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691.539397355971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684.683363130777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619.535611210477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625.042317608561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631.039032118903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631.039032118903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749.394454907255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879.51910984721</v>
      </c>
      <c r="N41" s="12" t="n">
        <f aca="false">SUM(B41:M41)</f>
        <v>8349.38972329726</v>
      </c>
      <c r="O41" s="27" t="n">
        <f aca="false">MAX(B41:M41)</f>
        <v>879.51910984721</v>
      </c>
      <c r="P41" s="16" t="n">
        <f aca="false">O41/parametros_recargas!$B$6</f>
        <v>5.86346073231473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51.0638047208426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51.0638047208426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58.7660794965579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66.1286705290909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66.8178775240533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65.4181174058929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56.3656855539941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57.0052895069797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58.2982038232655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58.2982038232655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57.6089968283031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59.0087569464635</v>
      </c>
      <c r="N42" s="12" t="n">
        <f aca="false">SUM(B42:M42)</f>
        <v>705.843490879551</v>
      </c>
      <c r="O42" s="27" t="n">
        <f aca="false">MAX(B42:M42)</f>
        <v>66.8178775240533</v>
      </c>
      <c r="P42" s="16" t="n">
        <f aca="false">O42/parametros_recargas!$B$6</f>
        <v>0.445452516827022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8.5189817284301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7.23615083838025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6.55377320775033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7.1203079873924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7.17143861603398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7.10008929423319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6.42211019382569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6.47941734165404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6.54182390196169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6.54182390196169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7.77352416336997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9.12770437522061</v>
      </c>
      <c r="N43" s="12" t="n">
        <f aca="false">SUM(B43:M43)</f>
        <v>86.587145550214</v>
      </c>
      <c r="O43" s="27" t="n">
        <f aca="false">MAX(B43:M43)</f>
        <v>9.12770437522061</v>
      </c>
      <c r="P43" s="16" t="n">
        <f aca="false">O43/parametros_recargas!$B$6</f>
        <v>0.0608513625014708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237.334051278344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206.516896099653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195.320047223066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213.922488081044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215.58769238754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212.95025473451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190.606491590732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192.357715085874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194.703084877643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194.703084877643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223.855035749837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257.309628581557</v>
      </c>
      <c r="N44" s="12" t="n">
        <f aca="false">SUM(B44:M44)</f>
        <v>2535.16647056744</v>
      </c>
      <c r="O44" s="27" t="n">
        <f aca="false">MAX(B44:M44)</f>
        <v>257.309628581557</v>
      </c>
      <c r="P44" s="16" t="n">
        <f aca="false">O44/parametros_recargas!$B$6</f>
        <v>1.71539752387705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225.453604599402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193.403763213564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179.157544857125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196.086021921197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197.533573904608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195.279376280467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175.170408883664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176.669107610339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178.64555051592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178.64555051592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209.247839918347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243.551878928325</v>
      </c>
      <c r="N45" s="12" t="n">
        <f aca="false">SUM(B45:M45)</f>
        <v>2348.84422114888</v>
      </c>
      <c r="O45" s="27" t="n">
        <f aca="false">MAX(B45:M45)</f>
        <v>243.551878928325</v>
      </c>
      <c r="P45" s="16" t="n">
        <f aca="false">O45/parametros_recargas!$B$6</f>
        <v>1.6236791928555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225.453604599402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193.403763213564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179.157544857125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196.086021921197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197.533573904608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195.279376280467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175.170408883664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176.669107610339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178.64555051592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178.64555051592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209.247839918347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243.551878928325</v>
      </c>
      <c r="N46" s="12" t="n">
        <f aca="false">SUM(B46:M46)</f>
        <v>2348.84422114888</v>
      </c>
      <c r="O46" s="27" t="n">
        <f aca="false">MAX(B46:M46)</f>
        <v>243.551878928325</v>
      </c>
      <c r="P46" s="16" t="n">
        <f aca="false">O46/parametros_recargas!$B$6</f>
        <v>1.6236791928555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135.825289462817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117.334996355603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109.833505637489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120.268963634543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121.180774992218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119.746174340046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107.284514977255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108.234582656449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109.501439212178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109.501439212178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127.079920961718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147.004814721104</v>
      </c>
      <c r="N47" s="12" t="n">
        <f aca="false">SUM(B47:M47)</f>
        <v>1432.7964161636</v>
      </c>
      <c r="O47" s="27" t="n">
        <f aca="false">MAX(B47:M47)</f>
        <v>147.004814721104</v>
      </c>
      <c r="P47" s="16" t="n">
        <f aca="false">O47/parametros_recargas!$B$6</f>
        <v>0.980032098140693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822.78660903796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699.517988323199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633.94757683187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688.386522304024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693.299720230433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686.443686005239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621.295934084939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626.802640483022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632.799354993365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632.799354993365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751.154777781717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881.279432721672</v>
      </c>
      <c r="N48" s="12" t="n">
        <f aca="false">SUM(B48:M48)</f>
        <v>8370.5135977908</v>
      </c>
      <c r="O48" s="27" t="n">
        <f aca="false">MAX(B48:M48)</f>
        <v>881.279432721672</v>
      </c>
      <c r="P48" s="16" t="n">
        <f aca="false">O48/parametros_recargas!$B$6</f>
        <v>5.87519621814448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821.026286163498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697.757665448737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632.187253957408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686.626199429562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691.539397355971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684.683363130777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619.535611210477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625.042317608561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631.039032118903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631.039032118903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749.394454907255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879.51910984721</v>
      </c>
      <c r="N49" s="12" t="n">
        <f aca="false">SUM(B49:M49)</f>
        <v>8349.38972329726</v>
      </c>
      <c r="O49" s="27" t="n">
        <f aca="false">MAX(B49:M49)</f>
        <v>879.51910984721</v>
      </c>
      <c r="P49" s="16" t="n">
        <f aca="false">O49/parametros_recargas!$B$6</f>
        <v>5.86346073231473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821.026286163498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697.757665448737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632.187253957408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686.626199429562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691.539397355971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684.683363130777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619.535611210477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625.042317608561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631.039032118903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631.039032118903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749.394454907255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879.51910984721</v>
      </c>
      <c r="N50" s="12" t="n">
        <f aca="false">SUM(B50:M50)</f>
        <v>8349.38972329726</v>
      </c>
      <c r="O50" s="27" t="n">
        <f aca="false">MAX(B50:M50)</f>
        <v>879.51910984721</v>
      </c>
      <c r="P50" s="16" t="n">
        <f aca="false">O50/parametros_recargas!$B$6</f>
        <v>5.86346073231473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51.0638047208426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51.0638047208426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58.7660794965579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66.1286705290909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66.8178775240533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65.4181174058929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56.3656855539941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57.0052895069797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58.2982038232655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58.2982038232655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57.6089968283031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59.0087569464635</v>
      </c>
      <c r="N51" s="12" t="n">
        <f aca="false">SUM(B51:M51)</f>
        <v>705.843490879551</v>
      </c>
      <c r="O51" s="27" t="n">
        <f aca="false">MAX(B51:M51)</f>
        <v>66.8178775240533</v>
      </c>
      <c r="P51" s="16" t="n">
        <f aca="false">O51/parametros_recargas!$B$6</f>
        <v>0.445452516827022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31.1656025119196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31.1656025119196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38.4510329533165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45.6643461807269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46.1066595393436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44.8804248528094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36.6369899192429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36.8110730834951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37.8960456290146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37.8960456290146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37.4537322703979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38.6799669569321</v>
      </c>
      <c r="N52" s="12" t="n">
        <f aca="false">SUM(B52:M52)</f>
        <v>462.807522038133</v>
      </c>
      <c r="O52" s="27" t="n">
        <f aca="false">MAX(B52:M52)</f>
        <v>46.1066595393436</v>
      </c>
      <c r="P52" s="16" t="n">
        <f aca="false">O52/parametros_recargas!$B$6</f>
        <v>0.30737773026229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905.501929752116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782.233309037355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732.223370916594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801.793090896954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807.871833281451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798.307828933639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715.230099848368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721.563884376325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730.009594747856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730.009594747856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847.19947307812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980.032098140693</v>
      </c>
      <c r="N53" s="12" t="n">
        <f aca="false">SUM(B53:M53)</f>
        <v>9551.97610775732</v>
      </c>
      <c r="O53" s="27" t="n">
        <f aca="false">MAX(B53:M53)</f>
        <v>980.032098140693</v>
      </c>
      <c r="P53" s="16" t="n">
        <f aca="false">O53/parametros_recargas!$B$6</f>
        <v>6.53354732093795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905.501929752116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782.233309037355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732.223370916594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801.793090896954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807.871833281451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798.307828933639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715.230099848368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721.563884376325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730.009594747856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730.009594747856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847.19947307812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980.032098140693</v>
      </c>
      <c r="N54" s="12" t="n">
        <f aca="false">SUM(B54:M54)</f>
        <v>9551.97610775732</v>
      </c>
      <c r="O54" s="27" t="n">
        <f aca="false">MAX(B54:M54)</f>
        <v>980.032098140693</v>
      </c>
      <c r="P54" s="16" t="n">
        <f aca="false">O54/parametros_recargas!$B$6</f>
        <v>6.53354732093795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71.6914089282174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61.8299192710365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57.638201503557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63.018822352565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63.4937803751551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62.7559851333046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56.3211369329847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56.8233760243429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57.4753298542708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57.4753298542708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66.8618614888616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77.461146387893</v>
      </c>
      <c r="N55" s="12" t="n">
        <f aca="false">SUM(B55:M55)</f>
        <v>752.84629810646</v>
      </c>
      <c r="O55" s="27" t="n">
        <f aca="false">MAX(B55:M55)</f>
        <v>77.461146387893</v>
      </c>
      <c r="P55" s="16" t="n">
        <f aca="false">O55/parametros_recargas!$B$6</f>
        <v>0.516407642585953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26" t="n">
        <f aca="false">'Plan mensual'!D61</f>
        <v>23.8958049151505</v>
      </c>
      <c r="C56" s="26" t="n">
        <f aca="false">'Plan mensual'!E61</f>
        <v>23.8958049151505</v>
      </c>
      <c r="D56" s="26" t="n">
        <f aca="false">'Plan mensual'!F61</f>
        <v>26.0205335733885</v>
      </c>
      <c r="E56" s="26" t="n">
        <f aca="false">'Plan mensual'!G61</f>
        <v>28.9286449360836</v>
      </c>
      <c r="F56" s="26" t="n">
        <f aca="false">'Plan mensual'!H61</f>
        <v>29.3892270072436</v>
      </c>
      <c r="G56" s="26" t="n">
        <f aca="false">'Plan mensual'!I61</f>
        <v>28.0124774385021</v>
      </c>
      <c r="H56" s="26" t="n">
        <f aca="false">'Plan mensual'!J61</f>
        <v>24.5514622785081</v>
      </c>
      <c r="I56" s="26" t="n">
        <f aca="false">'Plan mensual'!K61</f>
        <v>24.9715812826826</v>
      </c>
      <c r="J56" s="26" t="n">
        <f aca="false">'Plan mensual'!L61</f>
        <v>26.1310044806324</v>
      </c>
      <c r="K56" s="26" t="n">
        <f aca="false">'Plan mensual'!M61</f>
        <v>26.1310044806324</v>
      </c>
      <c r="L56" s="26" t="n">
        <f aca="false">'Plan mensual'!N61</f>
        <v>25.6704224094724</v>
      </c>
      <c r="M56" s="26" t="n">
        <f aca="false">'Plan mensual'!O61</f>
        <v>27.0471719782139</v>
      </c>
      <c r="N56" s="12" t="n">
        <f aca="false">SUM(B56:M56)</f>
        <v>314.64513969566</v>
      </c>
      <c r="O56" s="27" t="n">
        <f aca="false">MAX(B56:M56)</f>
        <v>29.3892270072436</v>
      </c>
      <c r="P56" s="16" t="n">
        <f aca="false">O56/parametros_recargas!$B$6</f>
        <v>0.195928180048291</v>
      </c>
    </row>
    <row r="65" customFormat="false" ht="23.85" hidden="false" customHeight="false" outlineLevel="0" collapsed="false">
      <c r="A65" s="3" t="s">
        <v>394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390</v>
      </c>
      <c r="O65" s="3" t="s">
        <v>391</v>
      </c>
      <c r="P65" s="3" t="s">
        <v>392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1767.05736573336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1543.37927354522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1485.92203438119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1643.46866601405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1657.14496620039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1635.8173110838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1447.75233970642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1461.94510312944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1480.77423385158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1480.77423385158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1690.77602585338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1935.7817731581</v>
      </c>
      <c r="N66" s="12" t="n">
        <f aca="false">SUM(B66:M66)</f>
        <v>19230.5933265085</v>
      </c>
      <c r="O66" s="27" t="n">
        <f aca="false">MAX(B66:M66)</f>
        <v>1935.7817731581</v>
      </c>
      <c r="P66" s="16" t="n">
        <f aca="false">O66/parametros_recargas!$B$6</f>
        <v>12.905211821054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1767.05736573336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1543.37927354522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1485.92203438119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1643.46866601405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1657.14496620039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1635.8173110838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1447.75233970642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1461.94510312944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1480.77423385158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1480.77423385158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1690.77602585338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1935.7817731581</v>
      </c>
      <c r="N67" s="12" t="n">
        <f aca="false">SUM(B67:M67)</f>
        <v>19230.5933265085</v>
      </c>
      <c r="O67" s="27" t="n">
        <f aca="false">MAX(B67:M67)</f>
        <v>1935.7817731581</v>
      </c>
      <c r="P67" s="16" t="n">
        <f aca="false">O67/parametros_recargas!$B$6</f>
        <v>12.905211821054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1348.31587673655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1157.07110791569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1077.31430356732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1182.34281985204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1191.81245999217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1178.72181341791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1053.02879699456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1063.6128425113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1075.04598535927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1075.04598535927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1256.82111404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1461.15652943512</v>
      </c>
      <c r="N68" s="12" t="n">
        <f aca="false">SUM(B68:M68)</f>
        <v>14120.2896351812</v>
      </c>
      <c r="O68" s="27" t="n">
        <f aca="false">MAX(B68:M68)</f>
        <v>1461.15652943512</v>
      </c>
      <c r="P68" s="16" t="n">
        <f aca="false">O68/parametros_recargas!$B$6</f>
        <v>9.74104352956746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154.027906377284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132.778487619411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123.916620469591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135.586455612338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136.638637850131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135.184121564102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121.218230850396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122.394235907811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123.664585113141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123.664585113141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143.861821633223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166.565756677125</v>
      </c>
      <c r="N69" s="12" t="n">
        <f aca="false">SUM(B69:M69)</f>
        <v>1619.5014447877</v>
      </c>
      <c r="O69" s="27" t="n">
        <f aca="false">MAX(B69:M69)</f>
        <v>166.565756677125</v>
      </c>
      <c r="P69" s="16" t="n">
        <f aca="false">O69/parametros_recargas!$B$6</f>
        <v>1.1104383778475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73.4417553420133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73.4417553420133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82.8276965619847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91.5472309677292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92.5830135130307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90.8077511388068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79.4950317866235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80.6823300899131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82.3669307312676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82.3669307312676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81.3311481859661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83.10641056019</v>
      </c>
      <c r="N70" s="12" t="n">
        <f aca="false">SUM(B70:M70)</f>
        <v>993.997984950806</v>
      </c>
      <c r="O70" s="27" t="n">
        <f aca="false">MAX(B70:M70)</f>
        <v>92.5830135130307</v>
      </c>
      <c r="P70" s="16" t="n">
        <f aca="false">O70/parametros_recargas!$B$6</f>
        <v>0.617220090086872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61.9578855959023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61.9578855959023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77.9958818245237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93.4721132662731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94.3877934282388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92.1813658458809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74.5107122737111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74.8526221968673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76.7774526306537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76.7774526306537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75.861772468688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78.0682000510459</v>
      </c>
      <c r="N71" s="12" t="n">
        <f aca="false">SUM(B71:M71)</f>
        <v>938.801137808341</v>
      </c>
      <c r="O71" s="27" t="n">
        <f aca="false">MAX(B71:M71)</f>
        <v>94.3877934282388</v>
      </c>
      <c r="P71" s="16" t="n">
        <f aca="false">O71/parametros_recargas!$B$6</f>
        <v>0.629251956188259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2.14801024456838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2.14801024456838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1.96993306003648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1.96993306003648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1.96993306003648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1.79185587550459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1.79185587550459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1.79185587550459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1.96993306003648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1.96993306003648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1.96993306003648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2.14801024456838</v>
      </c>
      <c r="N72" s="12" t="n">
        <f aca="false">SUM(B72:M72)</f>
        <v>23.6391967204378</v>
      </c>
      <c r="O72" s="27" t="n">
        <f aca="false">MAX(B72:M72)</f>
        <v>2.14801024456838</v>
      </c>
      <c r="P72" s="16" t="n">
        <f aca="false">O72/parametros_recargas!$B$6</f>
        <v>0.0143200682971225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1581.41450854088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1357.73641635274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1264.45360424937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1387.29397417303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1398.3695766761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1383.05887892843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1236.04950299469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1248.42850359906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1261.80060049727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1261.80060049727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1474.40309018234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1713.39188011815</v>
      </c>
      <c r="N73" s="12" t="n">
        <f aca="false">SUM(B73:M73)</f>
        <v>16568.2011368094</v>
      </c>
      <c r="O73" s="27" t="n">
        <f aca="false">MAX(B73:M73)</f>
        <v>1713.39188011815</v>
      </c>
      <c r="P73" s="16" t="n">
        <f aca="false">O73/parametros_recargas!$B$6</f>
        <v>11.422612534121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110.114693384541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110.114693384541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127.752882356952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144.589680958157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146.133098454412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142.994483580729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122.342117003922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123.76109723089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126.66493165896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126.66493165896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125.121514162705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128.260129036387</v>
      </c>
      <c r="N74" s="12" t="n">
        <f aca="false">SUM(B74:M74)</f>
        <v>1534.51425287115</v>
      </c>
      <c r="O74" s="27" t="n">
        <f aca="false">MAX(B74:M74)</f>
        <v>146.133098454412</v>
      </c>
      <c r="P74" s="16" t="n">
        <f aca="false">O74/parametros_recargas!$B$6</f>
        <v>0.974220656362744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16.4112781467213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14.0835067769877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13.1127319586841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14.3911061318474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14.5063676228454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14.3470323767378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12.8171363863289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12.9459620701984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13.0851227005867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13.0851227005867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15.2976325793222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17.7847391951634</v>
      </c>
      <c r="N75" s="12" t="n">
        <f aca="false">SUM(B75:M75)</f>
        <v>171.86773864601</v>
      </c>
      <c r="O75" s="27" t="n">
        <f aca="false">MAX(B75:M75)</f>
        <v>17.7847391951634</v>
      </c>
      <c r="P75" s="16" t="n">
        <f aca="false">O75/parametros_recargas!$B$6</f>
        <v>0.118564927967756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464.956474699238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409.036951652203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397.636623299082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439.776818388059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443.522982659476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437.630459709521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387.041779175013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390.96490633707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396.204168167505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396.204168167505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448.377526943123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510.189572940112</v>
      </c>
      <c r="N76" s="12" t="n">
        <f aca="false">SUM(B76:M76)</f>
        <v>5121.54243213791</v>
      </c>
      <c r="O76" s="27" t="n">
        <f aca="false">MAX(B76:M76)</f>
        <v>510.189572940112</v>
      </c>
      <c r="P76" s="16" t="n">
        <f aca="false">O76/parametros_recargas!$B$6</f>
        <v>3.40126381960075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438.251708797166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380.095404828249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362.328282384638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400.648729674788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403.905986392377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398.88813994476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353.378834749546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356.738368689427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361.136056380691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361.136056380691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416.035103632018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479.209254048552</v>
      </c>
      <c r="N77" s="12" t="n">
        <f aca="false">SUM(B77:M77)</f>
        <v>4711.7519259029</v>
      </c>
      <c r="O77" s="27" t="n">
        <f aca="false">MAX(B77:M77)</f>
        <v>479.209254048552</v>
      </c>
      <c r="P77" s="16" t="n">
        <f aca="false">O77/parametros_recargas!$B$6</f>
        <v>3.19472836032368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438.251708797166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380.095404828249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362.328282384638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400.648729674788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403.905986392377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398.88813994476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353.378834749546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356.738368689427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361.136056380691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361.136056380691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416.035103632018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479.209254048552</v>
      </c>
      <c r="N78" s="12" t="n">
        <f aca="false">SUM(B78:M78)</f>
        <v>4711.7519259029</v>
      </c>
      <c r="O78" s="27" t="n">
        <f aca="false">MAX(B78:M78)</f>
        <v>479.209254048552</v>
      </c>
      <c r="P78" s="16" t="n">
        <f aca="false">O78/parametros_recargas!$B$6</f>
        <v>3.19472836032368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265.058604860004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231.506891031783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222.888305157179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246.520299902107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248.571744930059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245.372596662571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217.162850955963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219.291765469416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222.116135077736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222.116135077736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253.616403878006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290.367265973716</v>
      </c>
      <c r="N79" s="12" t="n">
        <f aca="false">SUM(B79:M79)</f>
        <v>2884.58899897628</v>
      </c>
      <c r="O79" s="27" t="n">
        <f aca="false">MAX(B79:M79)</f>
        <v>290.367265973716</v>
      </c>
      <c r="P79" s="16" t="n">
        <f aca="false">O79/parametros_recargas!$B$6</f>
        <v>1.9357817731581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1584.63124286577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1360.95315067763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1267.67033857426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1390.51070849792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1401.58631100099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1386.27561325332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1239.26623731958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1251.64523792395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1265.01733482216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1265.01733482216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1477.61982450722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1716.60861444304</v>
      </c>
      <c r="N80" s="12" t="n">
        <f aca="false">SUM(B80:M80)</f>
        <v>16606.801948708</v>
      </c>
      <c r="O80" s="27" t="n">
        <f aca="false">MAX(B80:M80)</f>
        <v>1716.60861444304</v>
      </c>
      <c r="P80" s="16" t="n">
        <f aca="false">O80/parametros_recargas!$B$6</f>
        <v>11.4440574296203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1581.41450854088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1357.73641635274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1264.45360424937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1387.29397417303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1398.3695766761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1383.05887892843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1236.04950299469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1248.42850359906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1261.80060049727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1261.80060049727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1474.40309018234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1713.39188011815</v>
      </c>
      <c r="N81" s="12" t="n">
        <f aca="false">SUM(B81:M81)</f>
        <v>16568.2011368094</v>
      </c>
      <c r="O81" s="27" t="n">
        <f aca="false">MAX(B81:M81)</f>
        <v>1713.39188011815</v>
      </c>
      <c r="P81" s="16" t="n">
        <f aca="false">O81/parametros_recargas!$B$6</f>
        <v>11.422612534121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1581.41450854088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1357.73641635274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1264.45360424937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1387.29397417303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1398.3695766761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1383.05887892843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1236.04950299469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1248.42850359906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1261.80060049727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1261.80060049727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1474.40309018234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1713.39188011815</v>
      </c>
      <c r="N82" s="12" t="n">
        <f aca="false">SUM(B82:M82)</f>
        <v>16568.2011368094</v>
      </c>
      <c r="O82" s="27" t="n">
        <f aca="false">MAX(B82:M82)</f>
        <v>1713.39188011815</v>
      </c>
      <c r="P82" s="16" t="n">
        <f aca="false">O82/parametros_recargas!$B$6</f>
        <v>11.422612534121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110.114693384541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110.114693384541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127.752882356952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144.589680958157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146.133098454412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142.994483580729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122.342117003922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123.76109723089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126.66493165896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126.66493165896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125.121514162705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128.260129036387</v>
      </c>
      <c r="N83" s="12" t="n">
        <f aca="false">SUM(B83:M83)</f>
        <v>1534.51425287115</v>
      </c>
      <c r="O83" s="27" t="n">
        <f aca="false">MAX(B83:M83)</f>
        <v>146.133098454412</v>
      </c>
      <c r="P83" s="16" t="n">
        <f aca="false">O83/parametros_recargas!$B$6</f>
        <v>0.974220656362744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70.418235098995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70.418235098995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87.2828977274805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103.87597061348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104.857730787134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102.161361700755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83.2155063244079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83.5820901595445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85.9765406536405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85.9765406536405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84.9947804799866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87.6911495663655</v>
      </c>
      <c r="N84" s="12" t="n">
        <f aca="false">SUM(B84:M84)</f>
        <v>1050.45103886442</v>
      </c>
      <c r="O84" s="27" t="n">
        <f aca="false">MAX(B84:M84)</f>
        <v>104.857730787134</v>
      </c>
      <c r="P84" s="16" t="n">
        <f aca="false">O84/parametros_recargas!$B$6</f>
        <v>0.699051538580892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1767.05736573336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1543.37927354522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1485.92203438119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1643.46866601405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1657.14496620039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1635.8173110838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1447.75233970642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1461.94510312944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1480.77423385158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1480.77423385158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1690.77602585338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1935.7817731581</v>
      </c>
      <c r="N85" s="12" t="n">
        <f aca="false">SUM(B85:M85)</f>
        <v>19230.5933265085</v>
      </c>
      <c r="O85" s="27" t="n">
        <f aca="false">MAX(B85:M85)</f>
        <v>1935.7817731581</v>
      </c>
      <c r="P85" s="16" t="n">
        <f aca="false">O85/parametros_recargas!$B$6</f>
        <v>12.905211821054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1767.05736573336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1543.37927354522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1485.92203438119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1643.46866601405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1657.14496620039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1635.8173110838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1447.75233970642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1461.94510312944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1480.77423385158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1480.77423385158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1690.77602585338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1935.7817731581</v>
      </c>
      <c r="N86" s="12" t="n">
        <f aca="false">SUM(B86:M86)</f>
        <v>19230.5933265085</v>
      </c>
      <c r="O86" s="27" t="n">
        <f aca="false">MAX(B86:M86)</f>
        <v>1935.7817731581</v>
      </c>
      <c r="P86" s="16" t="n">
        <f aca="false">O86/parametros_recargas!$B$6</f>
        <v>12.905211821054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139.661279689022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121.767032313971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116.729546068034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128.90781319133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129.976743868451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128.331189262075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113.771782715381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114.897804203706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116.351218360892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116.351218360892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133.176535058822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152.716337040248</v>
      </c>
      <c r="N87" s="12" t="n">
        <f aca="false">SUM(B87:M87)</f>
        <v>1512.63850013282</v>
      </c>
      <c r="O87" s="27" t="n">
        <f aca="false">MAX(B87:M87)</f>
        <v>152.716337040248</v>
      </c>
      <c r="P87" s="16" t="n">
        <f aca="false">O87/parametros_recargas!$B$6</f>
        <v>1.01810891360166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26" t="n">
        <f aca="false">'Plan mensual'!D93</f>
        <v>50.6944393588877</v>
      </c>
      <c r="C88" s="26" t="n">
        <f aca="false">'Plan mensual'!E93</f>
        <v>50.6944393588877</v>
      </c>
      <c r="D88" s="26" t="n">
        <f aca="false">'Plan mensual'!F93</f>
        <v>55.2669725608277</v>
      </c>
      <c r="E88" s="26" t="n">
        <f aca="false">'Plan mensual'!G93</f>
        <v>61.5247758292243</v>
      </c>
      <c r="F88" s="26" t="n">
        <f aca="false">'Plan mensual'!H93</f>
        <v>62.5116915316362</v>
      </c>
      <c r="G88" s="26" t="n">
        <f aca="false">'Plan mensual'!I93</f>
        <v>59.5534415260779</v>
      </c>
      <c r="H88" s="26" t="n">
        <f aca="false">'Plan mensual'!J93</f>
        <v>52.10775501846</v>
      </c>
      <c r="I88" s="26" t="n">
        <f aca="false">'Plan mensual'!K93</f>
        <v>53.0095740209914</v>
      </c>
      <c r="J88" s="26" t="n">
        <f aca="false">'Plan mensual'!L93</f>
        <v>55.503333884576</v>
      </c>
      <c r="K88" s="26" t="n">
        <f aca="false">'Plan mensual'!M93</f>
        <v>55.503333884576</v>
      </c>
      <c r="L88" s="26" t="n">
        <f aca="false">'Plan mensual'!N93</f>
        <v>54.5164181821642</v>
      </c>
      <c r="M88" s="26" t="n">
        <f aca="false">'Plan mensual'!O93</f>
        <v>57.4746681877225</v>
      </c>
      <c r="N88" s="12" t="n">
        <f aca="false">SUM(B88:M88)</f>
        <v>668.360843344032</v>
      </c>
      <c r="O88" s="27" t="n">
        <f aca="false">MAX(B88:M88)</f>
        <v>62.5116915316362</v>
      </c>
      <c r="P88" s="16" t="n">
        <f aca="false">O88/parametros_recargas!$B$6</f>
        <v>0.416744610210908</v>
      </c>
    </row>
    <row r="97" customFormat="false" ht="23.85" hidden="false" customHeight="false" outlineLevel="0" collapsed="false">
      <c r="A97" s="3" t="s">
        <v>395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390</v>
      </c>
      <c r="O97" s="3" t="s">
        <v>391</v>
      </c>
      <c r="P97" s="3" t="s">
        <v>392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3259.43270190872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2848.52164726117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2749.94904636012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3045.74956826662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3071.04510892311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3031.59964414756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2679.10956216456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2705.111266282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2739.93400644955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2739.93400644955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3125.5495204406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3575.9060398637</v>
      </c>
      <c r="N98" s="12" t="n">
        <f aca="false">SUM(B98:M98)</f>
        <v>35571.8421185172</v>
      </c>
      <c r="O98" s="27" t="n">
        <f aca="false">MAX(B98:M98)</f>
        <v>3575.9060398637</v>
      </c>
      <c r="P98" s="16" t="n">
        <f aca="false">O98/parametros_recargas!$B$6</f>
        <v>23.8393735990913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3259.43270190872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2848.52164726117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2749.94904636012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3045.74956826662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3071.04510892311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3031.59964414756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2679.10956216456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2705.111266282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2739.93400644955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2739.93400644955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3125.5495204406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3575.9060398637</v>
      </c>
      <c r="N99" s="12" t="n">
        <f aca="false">SUM(B99:M99)</f>
        <v>35571.8421185172</v>
      </c>
      <c r="O99" s="27" t="n">
        <f aca="false">MAX(B99:M99)</f>
        <v>3575.9060398637</v>
      </c>
      <c r="P99" s="16" t="n">
        <f aca="false">O99/parametros_recargas!$B$6</f>
        <v>23.8393735990913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2489.09079243897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2137.76184071532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1995.57996951719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2192.53244573128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2210.06480139196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2185.80709769694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1950.50803348595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1969.93466913708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1991.10332308342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1991.10332308342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2324.89991914639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2700.48657456506</v>
      </c>
      <c r="N100" s="12" t="n">
        <f aca="false">SUM(B100:M100)</f>
        <v>26138.872789993</v>
      </c>
      <c r="O100" s="27" t="n">
        <f aca="false">MAX(B100:M100)</f>
        <v>2700.48657456506</v>
      </c>
      <c r="P100" s="16" t="n">
        <f aca="false">O100/parametros_recargas!$B$6</f>
        <v>18.0032438304337</v>
      </c>
    </row>
    <row r="101" customFormat="false" ht="15" hidden="false" customHeight="false" outlineLevel="0" collapsed="false">
      <c r="A101" s="6" t="str">
        <f aca="false">parametros_recargas!$B$79</f>
        <v>Descarga a descarte (ABC, 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283.747161786691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244.710611595175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228.912625906494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250.796234374726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252.744273892579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250.048973482022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223.904633014134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226.063148086481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228.415220747186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228.415220747186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265.50373142085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307.235582022924</v>
      </c>
      <c r="N101" s="12" t="n">
        <f aca="false">SUM(B101:M101)</f>
        <v>2990.49741707645</v>
      </c>
      <c r="O101" s="27" t="n">
        <f aca="false">MAX(B101:M101)</f>
        <v>307.235582022924</v>
      </c>
      <c r="P101" s="16" t="n">
        <f aca="false">O101/parametros_recargas!$B$6</f>
        <v>2.04823721348616</v>
      </c>
    </row>
    <row r="102" customFormat="false" ht="15" hidden="false" customHeight="false" outlineLevel="0" collapsed="false">
      <c r="A102" s="6" t="str">
        <f aca="false">parametros_recargas!$B$80</f>
        <v>Descarga y carga de agua / AFFF / sales K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131.15582665221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131.15582665221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148.598893410572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164.844093354366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166.749082194598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163.442779468691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142.428241551907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144.598398824654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147.734586521763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147.734586521763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145.829597681531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149.135900407439</v>
      </c>
      <c r="N102" s="12" t="n">
        <f aca="false">SUM(B102:M102)</f>
        <v>1783.4078132417</v>
      </c>
      <c r="O102" s="27" t="n">
        <f aca="false">MAX(B102:M102)</f>
        <v>166.749082194598</v>
      </c>
      <c r="P102" s="16" t="n">
        <f aca="false">O102/parametros_recargas!$B$6</f>
        <v>1.11166054796399</v>
      </c>
    </row>
    <row r="103" customFormat="false" ht="15" hidden="false" customHeight="false" outlineLevel="0" collapsed="false">
      <c r="A103" s="6" t="str">
        <f aca="false">parametros_recargas!$B$81</f>
        <v>Recuperación y carga de CO₂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116.352865373527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116.352865373527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146.813303117956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176.123391834736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177.811561714178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173.743379157023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140.299032953376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140.902928734881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144.467479729687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144.467479729687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142.779309850245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146.847492407399</v>
      </c>
      <c r="N103" s="12" t="n">
        <f aca="false">SUM(B103:M103)</f>
        <v>1766.96108997622</v>
      </c>
      <c r="O103" s="27" t="n">
        <f aca="false">MAX(B103:M103)</f>
        <v>177.811561714178</v>
      </c>
      <c r="P103" s="16" t="n">
        <f aca="false">O103/parametros_recargas!$B$6</f>
        <v>1.18541041142785</v>
      </c>
    </row>
    <row r="104" customFormat="false" ht="15" hidden="false" customHeight="false" outlineLevel="0" collapsed="false">
      <c r="A104" s="6" t="str">
        <f aca="false">parametros_recargas!$B$82</f>
        <v>Recuperación y carga de halogenado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3.73621182458591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3.73621182458591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3.42710630419574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3.42710630419574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3.42710630419574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3.11800078380557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3.11800078380557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3.11800078380557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3.42710630419574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3.42710630419574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3.42710630419574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3.73621182458591</v>
      </c>
      <c r="N104" s="12" t="n">
        <f aca="false">SUM(B104:M104)</f>
        <v>41.1252756503489</v>
      </c>
      <c r="O104" s="27" t="n">
        <f aca="false">MAX(B104:M104)</f>
        <v>3.73621182458591</v>
      </c>
      <c r="P104" s="16" t="n">
        <f aca="false">O104/parametros_recargas!$B$6</f>
        <v>0.0249080788305727</v>
      </c>
    </row>
    <row r="105" customFormat="false" ht="15" hidden="false" customHeight="false" outlineLevel="0" collapsed="false">
      <c r="A105" s="6" t="str">
        <f aca="false">parametros_recargas!$B$83</f>
        <v>Desarme y limpieza — recinto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2918.77679392175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2507.8657392742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2341.57115307756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2571.92492642737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2592.43060556267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2564.05902229364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2288.85543842114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2311.57664970901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2336.33530929538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2336.33530929538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2726.74068480762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3166.0233227242</v>
      </c>
      <c r="N105" s="12" t="n">
        <f aca="false">SUM(B105:M105)</f>
        <v>30662.4949548099</v>
      </c>
      <c r="O105" s="27" t="n">
        <f aca="false">MAX(B105:M105)</f>
        <v>3166.0233227242</v>
      </c>
      <c r="P105" s="16" t="n">
        <f aca="false">O105/parametros_recargas!$B$6</f>
        <v>21.1068221514946</v>
      </c>
    </row>
    <row r="106" customFormat="false" ht="15" hidden="false" customHeight="false" outlineLevel="0" collapsed="false">
      <c r="A106" s="6" t="str">
        <f aca="false">parametros_recargas!$B$84</f>
        <v>Desarme e inspección interior — zona general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199.371652370405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199.371652370405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232.496876060075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264.101047954087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266.941682397984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261.139136953347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222.468791160463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225.052002262937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230.426259514014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230.426259514014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227.585625070117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233.388170514754</v>
      </c>
      <c r="N106" s="12" t="n">
        <f aca="false">SUM(B106:M106)</f>
        <v>2792.7691561426</v>
      </c>
      <c r="O106" s="27" t="n">
        <f aca="false">MAX(B106:M106)</f>
        <v>266.941682397984</v>
      </c>
      <c r="P106" s="16" t="n">
        <f aca="false">O106/parametros_recargas!$B$6</f>
        <v>1.77961121598656</v>
      </c>
    </row>
    <row r="107" customFormat="false" ht="15" hidden="false" customHeight="false" outlineLevel="0" collapsed="false">
      <c r="A107" s="6" t="str">
        <f aca="false">parametros_recargas!$B$85</f>
        <v>Laboratorio — Puffer y mufla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30.2964327810405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26.0201669243422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24.2895737629671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26.6868175576913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26.9002158942971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26.6049587298533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23.7409722879105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23.9774272066921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24.2350854260301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24.2350854260301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28.2979529461227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32.8694759672648</v>
      </c>
      <c r="N107" s="12" t="n">
        <f aca="false">SUM(B107:M107)</f>
        <v>318.154164910242</v>
      </c>
      <c r="O107" s="27" t="n">
        <f aca="false">MAX(B107:M107)</f>
        <v>32.8694759672648</v>
      </c>
      <c r="P107" s="16" t="n">
        <f aca="false">O107/parametros_recargas!$B$6</f>
        <v>0.219129839781766</v>
      </c>
    </row>
    <row r="108" customFormat="false" ht="15" hidden="false" customHeight="false" outlineLevel="0" collapsed="false">
      <c r="A108" s="6" t="str">
        <f aca="false">parametros_recargas!$B$86</f>
        <v>Prueba hidráulica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856.275804946298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753.548041284411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734.413227930212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813.493421546981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820.418882134335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809.513420342792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714.754729978583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721.940468830916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731.636528935048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731.636528935048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827.438832009581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941.07205746301</v>
      </c>
      <c r="N108" s="12" t="n">
        <f aca="false">SUM(B108:M108)</f>
        <v>9456.14194433722</v>
      </c>
      <c r="O108" s="27" t="n">
        <f aca="false">MAX(B108:M108)</f>
        <v>941.07205746301</v>
      </c>
      <c r="P108" s="16" t="n">
        <f aca="false">O108/parametros_recargas!$B$6</f>
        <v>6.27381371642007</v>
      </c>
    </row>
    <row r="109" customFormat="false" ht="15" hidden="false" customHeight="false" outlineLevel="0" collapsed="false">
      <c r="A109" s="6" t="str">
        <f aca="false">parametros_recargas!$B$87</f>
        <v>Secado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809.531252192131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702.694377983769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671.798001170656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743.77661676399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749.804245866773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740.529243504907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655.18482872748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661.341372850576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669.469331936455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669.469331936455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770.278577042034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886.390453612261</v>
      </c>
      <c r="N109" s="12" t="n">
        <f aca="false">SUM(B109:M109)</f>
        <v>8730.26763358749</v>
      </c>
      <c r="O109" s="27" t="n">
        <f aca="false">MAX(B109:M109)</f>
        <v>886.390453612261</v>
      </c>
      <c r="P109" s="16" t="n">
        <f aca="false">O109/parametros_recargas!$B$6</f>
        <v>5.90926969074841</v>
      </c>
    </row>
    <row r="110" customFormat="false" ht="15" hidden="false" customHeight="false" outlineLevel="0" collapsed="false">
      <c r="A110" s="6" t="str">
        <f aca="false">parametros_recargas!$B$88</f>
        <v>Inspección interior con videoscopio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809.531252192131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702.694377983769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671.798001170656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743.77661676399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749.804245866773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740.529243504907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655.18482872748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661.341372850576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669.469331936455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669.469331936455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770.278577042034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886.390453612261</v>
      </c>
      <c r="N110" s="12" t="n">
        <f aca="false">SUM(B110:M110)</f>
        <v>8730.26763358749</v>
      </c>
      <c r="O110" s="27" t="n">
        <f aca="false">MAX(B110:M110)</f>
        <v>886.390453612261</v>
      </c>
      <c r="P110" s="16" t="n">
        <f aca="false">O110/parametros_recargas!$B$6</f>
        <v>5.90926969074841</v>
      </c>
    </row>
    <row r="111" customFormat="false" ht="15" hidden="false" customHeight="false" outlineLevel="0" collapsed="false">
      <c r="A111" s="6" t="str">
        <f aca="false">parametros_recargas!$B$89</f>
        <v>Pintura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488.914905286307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427.278247089176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412.492356954019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456.862435239993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460.656766338466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454.739946622134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401.866434324683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405.7666899423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410.990100967432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410.990100967432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468.83242806609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536.385905979555</v>
      </c>
      <c r="N111" s="12" t="n">
        <f aca="false">SUM(B111:M111)</f>
        <v>5335.77631777759</v>
      </c>
      <c r="O111" s="27" t="n">
        <f aca="false">MAX(B111:M111)</f>
        <v>536.385905979555</v>
      </c>
      <c r="P111" s="16" t="n">
        <f aca="false">O111/parametros_recargas!$B$6</f>
        <v>3.5759060398637</v>
      </c>
    </row>
    <row r="112" customFormat="false" ht="15" hidden="false" customHeight="false" outlineLevel="0" collapsed="false">
      <c r="A112" s="6" t="str">
        <f aca="false">parametros_recargas!$B$90</f>
        <v>Carga de polvo ABC, BC y Clase D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2924.16981251931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2513.25875787176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2346.96417167512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2577.31794502493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2597.82362416023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2569.45204089121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2294.2484570187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2316.96966830657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2341.72832789294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2341.72832789294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2732.13370340518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3171.41634132176</v>
      </c>
      <c r="N112" s="12" t="n">
        <f aca="false">SUM(B112:M112)</f>
        <v>30727.2111779807</v>
      </c>
      <c r="O112" s="27" t="n">
        <f aca="false">MAX(B112:M112)</f>
        <v>3171.41634132176</v>
      </c>
      <c r="P112" s="16" t="n">
        <f aca="false">O112/parametros_recargas!$B$6</f>
        <v>21.1427756088117</v>
      </c>
    </row>
    <row r="113" customFormat="false" ht="15" hidden="false" customHeight="false" outlineLevel="0" collapsed="false">
      <c r="A113" s="6" t="str">
        <f aca="false">parametros_recargas!$B$91</f>
        <v>Ensamblaje y marbete — recinto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2918.77679392175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2507.8657392742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2341.57115307756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2571.92492642737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2592.43060556267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2564.05902229364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2288.85543842114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2311.57664970901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2336.33530929538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2336.33530929538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2726.74068480762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3166.0233227242</v>
      </c>
      <c r="N113" s="12" t="n">
        <f aca="false">SUM(B113:M113)</f>
        <v>30662.4949548099</v>
      </c>
      <c r="O113" s="27" t="n">
        <f aca="false">MAX(B113:M113)</f>
        <v>3166.0233227242</v>
      </c>
      <c r="P113" s="16" t="n">
        <f aca="false">O113/parametros_recargas!$B$6</f>
        <v>21.1068221514946</v>
      </c>
    </row>
    <row r="114" customFormat="false" ht="15" hidden="false" customHeight="false" outlineLevel="0" collapsed="false">
      <c r="A114" s="6" t="str">
        <f aca="false">parametros_recargas!$B$92</f>
        <v>Presurización — recinto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2918.77679392175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2507.8657392742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2341.57115307756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2571.92492642737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2592.43060556267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2564.05902229364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2288.85543842114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2311.57664970901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2336.33530929538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2336.33530929538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2726.74068480762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3166.0233227242</v>
      </c>
      <c r="N114" s="12" t="n">
        <f aca="false">SUM(B114:M114)</f>
        <v>30662.4949548099</v>
      </c>
      <c r="O114" s="27" t="n">
        <f aca="false">MAX(B114:M114)</f>
        <v>3166.0233227242</v>
      </c>
      <c r="P114" s="16" t="n">
        <f aca="false">O114/parametros_recargas!$B$6</f>
        <v>21.1068221514946</v>
      </c>
    </row>
    <row r="115" customFormat="false" ht="15" hidden="false" customHeight="false" outlineLevel="0" collapsed="false">
      <c r="A115" s="6" t="str">
        <f aca="false">parametros_recargas!$B$93</f>
        <v>Ensamblaje y presurización — zona general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199.371652370405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199.371652370405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232.496876060075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264.101047954087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266.941682397984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261.139136953347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222.468791160463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225.052002262937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230.426259514014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230.426259514014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227.585625070117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233.388170514754</v>
      </c>
      <c r="N115" s="12" t="n">
        <f aca="false">SUM(B115:M115)</f>
        <v>2792.7691561426</v>
      </c>
      <c r="O115" s="27" t="n">
        <f aca="false">MAX(B115:M115)</f>
        <v>266.941682397984</v>
      </c>
      <c r="P115" s="16" t="n">
        <f aca="false">O115/parametros_recargas!$B$6</f>
        <v>1.77961121598656</v>
      </c>
    </row>
    <row r="116" customFormat="false" ht="15" hidden="false" customHeight="false" outlineLevel="0" collapsed="false">
      <c r="A116" s="6" t="str">
        <f aca="false">parametros_recargas!$B$94</f>
        <v>Control de peso (CO₂ y halogenados sin recarga)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131.68814300844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131.68814300844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163.772703563274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195.19795332147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197.007949893244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192.072134042256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156.214278318758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156.861754208207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161.257593951109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161.257593951109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159.447597379336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164.383413230323</v>
      </c>
      <c r="N116" s="12" t="n">
        <f aca="false">SUM(B116:M116)</f>
        <v>1970.84925787596</v>
      </c>
      <c r="O116" s="27" t="n">
        <f aca="false">MAX(B116:M116)</f>
        <v>197.007949893244</v>
      </c>
      <c r="P116" s="16" t="n">
        <f aca="false">O116/parametros_recargas!$B$6</f>
        <v>1.31338633262162</v>
      </c>
    </row>
    <row r="117" customFormat="false" ht="15" hidden="false" customHeight="false" outlineLevel="0" collapsed="false">
      <c r="A117" s="6" t="str">
        <f aca="false">parametros_recargas!$B$95</f>
        <v>Ensayo de pérdidas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3259.43270190872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2848.52164726117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2749.94904636012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3045.74956826662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3071.04510892311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3031.59964414756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2679.10956216456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2705.111266282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2739.93400644955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2739.93400644955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3125.5495204406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3575.9060398637</v>
      </c>
      <c r="N117" s="12" t="n">
        <f aca="false">SUM(B117:M117)</f>
        <v>35571.8421185172</v>
      </c>
      <c r="O117" s="27" t="n">
        <f aca="false">MAX(B117:M117)</f>
        <v>3575.9060398637</v>
      </c>
      <c r="P117" s="16" t="n">
        <f aca="false">O117/parametros_recargas!$B$6</f>
        <v>23.8393735990913</v>
      </c>
    </row>
    <row r="118" customFormat="false" ht="15" hidden="false" customHeight="false" outlineLevel="0" collapsed="false">
      <c r="A118" s="6" t="str">
        <f aca="false">parametros_recargas!$B$96</f>
        <v>Precinto, etiqueta y despacho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3259.43270190872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2848.52164726117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2749.94904636012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3045.74956826662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3071.04510892311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3031.59964414756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2679.10956216456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2705.111266282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2739.93400644955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2739.93400644955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3125.5495204406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3575.9060398637</v>
      </c>
      <c r="N118" s="12" t="n">
        <f aca="false">SUM(B118:M118)</f>
        <v>35571.8421185172</v>
      </c>
      <c r="O118" s="27" t="n">
        <f aca="false">MAX(B118:M118)</f>
        <v>3575.9060398637</v>
      </c>
      <c r="P118" s="16" t="n">
        <f aca="false">O118/parametros_recargas!$B$6</f>
        <v>23.8393735990913</v>
      </c>
    </row>
    <row r="119" customFormat="false" ht="15" hidden="false" customHeight="false" outlineLevel="0" collapsed="false">
      <c r="A119" s="6" t="str">
        <f aca="false">parametros_recargas!$B$97</f>
        <v>Inutilización y disposición final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257.555911949989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224.683027578185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215.959819155739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238.818085273433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240.795318357445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237.751521245701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210.471746885099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212.535281268611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215.223105952948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215.223105952948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246.11875724074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282.035438724288</v>
      </c>
      <c r="N119" s="12" t="n">
        <f aca="false">SUM(B119:M119)</f>
        <v>2797.17111958513</v>
      </c>
      <c r="O119" s="27" t="n">
        <f aca="false">MAX(B119:M119)</f>
        <v>282.035438724288</v>
      </c>
      <c r="P119" s="16" t="n">
        <f aca="false">O119/parametros_recargas!$B$6</f>
        <v>1.88023625816192</v>
      </c>
    </row>
    <row r="120" customFormat="false" ht="15" hidden="false" customHeight="false" outlineLevel="0" collapsed="false">
      <c r="A120" s="6" t="str">
        <f aca="false">parametros_recargas!$B$98</f>
        <v>PH de mangueras (CO₂ y rodantes)</v>
      </c>
      <c r="B120" s="26" t="n">
        <f aca="false">'Plan mensual'!D125</f>
        <v>90.3023990864336</v>
      </c>
      <c r="C120" s="26" t="n">
        <f aca="false">'Plan mensual'!E125</f>
        <v>90.3023990864336</v>
      </c>
      <c r="D120" s="26" t="n">
        <f aca="false">'Plan mensual'!F125</f>
        <v>98.5043708461785</v>
      </c>
      <c r="E120" s="26" t="n">
        <f aca="false">'Plan mensual'!G125</f>
        <v>109.72882513727</v>
      </c>
      <c r="F120" s="26" t="n">
        <f aca="false">'Plan mensual'!H125</f>
        <v>111.495838511433</v>
      </c>
      <c r="G120" s="26" t="n">
        <f aca="false">'Plan mensual'!I125</f>
        <v>106.192983702604</v>
      </c>
      <c r="H120" s="26" t="n">
        <f aca="false">'Plan mensual'!J125</f>
        <v>92.8392881594846</v>
      </c>
      <c r="I120" s="26" t="n">
        <f aca="false">'Plan mensual'!K125</f>
        <v>94.4551705081944</v>
      </c>
      <c r="J120" s="26" t="n">
        <f aca="false">'Plan mensual'!L125</f>
        <v>98.9272928430442</v>
      </c>
      <c r="K120" s="26" t="n">
        <f aca="false">'Plan mensual'!M125</f>
        <v>98.9272928430442</v>
      </c>
      <c r="L120" s="26" t="n">
        <f aca="false">'Plan mensual'!N125</f>
        <v>97.1602794688813</v>
      </c>
      <c r="M120" s="26" t="n">
        <f aca="false">'Plan mensual'!O125</f>
        <v>102.463134277709</v>
      </c>
      <c r="N120" s="12" t="n">
        <f aca="false">SUM(B120:M120)</f>
        <v>1191.29927447071</v>
      </c>
      <c r="O120" s="27" t="n">
        <f aca="false">MAX(B120:M120)</f>
        <v>111.495838511433</v>
      </c>
      <c r="P120" s="16" t="n">
        <f aca="false">O120/parametros_recargas!$B$6</f>
        <v>0.743305590076217</v>
      </c>
    </row>
    <row r="129" customFormat="false" ht="23.85" hidden="false" customHeight="false" outlineLevel="0" collapsed="false">
      <c r="A129" s="3" t="s">
        <v>396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390</v>
      </c>
      <c r="O129" s="3" t="s">
        <v>391</v>
      </c>
      <c r="P129" s="3" t="s">
        <v>392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4822.14599215209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4205.37805630732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4039.07093582365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4465.53109380065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4502.1060444433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4445.26116370781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3936.87410034674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3974.53041825388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4024.69615416952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4024.69615416952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4604.88913937163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5278.50195595189</v>
      </c>
      <c r="N130" s="12" t="n">
        <f aca="false">SUM(B130:M130)</f>
        <v>52323.681208498</v>
      </c>
      <c r="O130" s="27" t="n">
        <f aca="false">MAX(B130:M130)</f>
        <v>5278.50195595189</v>
      </c>
      <c r="P130" s="16" t="n">
        <f aca="false">O130/parametros_recargas!$B$6</f>
        <v>35.1900130396793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4822.14599215209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4205.37805630732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4039.07093582365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4465.53109380065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4502.1060444433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4445.26116370781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3936.87410034674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3974.53041825388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4024.69615416952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4024.69615416952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4604.88913937163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5278.50195595189</v>
      </c>
      <c r="N131" s="12" t="n">
        <f aca="false">SUM(B131:M131)</f>
        <v>52323.681208498</v>
      </c>
      <c r="O131" s="27" t="n">
        <f aca="false">MAX(B131:M131)</f>
        <v>5278.50195595189</v>
      </c>
      <c r="P131" s="16" t="n">
        <f aca="false">O131/parametros_recargas!$B$6</f>
        <v>35.1900130396793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3693.88393246506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3166.54734731778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2940.75659859658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3224.60337801623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3249.96652517119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3215.01651136613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2875.73300535848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2903.88380828995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2934.36755731992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2934.36755731992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3436.34099531224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3998.62759426458</v>
      </c>
      <c r="N132" s="12" t="n">
        <f aca="false">SUM(B132:M132)</f>
        <v>38574.0948107981</v>
      </c>
      <c r="O132" s="27" t="n">
        <f aca="false">MAX(B132:M132)</f>
        <v>3998.62759426458</v>
      </c>
      <c r="P132" s="16" t="n">
        <f aca="false">O132/parametros_recargas!$B$6</f>
        <v>26.6575172950972</v>
      </c>
    </row>
    <row r="133" customFormat="false" ht="15" hidden="false" customHeight="false" outlineLevel="0" collapsed="false">
      <c r="A133" s="6" t="str">
        <f aca="false">parametros_recargas!$B$79</f>
        <v>Descarga a descarte (ABC, 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420.28834664033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361.695392735077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336.607531766055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368.146062812682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370.964190274345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367.080855407116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329.382688072933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332.510555065318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335.89763829087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335.89763829087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391.672464734461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454.148753506943</v>
      </c>
      <c r="N133" s="12" t="n">
        <f aca="false">SUM(B133:M133)</f>
        <v>4404.292117597</v>
      </c>
      <c r="O133" s="27" t="n">
        <f aca="false">MAX(B133:M133)</f>
        <v>454.148753506943</v>
      </c>
      <c r="P133" s="16" t="n">
        <f aca="false">O133/parametros_recargas!$B$6</f>
        <v>3.02765835671295</v>
      </c>
    </row>
    <row r="134" customFormat="false" ht="15" hidden="false" customHeight="false" outlineLevel="0" collapsed="false">
      <c r="A134" s="6" t="str">
        <f aca="false">parametros_recargas!$B$80</f>
        <v>Descarga y carga de agua / AFFF / sales K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188.334636351328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188.334636351328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213.503645463355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236.943745854653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239.692733852986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234.922076134593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204.599598071831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207.731397302506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212.2566112481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212.2566112481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209.507623249768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214.27828096816</v>
      </c>
      <c r="N134" s="12" t="n">
        <f aca="false">SUM(B134:M134)</f>
        <v>2562.36159609671</v>
      </c>
      <c r="O134" s="27" t="n">
        <f aca="false">MAX(B134:M134)</f>
        <v>239.692733852986</v>
      </c>
      <c r="P134" s="16" t="n">
        <f aca="false">O134/parametros_recargas!$B$6</f>
        <v>1.5979515590199</v>
      </c>
    </row>
    <row r="135" customFormat="false" ht="15" hidden="false" customHeight="false" outlineLevel="0" collapsed="false">
      <c r="A135" s="6" t="str">
        <f aca="false">parametros_recargas!$B$81</f>
        <v>Recuperación y carga de CO₂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168.462109844438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168.462109844438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212.444408906905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254.76176880425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257.19694135734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251.328600660636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203.043303275916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203.913133454555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209.055743514673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209.055743514673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206.620570961583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212.488911658286</v>
      </c>
      <c r="N135" s="12" t="n">
        <f aca="false">SUM(B135:M135)</f>
        <v>2556.83334579769</v>
      </c>
      <c r="O135" s="27" t="n">
        <f aca="false">MAX(B135:M135)</f>
        <v>257.19694135734</v>
      </c>
      <c r="P135" s="16" t="n">
        <f aca="false">O135/parametros_recargas!$B$6</f>
        <v>1.7146462757156</v>
      </c>
    </row>
    <row r="136" customFormat="false" ht="15" hidden="false" customHeight="false" outlineLevel="0" collapsed="false">
      <c r="A136" s="6" t="str">
        <f aca="false">parametros_recargas!$B$82</f>
        <v>Recuperación y carga de halogenado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5.36049471953867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5.36049471953867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4.9173284266135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4.9173284266135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4.9173284266135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4.47416213368833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4.47416213368833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4.47416213368833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4.9173284266135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4.9173284266135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4.9173284266135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5.36049471953867</v>
      </c>
      <c r="N136" s="12" t="n">
        <f aca="false">SUM(B136:M136)</f>
        <v>59.007941119362</v>
      </c>
      <c r="O136" s="27" t="n">
        <f aca="false">MAX(B136:M136)</f>
        <v>5.36049471953867</v>
      </c>
      <c r="P136" s="16" t="n">
        <f aca="false">O136/parametros_recargas!$B$6</f>
        <v>0.0357366314635911</v>
      </c>
    </row>
    <row r="137" customFormat="false" ht="15" hidden="false" customHeight="false" outlineLevel="0" collapsed="false">
      <c r="A137" s="6" t="str">
        <f aca="false">parametros_recargas!$B$83</f>
        <v>Desarme y limpieza — recinto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4330.7076622162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3713.93972637143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3449.85697932909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3781.84151666201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3811.50601625846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3770.62880712973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3373.8059930857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3406.73090879502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3442.38441643241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3442.38441643241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4029.48785268073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4687.13299765423</v>
      </c>
      <c r="N137" s="12" t="n">
        <f aca="false">SUM(B137:M137)</f>
        <v>45240.4072930474</v>
      </c>
      <c r="O137" s="27" t="n">
        <f aca="false">MAX(B137:M137)</f>
        <v>4687.13299765423</v>
      </c>
      <c r="P137" s="16" t="n">
        <f aca="false">O137/parametros_recargas!$B$6</f>
        <v>31.2475533176949</v>
      </c>
    </row>
    <row r="138" customFormat="false" ht="15" hidden="false" customHeight="false" outlineLevel="0" collapsed="false">
      <c r="A138" s="6" t="str">
        <f aca="false">parametros_recargas!$B$84</f>
        <v>Desarme e inspección interior — zona general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286.970173883784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286.970173883784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334.785138042461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380.39947715559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384.498182573486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376.129350144329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320.317196776655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324.044258974391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331.795605098722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331.795605098722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327.696899680826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336.065732109983</v>
      </c>
      <c r="N138" s="12" t="n">
        <f aca="false">SUM(B138:M138)</f>
        <v>4021.46779342273</v>
      </c>
      <c r="O138" s="27" t="n">
        <f aca="false">MAX(B138:M138)</f>
        <v>384.498182573486</v>
      </c>
      <c r="P138" s="16" t="n">
        <f aca="false">O138/parametros_recargas!$B$6</f>
        <v>2.56332121715657</v>
      </c>
    </row>
    <row r="139" customFormat="false" ht="15" hidden="false" customHeight="false" outlineLevel="0" collapsed="false">
      <c r="A139" s="6" t="str">
        <f aca="false">parametros_recargas!$B$85</f>
        <v>Laboratorio — Puffer y mufla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44.9607971717398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38.5422215804319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35.7939673737182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39.2488613851881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39.5575736608632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39.1321730498618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35.002520582101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35.3451633299414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35.7162019663005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35.7162019663005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41.8260652819332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48.6700414842425</v>
      </c>
      <c r="N139" s="12" t="n">
        <f aca="false">SUM(B139:M139)</f>
        <v>469.511788832622</v>
      </c>
      <c r="O139" s="27" t="n">
        <f aca="false">MAX(B139:M139)</f>
        <v>48.6700414842425</v>
      </c>
      <c r="P139" s="16" t="n">
        <f aca="false">O139/parametros_recargas!$B$6</f>
        <v>0.324466943228283</v>
      </c>
    </row>
    <row r="140" customFormat="false" ht="15" hidden="false" customHeight="false" outlineLevel="0" collapsed="false">
      <c r="A140" s="6" t="str">
        <f aca="false">parametros_recargas!$B$86</f>
        <v>Prueba hidráulica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1265.01059372791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1110.81860976672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1077.18993778644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1191.20711424637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1201.21895338019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1185.5012097063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1048.82892447779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1059.23199318531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1073.20244209441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1073.20244209441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1217.38258692178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1387.29231455687</v>
      </c>
      <c r="N140" s="12" t="n">
        <f aca="false">SUM(B140:M140)</f>
        <v>13890.0871219445</v>
      </c>
      <c r="O140" s="27" t="n">
        <f aca="false">MAX(B140:M140)</f>
        <v>1387.29231455687</v>
      </c>
      <c r="P140" s="16" t="n">
        <f aca="false">O140/parametros_recargas!$B$6</f>
        <v>9.2486154303791</v>
      </c>
    </row>
    <row r="141" customFormat="false" ht="15" hidden="false" customHeight="false" outlineLevel="0" collapsed="false">
      <c r="A141" s="6" t="str">
        <f aca="false">parametros_recargas!$B$87</f>
        <v>Secado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1199.28182825194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1038.9221649323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988.081133890425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1091.84757128661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1100.56453604894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1087.19998001546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964.114585524955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973.03375646655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984.740879746677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984.740879746677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1136.38357830399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1310.1077976571</v>
      </c>
      <c r="N141" s="12" t="n">
        <f aca="false">SUM(B141:M141)</f>
        <v>12859.0186918716</v>
      </c>
      <c r="O141" s="27" t="n">
        <f aca="false">MAX(B141:M141)</f>
        <v>1310.1077976571</v>
      </c>
      <c r="P141" s="16" t="n">
        <f aca="false">O141/parametros_recargas!$B$6</f>
        <v>8.7340519843807</v>
      </c>
    </row>
    <row r="142" customFormat="false" ht="15" hidden="false" customHeight="false" outlineLevel="0" collapsed="false">
      <c r="A142" s="6" t="str">
        <f aca="false">parametros_recargas!$B$88</f>
        <v>Inspección interior con videoscopio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1199.28182825194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1038.9221649323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988.081133890425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1091.84757128661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1100.56453604894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1087.19998001546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964.114585524955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973.03375646655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984.740879746677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984.740879746677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1136.38357830399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1310.1077976571</v>
      </c>
      <c r="N142" s="12" t="n">
        <f aca="false">SUM(B142:M142)</f>
        <v>12859.0186918716</v>
      </c>
      <c r="O142" s="27" t="n">
        <f aca="false">MAX(B142:M142)</f>
        <v>1310.1077976571</v>
      </c>
      <c r="P142" s="16" t="n">
        <f aca="false">O142/parametros_recargas!$B$6</f>
        <v>8.7340519843807</v>
      </c>
    </row>
    <row r="143" customFormat="false" ht="15" hidden="false" customHeight="false" outlineLevel="0" collapsed="false">
      <c r="A143" s="6" t="str">
        <f aca="false">parametros_recargas!$B$89</f>
        <v>Pintura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723.321898822813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630.806708446097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605.860640373547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669.829664070098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675.315906666496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666.789174556172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590.531115052011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596.179562738082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603.704423125428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603.704423125428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690.733370905745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791.775293392784</v>
      </c>
      <c r="N143" s="12" t="n">
        <f aca="false">SUM(B143:M143)</f>
        <v>7848.5521812747</v>
      </c>
      <c r="O143" s="27" t="n">
        <f aca="false">MAX(B143:M143)</f>
        <v>791.775293392784</v>
      </c>
      <c r="P143" s="16" t="n">
        <f aca="false">O143/parametros_recargas!$B$6</f>
        <v>5.27850195595189</v>
      </c>
    </row>
    <row r="144" customFormat="false" ht="15" hidden="false" customHeight="false" outlineLevel="0" collapsed="false">
      <c r="A144" s="6" t="str">
        <f aca="false">parametros_recargas!$B$90</f>
        <v>Carga de polvo ABC, BC y Clase D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4338.11621538675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3721.34827954199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3457.26553249964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3789.25006983257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3818.91456942901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3778.03736030028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3381.21454625625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3414.13946196558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3449.79296960297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3449.79296960297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4036.89640585129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4694.54155082478</v>
      </c>
      <c r="N144" s="12" t="n">
        <f aca="false">SUM(B144:M144)</f>
        <v>45329.3099310941</v>
      </c>
      <c r="O144" s="27" t="n">
        <f aca="false">MAX(B144:M144)</f>
        <v>4694.54155082478</v>
      </c>
      <c r="P144" s="16" t="n">
        <f aca="false">O144/parametros_recargas!$B$6</f>
        <v>31.2969436721652</v>
      </c>
    </row>
    <row r="145" customFormat="false" ht="15" hidden="false" customHeight="false" outlineLevel="0" collapsed="false">
      <c r="A145" s="6" t="str">
        <f aca="false">parametros_recargas!$B$91</f>
        <v>Ensamblaje y marbete — recinto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4330.7076622162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3713.93972637143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3449.85697932909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3781.84151666201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3811.50601625846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3770.62880712973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3373.8059930857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3406.73090879502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3442.38441643241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3442.38441643241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4029.48785268073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4687.13299765423</v>
      </c>
      <c r="N145" s="12" t="n">
        <f aca="false">SUM(B145:M145)</f>
        <v>45240.4072930474</v>
      </c>
      <c r="O145" s="27" t="n">
        <f aca="false">MAX(B145:M145)</f>
        <v>4687.13299765423</v>
      </c>
      <c r="P145" s="16" t="n">
        <f aca="false">O145/parametros_recargas!$B$6</f>
        <v>31.2475533176949</v>
      </c>
    </row>
    <row r="146" customFormat="false" ht="15" hidden="false" customHeight="false" outlineLevel="0" collapsed="false">
      <c r="A146" s="6" t="str">
        <f aca="false">parametros_recargas!$B$92</f>
        <v>Presurización — recinto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4330.7076622162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3713.93972637143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3449.85697932909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3781.84151666201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3811.50601625846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3770.62880712973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3373.8059930857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3406.73090879502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3442.38441643241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3442.38441643241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4029.48785268073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4687.13299765423</v>
      </c>
      <c r="N146" s="12" t="n">
        <f aca="false">SUM(B146:M146)</f>
        <v>45240.4072930474</v>
      </c>
      <c r="O146" s="27" t="n">
        <f aca="false">MAX(B146:M146)</f>
        <v>4687.13299765423</v>
      </c>
      <c r="P146" s="16" t="n">
        <f aca="false">O146/parametros_recargas!$B$6</f>
        <v>31.2475533176949</v>
      </c>
    </row>
    <row r="147" customFormat="false" ht="15" hidden="false" customHeight="false" outlineLevel="0" collapsed="false">
      <c r="A147" s="6" t="str">
        <f aca="false">parametros_recargas!$B$93</f>
        <v>Ensamblaje y presurización — zona general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286.970173883784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286.970173883784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334.785138042461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380.39947715559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384.498182573486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376.129350144329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320.317196776655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324.044258974391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331.795605098722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331.795605098722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327.696899680826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336.065732109983</v>
      </c>
      <c r="N147" s="12" t="n">
        <f aca="false">SUM(B147:M147)</f>
        <v>4021.46779342273</v>
      </c>
      <c r="O147" s="27" t="n">
        <f aca="false">MAX(B147:M147)</f>
        <v>384.498182573486</v>
      </c>
      <c r="P147" s="16" t="n">
        <f aca="false">O147/parametros_recargas!$B$6</f>
        <v>2.56332121715657</v>
      </c>
    </row>
    <row r="148" customFormat="false" ht="15" hidden="false" customHeight="false" outlineLevel="0" collapsed="false">
      <c r="A148" s="6" t="str">
        <f aca="false">parametros_recargas!$B$94</f>
        <v>Control de peso (CO₂ y halogenados sin recarga)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190.574373796891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190.574373796891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236.90763008864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282.278820081669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284.889726736528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277.774874420507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226.005071038951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226.937672467596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233.274421833051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233.274421833051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230.663515178192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237.778367494213</v>
      </c>
      <c r="N148" s="12" t="n">
        <f aca="false">SUM(B148:M148)</f>
        <v>2850.93326876618</v>
      </c>
      <c r="O148" s="27" t="n">
        <f aca="false">MAX(B148:M148)</f>
        <v>284.889726736528</v>
      </c>
      <c r="P148" s="16" t="n">
        <f aca="false">O148/parametros_recargas!$B$6</f>
        <v>1.89926484491019</v>
      </c>
    </row>
    <row r="149" customFormat="false" ht="15" hidden="false" customHeight="false" outlineLevel="0" collapsed="false">
      <c r="A149" s="6" t="str">
        <f aca="false">parametros_recargas!$B$95</f>
        <v>Ensayo de pérdidas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4822.14599215209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4205.37805630732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4039.07093582365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4465.53109380065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4502.1060444433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4445.26116370781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3936.87410034674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3974.53041825388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4024.69615416952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4024.69615416952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4604.88913937163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5278.50195595189</v>
      </c>
      <c r="N149" s="12" t="n">
        <f aca="false">SUM(B149:M149)</f>
        <v>52323.681208498</v>
      </c>
      <c r="O149" s="27" t="n">
        <f aca="false">MAX(B149:M149)</f>
        <v>5278.50195595189</v>
      </c>
      <c r="P149" s="16" t="n">
        <f aca="false">O149/parametros_recargas!$B$6</f>
        <v>35.1900130396793</v>
      </c>
    </row>
    <row r="150" customFormat="false" ht="15" hidden="false" customHeight="false" outlineLevel="0" collapsed="false">
      <c r="A150" s="6" t="str">
        <f aca="false">parametros_recargas!$B$96</f>
        <v>Precinto, etiqueta y despacho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4822.14599215209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4205.37805630732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4039.07093582365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4465.53109380065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4502.1060444433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4445.26116370781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3936.87410034674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3974.53041825388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4024.69615416952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4024.69615416952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4604.88913937163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5278.50195595189</v>
      </c>
      <c r="N150" s="12" t="n">
        <f aca="false">SUM(B150:M150)</f>
        <v>52323.681208498</v>
      </c>
      <c r="O150" s="27" t="n">
        <f aca="false">MAX(B150:M150)</f>
        <v>5278.50195595189</v>
      </c>
      <c r="P150" s="16" t="n">
        <f aca="false">O150/parametros_recargas!$B$6</f>
        <v>35.1900130396793</v>
      </c>
    </row>
    <row r="151" customFormat="false" ht="15" hidden="false" customHeight="false" outlineLevel="0" collapsed="false">
      <c r="A151" s="6" t="str">
        <f aca="false">parametros_recargas!$B$97</f>
        <v>Inutilización y disposición final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381.14041862043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331.798983752848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317.28527874474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350.238727536925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353.097777263854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348.711515758876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309.367981545927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312.356574121354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316.22845539845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316.22845539845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362.710840539103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416.438536911663</v>
      </c>
      <c r="N151" s="12" t="n">
        <f aca="false">SUM(B151:M151)</f>
        <v>4115.60354559262</v>
      </c>
      <c r="O151" s="27" t="n">
        <f aca="false">MAX(B151:M151)</f>
        <v>416.438536911663</v>
      </c>
      <c r="P151" s="16" t="n">
        <f aca="false">O151/parametros_recargas!$B$6</f>
        <v>2.77625691274442</v>
      </c>
    </row>
    <row r="152" customFormat="false" ht="15" hidden="false" customHeight="false" outlineLevel="0" collapsed="false">
      <c r="A152" s="6" t="str">
        <f aca="false">parametros_recargas!$B$98</f>
        <v>PH de mangueras (CO₂ y rodantes)</v>
      </c>
      <c r="B152" s="26" t="n">
        <f aca="false">'Plan mensual'!D157</f>
        <v>130.166110035386</v>
      </c>
      <c r="C152" s="26" t="n">
        <f aca="false">'Plan mensual'!E157</f>
        <v>130.166110035386</v>
      </c>
      <c r="D152" s="26" t="n">
        <f aca="false">'Plan mensual'!F157</f>
        <v>141.976146258722</v>
      </c>
      <c r="E152" s="26" t="n">
        <f aca="false">'Plan mensual'!G157</f>
        <v>158.138434793123</v>
      </c>
      <c r="F152" s="26" t="n">
        <f aca="false">'Plan mensual'!H157</f>
        <v>160.683973091113</v>
      </c>
      <c r="G152" s="26" t="n">
        <f aca="false">'Plan mensual'!I157</f>
        <v>153.047081983452</v>
      </c>
      <c r="H152" s="26" t="n">
        <f aca="false">'Plan mensual'!J157</f>
        <v>133.818329528586</v>
      </c>
      <c r="I152" s="26" t="n">
        <f aca="false">'Plan mensual'!K157</f>
        <v>136.145692950444</v>
      </c>
      <c r="J152" s="26" t="n">
        <f aca="false">'Plan mensual'!L157</f>
        <v>142.585502595696</v>
      </c>
      <c r="K152" s="26" t="n">
        <f aca="false">'Plan mensual'!M157</f>
        <v>142.585502595696</v>
      </c>
      <c r="L152" s="26" t="n">
        <f aca="false">'Plan mensual'!N157</f>
        <v>140.039964297706</v>
      </c>
      <c r="M152" s="26" t="n">
        <f aca="false">'Plan mensual'!O157</f>
        <v>147.676855405367</v>
      </c>
      <c r="N152" s="12" t="n">
        <f aca="false">SUM(B152:M152)</f>
        <v>1717.02970357068</v>
      </c>
      <c r="O152" s="27" t="n">
        <f aca="false">MAX(B152:M152)</f>
        <v>160.683973091113</v>
      </c>
      <c r="P152" s="16" t="n">
        <f aca="false">O152/parametros_recargas!$B$6</f>
        <v>1.07122648727409</v>
      </c>
    </row>
    <row r="161" customFormat="false" ht="23.85" hidden="false" customHeight="false" outlineLevel="0" collapsed="false">
      <c r="A161" s="3" t="s">
        <v>397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390</v>
      </c>
      <c r="O161" s="3" t="s">
        <v>391</v>
      </c>
      <c r="P161" s="3" t="s">
        <v>392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6595.45584229746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5737.69959767258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5478.8552455775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6045.82448226618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6094.49122698937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6018.90923301347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5342.95921440214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5393.08209123097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5459.77325517154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5459.77325517154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6268.86275507323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7202.20099367401</v>
      </c>
      <c r="N162" s="12" t="n">
        <f aca="false">SUM(B162:M162)</f>
        <v>71097.88719254</v>
      </c>
      <c r="O162" s="27" t="n">
        <f aca="false">MAX(B162:M162)</f>
        <v>7202.20099367401</v>
      </c>
      <c r="P162" s="16" t="n">
        <f aca="false">O162/parametros_recargas!$B$6</f>
        <v>48.0146732911601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6595.45584229746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5737.69959767258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5478.8552455775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6045.82448226618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6094.49122698937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6018.90923301347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5342.95921440214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5393.08209123097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5459.77325517154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5459.77325517154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6268.86275507323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7202.20099367401</v>
      </c>
      <c r="N163" s="12" t="n">
        <f aca="false">SUM(B163:M163)</f>
        <v>71097.88719254</v>
      </c>
      <c r="O163" s="27" t="n">
        <f aca="false">MAX(B163:M163)</f>
        <v>7202.20099367401</v>
      </c>
      <c r="P163" s="16" t="n">
        <f aca="false">O163/parametros_recargas!$B$6</f>
        <v>48.0146732911601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5071.26927804571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4337.88768889144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4005.33333998557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4382.59615122015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4416.34725763692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4369.88800629517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3918.87212498419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3956.35262112178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3996.86915760026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3996.86915760026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4696.49964033777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5476.34048083379</v>
      </c>
      <c r="N164" s="12" t="n">
        <f aca="false">SUM(B164:M164)</f>
        <v>52625.124904553</v>
      </c>
      <c r="O164" s="27" t="n">
        <f aca="false">MAX(B164:M164)</f>
        <v>5476.34048083379</v>
      </c>
      <c r="P164" s="16" t="n">
        <f aca="false">O164/parametros_recargas!$B$6</f>
        <v>36.5089365388919</v>
      </c>
    </row>
    <row r="165" customFormat="false" ht="15" hidden="false" customHeight="false" outlineLevel="0" collapsed="false">
      <c r="A165" s="6" t="str">
        <f aca="false">parametros_recargas!$B$79</f>
        <v>Descarga a descarte (ABC, 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576.129029077915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494.642185838551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457.691702626789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499.609792763964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503.35991569916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498.197776661189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448.084900959968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452.249400530812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456.75123791731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456.75123791731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534.487958221478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621.136940498813</v>
      </c>
      <c r="N165" s="12" t="n">
        <f aca="false">SUM(B165:M165)</f>
        <v>5999.09207871326</v>
      </c>
      <c r="O165" s="27" t="n">
        <f aca="false">MAX(B165:M165)</f>
        <v>621.136940498813</v>
      </c>
      <c r="P165" s="16" t="n">
        <f aca="false">O165/parametros_recargas!$B$6</f>
        <v>4.14091293665875</v>
      </c>
    </row>
    <row r="166" customFormat="false" ht="15" hidden="false" customHeight="false" outlineLevel="0" collapsed="false">
      <c r="A166" s="6" t="str">
        <f aca="false">parametros_recargas!$B$80</f>
        <v>Descarga y carga de agua / AFFF / sales K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247.651374954734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247.651374954734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281.204538747435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312.475390781713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316.129047638101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309.765271564253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269.347104504684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273.501988554093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279.537657540228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279.537657540228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275.884000683839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282.247776757687</v>
      </c>
      <c r="N166" s="12" t="n">
        <f aca="false">SUM(B166:M166)</f>
        <v>3374.93318422173</v>
      </c>
      <c r="O166" s="27" t="n">
        <f aca="false">MAX(B166:M166)</f>
        <v>316.129047638101</v>
      </c>
      <c r="P166" s="16" t="n">
        <f aca="false">O166/parametros_recargas!$B$6</f>
        <v>2.10752698425401</v>
      </c>
    </row>
    <row r="167" customFormat="false" ht="15" hidden="false" customHeight="false" outlineLevel="0" collapsed="false">
      <c r="A167" s="6" t="str">
        <f aca="false">parametros_recargas!$B$81</f>
        <v>Recuperación y carga de CO₂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224.378388070931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224.378388070931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282.852126263198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339.117883371598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342.35878181918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334.54880697961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270.346553163349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271.505992395354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278.349052772309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278.349052772309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275.108154324727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282.918129164298</v>
      </c>
      <c r="N167" s="12" t="n">
        <f aca="false">SUM(B167:M167)</f>
        <v>3404.2113091678</v>
      </c>
      <c r="O167" s="27" t="n">
        <f aca="false">MAX(B167:M167)</f>
        <v>342.35878181918</v>
      </c>
      <c r="P167" s="16" t="n">
        <f aca="false">O167/parametros_recargas!$B$6</f>
        <v>2.28239187879453</v>
      </c>
    </row>
    <row r="168" customFormat="false" ht="15" hidden="false" customHeight="false" outlineLevel="0" collapsed="false">
      <c r="A168" s="6" t="str">
        <f aca="false">parametros_recargas!$B$82</f>
        <v>Recuperación y carga de halogenado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7.01109714340811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7.01109714340811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6.42920676745493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6.42920676745493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6.42920676745493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5.84731639150175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5.84731639150175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5.84731639150175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6.42920676745493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6.42920676745493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6.42920676745493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7.01109714340811</v>
      </c>
      <c r="N168" s="12" t="n">
        <f aca="false">SUM(B168:M168)</f>
        <v>77.1504812094591</v>
      </c>
      <c r="O168" s="27" t="n">
        <f aca="false">MAX(B168:M168)</f>
        <v>7.01109714340811</v>
      </c>
      <c r="P168" s="16" t="n">
        <f aca="false">O168/parametros_recargas!$B$6</f>
        <v>0.0467406476227207</v>
      </c>
    </row>
    <row r="169" customFormat="false" ht="15" hidden="false" customHeight="false" outlineLevel="0" collapsed="false">
      <c r="A169" s="6" t="str">
        <f aca="false">parametros_recargas!$B$83</f>
        <v>Desarme y limpieza — recinto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5944.62979697224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5086.87355234736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4697.9210974867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5139.16415156223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5178.63912982745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5124.30082416459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4596.7968694149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4640.63370700273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4688.02146896587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4688.02146896587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5506.30273532553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6418.39728561327</v>
      </c>
      <c r="N169" s="12" t="n">
        <f aca="false">SUM(B169:M169)</f>
        <v>61709.7020876487</v>
      </c>
      <c r="O169" s="27" t="n">
        <f aca="false">MAX(B169:M169)</f>
        <v>6418.39728561327</v>
      </c>
      <c r="P169" s="16" t="n">
        <f aca="false">O169/parametros_recargas!$B$6</f>
        <v>42.7893152374218</v>
      </c>
    </row>
    <row r="170" customFormat="false" ht="15" hidden="false" customHeight="false" outlineLevel="0" collapsed="false">
      <c r="A170" s="6" t="str">
        <f aca="false">parametros_recargas!$B$84</f>
        <v>Desarme e inspección interior — zona general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378.72935939673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378.72935939673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442.402046877091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503.161582107347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508.611280254709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497.465948404554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423.150321939012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428.0976272214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438.419110053612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438.419110053612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432.96941190625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444.114743756405</v>
      </c>
      <c r="N170" s="12" t="n">
        <f aca="false">SUM(B170:M170)</f>
        <v>5314.26990136745</v>
      </c>
      <c r="O170" s="27" t="n">
        <f aca="false">MAX(B170:M170)</f>
        <v>508.611280254709</v>
      </c>
      <c r="P170" s="16" t="n">
        <f aca="false">O170/parametros_recargas!$B$6</f>
        <v>3.39074186836473</v>
      </c>
    </row>
    <row r="171" customFormat="false" ht="15" hidden="false" customHeight="false" outlineLevel="0" collapsed="false">
      <c r="A171" s="6" t="str">
        <f aca="false">parametros_recargas!$B$85</f>
        <v>Laboratorio — Puffer y mufla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61.7258997797828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52.799408996016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48.751661718868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53.3435863831167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53.7543942692522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53.1889068271676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47.6992829159679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48.1554837645999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48.6486383444447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48.6486383444447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57.1643212420759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66.6562994679272</v>
      </c>
      <c r="N171" s="12" t="n">
        <f aca="false">SUM(B171:M171)</f>
        <v>640.536522053664</v>
      </c>
      <c r="O171" s="27" t="n">
        <f aca="false">MAX(B171:M171)</f>
        <v>66.6562994679272</v>
      </c>
      <c r="P171" s="16" t="n">
        <f aca="false">O171/parametros_recargas!$B$6</f>
        <v>0.444375329786182</v>
      </c>
    </row>
    <row r="172" customFormat="false" ht="15" hidden="false" customHeight="false" outlineLevel="0" collapsed="false">
      <c r="A172" s="6" t="str">
        <f aca="false">parametros_recargas!$B$86</f>
        <v>Prueba hidráulica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1727.06965792849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1512.63059677227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1458.51524468304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1610.13255976077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1623.45303231727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1602.54792032629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1420.79678397044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1434.63957182482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1453.21836354243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1453.21836354243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1654.33695214215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1889.68112528935</v>
      </c>
      <c r="N172" s="12" t="n">
        <f aca="false">SUM(B172:M172)</f>
        <v>18840.2401720998</v>
      </c>
      <c r="O172" s="27" t="n">
        <f aca="false">MAX(B172:M172)</f>
        <v>1889.68112528935</v>
      </c>
      <c r="P172" s="16" t="n">
        <f aca="false">O172/parametros_recargas!$B$6</f>
        <v>12.5978741685957</v>
      </c>
    </row>
    <row r="173" customFormat="false" ht="15" hidden="false" customHeight="false" outlineLevel="0" collapsed="false">
      <c r="A173" s="6" t="str">
        <f aca="false">parametros_recargas!$B$87</f>
        <v>Secado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1643.13884408232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1420.12222047985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1342.69182796202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1480.61739608698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1492.21734340401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1474.45313976758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1310.82695531977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1322.70265236353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1338.26098702459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1338.26098702459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1549.67766331003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1790.45849054893</v>
      </c>
      <c r="N173" s="12" t="n">
        <f aca="false">SUM(B173:M173)</f>
        <v>17503.4285073742</v>
      </c>
      <c r="O173" s="27" t="n">
        <f aca="false">MAX(B173:M173)</f>
        <v>1790.45849054893</v>
      </c>
      <c r="P173" s="16" t="n">
        <f aca="false">O173/parametros_recargas!$B$6</f>
        <v>11.9363899369929</v>
      </c>
    </row>
    <row r="174" customFormat="false" ht="15" hidden="false" customHeight="false" outlineLevel="0" collapsed="false">
      <c r="A174" s="6" t="str">
        <f aca="false">parametros_recargas!$B$88</f>
        <v>Inspección interior con videoscopio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1643.13884408232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1420.12222047985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1342.69182796202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1480.61739608698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1492.21734340401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1474.45313976758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1310.82695531977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1322.70265236353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1338.26098702459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1338.26098702459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1549.67766331003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1790.45849054893</v>
      </c>
      <c r="N174" s="12" t="n">
        <f aca="false">SUM(B174:M174)</f>
        <v>17503.4285073742</v>
      </c>
      <c r="O174" s="27" t="n">
        <f aca="false">MAX(B174:M174)</f>
        <v>1790.45849054893</v>
      </c>
      <c r="P174" s="16" t="n">
        <f aca="false">O174/parametros_recargas!$B$6</f>
        <v>11.9363899369929</v>
      </c>
    </row>
    <row r="175" customFormat="false" ht="15" hidden="false" customHeight="false" outlineLevel="0" collapsed="false">
      <c r="A175" s="6" t="str">
        <f aca="false">parametros_recargas!$B$89</f>
        <v>Pintura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989.318376344619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860.654939650887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821.828286836625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906.873672339927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914.173684048405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902.836384952021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801.443882160322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808.962313684645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818.965988275731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818.965988275731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940.329413260985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1080.3301490511</v>
      </c>
      <c r="N175" s="12" t="n">
        <f aca="false">SUM(B175:M175)</f>
        <v>10664.683078881</v>
      </c>
      <c r="O175" s="27" t="n">
        <f aca="false">MAX(B175:M175)</f>
        <v>1080.3301490511</v>
      </c>
      <c r="P175" s="16" t="n">
        <f aca="false">O175/parametros_recargas!$B$6</f>
        <v>7.20220099367401</v>
      </c>
    </row>
    <row r="176" customFormat="false" ht="15" hidden="false" customHeight="false" outlineLevel="0" collapsed="false">
      <c r="A176" s="6" t="str">
        <f aca="false">parametros_recargas!$B$90</f>
        <v>Carga de polvo ABC, BC y Clase D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5954.00545637228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5096.2492117474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4707.29675688674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5148.53981096227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5188.01478922749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5133.67648356463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4606.17252881494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4650.00936640277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4697.39712836591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4697.39712836591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5515.67839472557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6427.77294501331</v>
      </c>
      <c r="N176" s="12" t="n">
        <f aca="false">SUM(B176:M176)</f>
        <v>61822.2100004492</v>
      </c>
      <c r="O176" s="27" t="n">
        <f aca="false">MAX(B176:M176)</f>
        <v>6427.77294501331</v>
      </c>
      <c r="P176" s="16" t="n">
        <f aca="false">O176/parametros_recargas!$B$6</f>
        <v>42.851819633422</v>
      </c>
    </row>
    <row r="177" customFormat="false" ht="15" hidden="false" customHeight="false" outlineLevel="0" collapsed="false">
      <c r="A177" s="6" t="str">
        <f aca="false">parametros_recargas!$B$91</f>
        <v>Ensamblaje y marbete — recinto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5944.62979697224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5086.87355234736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4697.9210974867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5139.16415156223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5178.63912982745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5124.30082416459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4596.7968694149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4640.63370700273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4688.02146896587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4688.02146896587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5506.30273532553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6418.39728561327</v>
      </c>
      <c r="N177" s="12" t="n">
        <f aca="false">SUM(B177:M177)</f>
        <v>61709.7020876487</v>
      </c>
      <c r="O177" s="27" t="n">
        <f aca="false">MAX(B177:M177)</f>
        <v>6418.39728561327</v>
      </c>
      <c r="P177" s="16" t="n">
        <f aca="false">O177/parametros_recargas!$B$6</f>
        <v>42.7893152374218</v>
      </c>
    </row>
    <row r="178" customFormat="false" ht="15" hidden="false" customHeight="false" outlineLevel="0" collapsed="false">
      <c r="A178" s="6" t="str">
        <f aca="false">parametros_recargas!$B$92</f>
        <v>Presurización — recinto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5944.62979697224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5086.87355234736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4697.9210974867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5139.16415156223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5178.63912982745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5124.30082416459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4596.7968694149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4640.63370700273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4688.02146896587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4688.02146896587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5506.30273532553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6418.39728561327</v>
      </c>
      <c r="N178" s="12" t="n">
        <f aca="false">SUM(B178:M178)</f>
        <v>61709.7020876487</v>
      </c>
      <c r="O178" s="27" t="n">
        <f aca="false">MAX(B178:M178)</f>
        <v>6418.39728561327</v>
      </c>
      <c r="P178" s="16" t="n">
        <f aca="false">O178/parametros_recargas!$B$6</f>
        <v>42.7893152374218</v>
      </c>
    </row>
    <row r="179" customFormat="false" ht="15" hidden="false" customHeight="false" outlineLevel="0" collapsed="false">
      <c r="A179" s="6" t="str">
        <f aca="false">parametros_recargas!$B$93</f>
        <v>Ensamblaje y presurización — zona general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378.72935939673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378.72935939673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442.402046877091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503.161582107347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508.611280254709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497.465948404554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423.150321939012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428.0976272214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438.419110053612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438.419110053612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432.96941190625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444.114743756405</v>
      </c>
      <c r="N179" s="12" t="n">
        <f aca="false">SUM(B179:M179)</f>
        <v>5314.26990136745</v>
      </c>
      <c r="O179" s="27" t="n">
        <f aca="false">MAX(B179:M179)</f>
        <v>508.611280254709</v>
      </c>
      <c r="P179" s="16" t="n">
        <f aca="false">O179/parametros_recargas!$B$6</f>
        <v>3.39074186836473</v>
      </c>
    </row>
    <row r="180" customFormat="false" ht="15" hidden="false" customHeight="false" outlineLevel="0" collapsed="false">
      <c r="A180" s="6" t="str">
        <f aca="false">parametros_recargas!$B$94</f>
        <v>Control de peso (CO₂ y halogenados sin recarga)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253.591251860789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253.591251860789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315.204090800249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375.53026337008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379.005041087075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369.550806260441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300.715400106924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301.958510211342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310.376053243007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310.376053243007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306.901275526012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316.355510352646</v>
      </c>
      <c r="N180" s="12" t="n">
        <f aca="false">SUM(B180:M180)</f>
        <v>3793.15550792236</v>
      </c>
      <c r="O180" s="27" t="n">
        <f aca="false">MAX(B180:M180)</f>
        <v>379.005041087075</v>
      </c>
      <c r="P180" s="16" t="n">
        <f aca="false">O180/parametros_recargas!$B$6</f>
        <v>2.52670027391383</v>
      </c>
    </row>
    <row r="181" customFormat="false" ht="15" hidden="false" customHeight="false" outlineLevel="0" collapsed="false">
      <c r="A181" s="6" t="str">
        <f aca="false">parametros_recargas!$B$95</f>
        <v>Ensayo de pérdidas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6595.45584229746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5737.69959767258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5478.8552455775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6045.82448226618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6094.49122698937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6018.90923301347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5342.95921440214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5393.08209123097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5459.77325517154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5459.77325517154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6268.86275507323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7202.20099367401</v>
      </c>
      <c r="N181" s="12" t="n">
        <f aca="false">SUM(B181:M181)</f>
        <v>71097.88719254</v>
      </c>
      <c r="O181" s="27" t="n">
        <f aca="false">MAX(B181:M181)</f>
        <v>7202.20099367401</v>
      </c>
      <c r="P181" s="16" t="n">
        <f aca="false">O181/parametros_recargas!$B$6</f>
        <v>48.0146732911601</v>
      </c>
    </row>
    <row r="182" customFormat="false" ht="15" hidden="false" customHeight="false" outlineLevel="0" collapsed="false">
      <c r="A182" s="6" t="str">
        <f aca="false">parametros_recargas!$B$96</f>
        <v>Precinto, etiqueta y despacho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6595.45584229746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5737.69959767258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5478.8552455775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6045.82448226618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6094.49122698937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6018.90923301347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5342.95921440214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5393.08209123097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5459.77325517154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5459.77325517154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6268.86275507323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7202.20099367401</v>
      </c>
      <c r="N182" s="12" t="n">
        <f aca="false">SUM(B182:M182)</f>
        <v>71097.88719254</v>
      </c>
      <c r="O182" s="27" t="n">
        <f aca="false">MAX(B182:M182)</f>
        <v>7202.20099367401</v>
      </c>
      <c r="P182" s="16" t="n">
        <f aca="false">O182/parametros_recargas!$B$6</f>
        <v>48.0146732911601</v>
      </c>
    </row>
    <row r="183" customFormat="false" ht="15" hidden="false" customHeight="false" outlineLevel="0" collapsed="false">
      <c r="A183" s="6" t="str">
        <f aca="false">parametros_recargas!$B$97</f>
        <v>Inutilización y disposición final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521.467989361228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452.847489791238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430.532416175047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474.343130172453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478.14737288577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472.315520579783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420.004529505069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423.982485033313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429.129652777371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429.129652777371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493.945909634045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568.398261510023</v>
      </c>
      <c r="N183" s="12" t="n">
        <f aca="false">SUM(B183:M183)</f>
        <v>5594.24441020271</v>
      </c>
      <c r="O183" s="27" t="n">
        <f aca="false">MAX(B183:M183)</f>
        <v>568.398261510023</v>
      </c>
      <c r="P183" s="16" t="n">
        <f aca="false">O183/parametros_recargas!$B$6</f>
        <v>3.78932174340015</v>
      </c>
    </row>
    <row r="184" customFormat="false" ht="15" hidden="false" customHeight="false" outlineLevel="0" collapsed="false">
      <c r="A184" s="6" t="str">
        <f aca="false">parametros_recargas!$B$98</f>
        <v>PH de mangueras (CO₂ y rodantes)</v>
      </c>
      <c r="B184" s="26" t="n">
        <f aca="false">'Plan mensual'!D189</f>
        <v>173.087983053813</v>
      </c>
      <c r="C184" s="26" t="n">
        <f aca="false">'Plan mensual'!E189</f>
        <v>173.087983053813</v>
      </c>
      <c r="D184" s="26" t="n">
        <f aca="false">'Plan mensual'!F189</f>
        <v>188.804544172122</v>
      </c>
      <c r="E184" s="26" t="n">
        <f aca="false">'Plan mensual'!G189</f>
        <v>210.313350923442</v>
      </c>
      <c r="F184" s="26" t="n">
        <f aca="false">'Plan mensual'!H189</f>
        <v>213.703383050367</v>
      </c>
      <c r="G184" s="26" t="n">
        <f aca="false">'Plan mensual'!I189</f>
        <v>203.537701168801</v>
      </c>
      <c r="H184" s="26" t="n">
        <f aca="false">'Plan mensual'!J189</f>
        <v>177.946949010414</v>
      </c>
      <c r="I184" s="26" t="n">
        <f aca="false">'Plan mensual'!K189</f>
        <v>181.045490295852</v>
      </c>
      <c r="J184" s="26" t="n">
        <f aca="false">'Plan mensual'!L189</f>
        <v>189.616261723619</v>
      </c>
      <c r="K184" s="26" t="n">
        <f aca="false">'Plan mensual'!M189</f>
        <v>189.616261723619</v>
      </c>
      <c r="L184" s="26" t="n">
        <f aca="false">'Plan mensual'!N189</f>
        <v>186.226229596694</v>
      </c>
      <c r="M184" s="26" t="n">
        <f aca="false">'Plan mensual'!O189</f>
        <v>196.39191147826</v>
      </c>
      <c r="N184" s="12" t="n">
        <f aca="false">SUM(B184:M184)</f>
        <v>2283.37804925082</v>
      </c>
      <c r="O184" s="27" t="n">
        <f aca="false">MAX(B184:M184)</f>
        <v>213.703383050367</v>
      </c>
      <c r="P184" s="16" t="n">
        <f aca="false">O184/parametros_recargas!$B$6</f>
        <v>1.42468922033578</v>
      </c>
    </row>
    <row r="193" customFormat="false" ht="23.85" hidden="false" customHeight="false" outlineLevel="0" collapsed="false">
      <c r="A193" s="3" t="s">
        <v>398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390</v>
      </c>
      <c r="O193" s="3" t="s">
        <v>391</v>
      </c>
      <c r="P193" s="3" t="s">
        <v>392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8216.90480482361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7139.55641242665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6796.00060994574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7490.72292288141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7550.53863001153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7457.68304856211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6629.13904697537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6690.85058432675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6772.77376514666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6772.77376514666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7790.30645041351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8960.51042425989</v>
      </c>
      <c r="N194" s="12" t="n">
        <f aca="false">SUM(B194:M194)</f>
        <v>88267.7604649199</v>
      </c>
      <c r="O194" s="27" t="n">
        <f aca="false">MAX(B194:M194)</f>
        <v>8960.51042425989</v>
      </c>
      <c r="P194" s="16" t="n">
        <f aca="false">O194/parametros_recargas!$B$6</f>
        <v>59.7367361617326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8216.90480482361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7139.55641242665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6796.00060994574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7490.72292288141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7550.53863001153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7457.68304856211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6629.13904697537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6690.85058432675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6772.77376514666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6772.77376514666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7790.30645041351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8960.51042425989</v>
      </c>
      <c r="N195" s="12" t="n">
        <f aca="false">SUM(B195:M195)</f>
        <v>88267.7604649199</v>
      </c>
      <c r="O195" s="27" t="n">
        <f aca="false">MAX(B195:M195)</f>
        <v>8960.51042425989</v>
      </c>
      <c r="P195" s="16" t="n">
        <f aca="false">O195/parametros_recargas!$B$6</f>
        <v>59.7367361617326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6327.22329557438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5406.09042007498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4976.11979290474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5438.38527768581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5479.85821191168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5422.83785576117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4869.99503680877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4916.12818550736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4965.85322814948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4965.85322814948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5845.51316942302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6823.66640107293</v>
      </c>
      <c r="N196" s="12" t="n">
        <f aca="false">SUM(B196:M196)</f>
        <v>65437.5241030238</v>
      </c>
      <c r="O196" s="27" t="n">
        <f aca="false">MAX(B196:M196)</f>
        <v>6823.66640107293</v>
      </c>
      <c r="P196" s="16" t="n">
        <f aca="false">O196/parametros_recargas!$B$6</f>
        <v>45.4911093404862</v>
      </c>
    </row>
    <row r="197" customFormat="false" ht="15" hidden="false" customHeight="false" outlineLevel="0" collapsed="false">
      <c r="A197" s="6" t="str">
        <f aca="false">parametros_recargas!$B$79</f>
        <v>Descarga a descarte (ABC, 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719.172940921426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616.824843643714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569.050329513687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620.413161156029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625.021264958903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618.685669831068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557.258689947469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562.384595358423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567.909600096436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567.909600096436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665.649593571274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774.33328597682</v>
      </c>
      <c r="N197" s="12" t="n">
        <f aca="false">SUM(B197:M197)</f>
        <v>7464.61357507168</v>
      </c>
      <c r="O197" s="27" t="n">
        <f aca="false">MAX(B197:M197)</f>
        <v>774.33328597682</v>
      </c>
      <c r="P197" s="16" t="n">
        <f aca="false">O197/parametros_recargas!$B$6</f>
        <v>5.16222190651213</v>
      </c>
    </row>
    <row r="198" customFormat="false" ht="15" hidden="false" customHeight="false" outlineLevel="0" collapsed="false">
      <c r="A198" s="6" t="str">
        <f aca="false">parametros_recargas!$B$80</f>
        <v>Descarga y carga de agua / AFFF / sales K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303.857140416326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303.857140416326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345.027642816273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383.385211889196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387.874462743982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380.068149967759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330.471270825143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335.580585646376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342.984803790544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342.984803790544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338.495552935758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346.301865711981</v>
      </c>
      <c r="N198" s="12" t="n">
        <f aca="false">SUM(B198:M198)</f>
        <v>4140.88863095021</v>
      </c>
      <c r="O198" s="27" t="n">
        <f aca="false">MAX(B198:M198)</f>
        <v>387.874462743982</v>
      </c>
      <c r="P198" s="16" t="n">
        <f aca="false">O198/parametros_recargas!$B$6</f>
        <v>2.58582975162654</v>
      </c>
    </row>
    <row r="199" customFormat="false" ht="15" hidden="false" customHeight="false" outlineLevel="0" collapsed="false">
      <c r="A199" s="6" t="str">
        <f aca="false">parametros_recargas!$B$81</f>
        <v>Recuperación y carga de CO₂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275.652935976467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275.652935976467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347.23824089465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416.159492499105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420.150935856589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410.532457932759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331.87941857557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333.32011844823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341.740274920924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341.740274920924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337.74883156344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347.36730948727</v>
      </c>
      <c r="N199" s="12" t="n">
        <f aca="false">SUM(B199:M199)</f>
        <v>4179.18322705239</v>
      </c>
      <c r="O199" s="27" t="n">
        <f aca="false">MAX(B199:M199)</f>
        <v>420.150935856589</v>
      </c>
      <c r="P199" s="16" t="n">
        <f aca="false">O199/parametros_recargas!$B$6</f>
        <v>2.80100623904392</v>
      </c>
    </row>
    <row r="200" customFormat="false" ht="15" hidden="false" customHeight="false" outlineLevel="0" collapsed="false">
      <c r="A200" s="6" t="str">
        <f aca="false">parametros_recargas!$B$82</f>
        <v>Recuperación y carga de halogenado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8.7887561308571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8.7887561308571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8.05991456279709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8.05991456279709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8.05991456279709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7.33107299473708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7.33107299473708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7.33107299473708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8.05991456279709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8.05991456279709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8.05991456279709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8.7887561308571</v>
      </c>
      <c r="N200" s="12" t="n">
        <f aca="false">SUM(B200:M200)</f>
        <v>96.718974753565</v>
      </c>
      <c r="O200" s="27" t="n">
        <f aca="false">MAX(B200:M200)</f>
        <v>8.7887561308571</v>
      </c>
      <c r="P200" s="16" t="n">
        <f aca="false">O200/parametros_recargas!$B$6</f>
        <v>0.0585917075390473</v>
      </c>
    </row>
    <row r="201" customFormat="false" ht="15" hidden="false" customHeight="false" outlineLevel="0" collapsed="false">
      <c r="A201" s="6" t="str">
        <f aca="false">parametros_recargas!$B$83</f>
        <v>Desarme y limpieza — recinto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7417.25919631138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6339.91080391441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5837.02118149308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6377.68256720194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6426.18892302167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6359.49844799183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5712.89865974341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5766.85555880609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5825.01350341676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5825.01350341676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6853.85553999399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7997.89440742079</v>
      </c>
      <c r="N201" s="12" t="n">
        <f aca="false">SUM(B201:M201)</f>
        <v>76739.0922927321</v>
      </c>
      <c r="O201" s="27" t="n">
        <f aca="false">MAX(B201:M201)</f>
        <v>7997.89440742079</v>
      </c>
      <c r="P201" s="16" t="n">
        <f aca="false">O201/parametros_recargas!$B$6</f>
        <v>53.319296049472</v>
      </c>
    </row>
    <row r="202" customFormat="false" ht="15" hidden="false" customHeight="false" outlineLevel="0" collapsed="false">
      <c r="A202" s="6" t="str">
        <f aca="false">parametros_recargas!$B$84</f>
        <v>Desarme e inspección interior — zona general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465.043954187401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465.043954187401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543.076139608641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617.557889725154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624.258564169163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610.552892078909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519.424559235485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525.515709011424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538.205139783382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538.205139783382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531.504465339372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545.210137429627</v>
      </c>
      <c r="N202" s="12" t="n">
        <f aca="false">SUM(B202:M202)</f>
        <v>6523.59854453934</v>
      </c>
      <c r="O202" s="27" t="n">
        <f aca="false">MAX(B202:M202)</f>
        <v>624.258564169163</v>
      </c>
      <c r="P202" s="16" t="n">
        <f aca="false">O202/parametros_recargas!$B$6</f>
        <v>4.16172376112776</v>
      </c>
    </row>
    <row r="203" customFormat="false" ht="15" hidden="false" customHeight="false" outlineLevel="0" collapsed="false">
      <c r="A203" s="6" t="str">
        <f aca="false">parametros_recargas!$B$85</f>
        <v>Laboratorio — Puffer y mufla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77.012978332209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65.8012377521761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60.5677700765672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66.1943206343883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66.6991161877781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66.0050822889293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59.276052816099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59.8375710390462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60.4428086689943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60.4428086689943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71.1497536956375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83.0555281745192</v>
      </c>
      <c r="N203" s="12" t="n">
        <f aca="false">SUM(B203:M203)</f>
        <v>796.485028335339</v>
      </c>
      <c r="O203" s="27" t="n">
        <f aca="false">MAX(B203:M203)</f>
        <v>83.0555281745192</v>
      </c>
      <c r="P203" s="16" t="n">
        <f aca="false">O203/parametros_recargas!$B$6</f>
        <v>0.553703521163461</v>
      </c>
    </row>
    <row r="204" customFormat="false" ht="15" hidden="false" customHeight="false" outlineLevel="0" collapsed="false">
      <c r="A204" s="6" t="str">
        <f aca="false">parametros_recargas!$B$86</f>
        <v>Prueba hidráulica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2150.18108765316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1880.84398955392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1807.95625021789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1993.74974500115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2010.12132994835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1984.44228318298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1761.64411042547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1778.6854626016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1801.50443195736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1801.50443195736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2054.46994510941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2349.48608997402</v>
      </c>
      <c r="N204" s="12" t="n">
        <f aca="false">SUM(B204:M204)</f>
        <v>23374.5891575827</v>
      </c>
      <c r="O204" s="27" t="n">
        <f aca="false">MAX(B204:M204)</f>
        <v>2349.48608997402</v>
      </c>
      <c r="P204" s="16" t="n">
        <f aca="false">O204/parametros_recargas!$B$6</f>
        <v>15.6632405998268</v>
      </c>
    </row>
    <row r="205" customFormat="false" ht="15" hidden="false" customHeight="false" outlineLevel="0" collapsed="false">
      <c r="A205" s="6" t="str">
        <f aca="false">parametros_recargas!$B$87</f>
        <v>Secado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2048.4363877963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1768.32580577309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1666.57361619182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1835.56671115837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1849.82431969521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1827.9978124184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1627.44762443992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1642.07052123649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1661.18441742859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1661.18441742859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1927.03739091496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2228.97448021498</v>
      </c>
      <c r="N205" s="12" t="n">
        <f aca="false">SUM(B205:M205)</f>
        <v>21744.6235046967</v>
      </c>
      <c r="O205" s="27" t="n">
        <f aca="false">MAX(B205:M205)</f>
        <v>2228.97448021498</v>
      </c>
      <c r="P205" s="16" t="n">
        <f aca="false">O205/parametros_recargas!$B$6</f>
        <v>14.8598298680998</v>
      </c>
    </row>
    <row r="206" customFormat="false" ht="15" hidden="false" customHeight="false" outlineLevel="0" collapsed="false">
      <c r="A206" s="6" t="str">
        <f aca="false">parametros_recargas!$B$88</f>
        <v>Inspección interior con videoscopio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2048.4363877963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1768.32580577309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1666.57361619182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1835.56671115837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1849.82431969521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1827.9978124184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1627.44762443992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1642.07052123649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1661.18441742859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1661.18441742859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1927.03739091496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2228.97448021498</v>
      </c>
      <c r="N206" s="12" t="n">
        <f aca="false">SUM(B206:M206)</f>
        <v>21744.6235046967</v>
      </c>
      <c r="O206" s="27" t="n">
        <f aca="false">MAX(B206:M206)</f>
        <v>2228.97448021498</v>
      </c>
      <c r="P206" s="16" t="n">
        <f aca="false">O206/parametros_recargas!$B$6</f>
        <v>14.8598298680998</v>
      </c>
    </row>
    <row r="207" customFormat="false" ht="15" hidden="false" customHeight="false" outlineLevel="0" collapsed="false">
      <c r="A207" s="6" t="str">
        <f aca="false">parametros_recargas!$B$89</f>
        <v>Pintura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1232.53572072354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1070.933461864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1019.40009149186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1123.60843843221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1132.58079450173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1118.65245728432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994.370857046306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1003.62758764901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1015.916064772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1015.916064772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1168.54596756203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1344.07656363898</v>
      </c>
      <c r="N207" s="12" t="n">
        <f aca="false">SUM(B207:M207)</f>
        <v>13240.164069738</v>
      </c>
      <c r="O207" s="27" t="n">
        <f aca="false">MAX(B207:M207)</f>
        <v>1344.07656363898</v>
      </c>
      <c r="P207" s="16" t="n">
        <f aca="false">O207/parametros_recargas!$B$6</f>
        <v>8.96051042425989</v>
      </c>
    </row>
    <row r="208" customFormat="false" ht="15" hidden="false" customHeight="false" outlineLevel="0" collapsed="false">
      <c r="A208" s="6" t="str">
        <f aca="false">parametros_recargas!$B$90</f>
        <v>Carga de polvo ABC, BC y Clase D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7429.24010227601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6351.89170987904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5849.00208745771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6389.66347316657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6438.1698289863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6371.47935395646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5724.87956570804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5778.83646477072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5836.99440938139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5836.99440938139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6865.83644595862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8009.87531338542</v>
      </c>
      <c r="N208" s="12" t="n">
        <f aca="false">SUM(B208:M208)</f>
        <v>76882.8631643076</v>
      </c>
      <c r="O208" s="27" t="n">
        <f aca="false">MAX(B208:M208)</f>
        <v>8009.87531338542</v>
      </c>
      <c r="P208" s="16" t="n">
        <f aca="false">O208/parametros_recargas!$B$6</f>
        <v>53.3991687559028</v>
      </c>
    </row>
    <row r="209" customFormat="false" ht="15" hidden="false" customHeight="false" outlineLevel="0" collapsed="false">
      <c r="A209" s="6" t="str">
        <f aca="false">parametros_recargas!$B$91</f>
        <v>Ensamblaje y marbete — recinto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7417.25919631138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6339.91080391441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5837.02118149308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6377.68256720194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6426.18892302167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6359.49844799183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5712.89865974341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5766.85555880609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5825.01350341676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5825.01350341676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6853.85553999399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7997.89440742079</v>
      </c>
      <c r="N209" s="12" t="n">
        <f aca="false">SUM(B209:M209)</f>
        <v>76739.0922927321</v>
      </c>
      <c r="O209" s="27" t="n">
        <f aca="false">MAX(B209:M209)</f>
        <v>7997.89440742079</v>
      </c>
      <c r="P209" s="16" t="n">
        <f aca="false">O209/parametros_recargas!$B$6</f>
        <v>53.319296049472</v>
      </c>
    </row>
    <row r="210" customFormat="false" ht="15" hidden="false" customHeight="false" outlineLevel="0" collapsed="false">
      <c r="A210" s="6" t="str">
        <f aca="false">parametros_recargas!$B$92</f>
        <v>Presurización — recinto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7417.25919631138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6339.91080391441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5837.02118149308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6377.68256720194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6426.18892302167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6359.49844799183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5712.89865974341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5766.85555880609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5825.01350341676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5825.01350341676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6853.85553999399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7997.89440742079</v>
      </c>
      <c r="N210" s="12" t="n">
        <f aca="false">SUM(B210:M210)</f>
        <v>76739.0922927321</v>
      </c>
      <c r="O210" s="27" t="n">
        <f aca="false">MAX(B210:M210)</f>
        <v>7997.89440742079</v>
      </c>
      <c r="P210" s="16" t="n">
        <f aca="false">O210/parametros_recargas!$B$6</f>
        <v>53.319296049472</v>
      </c>
    </row>
    <row r="211" customFormat="false" ht="15" hidden="false" customHeight="false" outlineLevel="0" collapsed="false">
      <c r="A211" s="6" t="str">
        <f aca="false">parametros_recargas!$B$93</f>
        <v>Ensamblaje y presurización — zona general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465.043954187401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465.043954187401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543.076139608641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617.557889725154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624.258564169163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610.552892078909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519.424559235485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525.515709011424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538.205139783382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538.205139783382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531.504465339372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545.210137429627</v>
      </c>
      <c r="N211" s="12" t="n">
        <f aca="false">SUM(B211:M211)</f>
        <v>6523.59854453934</v>
      </c>
      <c r="O211" s="27" t="n">
        <f aca="false">MAX(B211:M211)</f>
        <v>624.258564169163</v>
      </c>
      <c r="P211" s="16" t="n">
        <f aca="false">O211/parametros_recargas!$B$6</f>
        <v>4.16172376112776</v>
      </c>
    </row>
    <row r="212" customFormat="false" ht="15" hidden="false" customHeight="false" outlineLevel="0" collapsed="false">
      <c r="A212" s="6" t="str">
        <f aca="false">parametros_recargas!$B$94</f>
        <v>Control de peso (CO₂ y halogenados sin recarga)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311.867391563886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311.867391563886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387.265083409414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461.160033583263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465.439519244895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453.773361445378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369.444329557259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370.988997461966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381.370357004595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381.370357004595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377.090871342963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388.75702914248</v>
      </c>
      <c r="N212" s="12" t="n">
        <f aca="false">SUM(B212:M212)</f>
        <v>4660.39472232458</v>
      </c>
      <c r="O212" s="27" t="n">
        <f aca="false">MAX(B212:M212)</f>
        <v>465.439519244895</v>
      </c>
      <c r="P212" s="16" t="n">
        <f aca="false">O212/parametros_recargas!$B$6</f>
        <v>3.1029301282993</v>
      </c>
    </row>
    <row r="213" customFormat="false" ht="15" hidden="false" customHeight="false" outlineLevel="0" collapsed="false">
      <c r="A213" s="6" t="str">
        <f aca="false">parametros_recargas!$B$95</f>
        <v>Ensayo de pérdidas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8216.90480482361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7139.55641242665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6796.00060994574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7490.72292288141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7550.53863001153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7457.68304856211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6629.13904697537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6690.85058432675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6772.77376514666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6772.77376514666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7790.30645041351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8960.51042425989</v>
      </c>
      <c r="N213" s="12" t="n">
        <f aca="false">SUM(B213:M213)</f>
        <v>88267.7604649199</v>
      </c>
      <c r="O213" s="27" t="n">
        <f aca="false">MAX(B213:M213)</f>
        <v>8960.51042425989</v>
      </c>
      <c r="P213" s="16" t="n">
        <f aca="false">O213/parametros_recargas!$B$6</f>
        <v>59.7367361617326</v>
      </c>
    </row>
    <row r="214" customFormat="false" ht="15" hidden="false" customHeight="false" outlineLevel="0" collapsed="false">
      <c r="A214" s="6" t="str">
        <f aca="false">parametros_recargas!$B$96</f>
        <v>Precinto, etiqueta y despacho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8216.90480482361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7139.55641242665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6796.00060994574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7490.72292288141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7550.53863001153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7457.68304856211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6629.13904697537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6690.85058432675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6772.77376514666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6772.77376514666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7790.30645041351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8960.51042425989</v>
      </c>
      <c r="N214" s="12" t="n">
        <f aca="false">SUM(B214:M214)</f>
        <v>88267.7604649199</v>
      </c>
      <c r="O214" s="27" t="n">
        <f aca="false">MAX(B214:M214)</f>
        <v>8960.51042425989</v>
      </c>
      <c r="P214" s="16" t="n">
        <f aca="false">O214/parametros_recargas!$B$6</f>
        <v>59.7367361617326</v>
      </c>
    </row>
    <row r="215" customFormat="false" ht="15" hidden="false" customHeight="false" outlineLevel="0" collapsed="false">
      <c r="A215" s="6" t="str">
        <f aca="false">parametros_recargas!$B$97</f>
        <v>Inutilización y disposición final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649.774296798907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563.58642540715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534.133980317456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587.81702304016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592.492549208988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585.328528202969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521.207290944956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526.104607063715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532.426979564422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532.426979564422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613.939324787351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707.291217185128</v>
      </c>
      <c r="N215" s="12" t="n">
        <f aca="false">SUM(B215:M215)</f>
        <v>6946.52920208562</v>
      </c>
      <c r="O215" s="27" t="n">
        <f aca="false">MAX(B215:M215)</f>
        <v>707.291217185128</v>
      </c>
      <c r="P215" s="16" t="n">
        <f aca="false">O215/parametros_recargas!$B$6</f>
        <v>4.71527478123418</v>
      </c>
    </row>
    <row r="216" customFormat="false" ht="15" hidden="false" customHeight="false" outlineLevel="0" collapsed="false">
      <c r="A216" s="6" t="str">
        <f aca="false">parametros_recargas!$B$98</f>
        <v>PH de mangueras (CO₂ y rodantes)</v>
      </c>
      <c r="B216" s="26" t="n">
        <f aca="false">'Plan mensual'!D221</f>
        <v>213.84850854959</v>
      </c>
      <c r="C216" s="26" t="n">
        <f aca="false">'Plan mensual'!E221</f>
        <v>213.84850854959</v>
      </c>
      <c r="D216" s="26" t="n">
        <f aca="false">'Plan mensual'!F221</f>
        <v>233.278426894942</v>
      </c>
      <c r="E216" s="26" t="n">
        <f aca="false">'Plan mensual'!G221</f>
        <v>259.870057208164</v>
      </c>
      <c r="F216" s="26" t="n">
        <f aca="false">'Plan mensual'!H221</f>
        <v>264.067556831515</v>
      </c>
      <c r="G216" s="26" t="n">
        <f aca="false">'Plan mensual'!I221</f>
        <v>251.493053635909</v>
      </c>
      <c r="H216" s="26" t="n">
        <f aca="false">'Plan mensual'!J221</f>
        <v>219.852003679601</v>
      </c>
      <c r="I216" s="26" t="n">
        <f aca="false">'Plan mensual'!K221</f>
        <v>223.686131718303</v>
      </c>
      <c r="J216" s="26" t="n">
        <f aca="false">'Plan mensual'!L221</f>
        <v>234.284022211004</v>
      </c>
      <c r="K216" s="26" t="n">
        <f aca="false">'Plan mensual'!M221</f>
        <v>234.284022211004</v>
      </c>
      <c r="L216" s="26" t="n">
        <f aca="false">'Plan mensual'!N221</f>
        <v>230.086522587653</v>
      </c>
      <c r="M216" s="26" t="n">
        <f aca="false">'Plan mensual'!O221</f>
        <v>242.661025783259</v>
      </c>
      <c r="N216" s="12" t="n">
        <f aca="false">SUM(B216:M216)</f>
        <v>2821.25983986054</v>
      </c>
      <c r="O216" s="27" t="n">
        <f aca="false">MAX(B216:M216)</f>
        <v>264.067556831515</v>
      </c>
      <c r="P216" s="16" t="n">
        <f aca="false">O216/parametros_recargas!$B$6</f>
        <v>1.76045037887677</v>
      </c>
    </row>
    <row r="225" customFormat="false" ht="23.85" hidden="false" customHeight="false" outlineLevel="0" collapsed="false">
      <c r="A225" s="3" t="s">
        <v>399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390</v>
      </c>
      <c r="O225" s="3" t="s">
        <v>391</v>
      </c>
      <c r="P225" s="3" t="s">
        <v>392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9393.86925076985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8144.92494537683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7710.5397978056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8481.91969519867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8548.61858588248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8445.0669055894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7524.66778461295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7593.65495815833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7685.0093470498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7685.0093470498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8867.25476175901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10219.7507474451</v>
      </c>
      <c r="N226" s="12" t="n">
        <f aca="false">SUM(B226:M226)</f>
        <v>100300.286126698</v>
      </c>
      <c r="O226" s="27" t="n">
        <f aca="false">MAX(B226:M226)</f>
        <v>10219.7507474451</v>
      </c>
      <c r="P226" s="16" t="n">
        <f aca="false">O226/parametros_recargas!$B$6</f>
        <v>68.131671649634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9393.86925076985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8144.92494537683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7710.5397978056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8481.91969519867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8548.61858588248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8445.0669055894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7524.66778461295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7593.65495815833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7685.0093470498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7685.0093470498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8867.25476175901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10219.7507474451</v>
      </c>
      <c r="N227" s="12" t="n">
        <f aca="false">SUM(B227:M227)</f>
        <v>100300.286126698</v>
      </c>
      <c r="O227" s="27" t="n">
        <f aca="false">MAX(B227:M227)</f>
        <v>10219.7507474451</v>
      </c>
      <c r="P227" s="16" t="n">
        <f aca="false">O227/parametros_recargas!$B$6</f>
        <v>68.131671649634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7251.41113504071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6183.56375392968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5661.07553078061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6174.40327242711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6220.62529161136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6157.09912242563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5542.89657841218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5594.4358144622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5649.84347406792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5649.84347406792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6671.4688359947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7802.84238629145</v>
      </c>
      <c r="N228" s="12" t="n">
        <f aca="false">SUM(B228:M228)</f>
        <v>74559.5086695115</v>
      </c>
      <c r="O228" s="27" t="n">
        <f aca="false">MAX(B228:M228)</f>
        <v>7802.84238629145</v>
      </c>
      <c r="P228" s="16" t="n">
        <f aca="false">O228/parametros_recargas!$B$6</f>
        <v>52.018949241943</v>
      </c>
    </row>
    <row r="229" customFormat="false" ht="15" hidden="false" customHeight="false" outlineLevel="0" collapsed="false">
      <c r="A229" s="6" t="str">
        <f aca="false">parametros_recargas!$B$79</f>
        <v>Descarga a descarte (ABC, 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823.720759685339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705.071050673003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647.01680365644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704.05321939494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709.188999304301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702.130536061442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633.885808948836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639.612390732172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645.76879735503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645.76879735503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759.282726458005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884.9908987132</v>
      </c>
      <c r="N229" s="12" t="n">
        <f aca="false">SUM(B229:M229)</f>
        <v>8500.49078833774</v>
      </c>
      <c r="O229" s="27" t="n">
        <f aca="false">MAX(B229:M229)</f>
        <v>884.9908987132</v>
      </c>
      <c r="P229" s="16" t="n">
        <f aca="false">O229/parametros_recargas!$B$6</f>
        <v>5.89993932475467</v>
      </c>
    </row>
    <row r="230" customFormat="false" ht="15" hidden="false" customHeight="false" outlineLevel="0" collapsed="false">
      <c r="A230" s="6" t="str">
        <f aca="false">parametros_recargas!$B$80</f>
        <v>Descarga y carga de agua / AFFF / sales K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341.087785825111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341.087785825111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386.955852949619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429.666651073845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434.679606109069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425.986685850386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370.725434209161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376.438653502419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384.684536928442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384.684536928442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379.671581893219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388.364502151902</v>
      </c>
      <c r="N230" s="12" t="n">
        <f aca="false">SUM(B230:M230)</f>
        <v>4644.03361324673</v>
      </c>
      <c r="O230" s="27" t="n">
        <f aca="false">MAX(B230:M230)</f>
        <v>434.679606109069</v>
      </c>
      <c r="P230" s="16" t="n">
        <f aca="false">O230/parametros_recargas!$B$6</f>
        <v>2.89786404072713</v>
      </c>
    </row>
    <row r="231" customFormat="false" ht="15" hidden="false" customHeight="false" outlineLevel="0" collapsed="false">
      <c r="A231" s="6" t="str">
        <f aca="false">parametros_recargas!$B$81</f>
        <v>Recuperación y carga de CO₂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306.857106102273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306.857106102273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386.150465817885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462.56090568878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467.023666386249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456.269720347634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369.052271074262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370.685175290875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380.086339036794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380.086339036794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375.623578339325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386.377524377941</v>
      </c>
      <c r="N231" s="12" t="n">
        <f aca="false">SUM(B231:M231)</f>
        <v>4647.63019760109</v>
      </c>
      <c r="O231" s="27" t="n">
        <f aca="false">MAX(B231:M231)</f>
        <v>467.023666386249</v>
      </c>
      <c r="P231" s="16" t="n">
        <f aca="false">O231/parametros_recargas!$B$6</f>
        <v>3.11349110924166</v>
      </c>
    </row>
    <row r="232" customFormat="false" ht="15" hidden="false" customHeight="false" outlineLevel="0" collapsed="false">
      <c r="A232" s="6" t="str">
        <f aca="false">parametros_recargas!$B$82</f>
        <v>Recuperación y carga de halogenado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9.98710592622638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9.98710592622638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9.16000092714531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9.16000092714531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9.16000092714531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8.33289592806425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8.33289592806425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8.33289592806425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9.16000092714531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9.16000092714531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9.16000092714531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9.98710592622638</v>
      </c>
      <c r="N232" s="12" t="n">
        <f aca="false">SUM(B232:M232)</f>
        <v>109.920011125744</v>
      </c>
      <c r="O232" s="27" t="n">
        <f aca="false">MAX(B232:M232)</f>
        <v>9.98710592622638</v>
      </c>
      <c r="P232" s="16" t="n">
        <f aca="false">O232/parametros_recargas!$B$6</f>
        <v>0.0665807061748426</v>
      </c>
    </row>
    <row r="233" customFormat="false" ht="15" hidden="false" customHeight="false" outlineLevel="0" collapsed="false">
      <c r="A233" s="6" t="str">
        <f aca="false">parametros_recargas!$B$83</f>
        <v>Desarme y limpieza — recinto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8500.13883655373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7251.19453116072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6640.09719414426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7240.48051770742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7294.54135885859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7220.24174577587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6501.87619722212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6562.15600546776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6626.96028570837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6626.96028570837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7821.84374995021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9145.08766842595</v>
      </c>
      <c r="N233" s="12" t="n">
        <f aca="false">SUM(B233:M233)</f>
        <v>87431.5783766834</v>
      </c>
      <c r="O233" s="27" t="n">
        <f aca="false">MAX(B233:M233)</f>
        <v>9145.08766842595</v>
      </c>
      <c r="P233" s="16" t="n">
        <f aca="false">O233/parametros_recargas!$B$6</f>
        <v>60.9672511228397</v>
      </c>
    </row>
    <row r="234" customFormat="false" ht="15" hidden="false" customHeight="false" outlineLevel="0" collapsed="false">
      <c r="A234" s="6" t="str">
        <f aca="false">parametros_recargas!$B$84</f>
        <v>Desarme e inspección interior — zona general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520.87369586979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520.87369586979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607.566717990722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690.336804547019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697.821975748552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682.522888064142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581.193999338536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588.015949460333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602.175054015987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602.175054015987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594.689882814454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609.988970498864</v>
      </c>
      <c r="N234" s="12" t="n">
        <f aca="false">SUM(B234:M234)</f>
        <v>7298.23468823417</v>
      </c>
      <c r="O234" s="27" t="n">
        <f aca="false">MAX(B234:M234)</f>
        <v>697.821975748552</v>
      </c>
      <c r="P234" s="16" t="n">
        <f aca="false">O234/parametros_recargas!$B$6</f>
        <v>4.65214650499035</v>
      </c>
    </row>
    <row r="235" customFormat="false" ht="15" hidden="false" customHeight="false" outlineLevel="0" collapsed="false">
      <c r="A235" s="6" t="str">
        <f aca="false">parametros_recargas!$B$85</f>
        <v>Laboratorio — Puffer y mufla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88.2619029758982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75.2643994294165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68.9048365803609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75.1529009204318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75.7155008470691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74.9422802315661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67.4663994219254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68.0937188452742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68.7681235073696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68.7681235073696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81.203027127214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94.9737512891987</v>
      </c>
      <c r="N235" s="12" t="n">
        <f aca="false">SUM(B235:M235)</f>
        <v>907.514964683094</v>
      </c>
      <c r="O235" s="27" t="n">
        <f aca="false">MAX(B235:M235)</f>
        <v>94.9737512891987</v>
      </c>
      <c r="P235" s="16" t="n">
        <f aca="false">O235/parametros_recargas!$B$6</f>
        <v>0.633158341927992</v>
      </c>
    </row>
    <row r="236" customFormat="false" ht="15" hidden="false" customHeight="false" outlineLevel="0" collapsed="false">
      <c r="A236" s="6" t="str">
        <f aca="false">parametros_recargas!$B$86</f>
        <v>Prueba hidráulica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2456.17924505829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2143.94316871003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2049.83153459339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2256.16412940194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2274.42189050506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2245.78883771852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1998.2381359035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2017.28910380351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2042.73166421354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2042.73166421354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2336.70997945866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2677.57910859346</v>
      </c>
      <c r="N236" s="12" t="n">
        <f aca="false">SUM(B236:M236)</f>
        <v>26541.6084621734</v>
      </c>
      <c r="O236" s="27" t="n">
        <f aca="false">MAX(B236:M236)</f>
        <v>2677.57910859346</v>
      </c>
      <c r="P236" s="16" t="n">
        <f aca="false">O236/parametros_recargas!$B$6</f>
        <v>17.850527390623</v>
      </c>
    </row>
    <row r="237" customFormat="false" ht="15" hidden="false" customHeight="false" outlineLevel="0" collapsed="false">
      <c r="A237" s="6" t="str">
        <f aca="false">parametros_recargas!$B$87</f>
        <v>Secado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2343.70875741981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2018.98323801763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1892.20543377452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2079.81455764152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2095.7106900305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2071.3673844208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1848.62638333357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1864.97249604099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1886.28916674363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1886.28916674363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2195.11855375683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2544.18737876872</v>
      </c>
      <c r="N237" s="12" t="n">
        <f aca="false">SUM(B237:M237)</f>
        <v>24727.2732066922</v>
      </c>
      <c r="O237" s="27" t="n">
        <f aca="false">MAX(B237:M237)</f>
        <v>2544.18737876872</v>
      </c>
      <c r="P237" s="16" t="n">
        <f aca="false">O237/parametros_recargas!$B$6</f>
        <v>16.9612491917915</v>
      </c>
    </row>
    <row r="238" customFormat="false" ht="15" hidden="false" customHeight="false" outlineLevel="0" collapsed="false">
      <c r="A238" s="6" t="str">
        <f aca="false">parametros_recargas!$B$88</f>
        <v>Inspección interior con videoscopio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2343.70875741981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2018.98323801763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1892.20543377452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2079.81455764152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2095.7106900305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2071.3673844208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1848.62638333357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1864.97249604099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1886.28916674363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1886.28916674363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2195.11855375683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2544.18737876872</v>
      </c>
      <c r="N238" s="12" t="n">
        <f aca="false">SUM(B238:M238)</f>
        <v>24727.2732066922</v>
      </c>
      <c r="O238" s="27" t="n">
        <f aca="false">MAX(B238:M238)</f>
        <v>2544.18737876872</v>
      </c>
      <c r="P238" s="16" t="n">
        <f aca="false">O238/parametros_recargas!$B$6</f>
        <v>16.9612491917915</v>
      </c>
    </row>
    <row r="239" customFormat="false" ht="15" hidden="false" customHeight="false" outlineLevel="0" collapsed="false">
      <c r="A239" s="6" t="str">
        <f aca="false">parametros_recargas!$B$89</f>
        <v>Pintura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1409.08038761548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1221.73874180653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1156.58096967084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1272.2879542798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1282.29278788237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1266.76003583841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1128.70016769194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1139.04824372375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1152.75140205747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1152.75140205747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1330.08821426385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1532.96261211677</v>
      </c>
      <c r="N239" s="12" t="n">
        <f aca="false">SUM(B239:M239)</f>
        <v>15045.0429190047</v>
      </c>
      <c r="O239" s="27" t="n">
        <f aca="false">MAX(B239:M239)</f>
        <v>1532.96261211677</v>
      </c>
      <c r="P239" s="16" t="n">
        <f aca="false">O239/parametros_recargas!$B$6</f>
        <v>10.2197507474451</v>
      </c>
    </row>
    <row r="240" customFormat="false" ht="15" hidden="false" customHeight="false" outlineLevel="0" collapsed="false">
      <c r="A240" s="6" t="str">
        <f aca="false">parametros_recargas!$B$90</f>
        <v>Carga de polvo ABC, BC y Clase D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8513.55812513766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7264.61381974464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6653.51648272818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7253.89980629135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7307.96064744252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7233.66103435979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6515.29548580604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6575.57529405168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6640.37957429229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6640.37957429229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7835.26303853413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9158.50695700988</v>
      </c>
      <c r="N240" s="12" t="n">
        <f aca="false">SUM(B240:M240)</f>
        <v>87592.6098396904</v>
      </c>
      <c r="O240" s="27" t="n">
        <f aca="false">MAX(B240:M240)</f>
        <v>9158.50695700988</v>
      </c>
      <c r="P240" s="16" t="n">
        <f aca="false">O240/parametros_recargas!$B$6</f>
        <v>61.0567130467325</v>
      </c>
    </row>
    <row r="241" customFormat="false" ht="15" hidden="false" customHeight="false" outlineLevel="0" collapsed="false">
      <c r="A241" s="6" t="str">
        <f aca="false">parametros_recargas!$B$91</f>
        <v>Ensamblaje y marbete — recinto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8500.13883655373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7251.19453116072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6640.09719414426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7240.48051770742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7294.54135885859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7220.24174577587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6501.87619722212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6562.15600546776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6626.96028570837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6626.96028570837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7821.84374995021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9145.08766842595</v>
      </c>
      <c r="N241" s="12" t="n">
        <f aca="false">SUM(B241:M241)</f>
        <v>87431.5783766834</v>
      </c>
      <c r="O241" s="27" t="n">
        <f aca="false">MAX(B241:M241)</f>
        <v>9145.08766842595</v>
      </c>
      <c r="P241" s="16" t="n">
        <f aca="false">O241/parametros_recargas!$B$6</f>
        <v>60.9672511228397</v>
      </c>
    </row>
    <row r="242" customFormat="false" ht="15" hidden="false" customHeight="false" outlineLevel="0" collapsed="false">
      <c r="A242" s="6" t="str">
        <f aca="false">parametros_recargas!$B$92</f>
        <v>Presurización — recinto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8500.13883655373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7251.19453116072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6640.09719414426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7240.48051770742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7294.54135885859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7220.24174577587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6501.87619722212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6562.15600546776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6626.96028570837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6626.96028570837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7821.84374995021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9145.08766842595</v>
      </c>
      <c r="N242" s="12" t="n">
        <f aca="false">SUM(B242:M242)</f>
        <v>87431.5783766834</v>
      </c>
      <c r="O242" s="27" t="n">
        <f aca="false">MAX(B242:M242)</f>
        <v>9145.08766842595</v>
      </c>
      <c r="P242" s="16" t="n">
        <f aca="false">O242/parametros_recargas!$B$6</f>
        <v>60.9672511228397</v>
      </c>
    </row>
    <row r="243" customFormat="false" ht="15" hidden="false" customHeight="false" outlineLevel="0" collapsed="false">
      <c r="A243" s="6" t="str">
        <f aca="false">parametros_recargas!$B$93</f>
        <v>Ensamblaje y presurización — zona general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520.87369586979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520.87369586979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607.566717990722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690.336804547019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697.821975748552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682.522888064142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581.193999338536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588.015949460333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602.175054015987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602.175054015987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594.689882814454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609.988970498864</v>
      </c>
      <c r="N243" s="12" t="n">
        <f aca="false">SUM(B243:M243)</f>
        <v>7298.23468823417</v>
      </c>
      <c r="O243" s="27" t="n">
        <f aca="false">MAX(B243:M243)</f>
        <v>697.821975748552</v>
      </c>
      <c r="P243" s="16" t="n">
        <f aca="false">O243/parametros_recargas!$B$6</f>
        <v>4.65214650499035</v>
      </c>
    </row>
    <row r="244" customFormat="false" ht="15" hidden="false" customHeight="false" outlineLevel="0" collapsed="false">
      <c r="A244" s="6" t="str">
        <f aca="false">parametros_recargas!$B$94</f>
        <v>Control de peso (CO₂ y halogenados sin recarga)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347.548915781188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347.548915781188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431.028424572239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512.953019897735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517.737835490898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504.671779349582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411.160287345143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412.911030010378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424.526680394575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424.526680394575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419.741864801413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432.807920942728</v>
      </c>
      <c r="N244" s="12" t="n">
        <f aca="false">SUM(B244:M244)</f>
        <v>5187.16335476164</v>
      </c>
      <c r="O244" s="27" t="n">
        <f aca="false">MAX(B244:M244)</f>
        <v>517.737835490898</v>
      </c>
      <c r="P244" s="16" t="n">
        <f aca="false">O244/parametros_recargas!$B$6</f>
        <v>3.45158556993932</v>
      </c>
    </row>
    <row r="245" customFormat="false" ht="15" hidden="false" customHeight="false" outlineLevel="0" collapsed="false">
      <c r="A245" s="6" t="str">
        <f aca="false">parametros_recargas!$B$95</f>
        <v>Ensayo de pérdidas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9393.86925076985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8144.92494537683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7710.5397978056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8481.91969519867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8548.61858588248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8445.0669055894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7524.66778461295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7593.65495815833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7685.0093470498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7685.0093470498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8867.25476175901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10219.7507474451</v>
      </c>
      <c r="N245" s="12" t="n">
        <f aca="false">SUM(B245:M245)</f>
        <v>100300.286126698</v>
      </c>
      <c r="O245" s="27" t="n">
        <f aca="false">MAX(B245:M245)</f>
        <v>10219.7507474451</v>
      </c>
      <c r="P245" s="16" t="n">
        <f aca="false">O245/parametros_recargas!$B$6</f>
        <v>68.131671649634</v>
      </c>
    </row>
    <row r="246" customFormat="false" ht="15" hidden="false" customHeight="false" outlineLevel="0" collapsed="false">
      <c r="A246" s="6" t="str">
        <f aca="false">parametros_recargas!$B$96</f>
        <v>Precinto, etiqueta y despacho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9393.86925076985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8144.92494537683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7710.5397978056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8481.91969519867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8548.61858588248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8445.0669055894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7524.66778461295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7593.65495815833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7685.0093470498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7685.0093470498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8867.25476175901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10219.7507474451</v>
      </c>
      <c r="N246" s="12" t="n">
        <f aca="false">SUM(B246:M246)</f>
        <v>100300.286126698</v>
      </c>
      <c r="O246" s="27" t="n">
        <f aca="false">MAX(B246:M246)</f>
        <v>10219.7507474451</v>
      </c>
      <c r="P246" s="16" t="n">
        <f aca="false">O246/parametros_recargas!$B$6</f>
        <v>68.131671649634</v>
      </c>
    </row>
    <row r="247" customFormat="false" ht="15" hidden="false" customHeight="false" outlineLevel="0" collapsed="false">
      <c r="A247" s="6" t="str">
        <f aca="false">parametros_recargas!$B$97</f>
        <v>Inutilización y disposición final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743.073605873209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643.158061441768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606.227363458321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665.837124600395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671.050348275787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663.06185498055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591.827655866651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597.301738912711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604.351638787028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604.351638787028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699.053959543076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806.957997269754</v>
      </c>
      <c r="N247" s="12" t="n">
        <f aca="false">SUM(B247:M247)</f>
        <v>7896.25298779628</v>
      </c>
      <c r="O247" s="27" t="n">
        <f aca="false">MAX(B247:M247)</f>
        <v>806.957997269754</v>
      </c>
      <c r="P247" s="16" t="n">
        <f aca="false">O247/parametros_recargas!$B$6</f>
        <v>5.37971998179836</v>
      </c>
    </row>
    <row r="248" customFormat="false" ht="15" hidden="false" customHeight="false" outlineLevel="0" collapsed="false">
      <c r="A248" s="6" t="str">
        <f aca="false">parametros_recargas!$B$98</f>
        <v>PH de mangueras (CO₂ y rodantes)</v>
      </c>
      <c r="B248" s="26" t="n">
        <f aca="false">'Plan mensual'!D253</f>
        <v>241.102122956429</v>
      </c>
      <c r="C248" s="26" t="n">
        <f aca="false">'Plan mensual'!E253</f>
        <v>241.102122956429</v>
      </c>
      <c r="D248" s="26" t="n">
        <f aca="false">'Plan mensual'!F253</f>
        <v>262.986782796725</v>
      </c>
      <c r="E248" s="26" t="n">
        <f aca="false">'Plan mensual'!G253</f>
        <v>292.938918789445</v>
      </c>
      <c r="F248" s="26" t="n">
        <f aca="false">'Plan mensual'!H253</f>
        <v>297.673475888673</v>
      </c>
      <c r="G248" s="26" t="n">
        <f aca="false">'Plan mensual'!I253</f>
        <v>283.503092688456</v>
      </c>
      <c r="H248" s="26" t="n">
        <f aca="false">'Plan mensual'!J253</f>
        <v>247.860454467976</v>
      </c>
      <c r="I248" s="26" t="n">
        <f aca="false">'Plan mensual'!K253</f>
        <v>252.182606747171</v>
      </c>
      <c r="J248" s="26" t="n">
        <f aca="false">'Plan mensual'!L253</f>
        <v>264.121596474899</v>
      </c>
      <c r="K248" s="26" t="n">
        <f aca="false">'Plan mensual'!M253</f>
        <v>264.121596474899</v>
      </c>
      <c r="L248" s="26" t="n">
        <f aca="false">'Plan mensual'!N253</f>
        <v>259.38703937567</v>
      </c>
      <c r="M248" s="26" t="n">
        <f aca="false">'Plan mensual'!O253</f>
        <v>273.557422575887</v>
      </c>
      <c r="N248" s="12" t="n">
        <f aca="false">SUM(B248:M248)</f>
        <v>3180.53723219266</v>
      </c>
      <c r="O248" s="27" t="n">
        <f aca="false">MAX(B248:M248)</f>
        <v>297.673475888673</v>
      </c>
      <c r="P248" s="16" t="n">
        <f aca="false">O248/parametros_recargas!$B$6</f>
        <v>1.98448983925782</v>
      </c>
    </row>
    <row r="257" customFormat="false" ht="23.85" hidden="false" customHeight="false" outlineLevel="0" collapsed="false">
      <c r="A257" s="3" t="s">
        <v>400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390</v>
      </c>
      <c r="O257" s="3" t="s">
        <v>391</v>
      </c>
      <c r="P257" s="3" t="s">
        <v>392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10100.3201898747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8761.54856351277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8302.28373376021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9135.29359709976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9207.4137747905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9095.37616531208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8101.29962343399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8175.95193691508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8274.79911670766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8274.79911670766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9541.45056537881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10992.2598012191</v>
      </c>
      <c r="N258" s="12" t="n">
        <f aca="false">SUM(B258:M258)</f>
        <v>107962.796184712</v>
      </c>
      <c r="O258" s="27" t="n">
        <f aca="false">MAX(B258:M258)</f>
        <v>10992.2598012191</v>
      </c>
      <c r="P258" s="16" t="n">
        <f aca="false">O258/parametros_recargas!$B$6</f>
        <v>73.2817320081275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10100.3201898747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8761.54856351277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8302.28373376021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9135.29359709976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9207.4137747905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9095.37616531208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8101.29962343399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8175.95193691508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8274.79911670766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8274.79911670766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9541.45056537881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10992.2598012191</v>
      </c>
      <c r="N259" s="12" t="n">
        <f aca="false">SUM(B259:M259)</f>
        <v>107962.796184712</v>
      </c>
      <c r="O259" s="27" t="n">
        <f aca="false">MAX(B259:M259)</f>
        <v>10992.2598012191</v>
      </c>
      <c r="P259" s="16" t="n">
        <f aca="false">O259/parametros_recargas!$B$6</f>
        <v>73.2817320081275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7790.63486884327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6645.98512830385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6090.17292148349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6644.47229650458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6694.43773964683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6625.74097930856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5962.41314601923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6018.17212839348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6078.10030575013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6078.10030575013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7172.7846031473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8386.13110402498</v>
      </c>
      <c r="N260" s="12" t="n">
        <f aca="false">SUM(B260:M260)</f>
        <v>80187.1455271758</v>
      </c>
      <c r="O260" s="27" t="n">
        <f aca="false">MAX(B260:M260)</f>
        <v>8386.13110402498</v>
      </c>
      <c r="P260" s="16" t="n">
        <f aca="false">O260/parametros_recargas!$B$6</f>
        <v>55.9075406934999</v>
      </c>
    </row>
    <row r="261" customFormat="false" ht="15" hidden="false" customHeight="false" outlineLevel="0" collapsed="false">
      <c r="A261" s="6" t="str">
        <f aca="false">parametros_recargas!$B$79</f>
        <v>Descarga a descarte (ABC, 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885.280801807923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758.097497303543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696.340585434614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757.929404881402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763.481120786097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755.848147415177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682.145054827474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688.340497313502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694.999183686463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694.999183686463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816.630772286148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951.447050161447</v>
      </c>
      <c r="N261" s="12" t="n">
        <f aca="false">SUM(B261:M261)</f>
        <v>9145.53929959025</v>
      </c>
      <c r="O261" s="27" t="n">
        <f aca="false">MAX(B261:M261)</f>
        <v>951.447050161447</v>
      </c>
      <c r="P261" s="16" t="n">
        <f aca="false">O261/parametros_recargas!$B$6</f>
        <v>6.34298033440965</v>
      </c>
    </row>
    <row r="262" customFormat="false" ht="15" hidden="false" customHeight="false" outlineLevel="0" collapsed="false">
      <c r="A262" s="6" t="str">
        <f aca="false">parametros_recargas!$B$80</f>
        <v>Descarga y carga de agua / AFFF / sales K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369.707360157401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369.707360157401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419.286135523078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465.448378106525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470.868765658935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461.473264543507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401.740519622329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407.919375614812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416.831828760384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416.831828760384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411.411441207974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420.806942323402</v>
      </c>
      <c r="N262" s="12" t="n">
        <f aca="false">SUM(B262:M262)</f>
        <v>5032.03320043613</v>
      </c>
      <c r="O262" s="27" t="n">
        <f aca="false">MAX(B262:M262)</f>
        <v>470.868765658935</v>
      </c>
      <c r="P262" s="16" t="n">
        <f aca="false">O262/parametros_recargas!$B$6</f>
        <v>3.1391251043929</v>
      </c>
    </row>
    <row r="263" customFormat="false" ht="15" hidden="false" customHeight="false" outlineLevel="0" collapsed="false">
      <c r="A263" s="6" t="str">
        <f aca="false">parametros_recargas!$B$81</f>
        <v>Recuperación y carga de CO₂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331.903029136899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331.903029136899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417.506806549637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500.026323080963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504.861404357703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493.210397716886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399.012520962678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400.790694940071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410.970753854217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410.970753854217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406.135672577477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417.786679218294</v>
      </c>
      <c r="N263" s="12" t="n">
        <f aca="false">SUM(B263:M263)</f>
        <v>5025.07806538594</v>
      </c>
      <c r="O263" s="27" t="n">
        <f aca="false">MAX(B263:M263)</f>
        <v>504.861404357703</v>
      </c>
      <c r="P263" s="16" t="n">
        <f aca="false">O263/parametros_recargas!$B$6</f>
        <v>3.36574269571802</v>
      </c>
    </row>
    <row r="264" customFormat="false" ht="15" hidden="false" customHeight="false" outlineLevel="0" collapsed="false">
      <c r="A264" s="6" t="str">
        <f aca="false">parametros_recargas!$B$82</f>
        <v>Recuperación y carga de halogenado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10.8999878230906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10.8999878230906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9.99616010615574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9.99616010615574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9.99616010615574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9.09233238922086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9.09233238922086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9.09233238922086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9.99616010615574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9.99616010615574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9.99616010615574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10.8999878230906</v>
      </c>
      <c r="N264" s="12" t="n">
        <f aca="false">SUM(B264:M264)</f>
        <v>119.953921273869</v>
      </c>
      <c r="O264" s="27" t="n">
        <f aca="false">MAX(B264:M264)</f>
        <v>10.8999878230906</v>
      </c>
      <c r="P264" s="16" t="n">
        <f aca="false">O264/parametros_recargas!$B$6</f>
        <v>0.0726665854872708</v>
      </c>
    </row>
    <row r="265" customFormat="false" ht="15" hidden="false" customHeight="false" outlineLevel="0" collapsed="false">
      <c r="A265" s="6" t="str">
        <f aca="false">parametros_recargas!$B$83</f>
        <v>Desarme y limpieza — recinto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9132.54281121178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7793.77118484989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7143.69842833484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7792.00179093261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7850.44090571887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7770.09381760393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6994.27179036495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7059.4869744284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7129.57840993325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7129.57840993325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8409.91092150889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9829.02963598572</v>
      </c>
      <c r="N265" s="12" t="n">
        <f aca="false">SUM(B265:M265)</f>
        <v>94034.4050808064</v>
      </c>
      <c r="O265" s="27" t="n">
        <f aca="false">MAX(B265:M265)</f>
        <v>9829.02963598572</v>
      </c>
      <c r="P265" s="16" t="n">
        <f aca="false">O265/parametros_recargas!$B$6</f>
        <v>65.5268642399048</v>
      </c>
    </row>
    <row r="266" customFormat="false" ht="15" hidden="false" customHeight="false" outlineLevel="0" collapsed="false">
      <c r="A266" s="6" t="str">
        <f aca="false">parametros_recargas!$B$84</f>
        <v>Desarme e inspección interior — zona general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564.306304306113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564.306304306113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657.951293306395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747.377527537788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755.475816184593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738.916540708377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629.426584795775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636.810564878684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652.133477149124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652.133477149124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644.035188502319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660.594463978535</v>
      </c>
      <c r="N266" s="12" t="n">
        <f aca="false">SUM(B266:M266)</f>
        <v>7903.46754280294</v>
      </c>
      <c r="O266" s="27" t="n">
        <f aca="false">MAX(B266:M266)</f>
        <v>755.475816184593</v>
      </c>
      <c r="P266" s="16" t="n">
        <f aca="false">O266/parametros_recargas!$B$6</f>
        <v>5.03650544123062</v>
      </c>
    </row>
    <row r="267" customFormat="false" ht="15" hidden="false" customHeight="false" outlineLevel="0" collapsed="false">
      <c r="A267" s="6" t="str">
        <f aca="false">parametros_recargas!$B$85</f>
        <v>Laboratorio — Puffer y mufla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94.8251652139476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80.8928474264925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74.1276754954538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80.8744337121134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81.4825974215821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80.646441991581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72.57262356194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73.2513044146322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73.980731401583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73.980731401583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87.3048854795694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102.073358697026</v>
      </c>
      <c r="N267" s="12" t="n">
        <f aca="false">SUM(B267:M267)</f>
        <v>976.012796217504</v>
      </c>
      <c r="O267" s="27" t="n">
        <f aca="false">MAX(B267:M267)</f>
        <v>102.073358697026</v>
      </c>
      <c r="P267" s="16" t="n">
        <f aca="false">O267/parametros_recargas!$B$6</f>
        <v>0.68048905798017</v>
      </c>
    </row>
    <row r="268" customFormat="false" ht="15" hidden="false" customHeight="false" outlineLevel="0" collapsed="false">
      <c r="A268" s="6" t="str">
        <f aca="false">parametros_recargas!$B$86</f>
        <v>Prueba hidráulica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2641.82974014995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2307.13683355948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2207.97708149997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2430.80709762437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2450.5488433794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2419.57244065755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2152.19033310765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2172.80462915976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2200.33088299598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2200.33088299598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2515.28204383143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2880.95135314375</v>
      </c>
      <c r="N268" s="12" t="n">
        <f aca="false">SUM(B268:M268)</f>
        <v>28579.7621621053</v>
      </c>
      <c r="O268" s="27" t="n">
        <f aca="false">MAX(B268:M268)</f>
        <v>2880.95135314375</v>
      </c>
      <c r="P268" s="16" t="n">
        <f aca="false">O268/parametros_recargas!$B$6</f>
        <v>19.2063423542917</v>
      </c>
    </row>
    <row r="269" customFormat="false" ht="15" hidden="false" customHeight="false" outlineLevel="0" collapsed="false">
      <c r="A269" s="6" t="str">
        <f aca="false">parametros_recargas!$B$87</f>
        <v>Secado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2519.11406501305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2171.03344215895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2036.6694610068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2239.25700189308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2256.44501968667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2230.10464672945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1989.54643438785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2007.23564986389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2030.30297676036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2030.30297676036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2361.19558182085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2735.61657763216</v>
      </c>
      <c r="N269" s="12" t="n">
        <f aca="false">SUM(B269:M269)</f>
        <v>26606.8238337135</v>
      </c>
      <c r="O269" s="27" t="n">
        <f aca="false">MAX(B269:M269)</f>
        <v>2735.61657763216</v>
      </c>
      <c r="P269" s="16" t="n">
        <f aca="false">O269/parametros_recargas!$B$6</f>
        <v>18.2374438508811</v>
      </c>
    </row>
    <row r="270" customFormat="false" ht="15" hidden="false" customHeight="false" outlineLevel="0" collapsed="false">
      <c r="A270" s="6" t="str">
        <f aca="false">parametros_recargas!$B$88</f>
        <v>Inspección interior con videoscopio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2519.11406501305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2171.03344215895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2036.6694610068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2239.25700189308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2256.44501968667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2230.10464672945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1989.54643438785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2007.23564986389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2030.30297676036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2030.30297676036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2361.19558182085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2735.61657763216</v>
      </c>
      <c r="N270" s="12" t="n">
        <f aca="false">SUM(B270:M270)</f>
        <v>26606.8238337135</v>
      </c>
      <c r="O270" s="27" t="n">
        <f aca="false">MAX(B270:M270)</f>
        <v>2735.61657763216</v>
      </c>
      <c r="P270" s="16" t="n">
        <f aca="false">O270/parametros_recargas!$B$6</f>
        <v>18.2374438508811</v>
      </c>
    </row>
    <row r="271" customFormat="false" ht="15" hidden="false" customHeight="false" outlineLevel="0" collapsed="false">
      <c r="A271" s="6" t="str">
        <f aca="false">parametros_recargas!$B$89</f>
        <v>Pintura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1515.0480284812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1314.23228452692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1245.34256006403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1370.29403956496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1381.11206621858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1364.30642479681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1215.1949435151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1226.39279053726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1241.21986750615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1241.21986750615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1431.21758480682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1648.83897018287</v>
      </c>
      <c r="N271" s="12" t="n">
        <f aca="false">SUM(B271:M271)</f>
        <v>16194.4194277068</v>
      </c>
      <c r="O271" s="27" t="n">
        <f aca="false">MAX(B271:M271)</f>
        <v>1648.83897018287</v>
      </c>
      <c r="P271" s="16" t="n">
        <f aca="false">O271/parametros_recargas!$B$6</f>
        <v>10.9922598012191</v>
      </c>
    </row>
    <row r="272" customFormat="false" ht="15" hidden="false" customHeight="false" outlineLevel="0" collapsed="false">
      <c r="A272" s="6" t="str">
        <f aca="false">parametros_recargas!$B$90</f>
        <v>Carga de polvo ABC, BC y Clase D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9147.19819038077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7808.42656401887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7158.35380750383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7806.6571701016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7865.09628488785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7784.74919677292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7008.92716953394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7074.14235359739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7144.23378910224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7144.23378910224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8424.56630067787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9843.6850151547</v>
      </c>
      <c r="N272" s="12" t="n">
        <f aca="false">SUM(B272:M272)</f>
        <v>94210.2696308342</v>
      </c>
      <c r="O272" s="27" t="n">
        <f aca="false">MAX(B272:M272)</f>
        <v>9843.6850151547</v>
      </c>
      <c r="P272" s="16" t="n">
        <f aca="false">O272/parametros_recargas!$B$6</f>
        <v>65.624566767698</v>
      </c>
    </row>
    <row r="273" customFormat="false" ht="15" hidden="false" customHeight="false" outlineLevel="0" collapsed="false">
      <c r="A273" s="6" t="str">
        <f aca="false">parametros_recargas!$B$91</f>
        <v>Ensamblaje y marbete — recinto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9132.54281121178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7793.77118484989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7143.69842833484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7792.00179093261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7850.44090571887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7770.09381760393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6994.27179036495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7059.4869744284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7129.57840993325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7129.57840993325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8409.91092150889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9829.02963598572</v>
      </c>
      <c r="N273" s="12" t="n">
        <f aca="false">SUM(B273:M273)</f>
        <v>94034.4050808064</v>
      </c>
      <c r="O273" s="27" t="n">
        <f aca="false">MAX(B273:M273)</f>
        <v>9829.02963598572</v>
      </c>
      <c r="P273" s="16" t="n">
        <f aca="false">O273/parametros_recargas!$B$6</f>
        <v>65.5268642399048</v>
      </c>
    </row>
    <row r="274" customFormat="false" ht="15" hidden="false" customHeight="false" outlineLevel="0" collapsed="false">
      <c r="A274" s="6" t="str">
        <f aca="false">parametros_recargas!$B$92</f>
        <v>Presurización — recinto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9132.54281121178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7793.77118484989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7143.69842833484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7792.00179093261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7850.44090571887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7770.09381760393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6994.27179036495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7059.4869744284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7129.57840993325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7129.57840993325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8409.91092150889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9829.02963598572</v>
      </c>
      <c r="N274" s="12" t="n">
        <f aca="false">SUM(B274:M274)</f>
        <v>94034.4050808064</v>
      </c>
      <c r="O274" s="27" t="n">
        <f aca="false">MAX(B274:M274)</f>
        <v>9829.02963598572</v>
      </c>
      <c r="P274" s="16" t="n">
        <f aca="false">O274/parametros_recargas!$B$6</f>
        <v>65.5268642399048</v>
      </c>
    </row>
    <row r="275" customFormat="false" ht="15" hidden="false" customHeight="false" outlineLevel="0" collapsed="false">
      <c r="A275" s="6" t="str">
        <f aca="false">parametros_recargas!$B$93</f>
        <v>Ensamblaje y presurización — zona general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564.306304306113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564.306304306113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657.951293306395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747.377527537788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755.475816184593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738.916540708377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629.426584795775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636.810564878684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652.133477149124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652.133477149124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644.035188502319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660.594463978535</v>
      </c>
      <c r="N275" s="12" t="n">
        <f aca="false">SUM(B275:M275)</f>
        <v>7903.46754280294</v>
      </c>
      <c r="O275" s="27" t="n">
        <f aca="false">MAX(B275:M275)</f>
        <v>755.475816184593</v>
      </c>
      <c r="P275" s="16" t="n">
        <f aca="false">O275/parametros_recargas!$B$6</f>
        <v>5.03650544123062</v>
      </c>
    </row>
    <row r="276" customFormat="false" ht="15" hidden="false" customHeight="false" outlineLevel="0" collapsed="false">
      <c r="A276" s="6" t="str">
        <f aca="false">parametros_recargas!$B$94</f>
        <v>Control de peso (CO₂ y halogenados sin recarga)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376.097628654757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376.097628654757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466.200461063326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554.674994251551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559.858998919397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545.688660796319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444.692999121705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446.599494932518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459.192734462051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459.192734462051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454.008729794205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468.179067917283</v>
      </c>
      <c r="N276" s="12" t="n">
        <f aca="false">SUM(B276:M276)</f>
        <v>5610.48413302992</v>
      </c>
      <c r="O276" s="27" t="n">
        <f aca="false">MAX(B276:M276)</f>
        <v>559.858998919397</v>
      </c>
      <c r="P276" s="16" t="n">
        <f aca="false">O276/parametros_recargas!$B$6</f>
        <v>3.73239332612931</v>
      </c>
    </row>
    <row r="277" customFormat="false" ht="15" hidden="false" customHeight="false" outlineLevel="0" collapsed="false">
      <c r="A277" s="6" t="str">
        <f aca="false">parametros_recargas!$B$95</f>
        <v>Ensayo de pérdidas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10100.3201898747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8761.54856351277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8302.28373376021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9135.29359709976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9207.4137747905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9095.37616531208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8101.29962343399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8175.95193691508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8274.79911670766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8274.79911670766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9541.45056537881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10992.2598012191</v>
      </c>
      <c r="N277" s="12" t="n">
        <f aca="false">SUM(B277:M277)</f>
        <v>107962.796184712</v>
      </c>
      <c r="O277" s="27" t="n">
        <f aca="false">MAX(B277:M277)</f>
        <v>10992.2598012191</v>
      </c>
      <c r="P277" s="16" t="n">
        <f aca="false">O277/parametros_recargas!$B$6</f>
        <v>73.2817320081275</v>
      </c>
    </row>
    <row r="278" customFormat="false" ht="15" hidden="false" customHeight="false" outlineLevel="0" collapsed="false">
      <c r="A278" s="6" t="str">
        <f aca="false">parametros_recargas!$B$96</f>
        <v>Precinto, etiqueta y despacho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10100.3201898747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8761.54856351277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8302.28373376021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9135.29359709976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9207.4137747905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9095.37616531208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8101.29962343399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8175.95193691508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8274.79911670766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8274.79911670766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9541.45056537881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10992.2598012191</v>
      </c>
      <c r="N278" s="12" t="n">
        <f aca="false">SUM(B278:M278)</f>
        <v>107962.796184712</v>
      </c>
      <c r="O278" s="27" t="n">
        <f aca="false">MAX(B278:M278)</f>
        <v>10992.2598012191</v>
      </c>
      <c r="P278" s="16" t="n">
        <f aca="false">O278/parametros_recargas!$B$6</f>
        <v>73.2817320081275</v>
      </c>
    </row>
    <row r="279" customFormat="false" ht="15" hidden="false" customHeight="false" outlineLevel="0" collapsed="false">
      <c r="A279" s="6" t="str">
        <f aca="false">parametros_recargas!$B$97</f>
        <v>Inutilización y disposición final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798.901133289302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691.799403180351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652.704848348936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717.077059642044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722.713750660692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714.071044490482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637.134553490866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643.057854061383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650.685764282201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650.685764282201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752.150803372505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867.895239651666</v>
      </c>
      <c r="N279" s="12" t="n">
        <f aca="false">SUM(B279:M279)</f>
        <v>8498.87721875263</v>
      </c>
      <c r="O279" s="27" t="n">
        <f aca="false">MAX(B279:M279)</f>
        <v>867.895239651666</v>
      </c>
      <c r="P279" s="16" t="n">
        <f aca="false">O279/parametros_recargas!$B$6</f>
        <v>5.78596826434444</v>
      </c>
    </row>
    <row r="280" customFormat="false" ht="15" hidden="false" customHeight="false" outlineLevel="0" collapsed="false">
      <c r="A280" s="6" t="str">
        <f aca="false">parametros_recargas!$B$98</f>
        <v>PH de mangueras (CO₂ y rodantes)</v>
      </c>
      <c r="B280" s="26" t="n">
        <f aca="false">'Plan mensual'!D285</f>
        <v>261.993822548672</v>
      </c>
      <c r="C280" s="26" t="n">
        <f aca="false">'Plan mensual'!E285</f>
        <v>261.993822548672</v>
      </c>
      <c r="D280" s="26" t="n">
        <f aca="false">'Plan mensual'!F285</f>
        <v>285.76898281458</v>
      </c>
      <c r="E280" s="26" t="n">
        <f aca="false">'Plan mensual'!G285</f>
        <v>318.308937299453</v>
      </c>
      <c r="F280" s="26" t="n">
        <f aca="false">'Plan mensual'!H285</f>
        <v>323.45536264841</v>
      </c>
      <c r="G280" s="26" t="n">
        <f aca="false">'Plan mensual'!I285</f>
        <v>308.057792702062</v>
      </c>
      <c r="H280" s="26" t="n">
        <f aca="false">'Plan mensual'!J285</f>
        <v>269.334423387122</v>
      </c>
      <c r="I280" s="26" t="n">
        <f aca="false">'Plan mensual'!K285</f>
        <v>274.031487838762</v>
      </c>
      <c r="J280" s="26" t="n">
        <f aca="false">'Plan mensual'!L285</f>
        <v>287.00275225658</v>
      </c>
      <c r="K280" s="26" t="n">
        <f aca="false">'Plan mensual'!M285</f>
        <v>287.00275225658</v>
      </c>
      <c r="L280" s="26" t="n">
        <f aca="false">'Plan mensual'!N285</f>
        <v>281.856326907622</v>
      </c>
      <c r="M280" s="26" t="n">
        <f aca="false">'Plan mensual'!O285</f>
        <v>297.253896853971</v>
      </c>
      <c r="N280" s="12" t="n">
        <f aca="false">SUM(B280:M280)</f>
        <v>3456.06036006249</v>
      </c>
      <c r="O280" s="27" t="n">
        <f aca="false">MAX(B280:M280)</f>
        <v>323.45536264841</v>
      </c>
      <c r="P280" s="16" t="n">
        <f aca="false">O280/parametros_recargas!$B$6</f>
        <v>2.15636908432274</v>
      </c>
    </row>
    <row r="289" customFormat="false" ht="23.85" hidden="false" customHeight="false" outlineLevel="0" collapsed="false">
      <c r="A289" s="3" t="s">
        <v>401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390</v>
      </c>
      <c r="O289" s="3" t="s">
        <v>391</v>
      </c>
      <c r="P289" s="3" t="s">
        <v>392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10822.0753617947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9391.26248259587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8906.03004829151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9801.72994411986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9879.35845612023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9758.70323445242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8689.69148393888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8770.09607989047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8876.5519022171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8876.5519022171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10229.7362694156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11781.2043702823</v>
      </c>
      <c r="N290" s="12" t="n">
        <f aca="false">SUM(B290:M290)</f>
        <v>115782.991535336</v>
      </c>
      <c r="O290" s="27" t="n">
        <f aca="false">MAX(B290:M290)</f>
        <v>11781.2043702823</v>
      </c>
      <c r="P290" s="16" t="n">
        <f aca="false">O290/parametros_recargas!$B$6</f>
        <v>78.5413624685485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10822.0753617947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9391.26248259587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8906.03004829151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9801.72994411986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9879.35845612023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9758.70323445242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8689.69148393888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8770.09607989047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8876.5519022171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8876.5519022171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10229.7362694156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11781.2043702823</v>
      </c>
      <c r="N291" s="12" t="n">
        <f aca="false">SUM(B291:M291)</f>
        <v>115782.991535336</v>
      </c>
      <c r="O291" s="27" t="n">
        <f aca="false">MAX(B291:M291)</f>
        <v>11781.2043702823</v>
      </c>
      <c r="P291" s="16" t="n">
        <f aca="false">O291/parametros_recargas!$B$6</f>
        <v>78.5413624685485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8342.07819471006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7118.73318299503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6528.45821065373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7124.43671000994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7178.20657516656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7104.25667596656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6390.96214189611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6451.00660254944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6515.52676043472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6515.52676043472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7685.10190699313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8982.39681790817</v>
      </c>
      <c r="N292" s="12" t="n">
        <f aca="false">SUM(B292:M292)</f>
        <v>85936.6905397182</v>
      </c>
      <c r="O292" s="27" t="n">
        <f aca="false">MAX(B292:M292)</f>
        <v>8982.39681790817</v>
      </c>
      <c r="P292" s="16" t="n">
        <f aca="false">O292/parametros_recargas!$B$6</f>
        <v>59.8826454527211</v>
      </c>
    </row>
    <row r="293" customFormat="false" ht="15" hidden="false" customHeight="false" outlineLevel="0" collapsed="false">
      <c r="A293" s="6" t="str">
        <f aca="false">parametros_recargas!$B$79</f>
        <v>Descarga a descarte (ABC, 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948.211256906386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812.284033382493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746.697925344571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812.917758606372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818.892188068219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810.675532601552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731.420584371502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738.092191110762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745.261097542459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745.261097542459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875.213891604505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1019.35777059506</v>
      </c>
      <c r="N293" s="12" t="n">
        <f aca="false">SUM(B293:M293)</f>
        <v>9804.28532767634</v>
      </c>
      <c r="O293" s="27" t="n">
        <f aca="false">MAX(B293:M293)</f>
        <v>1019.35777059506</v>
      </c>
      <c r="P293" s="16" t="n">
        <f aca="false">O293/parametros_recargas!$B$6</f>
        <v>6.79571847063376</v>
      </c>
    </row>
    <row r="294" customFormat="false" ht="15" hidden="false" customHeight="false" outlineLevel="0" collapsed="false">
      <c r="A294" s="6" t="str">
        <f aca="false">parametros_recargas!$B$80</f>
        <v>Descarga y carga de agua / AFFF / sales K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398.718167093549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398.718167093549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452.068384018256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501.738815852667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507.573179250257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497.463553470887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433.186188537034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439.8380741644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449.428041227882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449.428041227882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443.593677830293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453.703303609662</v>
      </c>
      <c r="N294" s="12" t="n">
        <f aca="false">SUM(B294:M294)</f>
        <v>5425.45759337632</v>
      </c>
      <c r="O294" s="27" t="n">
        <f aca="false">MAX(B294:M294)</f>
        <v>507.573179250257</v>
      </c>
      <c r="P294" s="16" t="n">
        <f aca="false">O294/parametros_recargas!$B$6</f>
        <v>3.38382119500171</v>
      </c>
    </row>
    <row r="295" customFormat="false" ht="15" hidden="false" customHeight="false" outlineLevel="0" collapsed="false">
      <c r="A295" s="6" t="str">
        <f aca="false">parametros_recargas!$B$81</f>
        <v>Recuperación y carga de CO₂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357.241916997178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357.241916997178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449.26631920269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537.999708996751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543.212456057781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530.651502293791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429.353945530039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431.278893385318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442.24937879452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442.24937879452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437.036631733491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449.597585497481</v>
      </c>
      <c r="N295" s="12" t="n">
        <f aca="false">SUM(B295:M295)</f>
        <v>5407.37963428074</v>
      </c>
      <c r="O295" s="27" t="n">
        <f aca="false">MAX(B295:M295)</f>
        <v>543.212456057781</v>
      </c>
      <c r="P295" s="16" t="n">
        <f aca="false">O295/parametros_recargas!$B$6</f>
        <v>3.62141637371854</v>
      </c>
    </row>
    <row r="296" customFormat="false" ht="15" hidden="false" customHeight="false" outlineLevel="0" collapsed="false">
      <c r="A296" s="6" t="str">
        <f aca="false">parametros_recargas!$B$82</f>
        <v>Recuperación y carga de halogenado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11.8492345830775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11.8492345830775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10.8680791793464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10.8680791793464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10.8680791793464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9.88692377561519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9.88692377561519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9.88692377561519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10.8680791793464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10.8680791793464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10.8680791793464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11.8492345830775</v>
      </c>
      <c r="N296" s="12" t="n">
        <f aca="false">SUM(B296:M296)</f>
        <v>130.416950152156</v>
      </c>
      <c r="O296" s="27" t="n">
        <f aca="false">MAX(B296:M296)</f>
        <v>11.8492345830775</v>
      </c>
      <c r="P296" s="16" t="n">
        <f aca="false">O296/parametros_recargas!$B$6</f>
        <v>0.0789948972205169</v>
      </c>
    </row>
    <row r="297" customFormat="false" ht="15" hidden="false" customHeight="false" outlineLevel="0" collapsed="false">
      <c r="A297" s="6" t="str">
        <f aca="false">parametros_recargas!$B$83</f>
        <v>Desarme y limpieza — recinto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9779.2520543331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8348.43917513423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7658.05909052453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8355.10996696454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8417.99869814187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8331.50758796643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7497.24497501854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7567.47241437917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7642.9345873444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7642.9345873444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9010.85873536593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10528.1627247402</v>
      </c>
      <c r="N297" s="12" t="n">
        <f aca="false">SUM(B297:M297)</f>
        <v>100779.974597257</v>
      </c>
      <c r="O297" s="27" t="n">
        <f aca="false">MAX(B297:M297)</f>
        <v>10528.1627247402</v>
      </c>
      <c r="P297" s="16" t="n">
        <f aca="false">O297/parametros_recargas!$B$6</f>
        <v>70.1877514982683</v>
      </c>
    </row>
    <row r="298" customFormat="false" ht="15" hidden="false" customHeight="false" outlineLevel="0" collapsed="false">
      <c r="A298" s="6" t="str">
        <f aca="false">parametros_recargas!$B$84</f>
        <v>Desarme e inspección interior — zona general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608.332073683952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608.332073683952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709.046889872927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805.240861251626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813.961800107287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796.123203659206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678.336193490885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686.290729877811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702.795281264368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702.795281264368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694.074342408707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711.912938856787</v>
      </c>
      <c r="N298" s="12" t="n">
        <f aca="false">SUM(B298:M298)</f>
        <v>8517.24166942188</v>
      </c>
      <c r="O298" s="27" t="n">
        <f aca="false">MAX(B298:M298)</f>
        <v>813.961800107287</v>
      </c>
      <c r="P298" s="16" t="n">
        <f aca="false">O298/parametros_recargas!$B$6</f>
        <v>5.42641200071525</v>
      </c>
    </row>
    <row r="299" customFormat="false" ht="15" hidden="false" customHeight="false" outlineLevel="0" collapsed="false">
      <c r="A299" s="6" t="str">
        <f aca="false">parametros_recargas!$B$85</f>
        <v>Laboratorio — Puffer y mufla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101.537160495689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86.6469885389124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79.4623466302315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86.7164100816488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87.3708800231679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86.4707850338316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77.7887875871358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78.5196299379185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79.3049490722511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79.3049490722511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93.5406510875087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109.330918033622</v>
      </c>
      <c r="N299" s="12" t="n">
        <f aca="false">SUM(B299:M299)</f>
        <v>1045.99445559417</v>
      </c>
      <c r="O299" s="27" t="n">
        <f aca="false">MAX(B299:M299)</f>
        <v>109.330918033622</v>
      </c>
      <c r="P299" s="16" t="n">
        <f aca="false">O299/parametros_recargas!$B$6</f>
        <v>0.728872786890812</v>
      </c>
    </row>
    <row r="300" customFormat="false" ht="15" hidden="false" customHeight="false" outlineLevel="0" collapsed="false">
      <c r="A300" s="6" t="str">
        <f aca="false">parametros_recargas!$B$86</f>
        <v>Prueba hidráulica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2831.42984058349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2473.72662078377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2369.26594913128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2608.87632261502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2630.12588116172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2596.76956234075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2309.2185094701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2331.42025391927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2361.06262015255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2361.06262015255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2697.51628140557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3088.57582002625</v>
      </c>
      <c r="N300" s="12" t="n">
        <f aca="false">SUM(B300:M300)</f>
        <v>30659.0502817423</v>
      </c>
      <c r="O300" s="27" t="n">
        <f aca="false">MAX(B300:M300)</f>
        <v>3088.57582002625</v>
      </c>
      <c r="P300" s="16" t="n">
        <f aca="false">O300/parametros_recargas!$B$6</f>
        <v>20.5905054668417</v>
      </c>
    </row>
    <row r="301" customFormat="false" ht="15" hidden="false" customHeight="false" outlineLevel="0" collapsed="false">
      <c r="A301" s="6" t="str">
        <f aca="false">parametros_recargas!$B$87</f>
        <v>Secado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2698.38552754635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2326.37417895464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2184.12273876279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2401.94705521207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2420.44771173509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2392.07942305306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2133.39895533042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2152.4518824942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2177.29678426249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2177.29678426249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2530.80747633117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2931.1871136049</v>
      </c>
      <c r="N301" s="12" t="n">
        <f aca="false">SUM(B301:M301)</f>
        <v>28525.7956315497</v>
      </c>
      <c r="O301" s="27" t="n">
        <f aca="false">MAX(B301:M301)</f>
        <v>2931.1871136049</v>
      </c>
      <c r="P301" s="16" t="n">
        <f aca="false">O301/parametros_recargas!$B$6</f>
        <v>19.5412474240327</v>
      </c>
    </row>
    <row r="302" customFormat="false" ht="15" hidden="false" customHeight="false" outlineLevel="0" collapsed="false">
      <c r="A302" s="6" t="str">
        <f aca="false">parametros_recargas!$B$88</f>
        <v>Inspección interior con videoscopio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2698.38552754635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2326.37417895464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2184.12273876279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2401.94705521207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2420.44771173509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2392.07942305306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2133.39895533042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2152.4518824942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2177.29678426249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2177.29678426249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2530.80747633117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2931.1871136049</v>
      </c>
      <c r="N302" s="12" t="n">
        <f aca="false">SUM(B302:M302)</f>
        <v>28525.7956315497</v>
      </c>
      <c r="O302" s="27" t="n">
        <f aca="false">MAX(B302:M302)</f>
        <v>2931.1871136049</v>
      </c>
      <c r="P302" s="16" t="n">
        <f aca="false">O302/parametros_recargas!$B$6</f>
        <v>19.5412474240327</v>
      </c>
    </row>
    <row r="303" customFormat="false" ht="15" hidden="false" customHeight="false" outlineLevel="0" collapsed="false">
      <c r="A303" s="6" t="str">
        <f aca="false">parametros_recargas!$B$89</f>
        <v>Pintura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1623.31130426921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1408.68937238938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1335.90450724373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1470.25949161798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1481.90376841803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1463.80548516786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1303.45372259083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1315.51441198357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1331.48278533256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1331.48278533256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1534.46044041234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1767.18065554234</v>
      </c>
      <c r="N303" s="12" t="n">
        <f aca="false">SUM(B303:M303)</f>
        <v>17367.4487303004</v>
      </c>
      <c r="O303" s="27" t="n">
        <f aca="false">MAX(B303:M303)</f>
        <v>1767.18065554234</v>
      </c>
      <c r="P303" s="16" t="n">
        <f aca="false">O303/parametros_recargas!$B$6</f>
        <v>11.7812043702823</v>
      </c>
    </row>
    <row r="304" customFormat="false" ht="15" hidden="false" customHeight="false" outlineLevel="0" collapsed="false">
      <c r="A304" s="6" t="str">
        <f aca="false">parametros_recargas!$B$90</f>
        <v>Carga de polvo ABC, BC y Clase D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9795.15247666857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8364.3395974697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7673.95951286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8371.01038930001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8433.89912047735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8347.40801030191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7513.14539735401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7583.37283671464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7658.83500967987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7658.83500967987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9026.7591577014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10544.0631470757</v>
      </c>
      <c r="N304" s="12" t="n">
        <f aca="false">SUM(B304:M304)</f>
        <v>100970.779665283</v>
      </c>
      <c r="O304" s="27" t="n">
        <f aca="false">MAX(B304:M304)</f>
        <v>10544.0631470757</v>
      </c>
      <c r="P304" s="16" t="n">
        <f aca="false">O304/parametros_recargas!$B$6</f>
        <v>70.2937543138381</v>
      </c>
    </row>
    <row r="305" customFormat="false" ht="15" hidden="false" customHeight="false" outlineLevel="0" collapsed="false">
      <c r="A305" s="6" t="str">
        <f aca="false">parametros_recargas!$B$91</f>
        <v>Ensamblaje y marbete — recinto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9779.2520543331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8348.43917513423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7658.05909052453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8355.10996696454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8417.99869814187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8331.50758796643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7497.24497501854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7567.47241437917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7642.9345873444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7642.9345873444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9010.85873536593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10528.1627247402</v>
      </c>
      <c r="N305" s="12" t="n">
        <f aca="false">SUM(B305:M305)</f>
        <v>100779.974597257</v>
      </c>
      <c r="O305" s="27" t="n">
        <f aca="false">MAX(B305:M305)</f>
        <v>10528.1627247402</v>
      </c>
      <c r="P305" s="16" t="n">
        <f aca="false">O305/parametros_recargas!$B$6</f>
        <v>70.1877514982683</v>
      </c>
    </row>
    <row r="306" customFormat="false" ht="15" hidden="false" customHeight="false" outlineLevel="0" collapsed="false">
      <c r="A306" s="6" t="str">
        <f aca="false">parametros_recargas!$B$92</f>
        <v>Presurización — recinto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9779.2520543331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8348.43917513423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7658.05909052453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8355.10996696454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8417.99869814187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8331.50758796643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7497.24497501854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7567.47241437917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7642.9345873444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7642.9345873444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9010.85873536593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10528.1627247402</v>
      </c>
      <c r="N306" s="12" t="n">
        <f aca="false">SUM(B306:M306)</f>
        <v>100779.974597257</v>
      </c>
      <c r="O306" s="27" t="n">
        <f aca="false">MAX(B306:M306)</f>
        <v>10528.1627247402</v>
      </c>
      <c r="P306" s="16" t="n">
        <f aca="false">O306/parametros_recargas!$B$6</f>
        <v>70.1877514982683</v>
      </c>
    </row>
    <row r="307" customFormat="false" ht="15" hidden="false" customHeight="false" outlineLevel="0" collapsed="false">
      <c r="A307" s="6" t="str">
        <f aca="false">parametros_recargas!$B$93</f>
        <v>Ensamblaje y presurización — zona general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608.332073683952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608.332073683952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709.046889872927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805.240861251626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813.961800107287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796.123203659206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678.336193490885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686.290729877811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702.795281264368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702.795281264368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694.074342408707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711.912938856787</v>
      </c>
      <c r="N307" s="12" t="n">
        <f aca="false">SUM(B307:M307)</f>
        <v>8517.24166942188</v>
      </c>
      <c r="O307" s="27" t="n">
        <f aca="false">MAX(B307:M307)</f>
        <v>813.961800107287</v>
      </c>
      <c r="P307" s="16" t="n">
        <f aca="false">O307/parametros_recargas!$B$6</f>
        <v>5.42641200071525</v>
      </c>
    </row>
    <row r="308" customFormat="false" ht="15" hidden="false" customHeight="false" outlineLevel="0" collapsed="false">
      <c r="A308" s="6" t="str">
        <f aca="false">parametros_recargas!$B$94</f>
        <v>Control de peso (CO₂ y halogenados sin recarga)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405.02798289132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405.02798289132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501.871175588681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597.008005883344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602.596930567335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587.307370472651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478.699680746567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480.763542364598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494.347858037653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494.347858037653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488.758933353663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504.048493448346</v>
      </c>
      <c r="N308" s="12" t="n">
        <f aca="false">SUM(B308:M308)</f>
        <v>6039.80581428313</v>
      </c>
      <c r="O308" s="27" t="n">
        <f aca="false">MAX(B308:M308)</f>
        <v>602.596930567335</v>
      </c>
      <c r="P308" s="16" t="n">
        <f aca="false">O308/parametros_recargas!$B$6</f>
        <v>4.0173128704489</v>
      </c>
    </row>
    <row r="309" customFormat="false" ht="15" hidden="false" customHeight="false" outlineLevel="0" collapsed="false">
      <c r="A309" s="6" t="str">
        <f aca="false">parametros_recargas!$B$95</f>
        <v>Ensayo de pérdidas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10822.0753617947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9391.26248259587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8906.03004829151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9801.72994411986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9879.35845612023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9758.70323445242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8689.69148393888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8770.09607989047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8876.5519022171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8876.5519022171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10229.7362694156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11781.2043702823</v>
      </c>
      <c r="N309" s="12" t="n">
        <f aca="false">SUM(B309:M309)</f>
        <v>115782.991535336</v>
      </c>
      <c r="O309" s="27" t="n">
        <f aca="false">MAX(B309:M309)</f>
        <v>11781.2043702823</v>
      </c>
      <c r="P309" s="16" t="n">
        <f aca="false">O309/parametros_recargas!$B$6</f>
        <v>78.5413624685485</v>
      </c>
    </row>
    <row r="310" customFormat="false" ht="15" hidden="false" customHeight="false" outlineLevel="0" collapsed="false">
      <c r="A310" s="6" t="str">
        <f aca="false">parametros_recargas!$B$96</f>
        <v>Precinto, etiqueta y despacho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10822.0753617947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9391.26248259587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8906.03004829151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9801.72994411986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9879.35845612023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9758.70323445242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8689.69148393888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8770.09607989047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8876.5519022171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8876.5519022171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10229.7362694156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11781.2043702823</v>
      </c>
      <c r="N310" s="12" t="n">
        <f aca="false">SUM(B310:M310)</f>
        <v>115782.991535336</v>
      </c>
      <c r="O310" s="27" t="n">
        <f aca="false">MAX(B310:M310)</f>
        <v>11781.2043702823</v>
      </c>
      <c r="P310" s="16" t="n">
        <f aca="false">O310/parametros_recargas!$B$6</f>
        <v>78.5413624685485</v>
      </c>
    </row>
    <row r="311" customFormat="false" ht="15" hidden="false" customHeight="false" outlineLevel="0" collapsed="false">
      <c r="A311" s="6" t="str">
        <f aca="false">parametros_recargas!$B$97</f>
        <v>Inutilización y disposición final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855.944945314791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741.479914978881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700.131439761529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769.348025522805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775.415000721707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766.107901304818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683.371773820814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689.751221968273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697.966093653807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697.966093653807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806.364148790815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930.136278543614</v>
      </c>
      <c r="N311" s="12" t="n">
        <f aca="false">SUM(B311:M311)</f>
        <v>9113.98283803566</v>
      </c>
      <c r="O311" s="27" t="n">
        <f aca="false">MAX(B311:M311)</f>
        <v>930.136278543614</v>
      </c>
      <c r="P311" s="16" t="n">
        <f aca="false">O311/parametros_recargas!$B$6</f>
        <v>6.20090852362409</v>
      </c>
    </row>
    <row r="312" customFormat="false" ht="15" hidden="false" customHeight="false" outlineLevel="0" collapsed="false">
      <c r="A312" s="6" t="str">
        <f aca="false">parametros_recargas!$B$98</f>
        <v>PH de mangueras (CO₂ y rodantes)</v>
      </c>
      <c r="B312" s="26" t="n">
        <f aca="false">'Plan mensual'!D317</f>
        <v>283.215341180844</v>
      </c>
      <c r="C312" s="26" t="n">
        <f aca="false">'Plan mensual'!E317</f>
        <v>283.215341180844</v>
      </c>
      <c r="D312" s="26" t="n">
        <f aca="false">'Plan mensual'!F317</f>
        <v>308.903980998266</v>
      </c>
      <c r="E312" s="26" t="n">
        <f aca="false">'Plan mensual'!G317</f>
        <v>344.063183484763</v>
      </c>
      <c r="F312" s="26" t="n">
        <f aca="false">'Plan mensual'!H317</f>
        <v>349.626304773641</v>
      </c>
      <c r="G312" s="26" t="n">
        <f aca="false">'Plan mensual'!I317</f>
        <v>332.986823026631</v>
      </c>
      <c r="H312" s="26" t="n">
        <f aca="false">'Plan mensual'!J317</f>
        <v>291.145384980551</v>
      </c>
      <c r="I312" s="26" t="n">
        <f aca="false">'Plan mensual'!K317</f>
        <v>296.221822751076</v>
      </c>
      <c r="J312" s="26" t="n">
        <f aca="false">'Plan mensual'!L317</f>
        <v>310.237851541736</v>
      </c>
      <c r="K312" s="26" t="n">
        <f aca="false">'Plan mensual'!M317</f>
        <v>310.237851541736</v>
      </c>
      <c r="L312" s="26" t="n">
        <f aca="false">'Plan mensual'!N317</f>
        <v>304.674730252858</v>
      </c>
      <c r="M312" s="26" t="n">
        <f aca="false">'Plan mensual'!O317</f>
        <v>321.314211999868</v>
      </c>
      <c r="N312" s="12" t="n">
        <f aca="false">SUM(B312:M312)</f>
        <v>3735.84282771281</v>
      </c>
      <c r="O312" s="27" t="n">
        <f aca="false">MAX(B312:M312)</f>
        <v>349.626304773641</v>
      </c>
      <c r="P312" s="16" t="n">
        <f aca="false">O312/parametros_recargas!$B$6</f>
        <v>2.33084203182427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402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247</v>
      </c>
      <c r="N1" s="3" t="s">
        <v>403</v>
      </c>
      <c r="O1" s="3" t="s">
        <v>404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0.0294969285801908</v>
      </c>
      <c r="C2" s="17" t="n">
        <f aca="false">IF(parametros_recargas!$O$76*C34*C66=0,0,'Demanda por puesto'!$P$34/(parametros_recargas!$O$76*C34*C66))</f>
        <v>0.136115569186207</v>
      </c>
      <c r="D2" s="17" t="n">
        <f aca="false">IF(parametros_recargas!$O$76*D34*D66=0,0,'Demanda por puesto'!$P$66/(parametros_recargas!$O$76*D34*D66))</f>
        <v>0.268858579605292</v>
      </c>
      <c r="E2" s="17" t="n">
        <f aca="false">IF(parametros_recargas!$O$76*E34*E66=0,0,'Demanda por puesto'!$P$98/(parametros_recargas!$O$76*E34*E66))</f>
        <v>0.496653616647736</v>
      </c>
      <c r="F2" s="17" t="n">
        <f aca="false">IF(parametros_recargas!$O$76*F34*F66=0,0,'Demanda por puesto'!$P$130/(parametros_recargas!$O$76*F34*F66))</f>
        <v>0.733125271659985</v>
      </c>
      <c r="G2" s="17" t="n">
        <f aca="false">IF(parametros_recargas!$O$76*G34*G66=0,0,'Demanda por puesto'!$P$162/(parametros_recargas!$O$76*G34*G66))</f>
        <v>0.500152846782917</v>
      </c>
      <c r="H2" s="17" t="n">
        <f aca="false">IF(parametros_recargas!$O$76*H34*H66=0,0,'Demanda por puesto'!$P$194/(parametros_recargas!$O$76*H34*H66))</f>
        <v>0.622257668351382</v>
      </c>
      <c r="I2" s="17" t="n">
        <f aca="false">IF(parametros_recargas!$O$76*I34*I66=0,0,'Demanda por puesto'!$P$226/(parametros_recargas!$O$76*I34*I66))</f>
        <v>0.709704913017021</v>
      </c>
      <c r="J2" s="17" t="n">
        <f aca="false">IF(parametros_recargas!$O$76*J34*J66=0,0,'Demanda por puesto'!$P$258/(parametros_recargas!$O$76*J34*J66))</f>
        <v>0.763351375084661</v>
      </c>
      <c r="K2" s="17" t="n">
        <f aca="false">IF(parametros_recargas!$O$76*K34*K66=0,0,'Demanda por puesto'!$P$290/(parametros_recargas!$O$76*K34*K66))</f>
        <v>0.818139192380714</v>
      </c>
      <c r="L2" s="6" t="str">
        <f aca="false">parametros_recargas!$D$76</f>
        <v>Manual</v>
      </c>
      <c r="N2" s="5" t="s">
        <v>405</v>
      </c>
      <c r="O2" s="5" t="s">
        <v>406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0.035396314296229</v>
      </c>
      <c r="C3" s="17" t="n">
        <f aca="false">IF(parametros_recargas!$O$77*C35*C67=0,0,'Demanda por puesto'!$P$35/(parametros_recargas!$O$77*C35*C67))</f>
        <v>0.163338683023449</v>
      </c>
      <c r="D3" s="17" t="n">
        <f aca="false">IF(parametros_recargas!$O$77*D35*D67=0,0,'Demanda por puesto'!$P$67/(parametros_recargas!$O$77*D35*D67))</f>
        <v>0.322630295526351</v>
      </c>
      <c r="E3" s="17" t="n">
        <f aca="false">IF(parametros_recargas!$O$77*E35*E67=0,0,'Demanda por puesto'!$P$99/(parametros_recargas!$O$77*E35*E67))</f>
        <v>0.595984339977283</v>
      </c>
      <c r="F3" s="17" t="n">
        <f aca="false">IF(parametros_recargas!$O$77*F35*F67=0,0,'Demanda por puesto'!$P$131/(parametros_recargas!$O$77*F35*F67))</f>
        <v>0.879750325991982</v>
      </c>
      <c r="G3" s="17" t="n">
        <f aca="false">IF(parametros_recargas!$O$77*G35*G67=0,0,'Demanda por puesto'!$P$163/(parametros_recargas!$O$77*G35*G67))</f>
        <v>0.600183416139501</v>
      </c>
      <c r="H3" s="17" t="n">
        <f aca="false">IF(parametros_recargas!$O$77*H35*H67=0,0,'Demanda por puesto'!$P$195/(parametros_recargas!$O$77*H35*H67))</f>
        <v>0.373354601010829</v>
      </c>
      <c r="I3" s="17" t="n">
        <f aca="false">IF(parametros_recargas!$O$77*I35*I67=0,0,'Demanda por puesto'!$P$227/(parametros_recargas!$O$77*I35*I67))</f>
        <v>0.425822947810213</v>
      </c>
      <c r="J3" s="17" t="n">
        <f aca="false">IF(parametros_recargas!$O$77*J35*J67=0,0,'Demanda por puesto'!$P$259/(parametros_recargas!$O$77*J35*J67))</f>
        <v>0.458010825050797</v>
      </c>
      <c r="K3" s="17" t="n">
        <f aca="false">IF(parametros_recargas!$O$77*K35*K67=0,0,'Demanda por puesto'!$P$291/(parametros_recargas!$O$77*K35*K67))</f>
        <v>0.490883515428428</v>
      </c>
      <c r="L3" s="6" t="str">
        <f aca="false">parametros_recargas!$D$77</f>
        <v>Manual</v>
      </c>
      <c r="N3" s="29" t="s">
        <v>407</v>
      </c>
      <c r="O3" s="5" t="s">
        <v>408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0.0255288764046051</v>
      </c>
      <c r="C4" s="17" t="n">
        <f aca="false">IF(parametros_recargas!$O$78*C36*C68=0,0,'Demanda por puesto'!$P$36/(parametros_recargas!$O$78*C36*C68))</f>
        <v>0.118041840954034</v>
      </c>
      <c r="D4" s="17" t="n">
        <f aca="false">IF(parametros_recargas!$O$78*D36*D68=0,0,'Demanda por puesto'!$P$68/(parametros_recargas!$O$78*D36*D68))</f>
        <v>0.229996861114787</v>
      </c>
      <c r="E4" s="17" t="n">
        <f aca="false">IF(parametros_recargas!$O$78*E36*E68=0,0,'Demanda por puesto'!$P$100/(parametros_recargas!$O$78*E36*E68))</f>
        <v>0.425076590440797</v>
      </c>
      <c r="F4" s="17" t="n">
        <f aca="false">IF(parametros_recargas!$O$78*F36*F68=0,0,'Demanda por puesto'!$P$132/(parametros_recargas!$O$78*F36*F68))</f>
        <v>0.629413602800905</v>
      </c>
      <c r="G4" s="17" t="n">
        <f aca="false">IF(parametros_recargas!$O$78*G36*G68=0,0,'Demanda por puesto'!$P$164/(parametros_recargas!$O$78*G36*G68))</f>
        <v>0.862016557168282</v>
      </c>
      <c r="H4" s="17" t="n">
        <f aca="false">IF(parametros_recargas!$O$78*H36*H68=0,0,'Demanda por puesto'!$P$196/(parametros_recargas!$O$78*H36*H68))</f>
        <v>0.537047818602962</v>
      </c>
      <c r="I4" s="17" t="n">
        <f aca="false">IF(parametros_recargas!$O$78*I36*I68=0,0,'Demanda por puesto'!$P$228/(parametros_recargas!$O$78*I36*I68))</f>
        <v>0.614112595217383</v>
      </c>
      <c r="J4" s="17" t="n">
        <f aca="false">IF(parametros_recargas!$O$78*J36*J68=0,0,'Demanda por puesto'!$P$260/(parametros_recargas!$O$78*J36*J68))</f>
        <v>0.660019577631596</v>
      </c>
      <c r="K4" s="17" t="n">
        <f aca="false">IF(parametros_recargas!$O$78*K36*K68=0,0,'Demanda por puesto'!$P$292/(parametros_recargas!$O$78*K36*K68))</f>
        <v>0.706947897705735</v>
      </c>
      <c r="L4" s="6" t="str">
        <f aca="false">parametros_recargas!$D$78</f>
        <v>Máquina</v>
      </c>
      <c r="N4" s="30" t="s">
        <v>409</v>
      </c>
      <c r="O4" s="5" t="s">
        <v>410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17" t="n">
        <f aca="false">IF(parametros_recargas!$O$79*B37*B69=0,0,'Demanda por puesto'!$P$5/(parametros_recargas!$O$79*B37*B69))</f>
        <v>0.0028855884665724</v>
      </c>
      <c r="C5" s="17" t="n">
        <f aca="false">IF(parametros_recargas!$O$79*C37*C69=0,0,'Demanda por puesto'!$P$37/(parametros_recargas!$O$79*C37*C69))</f>
        <v>0.01347884074997</v>
      </c>
      <c r="D5" s="17" t="n">
        <f aca="false">IF(parametros_recargas!$O$79*D37*D69=0,0,'Demanda por puesto'!$P$69/(parametros_recargas!$O$79*D37*D69))</f>
        <v>0.0262186839213993</v>
      </c>
      <c r="E5" s="17" t="n">
        <f aca="false">IF(parametros_recargas!$O$79*E37*E69=0,0,'Demanda por puesto'!$P$101/(parametros_recargas!$O$79*E37*E69))</f>
        <v>0.0483611564295344</v>
      </c>
      <c r="F5" s="17" t="n">
        <f aca="false">IF(parametros_recargas!$O$79*F37*F69=0,0,'Demanda por puesto'!$P$133/(parametros_recargas!$O$79*F37*F69))</f>
        <v>0.0714863778668336</v>
      </c>
      <c r="G5" s="17" t="n">
        <f aca="false">IF(parametros_recargas!$O$79*G37*G69=0,0,'Demanda por puesto'!$P$165/(parametros_recargas!$O$79*G37*G69))</f>
        <v>0.0977715554488872</v>
      </c>
      <c r="H5" s="17" t="n">
        <f aca="false">IF(parametros_recargas!$O$79*H37*H69=0,0,'Demanda por puesto'!$P$197/(parametros_recargas!$O$79*H37*H69))</f>
        <v>0.12188579501487</v>
      </c>
      <c r="I5" s="17" t="n">
        <f aca="false">IF(parametros_recargas!$O$79*I37*I69=0,0,'Demanda por puesto'!$P$229/(parametros_recargas!$O$79*I37*I69))</f>
        <v>0.139304122945596</v>
      </c>
      <c r="J5" s="17" t="n">
        <f aca="false">IF(parametros_recargas!$O$79*J37*J69=0,0,'Demanda por puesto'!$P$261/(parametros_recargas!$O$79*J37*J69))</f>
        <v>0.149764813451339</v>
      </c>
      <c r="K5" s="17" t="n">
        <f aca="false">IF(parametros_recargas!$O$79*K37*K69=0,0,'Demanda por puesto'!$P$293/(parametros_recargas!$O$79*K37*K69))</f>
        <v>0.160454463889964</v>
      </c>
      <c r="L5" s="6" t="str">
        <f aca="false">parametros_recargas!$D$79</f>
        <v>Máquina</v>
      </c>
      <c r="N5" s="31" t="s">
        <v>411</v>
      </c>
      <c r="O5" s="5" t="s">
        <v>412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17" t="n">
        <f aca="false">IF(parametros_recargas!$O$80*B38*B70=0,0,'Demanda por puesto'!$P$6/(parametros_recargas!$O$80*B38*B70))</f>
        <v>0.00331572339231139</v>
      </c>
      <c r="C6" s="17" t="n">
        <f aca="false">IF(parametros_recargas!$O$80*C38*C70=0,0,'Demanda por puesto'!$P$38/(parametros_recargas!$O$80*C38*C70))</f>
        <v>0.0163731062319929</v>
      </c>
      <c r="D6" s="17" t="n">
        <f aca="false">IF(parametros_recargas!$O$80*D38*D70=0,0,'Demanda por puesto'!$P$70/(parametros_recargas!$O$80*D38*D70))</f>
        <v>0.0351472551299469</v>
      </c>
      <c r="E6" s="17" t="n">
        <f aca="false">IF(parametros_recargas!$O$80*E38*E70=0,0,'Demanda por puesto'!$P$102/(parametros_recargas!$O$80*E38*E70))</f>
        <v>0.063302892314616</v>
      </c>
      <c r="F6" s="17" t="n">
        <f aca="false">IF(parametros_recargas!$O$80*F38*F70=0,0,'Demanda por puesto'!$P$134/(parametros_recargas!$O$80*F38*F70))</f>
        <v>0.0909944637775223</v>
      </c>
      <c r="G6" s="17" t="n">
        <f aca="false">IF(parametros_recargas!$O$80*G38*G70=0,0,'Demanda por puesto'!$P$166/(parametros_recargas!$O$80*G38*G70))</f>
        <v>0.12001195327002</v>
      </c>
      <c r="H6" s="17" t="n">
        <f aca="false">IF(parametros_recargas!$O$80*H38*H70=0,0,'Demanda por puesto'!$P$198/(parametros_recargas!$O$80*H38*H70))</f>
        <v>0.147248638634289</v>
      </c>
      <c r="I6" s="17" t="n">
        <f aca="false">IF(parametros_recargas!$O$80*I38*I70=0,0,'Demanda por puesto'!$P$230/(parametros_recargas!$O$80*I38*I70))</f>
        <v>0.165017257874739</v>
      </c>
      <c r="J6" s="17" t="n">
        <f aca="false">IF(parametros_recargas!$O$80*J38*J70=0,0,'Demanda por puesto'!$P$262/(parametros_recargas!$O$80*J38*J70))</f>
        <v>0.178755735111262</v>
      </c>
      <c r="K6" s="17" t="n">
        <f aca="false">IF(parametros_recargas!$O$80*K38*K70=0,0,'Demanda por puesto'!$P$294/(parametros_recargas!$O$80*K38*K70))</f>
        <v>0.192689818048709</v>
      </c>
      <c r="L6" s="6" t="str">
        <f aca="false">parametros_recargas!$D$80</f>
        <v>Máquina</v>
      </c>
      <c r="N6" s="32" t="s">
        <v>413</v>
      </c>
      <c r="O6" s="5" t="s">
        <v>414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17" t="n">
        <f aca="false">IF(parametros_recargas!$O$81*B39*B71=0,0,'Demanda por puesto'!$P$7/(parametros_recargas!$O$81*B39*B71))</f>
        <v>0.00451816828419367</v>
      </c>
      <c r="C7" s="17" t="n">
        <f aca="false">IF(parametros_recargas!$O$81*C39*C71=0,0,'Demanda por puesto'!$P$39/(parametros_recargas!$O$81*C39*C71))</f>
        <v>0.0183647883123354</v>
      </c>
      <c r="D7" s="17" t="n">
        <f aca="false">IF(parametros_recargas!$O$81*D39*D71=0,0,'Demanda por puesto'!$P$71/(parametros_recargas!$O$81*D39*D71))</f>
        <v>0.0419501304125506</v>
      </c>
      <c r="E7" s="17" t="n">
        <f aca="false">IF(parametros_recargas!$O$81*E39*E71=0,0,'Demanda por puesto'!$P$103/(parametros_recargas!$O$81*E39*E71))</f>
        <v>0.0790273607618569</v>
      </c>
      <c r="F7" s="17" t="n">
        <f aca="false">IF(parametros_recargas!$O$81*F39*F71=0,0,'Demanda por puesto'!$P$135/(parametros_recargas!$O$81*F39*F71))</f>
        <v>0.114309751714373</v>
      </c>
      <c r="G7" s="17" t="n">
        <f aca="false">IF(parametros_recargas!$O$81*G39*G71=0,0,'Demanda por puesto'!$P$167/(parametros_recargas!$O$81*G39*G71))</f>
        <v>0.152159458586302</v>
      </c>
      <c r="H7" s="17" t="n">
        <f aca="false">IF(parametros_recargas!$O$81*H39*H71=0,0,'Demanda por puesto'!$P$199/(parametros_recargas!$O$81*H39*H71))</f>
        <v>0.186733749269595</v>
      </c>
      <c r="I7" s="17" t="n">
        <f aca="false">IF(parametros_recargas!$O$81*I39*I71=0,0,'Demanda por puesto'!$P$231/(parametros_recargas!$O$81*I39*I71))</f>
        <v>0.207566073949444</v>
      </c>
      <c r="J7" s="17" t="n">
        <f aca="false">IF(parametros_recargas!$O$81*J39*J71=0,0,'Demanda por puesto'!$P$263/(parametros_recargas!$O$81*J39*J71))</f>
        <v>0.224382846381201</v>
      </c>
      <c r="K7" s="17" t="n">
        <f aca="false">IF(parametros_recargas!$O$81*K39*K71=0,0,'Demanda por puesto'!$P$295/(parametros_recargas!$O$81*K39*K71))</f>
        <v>0.241427758247903</v>
      </c>
      <c r="L7" s="6" t="str">
        <f aca="false">parametros_recargas!$D$81</f>
        <v>Máquina</v>
      </c>
      <c r="N7" s="33" t="s">
        <v>415</v>
      </c>
      <c r="O7" s="5" t="s">
        <v>416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17" t="n">
        <f aca="false">IF(parametros_recargas!$O$82*B40*B72=0,0,'Demanda por puesto'!$P$8/(parametros_recargas!$O$82*B40*B72))</f>
        <v>0.000276963307631128</v>
      </c>
      <c r="C8" s="17" t="n">
        <f aca="false">IF(parametros_recargas!$O$82*C40*C72=0,0,'Demanda por puesto'!$P$40/(parametros_recargas!$O$82*C40*C72))</f>
        <v>0.00175324497642777</v>
      </c>
      <c r="D8" s="17" t="n">
        <f aca="false">IF(parametros_recargas!$O$82*D40*D72=0,0,'Demanda por puesto'!$P$72/(parametros_recargas!$O$82*D40*D72))</f>
        <v>0.00356012809053463</v>
      </c>
      <c r="E8" s="17" t="n">
        <f aca="false">IF(parametros_recargas!$O$82*E40*E72=0,0,'Demanda por puesto'!$P$104/(parametros_recargas!$O$82*E40*E72))</f>
        <v>0.00619242515371183</v>
      </c>
      <c r="F8" s="17" t="n">
        <f aca="false">IF(parametros_recargas!$O$82*F40*F72=0,0,'Demanda por puesto'!$P$136/(parametros_recargas!$O$82*F40*F72))</f>
        <v>0.00888452365553169</v>
      </c>
      <c r="G8" s="17" t="n">
        <f aca="false">IF(parametros_recargas!$O$82*G40*G72=0,0,'Demanda por puesto'!$P$168/(parametros_recargas!$O$82*G40*G72))</f>
        <v>0.0116202443395375</v>
      </c>
      <c r="H8" s="17" t="n">
        <f aca="false">IF(parametros_recargas!$O$82*H40*H72=0,0,'Demanda por puesto'!$P$200/(parametros_recargas!$O$82*H40*H72))</f>
        <v>0.0145665495131798</v>
      </c>
      <c r="I8" s="17" t="n">
        <f aca="false">IF(parametros_recargas!$O$82*I40*I72=0,0,'Demanda por puesto'!$P$232/(parametros_recargas!$O$82*I40*I72))</f>
        <v>0.01655270334069</v>
      </c>
      <c r="J8" s="17" t="n">
        <f aca="false">IF(parametros_recargas!$O$82*J40*J72=0,0,'Demanda por puesto'!$P$264/(parametros_recargas!$O$82*J40*J72))</f>
        <v>0.0180657205586409</v>
      </c>
      <c r="K8" s="17" t="n">
        <f aca="false">IF(parametros_recargas!$O$82*K40*K72=0,0,'Demanda por puesto'!$P$296/(parametros_recargas!$O$82*K40*K72))</f>
        <v>0.0196390091701007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17" t="n">
        <f aca="false">IF(parametros_recargas!$O$83*B41*B73=0,0,'Demanda por puesto'!$P$9/(parametros_recargas!$O$83*B41*B73))</f>
        <v>0.0369476013804785</v>
      </c>
      <c r="C9" s="17" t="n">
        <f aca="false">IF(parametros_recargas!$O$83*C41*C73=0,0,'Demanda por puesto'!$P$41/(parametros_recargas!$O$83*C41*C73))</f>
        <v>0.171017604692513</v>
      </c>
      <c r="D9" s="17" t="n">
        <f aca="false">IF(parametros_recargas!$O$83*D41*D73=0,0,'Demanda por puesto'!$P$73/(parametros_recargas!$O$83*D41*D73))</f>
        <v>0.333159532245196</v>
      </c>
      <c r="E9" s="17" t="n">
        <f aca="false">IF(parametros_recargas!$O$83*E41*E73=0,0,'Demanda por puesto'!$P$105/(parametros_recargas!$O$83*E41*E73))</f>
        <v>0.61561564608526</v>
      </c>
      <c r="F9" s="17" t="n">
        <f aca="false">IF(parametros_recargas!$O$83*F41*F73=0,0,'Demanda por puesto'!$P$137/(parametros_recargas!$O$83*F41*F73))</f>
        <v>0.45569348588305</v>
      </c>
      <c r="G9" s="17" t="n">
        <f aca="false">IF(parametros_recargas!$O$83*G41*G73=0,0,'Demanda por puesto'!$P$169/(parametros_recargas!$O$83*G41*G73))</f>
        <v>0.624010847212401</v>
      </c>
      <c r="H9" s="17" t="n">
        <f aca="false">IF(parametros_recargas!$O$83*H41*H73=0,0,'Demanda por puesto'!$P$201/(parametros_recargas!$O$83*H41*H73))</f>
        <v>0.388786533694066</v>
      </c>
      <c r="I9" s="17" t="n">
        <f aca="false">IF(parametros_recargas!$O$83*I41*I73=0,0,'Demanda por puesto'!$P$233/(parametros_recargas!$O$83*I41*I73))</f>
        <v>0.444552872770706</v>
      </c>
      <c r="J9" s="17" t="n">
        <f aca="false">IF(parametros_recargas!$O$83*J41*J73=0,0,'Demanda por puesto'!$P$265/(parametros_recargas!$O$83*J41*J73))</f>
        <v>0.477800051749306</v>
      </c>
      <c r="K9" s="17" t="n">
        <f aca="false">IF(parametros_recargas!$O$83*K41*K73=0,0,'Demanda por puesto'!$P$297/(parametros_recargas!$O$83*K41*K73))</f>
        <v>0.511785688008206</v>
      </c>
      <c r="L9" s="6" t="str">
        <f aca="false">parametros_recargas!$D$83</f>
        <v>Manual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17" t="n">
        <f aca="false">IF(parametros_recargas!$O$84*B42*B74=0,0,'Demanda por puesto'!$P$10/(parametros_recargas!$O$84*B42*B74))</f>
        <v>0.00468596415291917</v>
      </c>
      <c r="C10" s="17" t="n">
        <f aca="false">IF(parametros_recargas!$O$84*C42*C74=0,0,'Demanda por puesto'!$P$42/(parametros_recargas!$O$84*C42*C74))</f>
        <v>0.0217776786004322</v>
      </c>
      <c r="D10" s="17" t="n">
        <f aca="false">IF(parametros_recargas!$O$84*D42*D74=0,0,'Demanda por puesto'!$P$74/(parametros_recargas!$O$84*D42*D74))</f>
        <v>0.0476285654221786</v>
      </c>
      <c r="E10" s="17" t="n">
        <f aca="false">IF(parametros_recargas!$O$84*E42*E74=0,0,'Demanda por puesto'!$P$106/(parametros_recargas!$O$84*E42*E74))</f>
        <v>0.0870032150037872</v>
      </c>
      <c r="F10" s="17" t="n">
        <f aca="false">IF(parametros_recargas!$O$84*F42*F74=0,0,'Demanda por puesto'!$P$138/(parametros_recargas!$O$84*F42*F74))</f>
        <v>0.125317926172099</v>
      </c>
      <c r="G10" s="17" t="n">
        <f aca="false">IF(parametros_recargas!$O$84*G42*G74=0,0,'Demanda por puesto'!$P$170/(parametros_recargas!$O$84*G42*G74))</f>
        <v>0.165769602453387</v>
      </c>
      <c r="H10" s="17" t="n">
        <f aca="false">IF(parametros_recargas!$O$84*H42*H74=0,0,'Demanda por puesto'!$P$202/(parametros_recargas!$O$84*H42*H74))</f>
        <v>0.203462050544024</v>
      </c>
      <c r="I10" s="17" t="n">
        <f aca="false">IF(parametros_recargas!$O$84*I42*I74=0,0,'Demanda por puesto'!$P$234/(parametros_recargas!$O$84*I42*I74))</f>
        <v>0.227438273577306</v>
      </c>
      <c r="J10" s="17" t="n">
        <f aca="false">IF(parametros_recargas!$O$84*J42*J74=0,0,'Demanda por puesto'!$P$266/(parametros_recargas!$O$84*J42*J74))</f>
        <v>0.246229154904608</v>
      </c>
      <c r="K10" s="17" t="n">
        <f aca="false">IF(parametros_recargas!$O$84*K42*K74=0,0,'Demanda por puesto'!$P$298/(parametros_recargas!$O$84*K42*K74))</f>
        <v>0.265291253368301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17" t="n">
        <f aca="false">IF(parametros_recargas!$O$85*B43*B75=0,0,'Demanda por puesto'!$P$11/(parametros_recargas!$O$85*B43*B75))</f>
        <v>0.011624938198356</v>
      </c>
      <c r="C11" s="17" t="n">
        <f aca="false">IF(parametros_recargas!$O$85*C43*C75=0,0,'Demanda por puesto'!$P$43/(parametros_recargas!$O$85*C43*C75))</f>
        <v>0.0537520368762992</v>
      </c>
      <c r="D11" s="17" t="n">
        <f aca="false">IF(parametros_recargas!$O$85*D43*D75=0,0,'Demanda por puesto'!$P$75/(parametros_recargas!$O$85*D43*D75))</f>
        <v>0.104732353038184</v>
      </c>
      <c r="E11" s="17" t="n">
        <f aca="false">IF(parametros_recargas!$O$85*E43*E75=0,0,'Demanda por puesto'!$P$107/(parametros_recargas!$O$85*E43*E75))</f>
        <v>0.193564691807226</v>
      </c>
      <c r="F11" s="17" t="n">
        <f aca="false">IF(parametros_recargas!$O$85*F43*F75=0,0,'Demanda por puesto'!$P$139/(parametros_recargas!$O$85*F43*F75))</f>
        <v>0.286612466518317</v>
      </c>
      <c r="G11" s="17" t="n">
        <f aca="false">IF(parametros_recargas!$O$85*G43*G75=0,0,'Demanda por puesto'!$P$171/(parametros_recargas!$O$85*G43*G75))</f>
        <v>0.392531541311127</v>
      </c>
      <c r="H11" s="17" t="n">
        <f aca="false">IF(parametros_recargas!$O$85*H43*H75=0,0,'Demanda por puesto'!$P$203/(parametros_recargas!$O$85*H43*H75))</f>
        <v>0.489104777027724</v>
      </c>
      <c r="I11" s="17" t="n">
        <f aca="false">IF(parametros_recargas!$O$85*I43*I75=0,0,'Demanda por puesto'!$P$235/(parametros_recargas!$O$85*I43*I75))</f>
        <v>0.559289868703059</v>
      </c>
      <c r="J11" s="17" t="n">
        <f aca="false">IF(parametros_recargas!$O$85*J43*J75=0,0,'Demanda por puesto'!$P$267/(parametros_recargas!$O$85*J43*J75))</f>
        <v>0.601098667882484</v>
      </c>
      <c r="K11" s="17" t="n">
        <f aca="false">IF(parametros_recargas!$O$85*K43*K75=0,0,'Demanda por puesto'!$P$299/(parametros_recargas!$O$85*K43*K75))</f>
        <v>0.643837628420217</v>
      </c>
      <c r="L11" s="6" t="str">
        <f aca="false">parametros_recargas!$D$85</f>
        <v>Máquina</v>
      </c>
      <c r="N11" s="4" t="s">
        <v>417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17" t="n">
        <f aca="false">IF(parametros_recargas!$O$86*B44*B76=0,0,'Demanda por puesto'!$P$12/(parametros_recargas!$O$86*B44*B76))</f>
        <v>0.0310543553451607</v>
      </c>
      <c r="C12" s="17" t="n">
        <f aca="false">IF(parametros_recargas!$O$86*C44*C76=0,0,'Demanda por puesto'!$P$44/(parametros_recargas!$O$86*C44*C76))</f>
        <v>0.143902792280797</v>
      </c>
      <c r="D12" s="17" t="n">
        <f aca="false">IF(parametros_recargas!$O$86*D44*D76=0,0,'Demanda por puesto'!$P$76/(parametros_recargas!$O$86*D44*D76))</f>
        <v>0.285328242644285</v>
      </c>
      <c r="E12" s="17" t="n">
        <f aca="false">IF(parametros_recargas!$O$86*E44*E76=0,0,'Demanda por puesto'!$P$108/(parametros_recargas!$O$86*E44*E76))</f>
        <v>0.52630326176635</v>
      </c>
      <c r="F12" s="17" t="n">
        <f aca="false">IF(parametros_recargas!$O$86*F44*F76=0,0,'Demanda por puesto'!$P$140/(parametros_recargas!$O$86*F44*F76))</f>
        <v>0.775856072215136</v>
      </c>
      <c r="G12" s="17" t="n">
        <f aca="false">IF(parametros_recargas!$O$86*G44*G76=0,0,'Demanda por puesto'!$P$172/(parametros_recargas!$O$86*G44*G76))</f>
        <v>0.528410833182763</v>
      </c>
      <c r="H12" s="17" t="n">
        <f aca="false">IF(parametros_recargas!$O$86*H44*H76=0,0,'Demanda por puesto'!$P$204/(parametros_recargas!$O$86*H44*H76))</f>
        <v>0.656985925159402</v>
      </c>
      <c r="I12" s="17" t="n">
        <f aca="false">IF(parametros_recargas!$O$86*I44*I76=0,0,'Demanda por puesto'!$P$236/(parametros_recargas!$O$86*I44*I76))</f>
        <v>0.748730454440022</v>
      </c>
      <c r="J12" s="17" t="n">
        <f aca="false">IF(parametros_recargas!$O$86*J44*J76=0,0,'Demanda por puesto'!$P$268/(parametros_recargas!$O$86*J44*J76))</f>
        <v>0.805599359860567</v>
      </c>
      <c r="K12" s="17" t="n">
        <f aca="false">IF(parametros_recargas!$O$86*K44*K76=0,0,'Demanda por puesto'!$P$300/(parametros_recargas!$O$86*K44*K76))</f>
        <v>0.863657312636971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17" t="n">
        <f aca="false">IF(parametros_recargas!$O$87*B45*B77=0,0,'Demanda por puesto'!$P$13/(parametros_recargas!$O$87*B45*B77))</f>
        <v>0.0176556602090754</v>
      </c>
      <c r="C13" s="17" t="n">
        <f aca="false">IF(parametros_recargas!$O$87*C45*C77=0,0,'Demanda por puesto'!$P$45/(parametros_recargas!$O$87*C45*C77))</f>
        <v>0.0811839596427751</v>
      </c>
      <c r="D13" s="17" t="n">
        <f aca="false">IF(parametros_recargas!$O$87*D45*D77=0,0,'Demanda por puesto'!$P$77/(parametros_recargas!$O$87*D45*D77))</f>
        <v>0.159736418016184</v>
      </c>
      <c r="E13" s="17" t="n">
        <f aca="false">IF(parametros_recargas!$O$87*E45*E77=0,0,'Demanda por puesto'!$P$109/(parametros_recargas!$O$87*E45*E77))</f>
        <v>0.29546348453742</v>
      </c>
      <c r="F13" s="17" t="n">
        <f aca="false">IF(parametros_recargas!$O$87*F45*F77=0,0,'Demanda por puesto'!$P$141/(parametros_recargas!$O$87*F45*F77))</f>
        <v>0.436702599219035</v>
      </c>
      <c r="G13" s="17" t="n">
        <f aca="false">IF(parametros_recargas!$O$87*G45*G77=0,0,'Demanda por puesto'!$P$173/(parametros_recargas!$O$87*G45*G77))</f>
        <v>0.596819496849643</v>
      </c>
      <c r="H13" s="17" t="n">
        <f aca="false">IF(parametros_recargas!$O$87*H45*H77=0,0,'Demanda por puesto'!$P$205/(parametros_recargas!$O$87*H45*H77))</f>
        <v>0.371495746702496</v>
      </c>
      <c r="I13" s="17" t="n">
        <f aca="false">IF(parametros_recargas!$O$87*I45*I77=0,0,'Demanda por puesto'!$P$237/(parametros_recargas!$O$87*I45*I77))</f>
        <v>0.424031229794787</v>
      </c>
      <c r="J13" s="17" t="n">
        <f aca="false">IF(parametros_recargas!$O$87*J45*J77=0,0,'Demanda por puesto'!$P$269/(parametros_recargas!$O$87*J45*J77))</f>
        <v>0.455936096272027</v>
      </c>
      <c r="K13" s="17" t="n">
        <f aca="false">IF(parametros_recargas!$O$87*K45*K77=0,0,'Demanda por puesto'!$P$301/(parametros_recargas!$O$87*K45*K77))</f>
        <v>0.488531185600817</v>
      </c>
      <c r="L13" s="6" t="str">
        <f aca="false">parametros_recargas!$D$87</f>
        <v>Máquina</v>
      </c>
      <c r="N13" s="2" t="s">
        <v>418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17" t="n">
        <f aca="false">IF(parametros_recargas!$O$88*B46*B78=0,0,'Demanda por puesto'!$P$14/(parametros_recargas!$O$88*B46*B78))</f>
        <v>0.00833739509873007</v>
      </c>
      <c r="C14" s="17" t="n">
        <f aca="false">IF(parametros_recargas!$O$88*C46*C78=0,0,'Demanda por puesto'!$P$46/(parametros_recargas!$O$88*C46*C78))</f>
        <v>0.0383368698313105</v>
      </c>
      <c r="D14" s="17" t="n">
        <f aca="false">IF(parametros_recargas!$O$88*D46*D78=0,0,'Demanda por puesto'!$P$78/(parametros_recargas!$O$88*D46*D78))</f>
        <v>0.0754310862854202</v>
      </c>
      <c r="E14" s="17" t="n">
        <f aca="false">IF(parametros_recargas!$O$88*E46*E78=0,0,'Demanda por puesto'!$P$110/(parametros_recargas!$O$88*E46*E78))</f>
        <v>0.139524423253782</v>
      </c>
      <c r="F14" s="17" t="n">
        <f aca="false">IF(parametros_recargas!$O$88*F46*F78=0,0,'Demanda por puesto'!$P$142/(parametros_recargas!$O$88*F46*F78))</f>
        <v>0.206220671853433</v>
      </c>
      <c r="G14" s="17" t="n">
        <f aca="false">IF(parametros_recargas!$O$88*G46*G78=0,0,'Demanda por puesto'!$P$174/(parametros_recargas!$O$88*G46*G78))</f>
        <v>0.281831429067887</v>
      </c>
      <c r="H14" s="17" t="n">
        <f aca="false">IF(parametros_recargas!$O$88*H46*H78=0,0,'Demanda por puesto'!$P$206/(parametros_recargas!$O$88*H46*H78))</f>
        <v>0.350857094107913</v>
      </c>
      <c r="I14" s="17" t="n">
        <f aca="false">IF(parametros_recargas!$O$88*I46*I78=0,0,'Demanda por puesto'!$P$238/(parametros_recargas!$O$88*I46*I78))</f>
        <v>0.400473939250632</v>
      </c>
      <c r="J14" s="17" t="n">
        <f aca="false">IF(parametros_recargas!$O$88*J46*J78=0,0,'Demanda por puesto'!$P$270/(parametros_recargas!$O$88*J46*J78))</f>
        <v>0.430606313145804</v>
      </c>
      <c r="K14" s="17" t="n">
        <f aca="false">IF(parametros_recargas!$O$88*K46*K78=0,0,'Demanda por puesto'!$P$302/(parametros_recargas!$O$88*K46*K78))</f>
        <v>0.46139056417855</v>
      </c>
      <c r="L14" s="6" t="str">
        <f aca="false">parametros_recargas!$D$88</f>
        <v>Manual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17" t="n">
        <f aca="false">IF(parametros_recargas!$O$89*B47*B79=0,0,'Demanda por puesto'!$P$15/(parametros_recargas!$O$89*B47*B79))</f>
        <v>0.0362812221536347</v>
      </c>
      <c r="C15" s="17" t="n">
        <f aca="false">IF(parametros_recargas!$O$89*C47*C79=0,0,'Demanda por puesto'!$P$47/(parametros_recargas!$O$89*C47*C79))</f>
        <v>0.167422150099035</v>
      </c>
      <c r="D15" s="17" t="n">
        <f aca="false">IF(parametros_recargas!$O$89*D47*D79=0,0,'Demanda por puesto'!$P$79/(parametros_recargas!$O$89*D47*D79))</f>
        <v>0.330696052914509</v>
      </c>
      <c r="E15" s="17" t="n">
        <f aca="false">IF(parametros_recargas!$O$89*E47*E79=0,0,'Demanda por puesto'!$P$111/(parametros_recargas!$O$89*E47*E79))</f>
        <v>0.610883948476715</v>
      </c>
      <c r="F15" s="17" t="n">
        <f aca="false">IF(parametros_recargas!$O$89*F47*F79=0,0,'Demanda por puesto'!$P$143/(parametros_recargas!$O$89*F47*F79))</f>
        <v>0.450872042070891</v>
      </c>
      <c r="G15" s="17" t="n">
        <f aca="false">IF(parametros_recargas!$O$89*G47*G79=0,0,'Demanda por puesto'!$P$175/(parametros_recargas!$O$89*G47*G79))</f>
        <v>0.615188001542988</v>
      </c>
      <c r="H15" s="17" t="n">
        <f aca="false">IF(parametros_recargas!$O$89*H47*H79=0,0,'Demanda por puesto'!$P$207/(parametros_recargas!$O$89*H47*H79))</f>
        <v>0.382688466036099</v>
      </c>
      <c r="I15" s="17" t="n">
        <f aca="false">IF(parametros_recargas!$O$89*I47*I79=0,0,'Demanda por puesto'!$P$239/(parametros_recargas!$O$89*I47*I79))</f>
        <v>0.436468521505468</v>
      </c>
      <c r="J15" s="17" t="n">
        <f aca="false">IF(parametros_recargas!$O$89*J47*J79=0,0,'Demanda por puesto'!$P$271/(parametros_recargas!$O$89*J47*J79))</f>
        <v>0.469461095677067</v>
      </c>
      <c r="K15" s="17" t="n">
        <f aca="false">IF(parametros_recargas!$O$89*K47*K79=0,0,'Demanda por puesto'!$P$303/(parametros_recargas!$O$89*K47*K79))</f>
        <v>0.503155603314139</v>
      </c>
      <c r="L15" s="6" t="str">
        <f aca="false">parametros_recargas!$D$89</f>
        <v>Máquina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17" t="n">
        <f aca="false">IF(parametros_recargas!$O$90*B48*B80=0,0,'Demanda por puesto'!$P$16/(parametros_recargas!$O$90*B48*B80))</f>
        <v>0.0352322274773504</v>
      </c>
      <c r="C16" s="17" t="n">
        <f aca="false">IF(parametros_recargas!$O$90*C48*C80=0,0,'Demanda por puesto'!$P$48/(parametros_recargas!$O$90*C48*C80))</f>
        <v>0.163199894948458</v>
      </c>
      <c r="D16" s="17" t="n">
        <f aca="false">IF(parametros_recargas!$O$90*D48*D80=0,0,'Demanda por puesto'!$P$80/(parametros_recargas!$O$90*D48*D80))</f>
        <v>0.317890484156118</v>
      </c>
      <c r="E16" s="17" t="n">
        <f aca="false">IF(parametros_recargas!$O$90*E48*E80=0,0,'Demanda por puesto'!$P$112/(parametros_recargas!$O$90*E48*E80))</f>
        <v>0.587299322466992</v>
      </c>
      <c r="F16" s="17" t="n">
        <f aca="false">IF(parametros_recargas!$O$90*F48*F80=0,0,'Demanda por puesto'!$P$144/(parametros_recargas!$O$90*F48*F80))</f>
        <v>0.869359546449034</v>
      </c>
      <c r="G16" s="17" t="n">
        <f aca="false">IF(parametros_recargas!$O$90*G48*G80=0,0,'Demanda por puesto'!$P$176/(parametros_recargas!$O$90*G48*G80))</f>
        <v>0.595164161575306</v>
      </c>
      <c r="H16" s="17" t="n">
        <f aca="false">IF(parametros_recargas!$O$90*H48*H80=0,0,'Demanda por puesto'!$P$208/(parametros_recargas!$O$90*H48*H80))</f>
        <v>0.370827560804881</v>
      </c>
      <c r="I16" s="17" t="n">
        <f aca="false">IF(parametros_recargas!$O$90*I48*I80=0,0,'Demanda por puesto'!$P$240/(parametros_recargas!$O$90*I48*I80))</f>
        <v>0.42400495171342</v>
      </c>
      <c r="J16" s="17" t="n">
        <f aca="false">IF(parametros_recargas!$O$90*J48*J80=0,0,'Demanda por puesto'!$P$272/(parametros_recargas!$O$90*J48*J80))</f>
        <v>0.455726158109014</v>
      </c>
      <c r="K16" s="17" t="n">
        <f aca="false">IF(parametros_recargas!$O$90*K48*K80=0,0,'Demanda por puesto'!$P$304/(parametros_recargas!$O$90*K48*K80))</f>
        <v>0.488151071623876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17" t="n">
        <f aca="false">IF(parametros_recargas!$O$91*B49*B81=0,0,'Demanda por puesto'!$P$17/(parametros_recargas!$O$91*B49*B81))</f>
        <v>0.0422258301491183</v>
      </c>
      <c r="C17" s="17" t="n">
        <f aca="false">IF(parametros_recargas!$O$91*C49*C81=0,0,'Demanda por puesto'!$P$49/(parametros_recargas!$O$91*C49*C81))</f>
        <v>0.195448691077158</v>
      </c>
      <c r="D17" s="17" t="n">
        <f aca="false">IF(parametros_recargas!$O$91*D49*D81=0,0,'Demanda por puesto'!$P$81/(parametros_recargas!$O$91*D49*D81))</f>
        <v>0.380753751137367</v>
      </c>
      <c r="E17" s="17" t="n">
        <f aca="false">IF(parametros_recargas!$O$91*E49*E81=0,0,'Demanda por puesto'!$P$113/(parametros_recargas!$O$91*E49*E81))</f>
        <v>0.703560738383155</v>
      </c>
      <c r="F17" s="17" t="n">
        <f aca="false">IF(parametros_recargas!$O$91*F49*F81=0,0,'Demanda por puesto'!$P$145/(parametros_recargas!$O$91*F49*F81))</f>
        <v>0.520792555294914</v>
      </c>
      <c r="G17" s="17" t="n">
        <f aca="false">IF(parametros_recargas!$O$91*G49*G81=0,0,'Demanda por puesto'!$P$177/(parametros_recargas!$O$91*G49*G81))</f>
        <v>0.71315525395703</v>
      </c>
      <c r="H17" s="17" t="n">
        <f aca="false">IF(parametros_recargas!$O$91*H49*H81=0,0,'Demanda por puesto'!$P$209/(parametros_recargas!$O$91*H49*H81))</f>
        <v>0.444327467078933</v>
      </c>
      <c r="I17" s="17" t="n">
        <f aca="false">IF(parametros_recargas!$O$91*I49*I81=0,0,'Demanda por puesto'!$P$241/(parametros_recargas!$O$91*I49*I81))</f>
        <v>0.508060426023664</v>
      </c>
      <c r="J17" s="17" t="n">
        <f aca="false">IF(parametros_recargas!$O$91*J49*J81=0,0,'Demanda por puesto'!$P$273/(parametros_recargas!$O$91*J49*J81))</f>
        <v>0.546057201999207</v>
      </c>
      <c r="K17" s="17" t="n">
        <f aca="false">IF(parametros_recargas!$O$91*K49*K81=0,0,'Demanda por puesto'!$P$305/(parametros_recargas!$O$91*K49*K81))</f>
        <v>0.584897929152236</v>
      </c>
      <c r="L17" s="6" t="str">
        <f aca="false">parametros_recargas!$D$91</f>
        <v>Manual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17" t="n">
        <f aca="false">IF(parametros_recargas!$O$92*B50*B82=0,0,'Demanda por puesto'!$P$18/(parametros_recargas!$O$92*B50*B82))</f>
        <v>0.0256873800073803</v>
      </c>
      <c r="C18" s="17" t="n">
        <f aca="false">IF(parametros_recargas!$O$92*C50*C82=0,0,'Demanda por puesto'!$P$50/(parametros_recargas!$O$92*C50*C82))</f>
        <v>0.118897953738604</v>
      </c>
      <c r="D18" s="17" t="n">
        <f aca="false">IF(parametros_recargas!$O$92*D50*D82=0,0,'Demanda por puesto'!$P$82/(parametros_recargas!$O$92*D50*D82))</f>
        <v>0.231625198608565</v>
      </c>
      <c r="E18" s="17" t="n">
        <f aca="false">IF(parametros_recargas!$O$92*E50*E82=0,0,'Demanda por puesto'!$P$114/(parametros_recargas!$O$92*E50*E82))</f>
        <v>0.427999449183086</v>
      </c>
      <c r="F18" s="17" t="n">
        <f aca="false">IF(parametros_recargas!$O$92*F50*F82=0,0,'Demanda por puesto'!$P$146/(parametros_recargas!$O$92*F50*F82))</f>
        <v>0.633630942275479</v>
      </c>
      <c r="G18" s="17" t="n">
        <f aca="false">IF(parametros_recargas!$O$92*G50*G82=0,0,'Demanda por puesto'!$P$178/(parametros_recargas!$O$92*G50*G82))</f>
        <v>0.867672225647719</v>
      </c>
      <c r="H18" s="17" t="n">
        <f aca="false">IF(parametros_recargas!$O$92*H50*H82=0,0,'Demanda por puesto'!$P$210/(parametros_recargas!$O$92*H50*H82))</f>
        <v>0.540598418279368</v>
      </c>
      <c r="I18" s="17" t="n">
        <f aca="false">IF(parametros_recargas!$O$92*I50*I82=0,0,'Demanda por puesto'!$P$242/(parametros_recargas!$O$92*I50*I82))</f>
        <v>0.618140184995458</v>
      </c>
      <c r="J18" s="17" t="n">
        <f aca="false">IF(parametros_recargas!$O$92*J50*J82=0,0,'Demanda por puesto'!$P$274/(parametros_recargas!$O$92*J50*J82))</f>
        <v>0.664369595765701</v>
      </c>
      <c r="K18" s="17" t="n">
        <f aca="false">IF(parametros_recargas!$O$92*K50*K82=0,0,'Demanda por puesto'!$P$306/(parametros_recargas!$O$92*K50*K82))</f>
        <v>0.711625813801887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17" t="n">
        <f aca="false">IF(parametros_recargas!$O$93*B51*B83=0,0,'Demanda por puesto'!$P$19/(parametros_recargas!$O$93*B51*B83))</f>
        <v>0.00452621537497874</v>
      </c>
      <c r="C19" s="17" t="n">
        <f aca="false">IF(parametros_recargas!$O$93*C51*C83=0,0,'Demanda por puesto'!$P$51/(parametros_recargas!$O$93*C51*C83))</f>
        <v>0.0210352577390538</v>
      </c>
      <c r="D19" s="17" t="n">
        <f aca="false">IF(parametros_recargas!$O$93*D51*D83=0,0,'Demanda por puesto'!$P$83/(parametros_recargas!$O$93*D51*D83))</f>
        <v>0.0460048643282407</v>
      </c>
      <c r="E19" s="17" t="n">
        <f aca="false">IF(parametros_recargas!$O$93*E51*E83=0,0,'Demanda por puesto'!$P$115/(parametros_recargas!$O$93*E51*E83))</f>
        <v>0.0840371963104763</v>
      </c>
      <c r="F19" s="17" t="n">
        <f aca="false">IF(parametros_recargas!$O$93*F51*F83=0,0,'Demanda por puesto'!$P$147/(parametros_recargas!$O$93*F51*F83))</f>
        <v>0.121045724143505</v>
      </c>
      <c r="G19" s="17" t="n">
        <f aca="false">IF(parametros_recargas!$O$93*G51*G83=0,0,'Demanda por puesto'!$P$179/(parametros_recargas!$O$93*G51*G83))</f>
        <v>0.160118366006112</v>
      </c>
      <c r="H19" s="17" t="n">
        <f aca="false">IF(parametros_recargas!$O$93*H51*H83=0,0,'Demanda por puesto'!$P$211/(parametros_recargas!$O$93*H51*H83))</f>
        <v>0.196525844275477</v>
      </c>
      <c r="I19" s="17" t="n">
        <f aca="false">IF(parametros_recargas!$O$93*I51*I83=0,0,'Demanda por puesto'!$P$243/(parametros_recargas!$O$93*I51*I83))</f>
        <v>0.219684696068989</v>
      </c>
      <c r="J19" s="17" t="n">
        <f aca="false">IF(parametros_recargas!$O$93*J51*J83=0,0,'Demanda por puesto'!$P$275/(parametros_recargas!$O$93*J51*J83))</f>
        <v>0.237834979169224</v>
      </c>
      <c r="K19" s="17" t="n">
        <f aca="false">IF(parametros_recargas!$O$93*K51*K83=0,0,'Demanda por puesto'!$P$307/(parametros_recargas!$O$93*K51*K83))</f>
        <v>0.256247233367109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17" t="n">
        <f aca="false">IF(parametros_recargas!$O$94*B52*B84=0,0,'Demanda por puesto'!$P$20/(parametros_recargas!$O$94*B52*B84))</f>
        <v>0.000828426423054816</v>
      </c>
      <c r="C20" s="17" t="n">
        <f aca="false">IF(parametros_recargas!$O$94*C52*C84=0,0,'Demanda por puesto'!$P$52/(parametros_recargas!$O$94*C52*C84))</f>
        <v>0.00341530811402545</v>
      </c>
      <c r="D20" s="17" t="n">
        <f aca="false">IF(parametros_recargas!$O$94*D52*D84=0,0,'Demanda por puesto'!$P$84/(parametros_recargas!$O$94*D52*D84))</f>
        <v>0.00776723931756547</v>
      </c>
      <c r="E20" s="17" t="n">
        <f aca="false">IF(parametros_recargas!$O$94*E52*E84=0,0,'Demanda por puesto'!$P$116/(parametros_recargas!$O$94*E52*E84))</f>
        <v>0.0145931814735736</v>
      </c>
      <c r="F20" s="17" t="n">
        <f aca="false">IF(parametros_recargas!$O$94*F52*F84=0,0,'Demanda por puesto'!$P$148/(parametros_recargas!$O$94*F52*F84))</f>
        <v>0.0211029427212243</v>
      </c>
      <c r="G20" s="17" t="n">
        <f aca="false">IF(parametros_recargas!$O$94*G52*G84=0,0,'Demanda por puesto'!$P$180/(parametros_recargas!$O$94*G52*G84))</f>
        <v>0.0280744474879315</v>
      </c>
      <c r="H20" s="17" t="n">
        <f aca="false">IF(parametros_recargas!$O$94*H52*H84=0,0,'Demanda por puesto'!$P$212/(parametros_recargas!$O$94*H52*H84))</f>
        <v>0.0344770014255478</v>
      </c>
      <c r="I20" s="17" t="n">
        <f aca="false">IF(parametros_recargas!$O$94*I52*I84=0,0,'Demanda por puesto'!$P$244/(parametros_recargas!$O$94*I52*I84))</f>
        <v>0.0383509507771036</v>
      </c>
      <c r="J20" s="17" t="n">
        <f aca="false">IF(parametros_recargas!$O$94*J52*J84=0,0,'Demanda por puesto'!$P$276/(parametros_recargas!$O$94*J52*J84))</f>
        <v>0.0414710369569923</v>
      </c>
      <c r="K20" s="17" t="n">
        <f aca="false">IF(parametros_recargas!$O$94*K52*K84=0,0,'Demanda por puesto'!$P$308/(parametros_recargas!$O$94*K52*K84))</f>
        <v>0.0446368096716545</v>
      </c>
      <c r="L20" s="6" t="str">
        <f aca="false">parametros_recargas!$D$94</f>
        <v>Manual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17" t="n">
        <f aca="false">IF(parametros_recargas!$O$95*B53*B85=0,0,'Demanda por puesto'!$P$21/(parametros_recargas!$O$95*B53*B85))</f>
        <v>0.0314633904855369</v>
      </c>
      <c r="C21" s="17" t="n">
        <f aca="false">IF(parametros_recargas!$O$95*C53*C85=0,0,'Demanda por puesto'!$P$53/(parametros_recargas!$O$95*C53*C85))</f>
        <v>0.145189940465288</v>
      </c>
      <c r="D21" s="17" t="n">
        <f aca="false">IF(parametros_recargas!$O$95*D53*D85=0,0,'Demanda por puesto'!$P$85/(parametros_recargas!$O$95*D53*D85))</f>
        <v>0.286782484912312</v>
      </c>
      <c r="E21" s="17" t="n">
        <f aca="false">IF(parametros_recargas!$O$95*E53*E85=0,0,'Demanda por puesto'!$P$117/(parametros_recargas!$O$95*E53*E85))</f>
        <v>0.529763857757585</v>
      </c>
      <c r="F21" s="17" t="n">
        <f aca="false">IF(parametros_recargas!$O$95*F53*F85=0,0,'Demanda por puesto'!$P$149/(parametros_recargas!$O$95*F53*F85))</f>
        <v>0.782000289770651</v>
      </c>
      <c r="G21" s="17" t="n">
        <f aca="false">IF(parametros_recargas!$O$95*G53*G85=0,0,'Demanda por puesto'!$P$181/(parametros_recargas!$O$95*G53*G85))</f>
        <v>0.533496369901779</v>
      </c>
      <c r="H21" s="17" t="n">
        <f aca="false">IF(parametros_recargas!$O$95*H53*H85=0,0,'Demanda por puesto'!$P$213/(parametros_recargas!$O$95*H53*H85))</f>
        <v>0.66374151290814</v>
      </c>
      <c r="I21" s="17" t="n">
        <f aca="false">IF(parametros_recargas!$O$95*I53*I85=0,0,'Demanda por puesto'!$P$245/(parametros_recargas!$O$95*I53*I85))</f>
        <v>0.757018573884823</v>
      </c>
      <c r="J21" s="17" t="n">
        <f aca="false">IF(parametros_recargas!$O$95*J53*J85=0,0,'Demanda por puesto'!$P$277/(parametros_recargas!$O$95*J53*J85))</f>
        <v>0.814241466756972</v>
      </c>
      <c r="K21" s="17" t="n">
        <f aca="false">IF(parametros_recargas!$O$95*K53*K85=0,0,'Demanda por puesto'!$P$309/(parametros_recargas!$O$95*K53*K85))</f>
        <v>0.872681805206095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17" t="n">
        <f aca="false">IF(parametros_recargas!$O$96*B54*B86=0,0,'Demanda por puesto'!$P$22/(parametros_recargas!$O$96*B54*B86))</f>
        <v>0.0338231447719521</v>
      </c>
      <c r="C22" s="17" t="n">
        <f aca="false">IF(parametros_recargas!$O$96*C54*C86=0,0,'Demanda por puesto'!$P$54/(parametros_recargas!$O$96*C54*C86))</f>
        <v>0.156079186000184</v>
      </c>
      <c r="D22" s="17" t="n">
        <f aca="false">IF(parametros_recargas!$O$96*D54*D86=0,0,'Demanda por puesto'!$P$86/(parametros_recargas!$O$96*D54*D86))</f>
        <v>0.308291171280735</v>
      </c>
      <c r="E22" s="17" t="n">
        <f aca="false">IF(parametros_recargas!$O$96*E54*E86=0,0,'Demanda por puesto'!$P$118/(parametros_recargas!$O$96*E54*E86))</f>
        <v>0.569496147089404</v>
      </c>
      <c r="F22" s="17" t="n">
        <f aca="false">IF(parametros_recargas!$O$96*F54*F86=0,0,'Demanda por puesto'!$P$150/(parametros_recargas!$O$96*F54*F86))</f>
        <v>0.840650311503449</v>
      </c>
      <c r="G22" s="17" t="n">
        <f aca="false">IF(parametros_recargas!$O$96*G54*G86=0,0,'Demanda por puesto'!$P$182/(parametros_recargas!$O$96*G54*G86))</f>
        <v>0.573508597644412</v>
      </c>
      <c r="H22" s="17" t="n">
        <f aca="false">IF(parametros_recargas!$O$96*H54*H86=0,0,'Demanda por puesto'!$P$214/(parametros_recargas!$O$96*H54*H86))</f>
        <v>0.356761063188125</v>
      </c>
      <c r="I22" s="17" t="n">
        <f aca="false">IF(parametros_recargas!$O$96*I54*I86=0,0,'Demanda por puesto'!$P$246/(parametros_recargas!$O$96*I54*I86))</f>
        <v>0.406897483463092</v>
      </c>
      <c r="J22" s="17" t="n">
        <f aca="false">IF(parametros_recargas!$O$96*J54*J86=0,0,'Demanda por puesto'!$P$278/(parametros_recargas!$O$96*J54*J86))</f>
        <v>0.437654788381873</v>
      </c>
      <c r="K22" s="17" t="n">
        <f aca="false">IF(parametros_recargas!$O$96*K54*K86=0,0,'Demanda por puesto'!$P$310/(parametros_recargas!$O$96*K54*K86))</f>
        <v>0.469066470298276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17" t="n">
        <f aca="false">IF(parametros_recargas!$O$97*B55*B87=0,0,'Demanda por puesto'!$P$23/(parametros_recargas!$O$97*B55*B87))</f>
        <v>0.01210492906812</v>
      </c>
      <c r="C23" s="17" t="n">
        <f aca="false">IF(parametros_recargas!$O$97*C55*C87=0,0,'Demanda por puesto'!$P$55/(parametros_recargas!$O$97*C55*C87))</f>
        <v>0.055944161280145</v>
      </c>
      <c r="D23" s="17" t="n">
        <f aca="false">IF(parametros_recargas!$O$97*D55*D87=0,0,'Demanda por puesto'!$P$87/(parametros_recargas!$O$97*D55*D87))</f>
        <v>0.110295132306846</v>
      </c>
      <c r="E23" s="17" t="n">
        <f aca="false">IF(parametros_recargas!$O$97*E55*E87=0,0,'Demanda por puesto'!$P$119/(parametros_recargas!$O$97*E55*E87))</f>
        <v>0.203692261300874</v>
      </c>
      <c r="F23" s="17" t="n">
        <f aca="false">IF(parametros_recargas!$O$97*F55*F87=0,0,'Demanda por puesto'!$P$151/(parametros_recargas!$O$97*F55*F87))</f>
        <v>0.300761165547312</v>
      </c>
      <c r="G23" s="17" t="n">
        <f aca="false">IF(parametros_recargas!$O$97*G55*G87=0,0,'Demanda por puesto'!$P$183/(parametros_recargas!$O$97*G55*G87))</f>
        <v>0.410509855535016</v>
      </c>
      <c r="H23" s="17" t="n">
        <f aca="false">IF(parametros_recargas!$O$97*H55*H87=0,0,'Demanda por puesto'!$P$215/(parametros_recargas!$O$97*H55*H87))</f>
        <v>0.510821434633703</v>
      </c>
      <c r="I23" s="17" t="n">
        <f aca="false">IF(parametros_recargas!$O$97*I55*I87=0,0,'Demanda por puesto'!$P$247/(parametros_recargas!$O$97*I55*I87))</f>
        <v>0.582802998028156</v>
      </c>
      <c r="J23" s="17" t="n">
        <f aca="false">IF(parametros_recargas!$O$97*J55*J87=0,0,'Demanda por puesto'!$P$279/(parametros_recargas!$O$97*J55*J87))</f>
        <v>0.626813228637315</v>
      </c>
      <c r="K23" s="17" t="n">
        <f aca="false">IF(parametros_recargas!$O$97*K55*K87=0,0,'Demanda por puesto'!$P$311/(parametros_recargas!$O$97*K55*K87))</f>
        <v>0.671765090059277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17" t="n">
        <f aca="false">IF(parametros_recargas!$O$98*B56*B88=0,0,'Demanda por puesto'!$P$24/(parametros_recargas!$O$98*B56*B88))</f>
        <v>0.003112948205838</v>
      </c>
      <c r="C24" s="17" t="n">
        <f aca="false">IF(parametros_recargas!$O$98*C56*C88=0,0,'Demanda por puesto'!$P$56/(parametros_recargas!$O$98*C56*C88))</f>
        <v>0.0163273483373576</v>
      </c>
      <c r="D24" s="17" t="n">
        <f aca="false">IF(parametros_recargas!$O$98*D56*D88=0,0,'Demanda por puesto'!$P$88/(parametros_recargas!$O$98*D56*D88))</f>
        <v>0.0347287175175757</v>
      </c>
      <c r="E24" s="17" t="n">
        <f aca="false">IF(parametros_recargas!$O$98*E56*E88=0,0,'Demanda por puesto'!$P$120/(parametros_recargas!$O$98*E56*E88))</f>
        <v>0.0619421325063514</v>
      </c>
      <c r="F24" s="17" t="n">
        <f aca="false">IF(parametros_recargas!$O$98*F56*F88=0,0,'Demanda por puesto'!$P$152/(parametros_recargas!$O$98*F56*F88))</f>
        <v>0.0892688739395072</v>
      </c>
      <c r="G24" s="17" t="n">
        <f aca="false">IF(parametros_recargas!$O$98*G56*G88=0,0,'Demanda por puesto'!$P$184/(parametros_recargas!$O$98*G56*G88))</f>
        <v>0.118724101694648</v>
      </c>
      <c r="H24" s="17" t="n">
        <f aca="false">IF(parametros_recargas!$O$98*H56*H88=0,0,'Demanda por puesto'!$P$216/(parametros_recargas!$O$98*H56*H88))</f>
        <v>0.146704198239731</v>
      </c>
      <c r="I24" s="17" t="n">
        <f aca="false">IF(parametros_recargas!$O$98*I56*I88=0,0,'Demanda por puesto'!$P$248/(parametros_recargas!$O$98*I56*I88))</f>
        <v>0.165374153271485</v>
      </c>
      <c r="J24" s="17" t="n">
        <f aca="false">IF(parametros_recargas!$O$98*J56*J88=0,0,'Demanda por puesto'!$P$280/(parametros_recargas!$O$98*J56*J88))</f>
        <v>0.179697423693561</v>
      </c>
      <c r="K24" s="17" t="n">
        <f aca="false">IF(parametros_recargas!$O$98*K56*K88=0,0,'Demanda por puesto'!$P$312/(parametros_recargas!$O$98*K56*K88))</f>
        <v>0.194236835985356</v>
      </c>
      <c r="L24" s="6" t="str">
        <f aca="false">parametros_recargas!$D$98</f>
        <v>Máquina</v>
      </c>
    </row>
    <row r="25" customFormat="false" ht="15" hidden="false" customHeight="false" outlineLevel="0" collapsed="false">
      <c r="A25" s="4" t="s">
        <v>419</v>
      </c>
      <c r="B25" s="21" t="n">
        <f aca="false">MAX(B2:B24)</f>
        <v>0.0422258301491183</v>
      </c>
      <c r="C25" s="21" t="n">
        <f aca="false">MAX(C2:C24)</f>
        <v>0.195448691077158</v>
      </c>
      <c r="D25" s="21" t="n">
        <f aca="false">MAX(D2:D24)</f>
        <v>0.380753751137367</v>
      </c>
      <c r="E25" s="21" t="n">
        <f aca="false">MAX(E2:E24)</f>
        <v>0.703560738383155</v>
      </c>
      <c r="F25" s="21" t="n">
        <f aca="false">MAX(F2:F24)</f>
        <v>0.879750325991982</v>
      </c>
      <c r="G25" s="21" t="n">
        <f aca="false">MAX(G2:G24)</f>
        <v>0.867672225647719</v>
      </c>
      <c r="H25" s="21" t="n">
        <f aca="false">MAX(H2:H24)</f>
        <v>0.66374151290814</v>
      </c>
      <c r="I25" s="21" t="n">
        <f aca="false">MAX(I2:I24)</f>
        <v>0.757018573884823</v>
      </c>
      <c r="J25" s="21" t="n">
        <f aca="false">MAX(J2:J24)</f>
        <v>0.814241466756972</v>
      </c>
      <c r="K25" s="21" t="n">
        <f aca="false">MAX(K2:K24)</f>
        <v>0.872681805206095</v>
      </c>
    </row>
    <row r="33" customFormat="false" ht="15" hidden="false" customHeight="false" outlineLevel="0" collapsed="false">
      <c r="A33" s="3" t="s">
        <v>420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1</v>
      </c>
      <c r="F34" s="10" t="n">
        <v>1</v>
      </c>
      <c r="G34" s="10" t="n">
        <v>2</v>
      </c>
      <c r="H34" s="10" t="n">
        <v>2</v>
      </c>
      <c r="I34" s="10" t="n">
        <v>2</v>
      </c>
      <c r="J34" s="10" t="n">
        <v>2</v>
      </c>
      <c r="K34" s="10" t="n">
        <v>2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1</v>
      </c>
      <c r="F35" s="10" t="n">
        <v>1</v>
      </c>
      <c r="G35" s="10" t="n">
        <v>2</v>
      </c>
      <c r="H35" s="10" t="n">
        <v>2</v>
      </c>
      <c r="I35" s="10" t="n">
        <v>2</v>
      </c>
      <c r="J35" s="10" t="n">
        <v>2</v>
      </c>
      <c r="K35" s="10" t="n">
        <v>2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1</v>
      </c>
      <c r="G36" s="10" t="n">
        <v>1</v>
      </c>
      <c r="H36" s="10" t="n">
        <v>1</v>
      </c>
      <c r="I36" s="10" t="n">
        <v>1</v>
      </c>
      <c r="J36" s="10" t="n">
        <v>1</v>
      </c>
      <c r="K36" s="10" t="n">
        <v>1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10" t="n">
        <v>1</v>
      </c>
      <c r="C41" s="10" t="n">
        <v>1</v>
      </c>
      <c r="D41" s="10" t="n">
        <v>1</v>
      </c>
      <c r="E41" s="10" t="n">
        <v>1</v>
      </c>
      <c r="F41" s="10" t="n">
        <v>2</v>
      </c>
      <c r="G41" s="10" t="n">
        <v>2</v>
      </c>
      <c r="H41" s="10" t="n">
        <v>2</v>
      </c>
      <c r="I41" s="10" t="n">
        <v>2</v>
      </c>
      <c r="J41" s="10" t="n">
        <v>2</v>
      </c>
      <c r="K41" s="10" t="n">
        <v>2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10" t="n">
        <v>1</v>
      </c>
      <c r="C42" s="10" t="n">
        <v>1</v>
      </c>
      <c r="D42" s="10" t="n">
        <v>1</v>
      </c>
      <c r="E42" s="10" t="n">
        <v>1</v>
      </c>
      <c r="F42" s="10" t="n">
        <v>1</v>
      </c>
      <c r="G42" s="10" t="n">
        <v>1</v>
      </c>
      <c r="H42" s="10" t="n">
        <v>1</v>
      </c>
      <c r="I42" s="10" t="n">
        <v>1</v>
      </c>
      <c r="J42" s="10" t="n">
        <v>1</v>
      </c>
      <c r="K42" s="10" t="n">
        <v>1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10" t="n">
        <v>1</v>
      </c>
      <c r="C44" s="10" t="n">
        <v>1</v>
      </c>
      <c r="D44" s="10" t="n">
        <v>1</v>
      </c>
      <c r="E44" s="10" t="n">
        <v>1</v>
      </c>
      <c r="F44" s="10" t="n">
        <v>1</v>
      </c>
      <c r="G44" s="10" t="n">
        <v>2</v>
      </c>
      <c r="H44" s="10" t="n">
        <v>2</v>
      </c>
      <c r="I44" s="10" t="n">
        <v>2</v>
      </c>
      <c r="J44" s="10" t="n">
        <v>2</v>
      </c>
      <c r="K44" s="10" t="n">
        <v>2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10" t="n">
        <v>1</v>
      </c>
      <c r="C45" s="10" t="n">
        <v>1</v>
      </c>
      <c r="D45" s="10" t="n">
        <v>1</v>
      </c>
      <c r="E45" s="10" t="n">
        <v>1</v>
      </c>
      <c r="F45" s="10" t="n">
        <v>1</v>
      </c>
      <c r="G45" s="10" t="n">
        <v>1</v>
      </c>
      <c r="H45" s="10" t="n">
        <v>1</v>
      </c>
      <c r="I45" s="10" t="n">
        <v>1</v>
      </c>
      <c r="J45" s="10" t="n">
        <v>1</v>
      </c>
      <c r="K45" s="10" t="n">
        <v>1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1</v>
      </c>
      <c r="H46" s="10" t="n">
        <v>1</v>
      </c>
      <c r="I46" s="10" t="n">
        <v>1</v>
      </c>
      <c r="J46" s="10" t="n">
        <v>1</v>
      </c>
      <c r="K46" s="10" t="n">
        <v>1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10" t="n">
        <v>1</v>
      </c>
      <c r="C47" s="10" t="n">
        <v>1</v>
      </c>
      <c r="D47" s="10" t="n">
        <v>1</v>
      </c>
      <c r="E47" s="10" t="n">
        <v>1</v>
      </c>
      <c r="F47" s="10" t="n">
        <v>2</v>
      </c>
      <c r="G47" s="10" t="n">
        <v>2</v>
      </c>
      <c r="H47" s="10" t="n">
        <v>2</v>
      </c>
      <c r="I47" s="10" t="n">
        <v>2</v>
      </c>
      <c r="J47" s="10" t="n">
        <v>2</v>
      </c>
      <c r="K47" s="10" t="n">
        <v>2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10" t="n">
        <v>1</v>
      </c>
      <c r="C48" s="10" t="n">
        <v>1</v>
      </c>
      <c r="D48" s="10" t="n">
        <v>1</v>
      </c>
      <c r="E48" s="10" t="n">
        <v>1</v>
      </c>
      <c r="F48" s="10" t="n">
        <v>1</v>
      </c>
      <c r="G48" s="10" t="n">
        <v>2</v>
      </c>
      <c r="H48" s="10" t="n">
        <v>2</v>
      </c>
      <c r="I48" s="10" t="n">
        <v>2</v>
      </c>
      <c r="J48" s="10" t="n">
        <v>2</v>
      </c>
      <c r="K48" s="10" t="n">
        <v>2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10" t="n">
        <v>1</v>
      </c>
      <c r="C49" s="10" t="n">
        <v>1</v>
      </c>
      <c r="D49" s="10" t="n">
        <v>1</v>
      </c>
      <c r="E49" s="10" t="n">
        <v>1</v>
      </c>
      <c r="F49" s="10" t="n">
        <v>2</v>
      </c>
      <c r="G49" s="10" t="n">
        <v>2</v>
      </c>
      <c r="H49" s="10" t="n">
        <v>2</v>
      </c>
      <c r="I49" s="10" t="n">
        <v>2</v>
      </c>
      <c r="J49" s="10" t="n">
        <v>2</v>
      </c>
      <c r="K49" s="10" t="n">
        <v>2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1</v>
      </c>
      <c r="G50" s="10" t="n">
        <v>1</v>
      </c>
      <c r="H50" s="10" t="n">
        <v>1</v>
      </c>
      <c r="I50" s="10" t="n">
        <v>1</v>
      </c>
      <c r="J50" s="10" t="n">
        <v>1</v>
      </c>
      <c r="K50" s="10" t="n">
        <v>1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10" t="n">
        <v>1</v>
      </c>
      <c r="C53" s="10" t="n">
        <v>1</v>
      </c>
      <c r="D53" s="10" t="n">
        <v>1</v>
      </c>
      <c r="E53" s="10" t="n">
        <v>1</v>
      </c>
      <c r="F53" s="10" t="n">
        <v>1</v>
      </c>
      <c r="G53" s="10" t="n">
        <v>2</v>
      </c>
      <c r="H53" s="10" t="n">
        <v>2</v>
      </c>
      <c r="I53" s="10" t="n">
        <v>2</v>
      </c>
      <c r="J53" s="10" t="n">
        <v>2</v>
      </c>
      <c r="K53" s="10" t="n">
        <v>2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10" t="n">
        <v>1</v>
      </c>
      <c r="C54" s="10" t="n">
        <v>1</v>
      </c>
      <c r="D54" s="10" t="n">
        <v>1</v>
      </c>
      <c r="E54" s="10" t="n">
        <v>1</v>
      </c>
      <c r="F54" s="10" t="n">
        <v>1</v>
      </c>
      <c r="G54" s="10" t="n">
        <v>2</v>
      </c>
      <c r="H54" s="10" t="n">
        <v>2</v>
      </c>
      <c r="I54" s="10" t="n">
        <v>2</v>
      </c>
      <c r="J54" s="10" t="n">
        <v>2</v>
      </c>
      <c r="K54" s="10" t="n">
        <v>2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1</v>
      </c>
      <c r="G55" s="10" t="n">
        <v>1</v>
      </c>
      <c r="H55" s="10" t="n">
        <v>1</v>
      </c>
      <c r="I55" s="10" t="n">
        <v>1</v>
      </c>
      <c r="J55" s="10" t="n">
        <v>1</v>
      </c>
      <c r="K55" s="10" t="n">
        <v>1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4" t="s">
        <v>421</v>
      </c>
      <c r="B57" s="15" t="n">
        <f aca="false">SUM(B34:B56)</f>
        <v>23</v>
      </c>
      <c r="C57" s="15" t="n">
        <f aca="false">SUM(C34:C56)</f>
        <v>23</v>
      </c>
      <c r="D57" s="15" t="n">
        <f aca="false">SUM(D34:D56)</f>
        <v>23</v>
      </c>
      <c r="E57" s="15" t="n">
        <f aca="false">SUM(E34:E56)</f>
        <v>23</v>
      </c>
      <c r="F57" s="15" t="n">
        <f aca="false">SUM(F34:F56)</f>
        <v>26</v>
      </c>
      <c r="G57" s="15" t="n">
        <f aca="false">SUM(G34:G56)</f>
        <v>32</v>
      </c>
      <c r="H57" s="15" t="n">
        <f aca="false">SUM(H34:H56)</f>
        <v>32</v>
      </c>
      <c r="I57" s="15" t="n">
        <f aca="false">SUM(I34:I56)</f>
        <v>32</v>
      </c>
      <c r="J57" s="15" t="n">
        <f aca="false">SUM(J34:J56)</f>
        <v>32</v>
      </c>
      <c r="K57" s="15" t="n">
        <f aca="false">SUM(K34:K56)</f>
        <v>32</v>
      </c>
    </row>
    <row r="65" customFormat="false" ht="15" hidden="false" customHeight="false" outlineLevel="0" collapsed="false">
      <c r="A65" s="3" t="s">
        <v>422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1</v>
      </c>
      <c r="I66" s="10" t="n">
        <v>1</v>
      </c>
      <c r="J66" s="10" t="n">
        <v>1</v>
      </c>
      <c r="K66" s="10" t="n">
        <v>1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2</v>
      </c>
      <c r="I73" s="10" t="n">
        <v>2</v>
      </c>
      <c r="J73" s="10" t="n">
        <v>2</v>
      </c>
      <c r="K73" s="10" t="n">
        <v>2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1</v>
      </c>
      <c r="I74" s="10" t="n">
        <v>1</v>
      </c>
      <c r="J74" s="10" t="n">
        <v>1</v>
      </c>
      <c r="K74" s="10" t="n">
        <v>1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1</v>
      </c>
      <c r="I75" s="10" t="n">
        <v>1</v>
      </c>
      <c r="J75" s="10" t="n">
        <v>1</v>
      </c>
      <c r="K75" s="10" t="n">
        <v>1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1</v>
      </c>
      <c r="I76" s="10" t="n">
        <v>1</v>
      </c>
      <c r="J76" s="10" t="n">
        <v>1</v>
      </c>
      <c r="K76" s="10" t="n">
        <v>1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2</v>
      </c>
      <c r="I77" s="10" t="n">
        <v>2</v>
      </c>
      <c r="J77" s="10" t="n">
        <v>2</v>
      </c>
      <c r="K77" s="10" t="n">
        <v>2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1</v>
      </c>
      <c r="I78" s="10" t="n">
        <v>1</v>
      </c>
      <c r="J78" s="10" t="n">
        <v>1</v>
      </c>
      <c r="K78" s="10" t="n">
        <v>1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2</v>
      </c>
      <c r="I79" s="10" t="n">
        <v>2</v>
      </c>
      <c r="J79" s="10" t="n">
        <v>2</v>
      </c>
      <c r="K79" s="10" t="n">
        <v>2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2</v>
      </c>
      <c r="I82" s="10" t="n">
        <v>2</v>
      </c>
      <c r="J82" s="10" t="n">
        <v>2</v>
      </c>
      <c r="K82" s="10" t="n">
        <v>2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1</v>
      </c>
      <c r="I85" s="10" t="n">
        <v>1</v>
      </c>
      <c r="J85" s="10" t="n">
        <v>1</v>
      </c>
      <c r="K85" s="10" t="n">
        <v>1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1</v>
      </c>
      <c r="I87" s="10" t="n">
        <v>1</v>
      </c>
      <c r="J87" s="10" t="n">
        <v>1</v>
      </c>
      <c r="K87" s="10" t="n">
        <v>1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4" t="s">
        <v>423</v>
      </c>
      <c r="B89" s="15" t="n">
        <f aca="false">MAX(B66:B88)</f>
        <v>1</v>
      </c>
      <c r="C89" s="15" t="n">
        <f aca="false">MAX(C66:C88)</f>
        <v>1</v>
      </c>
      <c r="D89" s="15" t="n">
        <f aca="false">MAX(D66:D88)</f>
        <v>1</v>
      </c>
      <c r="E89" s="15" t="n">
        <f aca="false">MAX(E66:E88)</f>
        <v>1</v>
      </c>
      <c r="F89" s="15" t="n">
        <f aca="false">MAX(F66:F88)</f>
        <v>1</v>
      </c>
      <c r="G89" s="15" t="n">
        <f aca="false">MAX(G66:G88)</f>
        <v>1</v>
      </c>
      <c r="H89" s="15" t="n">
        <f aca="false">MAX(H66:H88)</f>
        <v>2</v>
      </c>
      <c r="I89" s="15" t="n">
        <f aca="false">MAX(I66:I88)</f>
        <v>2</v>
      </c>
      <c r="J89" s="15" t="n">
        <f aca="false">MAX(J66:J88)</f>
        <v>2</v>
      </c>
      <c r="K89" s="15" t="n">
        <f aca="false">MAX(K66:K88)</f>
        <v>2</v>
      </c>
    </row>
  </sheetData>
  <conditionalFormatting sqref="B2:B24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24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2026-10-21T05:57:38Z</dcterms:created>
  <dc:creator>openpyxl</dc:creator>
  <dc:description/>
  <dc:language>en-US</dc:language>
  <cp:lastModifiedBy/>
  <dcterms:modified xsi:type="dcterms:W3CDTF">2026-10-21T05:57:38Z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