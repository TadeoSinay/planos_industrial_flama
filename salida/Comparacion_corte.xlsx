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atos" sheetId="2" state="visible" r:id="rId4"/>
    <sheet name="Links" sheetId="3" state="visible" r:id="rId5"/>
    <sheet name="Demanda" sheetId="4" state="visible" r:id="rId6"/>
    <sheet name="Piezas" sheetId="5" state="visible" r:id="rId7"/>
    <sheet name="Corte" sheetId="6" state="visible" r:id="rId8"/>
    <sheet name="Cálcul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<sst xmlns="http://schemas.openxmlformats.org/spreadsheetml/2006/main" count="1120" uniqueCount="555">
  <si>
    <t xml:space="preserve">Corte de chapa: comparación de alternativas 2026-2035</t>
  </si>
  <si>
    <t xml:space="preserve">Cuerpos de 1 a 100 kg, cúpulas y fondos de 1 a 10 kg. Valor actual = inversión + costos de 10 años descontados. Menor es mejor.</t>
  </si>
  <si>
    <t xml:space="preserve">Indicador</t>
  </si>
  <si>
    <t xml:space="preserve">A: bobina por formato + fleje</t>
  </si>
  <si>
    <t xml:space="preserve">B: hojas para todo</t>
  </si>
  <si>
    <t xml:space="preserve">C: bobina madre propia</t>
  </si>
  <si>
    <t xml:space="preserve">D: hojas + fleje</t>
  </si>
  <si>
    <t xml:space="preserve">Referencia: cuerpos a medida</t>
  </si>
  <si>
    <t xml:space="preserve">Cuerpos: se compra</t>
  </si>
  <si>
    <t xml:space="preserve">Bobina de ancho estándar por formato, línea de corte transversal</t>
  </si>
  <si>
    <t xml:space="preserve">Hojas estándar, dos guillotinas en serie</t>
  </si>
  <si>
    <t xml:space="preserve">Bobina madre por espesor, cortada en flejes propios</t>
  </si>
  <si>
    <t xml:space="preserve">Cuerpos comprados cortados a medida</t>
  </si>
  <si>
    <t xml:space="preserve">Cúpulas y fondos: se compra</t>
  </si>
  <si>
    <t xml:space="preserve">Fleje a medida por disco</t>
  </si>
  <si>
    <t xml:space="preserve">Tiras de hoja cargadas a mano</t>
  </si>
  <si>
    <t xml:space="preserve">Flejes propios de la bobina madre</t>
  </si>
  <si>
    <t xml:space="preserve">Inversión en equipos (USD)</t>
  </si>
  <si>
    <t xml:space="preserve">Acero comprado 2026-2035 (t)</t>
  </si>
  <si>
    <t xml:space="preserve">Aprovechamiento de chapa 2026-2035</t>
  </si>
  <si>
    <t xml:space="preserve">Horas-hombre de corte en el año de referencia</t>
  </si>
  <si>
    <t xml:space="preserve">Costo anual en el año de referencia (USD)</t>
  </si>
  <si>
    <t xml:space="preserve">Valor actual a 10 años (USD)</t>
  </si>
  <si>
    <t xml:space="preserve">Ranking (1 = conviene; la referencia no corta en planta)</t>
  </si>
  <si>
    <t xml:space="preserve">—</t>
  </si>
  <si>
    <t xml:space="preserve">Diferencia contra la que conviene (USD)</t>
  </si>
  <si>
    <t xml:space="preserve">Conviene (de las que cortan en planta)</t>
  </si>
  <si>
    <t xml:space="preserve">Margen de D: suba del precio de la hoja que la iguala con A</t>
  </si>
  <si>
    <t xml:space="preserve">Margen de D: suba del precio del fleje que la iguala con B</t>
  </si>
  <si>
    <t xml:space="preserve">Datos editables en la hoja Datos (gris claro). Demanda por IMPORTRANGE (hoja Links). Medidas de cuerpos y discos del plano (hoja Piezas).</t>
  </si>
  <si>
    <t xml:space="preserve">Datos</t>
  </si>
  <si>
    <t xml:space="preserve">Gris claro: dato editable. Todo lo demás del libro sale de acá, de Demanda y de Piezas.</t>
  </si>
  <si>
    <t xml:space="preserve">1. Generales</t>
  </si>
  <si>
    <t xml:space="preserve">Concepto</t>
  </si>
  <si>
    <t xml:space="preserve">Valor</t>
  </si>
  <si>
    <t xml:space="preserve">Unidad</t>
  </si>
  <si>
    <t xml:space="preserve">Fuente o criterio</t>
  </si>
  <si>
    <t xml:space="preserve">Año de referencia</t>
  </si>
  <si>
    <t xml:space="preserve">año</t>
  </si>
  <si>
    <t xml:space="preserve">Año de diseño del proyecto (Proyecciones).</t>
  </si>
  <si>
    <t xml:space="preserve">Tasa de descuento anual en USD</t>
  </si>
  <si>
    <t xml:space="preserve">%</t>
  </si>
  <si>
    <t xml:space="preserve">Evaluación económica del Excel V2 (12 % real).</t>
  </si>
  <si>
    <t xml:space="preserve">Mantenimiento anual de equipos</t>
  </si>
  <si>
    <t xml:space="preserve">% de la inversión</t>
  </si>
  <si>
    <t xml:space="preserve">Criterio del grupo.</t>
  </si>
  <si>
    <t xml:space="preserve">Precio de venta del scrap</t>
  </si>
  <si>
    <t xml:space="preserve">USD/t</t>
  </si>
  <si>
    <t xml:space="preserve">Reaquila (mar-2026): acero reciclado $300-1.200/kg con dólar ~$1.480.</t>
  </si>
  <si>
    <t xml:space="preserve">Densidad del acero SAE 1010</t>
  </si>
  <si>
    <t xml:space="preserve">g/cm³</t>
  </si>
  <si>
    <t xml:space="preserve">Planilla «Dimensiones de chapa».</t>
  </si>
  <si>
    <t xml:space="preserve">Costo mensual de un operario con cargas</t>
  </si>
  <si>
    <t xml:space="preserve">ARS/mes</t>
  </si>
  <si>
    <t xml:space="preserve">Planilla «Costo oportunidad operario-máquina», CCT 260/75, ago-2026.</t>
  </si>
  <si>
    <t xml:space="preserve">Horas por mes</t>
  </si>
  <si>
    <t xml:space="preserve">h/mes</t>
  </si>
  <si>
    <t xml:space="preserve">Excel V2.</t>
  </si>
  <si>
    <t xml:space="preserve">Horas productivas por operario y año</t>
  </si>
  <si>
    <t xml:space="preserve">h/año</t>
  </si>
  <si>
    <t xml:space="preserve">Excel V2 (150 h × 12).</t>
  </si>
  <si>
    <t xml:space="preserve">Tipo de cambio</t>
  </si>
  <si>
    <t xml:space="preserve">ARS/USD</t>
  </si>
  <si>
    <t xml:space="preserve">Valor fijo del proyecto (criterio del grupo).</t>
  </si>
  <si>
    <t xml:space="preserve">Costo hora de operario</t>
  </si>
  <si>
    <t xml:space="preserve">USD/h</t>
  </si>
  <si>
    <t xml:space="preserve">Cálculo.</t>
  </si>
  <si>
    <t xml:space="preserve">2. Corte y puentes</t>
  </si>
  <si>
    <t xml:space="preserve">Margen mínimo de borde a lo ancho de una bobina</t>
  </si>
  <si>
    <t xml:space="preserve">mm</t>
  </si>
  <si>
    <t xml:space="preserve">Criterio del grupo: bordes de laminación y tolerancia de ancho.</t>
  </si>
  <si>
    <t xml:space="preserve">Despunte de cabeza y cola de bobina</t>
  </si>
  <si>
    <t xml:space="preserve">Puente de avance entre discos</t>
  </si>
  <si>
    <t xml:space="preserve">× espesor</t>
  </si>
  <si>
    <t xml:space="preserve">MISUMI, Press Dies Tutorial: 1,5 veces el espesor, mínimo 0,7 mm.</t>
  </si>
  <si>
    <t xml:space="preserve">Puente mínimo entre discos</t>
  </si>
  <si>
    <t xml:space="preserve">MISUMI.</t>
  </si>
  <si>
    <t xml:space="preserve">Puente al borde del fleje</t>
  </si>
  <si>
    <t xml:space="preserve">× puente de avance</t>
  </si>
  <si>
    <t xml:space="preserve">MISUMI: 1,5 veces el de avance (la guía del fleje deja juego).</t>
  </si>
  <si>
    <t xml:space="preserve">¿Mezclar 70 y 100 kg en la misma hoja?</t>
  </si>
  <si>
    <t xml:space="preserve">SI</t>
  </si>
  <si>
    <t xml:space="preserve">SI/NO</t>
  </si>
  <si>
    <t xml:space="preserve">Proceso de carros: la hoja mixta lleva 1 cuerpo de 100 kg y 3 de 70 kg.</t>
  </si>
  <si>
    <t xml:space="preserve">Cuerpos de 100 kg por hoja mixta</t>
  </si>
  <si>
    <t xml:space="preserve">u</t>
  </si>
  <si>
    <t xml:space="preserve">Proceso de carros.</t>
  </si>
  <si>
    <t xml:space="preserve">Cuerpos de 70 kg por hoja mixta</t>
  </si>
  <si>
    <t xml:space="preserve">3. Máquinas</t>
  </si>
  <si>
    <t xml:space="preserve">Guillotina 1 (franjas) CENA 8 × 3200: golpes por minuto</t>
  </si>
  <si>
    <t xml:space="preserve">golpes/min</t>
  </si>
  <si>
    <t xml:space="preserve">Cotización CENA (Drive).</t>
  </si>
  <si>
    <t xml:space="preserve">Guillotina 1: largo de corte</t>
  </si>
  <si>
    <t xml:space="preserve">Cotización CENA.</t>
  </si>
  <si>
    <t xml:space="preserve">Guillotina 1: recorrido del tope trasero</t>
  </si>
  <si>
    <t xml:space="preserve">Cotización CENA: 20 a 1.000 mm.</t>
  </si>
  <si>
    <t xml:space="preserve">Guillotina 2 (piezas) QC12Y 6 × 2500: golpes por minuto</t>
  </si>
  <si>
    <t xml:space="preserve">Confirmado por el grupo (igual que la HG 6 × 2500 de la ficha Molinari Panther).</t>
  </si>
  <si>
    <t xml:space="preserve">Guillotina 2: largo de corte para franjas en paralelo</t>
  </si>
  <si>
    <t xml:space="preserve">Publicación Alibaba 1600900259147: 6 × 2500, cuchilla de 2.550 mm.</t>
  </si>
  <si>
    <t xml:space="preserve">Guillotina 2: recorrido del tope trasero</t>
  </si>
  <si>
    <t xml:space="preserve">Publicación Alibaba 1600900259147: 20 a 800 mm.</t>
  </si>
  <si>
    <t xml:space="preserve">Línea de corte transversal (A y C): golpes por hora</t>
  </si>
  <si>
    <t xml:space="preserve">golpes/h</t>
  </si>
  <si>
    <t xml:space="preserve">Criterio del grupo: 20 golpes por minuto.</t>
  </si>
  <si>
    <t xml:space="preserve">Cortadora longitudinal (C): velocidad efectiva</t>
  </si>
  <si>
    <t xml:space="preserve">m/min</t>
  </si>
  <si>
    <t xml:space="preserve">Criterio del grupo (máquinas de 60 a 120 m/min nominales).</t>
  </si>
  <si>
    <t xml:space="preserve">Cortadora: armado de cuchillas por bobina madre</t>
  </si>
  <si>
    <t xml:space="preserve">min</t>
  </si>
  <si>
    <t xml:space="preserve">Operarios en la cortadora</t>
  </si>
  <si>
    <t xml:space="preserve">personas</t>
  </si>
  <si>
    <t xml:space="preserve">Carga manual de una tira en el balancín (B)</t>
  </si>
  <si>
    <t xml:space="preserve">s/tira</t>
  </si>
  <si>
    <t xml:space="preserve">Cambio de fleje en el desbobinador de la prensa</t>
  </si>
  <si>
    <t xml:space="preserve">min/fleje</t>
  </si>
  <si>
    <t xml:space="preserve">4. Compras y stock</t>
  </si>
  <si>
    <t xml:space="preserve">Stock de seguridad</t>
  </si>
  <si>
    <t xml:space="preserve">semanas</t>
  </si>
  <si>
    <t xml:space="preserve">Lote de compra de hojas y de chapa a medida</t>
  </si>
  <si>
    <t xml:space="preserve">meses</t>
  </si>
  <si>
    <t xml:space="preserve">Criterio del grupo: compra mensual.</t>
  </si>
  <si>
    <t xml:space="preserve">Cobertura objetivo de un rollo o bobina</t>
  </si>
  <si>
    <t xml:space="preserve">Cobertura máxima de stock por rollo</t>
  </si>
  <si>
    <t xml:space="preserve">Peso mínimo de rollo</t>
  </si>
  <si>
    <t xml:space="preserve">t</t>
  </si>
  <si>
    <t xml:space="preserve">Diámetro exterior máximo de bobina</t>
  </si>
  <si>
    <t xml:space="preserve">Diámetro interior de bobina</t>
  </si>
  <si>
    <t xml:space="preserve">Estándar de mercado.</t>
  </si>
  <si>
    <t xml:space="preserve">Peso máximo de bobina por mm de ancho</t>
  </si>
  <si>
    <t xml:space="preserve">t/mm</t>
  </si>
  <si>
    <t xml:space="preserve">Cálculo con el diámetro exterior máximo.</t>
  </si>
  <si>
    <t xml:space="preserve">Desbobinador de la línea de corte transversal</t>
  </si>
  <si>
    <t xml:space="preserve">A especificar al comprar.</t>
  </si>
  <si>
    <t xml:space="preserve">Desbobinador de fleje de la prensa</t>
  </si>
  <si>
    <t xml:space="preserve">Desbobinador de la cortadora longitudinal</t>
  </si>
  <si>
    <t xml:space="preserve">Pradecon: la bobina madre pesa 13-14 t.</t>
  </si>
  <si>
    <t xml:space="preserve">Precio de la bobina madre sobre la flejada</t>
  </si>
  <si>
    <t xml:space="preserve">Pradecon (mail 28/09/2026): no cobra el flejado.</t>
  </si>
  <si>
    <t xml:space="preserve">¿El puente grúa ya está en el layout por otro motivo?</t>
  </si>
  <si>
    <t xml:space="preserve">NO</t>
  </si>
  <si>
    <t xml:space="preserve">Si es SI, no se carga a A ni a C.</t>
  </si>
  <si>
    <t xml:space="preserve">5. Cotizaciones de acero recibidas (sin IVA)</t>
  </si>
  <si>
    <t xml:space="preserve">Cotización</t>
  </si>
  <si>
    <t xml:space="preserve">Id</t>
  </si>
  <si>
    <t xml:space="preserve">Espesor (mm)</t>
  </si>
  <si>
    <t xml:space="preserve">Moneda</t>
  </si>
  <si>
    <t xml:space="preserve">Precio por kg</t>
  </si>
  <si>
    <t xml:space="preserve">TC</t>
  </si>
  <si>
    <t xml:space="preserve">USD/kg</t>
  </si>
  <si>
    <t xml:space="preserve">Formato</t>
  </si>
  <si>
    <t xml:space="preserve">Producto y nota</t>
  </si>
  <si>
    <t xml:space="preserve">Pradecon 173170</t>
  </si>
  <si>
    <t xml:space="preserve">Q1</t>
  </si>
  <si>
    <t xml:space="preserve">USD</t>
  </si>
  <si>
    <t xml:space="preserve">Ancho 1.220</t>
  </si>
  <si>
    <t xml:space="preserve">Bobina LAF flejada. Flejado sin cargo.</t>
  </si>
  <si>
    <t xml:space="preserve">Q2</t>
  </si>
  <si>
    <t xml:space="preserve">Bobina LAF flejada.</t>
  </si>
  <si>
    <t xml:space="preserve">Q3</t>
  </si>
  <si>
    <t xml:space="preserve">Ancho 1.220 o 1.000</t>
  </si>
  <si>
    <t xml:space="preserve">Q4</t>
  </si>
  <si>
    <t xml:space="preserve">Q5</t>
  </si>
  <si>
    <t xml:space="preserve">Ancho 1.245 o 1.500</t>
  </si>
  <si>
    <t xml:space="preserve">Bobina LAC flejada.</t>
  </si>
  <si>
    <t xml:space="preserve">Q6</t>
  </si>
  <si>
    <t xml:space="preserve">1500 × 3000</t>
  </si>
  <si>
    <t xml:space="preserve">Hoja LAC. Mismo producto que Q11.</t>
  </si>
  <si>
    <t xml:space="preserve">Pradecon 173195</t>
  </si>
  <si>
    <t xml:space="preserve">Q7</t>
  </si>
  <si>
    <t xml:space="preserve">ARS</t>
  </si>
  <si>
    <t xml:space="preserve">1000 × 2000</t>
  </si>
  <si>
    <t xml:space="preserve">Hoja LAF C16.</t>
  </si>
  <si>
    <t xml:space="preserve">Q8</t>
  </si>
  <si>
    <t xml:space="preserve">1220 × 2440</t>
  </si>
  <si>
    <t xml:space="preserve">Hoja LAF C18.</t>
  </si>
  <si>
    <t xml:space="preserve">Q9</t>
  </si>
  <si>
    <t xml:space="preserve">Hoja LAF C14.</t>
  </si>
  <si>
    <t xml:space="preserve">Q10</t>
  </si>
  <si>
    <t xml:space="preserve">Hoja LAC 1/8.</t>
  </si>
  <si>
    <t xml:space="preserve">Q11</t>
  </si>
  <si>
    <t xml:space="preserve">Hoja LAC 3/16.</t>
  </si>
  <si>
    <t xml:space="preserve">Hierros Parrotta 413329</t>
  </si>
  <si>
    <t xml:space="preserve">Q12</t>
  </si>
  <si>
    <t xml:space="preserve">Hoja doble decapada N.° 20. Neto con 6,84 % de descuento, contado.</t>
  </si>
  <si>
    <t xml:space="preserve">Q13</t>
  </si>
  <si>
    <t xml:space="preserve">Hoja doble decapada N.° 20.</t>
  </si>
  <si>
    <t xml:space="preserve">Q14</t>
  </si>
  <si>
    <t xml:space="preserve">Hoja doble decapada N.° 18 (1,2).</t>
  </si>
  <si>
    <t xml:space="preserve">Q15</t>
  </si>
  <si>
    <t xml:space="preserve">Hoja doble decapada N.° 16.</t>
  </si>
  <si>
    <t xml:space="preserve">Q16</t>
  </si>
  <si>
    <t xml:space="preserve">Hoja doble decapada N.° 14.</t>
  </si>
  <si>
    <t xml:space="preserve">Q17</t>
  </si>
  <si>
    <t xml:space="preserve">Q18</t>
  </si>
  <si>
    <t xml:space="preserve">Pacheco Chapas PR 42021</t>
  </si>
  <si>
    <t xml:space="preserve">Q19</t>
  </si>
  <si>
    <t xml:space="preserve">Ancho 200</t>
  </si>
  <si>
    <t xml:space="preserve">Rollo de fleje LAF.</t>
  </si>
  <si>
    <t xml:space="preserve">Q20</t>
  </si>
  <si>
    <t xml:space="preserve">Ancho 200 y 250</t>
  </si>
  <si>
    <t xml:space="preserve">Q21</t>
  </si>
  <si>
    <t xml:space="preserve">Ancho 249 y 300</t>
  </si>
  <si>
    <t xml:space="preserve">Q22</t>
  </si>
  <si>
    <t xml:space="preserve">1220 × 540</t>
  </si>
  <si>
    <t xml:space="preserve">Plancha a medida LAF.</t>
  </si>
  <si>
    <t xml:space="preserve">Q23</t>
  </si>
  <si>
    <t xml:space="preserve">1000 × 475</t>
  </si>
  <si>
    <t xml:space="preserve">Q24</t>
  </si>
  <si>
    <t xml:space="preserve">1500 × 563</t>
  </si>
  <si>
    <t xml:space="preserve">Q25</t>
  </si>
  <si>
    <t xml:space="preserve">1500 × 2584 / 1988</t>
  </si>
  <si>
    <t xml:space="preserve">Plancha a medida LAC.</t>
  </si>
  <si>
    <t xml:space="preserve">Pacheco Chapas PR 42024</t>
  </si>
  <si>
    <t xml:space="preserve">Q26</t>
  </si>
  <si>
    <t xml:space="preserve">1245 × 1360 / 1800</t>
  </si>
  <si>
    <t xml:space="preserve">6. Precio del acero por espesor y forma de compra (USD/kg)</t>
  </si>
  <si>
    <t xml:space="preserve">Bobina (A)</t>
  </si>
  <si>
    <t xml:space="preserve">Hoja (B y D)</t>
  </si>
  <si>
    <t xml:space="preserve">Fleje a medida</t>
  </si>
  <si>
    <t xml:space="preserve">Bobina madre (C)</t>
  </si>
  <si>
    <t xml:space="preserve">A medida (Ref.)</t>
  </si>
  <si>
    <t xml:space="preserve">Cotización usada</t>
  </si>
  <si>
    <t xml:space="preserve">Bobina Q1 · hoja Q12 · fleje Q1 · a medida Q12. A medida: sin cotización, se toma la hoja Q12.</t>
  </si>
  <si>
    <t xml:space="preserve">Bobina Q2 · hoja Q8 · fleje Q19 · a medida Q22.</t>
  </si>
  <si>
    <t xml:space="preserve">Bobina Q3 · hoja Q7 · fleje Q20 · a medida Q23.</t>
  </si>
  <si>
    <t xml:space="preserve">Bobina Q4 · hoja Q9 · fleje Q21 · a medida Q24.</t>
  </si>
  <si>
    <t xml:space="preserve">Bobina Q5 · hoja Q10 · fleje Q5 · a medida Q25. Fleje: la bobina flejada Q5.</t>
  </si>
  <si>
    <t xml:space="preserve">Bobina Q5 · hoja Q11 · fleje Q5 · a medida Q26. Bobina: sin cotización, se toma la de 3,2 (Q5).</t>
  </si>
  <si>
    <t xml:space="preserve">7. Equipos de corte y manejo (USD sin IVA)</t>
  </si>
  <si>
    <t xml:space="preserve">Equipo</t>
  </si>
  <si>
    <t xml:space="preserve">Precio (USD)</t>
  </si>
  <si>
    <t xml:space="preserve">A</t>
  </si>
  <si>
    <t xml:space="preserve">B</t>
  </si>
  <si>
    <t xml:space="preserve">C</t>
  </si>
  <si>
    <t xml:space="preserve">D</t>
  </si>
  <si>
    <t xml:space="preserve">Ref.</t>
  </si>
  <si>
    <t xml:space="preserve">Fuente</t>
  </si>
  <si>
    <t xml:space="preserve">Línea de corte transversal 1-6 mm × 1.600 (desbobinador, aplanadora, alimentador, cizalla)</t>
  </si>
  <si>
    <t xml:space="preserve">ESTIMADO del grupo: Hener da USD 45.000 para 0,2-3 mm × 1.250; para 4,75 mm, más pesada.</t>
  </si>
  <si>
    <t xml:space="preserve">Guillotina 1 (franjas) CENA 8 × 3200 E21, tope 1.000 mm</t>
  </si>
  <si>
    <t xml:space="preserve">Cotización CENA (Drive), sin IVA.</t>
  </si>
  <si>
    <t xml:space="preserve">Guillotina 2 (piezas) QC12Y 6 × 2500, tope 800 mm</t>
  </si>
  <si>
    <t xml:space="preserve">Publicación Alibaba 1600900259147: FOB China, 1 a 2 unidades.</t>
  </si>
  <si>
    <t xml:space="preserve">Cortadora longitudinal 0,3-3,2 × 1.600</t>
  </si>
  <si>
    <t xml:space="preserve">ESTIMADO del grupo: Cangzhou Zunsheng USD 28.600-59.620 FOB.</t>
  </si>
  <si>
    <t xml:space="preserve">Puente grúa monoviga 10 t con carrilera</t>
  </si>
  <si>
    <t xml:space="preserve">Dongqi Crane: USD 10.000-50.000 (10 t básico).</t>
  </si>
  <si>
    <t xml:space="preserve">Pinza en C portabobinas y cunas</t>
  </si>
  <si>
    <t xml:space="preserve">ESTIMADO del grupo.</t>
  </si>
  <si>
    <t xml:space="preserve">Desbobinador, enderezador y alimentador servo de la prensa de discos</t>
  </si>
  <si>
    <t xml:space="preserve">ESTIMADO del grupo (en cotización).</t>
  </si>
  <si>
    <t xml:space="preserve">Estantería porta-flejes</t>
  </si>
  <si>
    <t xml:space="preserve">Autoelevador eléctrico 2,5 t</t>
  </si>
  <si>
    <t xml:space="preserve">Mercado Libre GBA, nuevos 2026: USD 13.700-26.700.</t>
  </si>
  <si>
    <t xml:space="preserve">Mesa elevadora de tijera 3 t</t>
  </si>
  <si>
    <t xml:space="preserve">Mesa de bolas entre la mesa elevadora y la guillotina</t>
  </si>
  <si>
    <t xml:space="preserve">Racks por espesor y carros porta-desarrollos (pulmón entre guillotinas)</t>
  </si>
  <si>
    <t xml:space="preserve">Mesa de alimentación de tiras al balancín</t>
  </si>
  <si>
    <t xml:space="preserve">Inversión por alternativa</t>
  </si>
  <si>
    <t xml:space="preserve">Prensa de discos y cilindradoras están en todas las alternativas y no entran. La guillotina 2 está a precio FOB.</t>
  </si>
  <si>
    <t xml:space="preserve">Links de los IMPORTRANGE</t>
  </si>
  <si>
    <t xml:space="preserve">Pegar en B el link de cada Google Sheet: todos los IMPORTRANGE lo leen de acá.</t>
  </si>
  <si>
    <t xml:space="preserve">Archivo</t>
  </si>
  <si>
    <t xml:space="preserve">Link</t>
  </si>
  <si>
    <t xml:space="preserve">Qué se importa</t>
  </si>
  <si>
    <t xml:space="preserve">Proyecciones</t>
  </si>
  <si>
    <t xml:space="preserve">https://docs.google.com/spreadsheets/d/1xc4xDAwSYT3l-RulPYtcePxiCninrbQGzaBUsgO0YEs/edit?gid=1764491891#gid=1764491891</t>
  </si>
  <si>
    <t xml:space="preserve">Indexado Dim Técnico B3:K10 (terminados 1 a 100 kg) y B15:K22 (cilindros vacíos) → Demanda</t>
  </si>
  <si>
    <t xml:space="preserve">Dimensionamiento Recargas Planta Comercial</t>
  </si>
  <si>
    <t xml:space="preserve">PEGAR ACÁ EL LINK DEL GOOGLE SHEET</t>
  </si>
  <si>
    <t xml:space="preserve">sobrestock_sustitutos B73:K76 y B86:K89: sustitutos ABC como cilindro vacío → Demanda</t>
  </si>
  <si>
    <t xml:space="preserve">Dimensionamiento Recargas Planta Industrial</t>
  </si>
  <si>
    <t xml:space="preserve">sobrestock_sustitutos B73:K76 y B86:K89: sustitutos ABC terminados → Demanda</t>
  </si>
  <si>
    <t xml:space="preserve">Demanda: cuerpos a fabricar por formato</t>
  </si>
  <si>
    <t xml:space="preserve">Por IMPORTRANGE (hoja Links). Cada unidad lleva un cuerpo; las de 1 a 10 kg, además, una cúpula y un fondo.</t>
  </si>
  <si>
    <t xml:space="preserve">Unidades a fabricar = terminados + cilindros + sustitutos</t>
  </si>
  <si>
    <t xml:space="preserve">Línea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</si>
  <si>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</si>
  <si>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</si>
  <si>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</si>
  <si>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</si>
  <si>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</si>
  <si>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</si>
  <si>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</si>
  <si>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</si>
  <si>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</si>
  <si>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</si>
  <si>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1 kg</t>
  </si>
  <si>
    <t xml:space="preserve">Manual</t>
  </si>
  <si>
    <t xml:space="preserve">2,5 kg</t>
  </si>
  <si>
    <t xml:space="preserve">5 kg</t>
  </si>
  <si>
    <t xml:space="preserve">10 kg</t>
  </si>
  <si>
    <t xml:space="preserve">25 kg</t>
  </si>
  <si>
    <t xml:space="preserve">Rodante</t>
  </si>
  <si>
    <t xml:space="preserve">50 kg</t>
  </si>
  <si>
    <t xml:space="preserve">70 kg</t>
  </si>
  <si>
    <t xml:space="preserve">100 kg</t>
  </si>
  <si>
    <t xml:space="preserve">Total</t>
  </si>
  <si>
    <t xml:space="preserve">Matafuegos terminados (Proyecciones)</t>
  </si>
  <si>
    <t xml:space="preserve">Cilindros vendidos vacíos (Proyecciones)</t>
  </si>
  <si>
    <t xml:space="preserve">Sustitutos ABC terminados para la planta industrial de recargas</t>
  </si>
  <si>
    <t xml:space="preserve">Sustitutos ABC cilindros vacíos para la planta comercial de recargas</t>
  </si>
  <si>
    <t xml:space="preserve">Discos de rodantes (25 a 100 kg): se compran embutidos, no entran en este análisis.</t>
  </si>
  <si>
    <t xml:space="preserve">Piezas del plano: cuerpos y discos de cúpula y fondo</t>
  </si>
  <si>
    <t xml:space="preserve">Medidas de los planos de recipiente (modelo 3D). El disco sale de la pieza embutida por igualdad de superficie, con su relación de embutido.</t>
  </si>
  <si>
    <t xml:space="preserve">A) Cuerpos (desarrollo = π·(Ø − e), fibra media)</t>
  </si>
  <si>
    <t xml:space="preserve">Plano</t>
  </si>
  <si>
    <t xml:space="preserve">Ø ext. (mm)</t>
  </si>
  <si>
    <t xml:space="preserve">Alto (mm)</t>
  </si>
  <si>
    <t xml:space="preserve">Desarrollo (mm)</t>
  </si>
  <si>
    <t xml:space="preserve">Masa (kg)</t>
  </si>
  <si>
    <t xml:space="preserve">Acero</t>
  </si>
  <si>
    <t xml:space="preserve">Plano recipiente 1 kg 3" R1</t>
  </si>
  <si>
    <t xml:space="preserve">LAF</t>
  </si>
  <si>
    <t xml:space="preserve">Plano recipiente 2,5 kg R2</t>
  </si>
  <si>
    <t xml:space="preserve">Plano recipiente 5 kg R2</t>
  </si>
  <si>
    <t xml:space="preserve">Plano recipiente 10 kg R2</t>
  </si>
  <si>
    <t xml:space="preserve">Plano recipiente 25 kg R3</t>
  </si>
  <si>
    <t xml:space="preserve">LAC</t>
  </si>
  <si>
    <t xml:space="preserve">Plano recipiente 50 kg R2</t>
  </si>
  <si>
    <t xml:space="preserve">Plano extintor rodante 70 kg (Ø390)</t>
  </si>
  <si>
    <t xml:space="preserve">Plano extintor rodante 100 kg R1 (Ø390)</t>
  </si>
  <si>
    <t xml:space="preserve">Alto: cuerpo del modelo 3D del plano (incluye el labio del encastre). 1 kg en chapa de 0,9 mm por decisión del grupo.</t>
  </si>
  <si>
    <t xml:space="preserve">B) Discos: igual superficie que la pieza embutida (sin sobremedida de recorte)</t>
  </si>
  <si>
    <t xml:space="preserve">Pieza</t>
  </si>
  <si>
    <t xml:space="preserve">Perfil del plano</t>
  </si>
  <si>
    <t xml:space="preserve">Espesor e (mm)</t>
  </si>
  <si>
    <t xml:space="preserve">Altura h (mm)</t>
  </si>
  <si>
    <t xml:space="preserve">Pollera o pestaña p (mm)</t>
  </si>
  <si>
    <t xml:space="preserve">a = Ø/2 − e/2 (mm)</t>
  </si>
  <si>
    <t xml:space="preserve">b o profundidad (mm)</t>
  </si>
  <si>
    <t xml:space="preserve">Área media (mm²)</t>
  </si>
  <si>
    <t xml:space="preserve">D0 = √(4A/π) (mm)</t>
  </si>
  <si>
    <t xml:space="preserve">D0 adoptado (mm)</t>
  </si>
  <si>
    <t xml:space="preserve">d = 2a (mm)</t>
  </si>
  <si>
    <t xml:space="preserve">m = d/D0</t>
  </si>
  <si>
    <t xml:space="preserve">e/D0 × 100</t>
  </si>
  <si>
    <t xml:space="preserve">m1 mínimo</t>
  </si>
  <si>
    <t xml:space="preserve">¿Un solo embutido?</t>
  </si>
  <si>
    <t xml:space="preserve">h/d</t>
  </si>
  <si>
    <t xml:space="preserve">Masa del disco (kg)</t>
  </si>
  <si>
    <t xml:space="preserve">e/D0 × 100 desde</t>
  </si>
  <si>
    <t xml:space="preserve">hasta</t>
  </si>
  <si>
    <t xml:space="preserve">m1 (1.er embutido)</t>
  </si>
  <si>
    <t xml:space="preserve">Cúpula</t>
  </si>
  <si>
    <t xml:space="preserve">Semielipsoide + pollera</t>
  </si>
  <si>
    <t xml:space="preserve">Fondo</t>
  </si>
  <si>
    <t xml:space="preserve">Paraboloide + pestaña</t>
  </si>
  <si>
    <t xml:space="preserve">Plano recipiente 2,5 kg R2; Ø del fondo = Ø del cuerpo − 2 e</t>
  </si>
  <si>
    <t xml:space="preserve">Plano recipiente 5 kg R2; Ø del fondo = Ø del cuerpo − 2 e</t>
  </si>
  <si>
    <t xml:space="preserve">Valor alto de cada rango (lado seguro).</t>
  </si>
  <si>
    <t xml:space="preserve">Plano recipiente 10 kg R2; Ø del fondo = Ø del cuerpo − 2 e</t>
  </si>
  <si>
    <t xml:space="preserve">Fuentes</t>
  </si>
  <si>
    <t xml:space="preserve">Disco y pieza tienen la misma superficie (el espesor no cambia): Harsle, «How to Calculate Deep Drawing Parts» (harslepress.com).</t>
  </si>
  <si>
    <t xml:space="preserve">Superficie del semielipsoide achatado y del paraboloide de revolución: fórmulas de geometría (MathWorld, «Oblate Spheroid» y «Paraboloid»).</t>
  </si>
  <si>
    <t xml:space="preserve">m1: relación de embutido del primer paso, copa sin brida, con prensachapas (EasyChair, preprint Vxvp, tabla 2). Límite general D0/d ≤ 2 (Univ. Mustansiriyah, apunte de embutido).</t>
  </si>
  <si>
    <t xml:space="preserve">Sin sobremedida de recorte: la prensa corta y embute en el mismo golpe, sin recorte después (W-MAN, puesto 4), y la tabla de recorte de Harsle arranca en h/d = 0,5 (estas piezas tienen h/d de 0,12 a 0,36).</t>
  </si>
  <si>
    <t xml:space="preserve">Geometría (Ø, alturas, pollera de 6 mm, pestaña de 10 mm, espesores): planos de recipiente (modelo 3D).</t>
  </si>
  <si>
    <t xml:space="preserve">Corte: cómo sale cada pieza de la hoja, la bobina, el fleje y la bobina madre</t>
  </si>
  <si>
    <t xml:space="preserve">Medidas de la hoja Piezas. Dos guillotinas en serie: G1 corta franjas, pasan por un pulmón y G2 apoya varias franjas una al lado de la otra y corta una pieza de cada una por golpe.</t>
  </si>
  <si>
    <t xml:space="preserve">A) Cuerpos en hoja estándar con dos guillotinas en serie (B y D)</t>
  </si>
  <si>
    <t xml:space="preserve">Hoja ancho (mm)</t>
  </si>
  <si>
    <t xml:space="preserve">Hoja largo (mm)</t>
  </si>
  <si>
    <t xml:space="preserve">Piezas por hoja</t>
  </si>
  <si>
    <t xml:space="preserve">Aprovech.</t>
  </si>
  <si>
    <t xml:space="preserve">Franja = 1.er corte (mm)</t>
  </si>
  <si>
    <t xml:space="preserve">Franjas por hoja</t>
  </si>
  <si>
    <t xml:space="preserve">Piezas por franja</t>
  </si>
  <si>
    <t xml:space="preserve">Pieza = 2.º corte (mm)</t>
  </si>
  <si>
    <t xml:space="preserve">Tope de G1 en el 1.er corte (mm)</t>
  </si>
  <si>
    <t xml:space="preserve">2.º corte en</t>
  </si>
  <si>
    <t xml:space="preserve">Franjas en paralelo</t>
  </si>
  <si>
    <t xml:space="preserve">Golpes G1 por hoja</t>
  </si>
  <si>
    <t xml:space="preserve">Golpes G2 por hoja</t>
  </si>
  <si>
    <t xml:space="preserve">Minutos de guillotina por hoja</t>
  </si>
  <si>
    <t xml:space="preserve">Masa de la hoja (kg)</t>
  </si>
  <si>
    <t xml:space="preserve">USD por hoja</t>
  </si>
  <si>
    <t xml:space="preserve">Control</t>
  </si>
  <si>
    <t xml:space="preserve">Hoja mixta 70 + 100 kg</t>
  </si>
  <si>
    <t xml:space="preserve">2.º corte en G2 si la pieza entra en su tope (800 mm); si no, en G1 (tope 1.000 mm). La franja más ancha que el tope de G1 se saca cortando la orilla del otro lado.</t>
  </si>
  <si>
    <t xml:space="preserve">B) Cuerpos en bobina de ancho estándar con línea de corte transversal (A) y a medida (Ref.)</t>
  </si>
  <si>
    <t xml:space="preserve">Ancho de bobina (mm)</t>
  </si>
  <si>
    <t xml:space="preserve">Piezas por golpe</t>
  </si>
  <si>
    <t xml:space="preserve">Avance por golpe (mm)</t>
  </si>
  <si>
    <t xml:space="preserve">kg comprados por cuerpo</t>
  </si>
  <si>
    <t xml:space="preserve">USD por cuerpo</t>
  </si>
  <si>
    <t xml:space="preserve">Peso de bobina (t)</t>
  </si>
  <si>
    <t xml:space="preserve">USD por cuerpo a medida (Ref.)</t>
  </si>
  <si>
    <t xml:space="preserve">C) Cúpulas y fondos: fleje a medida (A, D, Ref.) o tiras de hoja (B)</t>
  </si>
  <si>
    <t xml:space="preserve">Ø disco (mm)</t>
  </si>
  <si>
    <t xml:space="preserve">Puente de avance (mm)</t>
  </si>
  <si>
    <t xml:space="preserve">Puente al borde (mm)</t>
  </si>
  <si>
    <t xml:space="preserve">Ancho de fleje (mm)</t>
  </si>
  <si>
    <t xml:space="preserve">Paso (mm)</t>
  </si>
  <si>
    <t xml:space="preserve">Aprovech. del fleje</t>
  </si>
  <si>
    <t xml:space="preserve">kg de fleje por disco</t>
  </si>
  <si>
    <t xml:space="preserve">USD de fleje por disco</t>
  </si>
  <si>
    <t xml:space="preserve">Peso de rollo (t)</t>
  </si>
  <si>
    <t xml:space="preserve">Hoja para tiras: ancho</t>
  </si>
  <si>
    <t xml:space="preserve">largo</t>
  </si>
  <si>
    <t xml:space="preserve">Tiras por hoja</t>
  </si>
  <si>
    <t xml:space="preserve">Discos por tira</t>
  </si>
  <si>
    <t xml:space="preserve">Discos por hoja</t>
  </si>
  <si>
    <t xml:space="preserve">Aprovech. de la hoja</t>
  </si>
  <si>
    <t xml:space="preserve">kg de hoja por disco</t>
  </si>
  <si>
    <t xml:space="preserve">USD de hoja por disco</t>
  </si>
  <si>
    <t xml:space="preserve">Cúpula 1 kg</t>
  </si>
  <si>
    <t xml:space="preserve">Fondo 1 kg</t>
  </si>
  <si>
    <t xml:space="preserve">Cúpula 2,5 kg</t>
  </si>
  <si>
    <t xml:space="preserve">Fondo 2,5 kg</t>
  </si>
  <si>
    <t xml:space="preserve">Cúpula 5 kg</t>
  </si>
  <si>
    <t xml:space="preserve">Fondo 5 kg</t>
  </si>
  <si>
    <t xml:space="preserve">Cúpula 10 kg</t>
  </si>
  <si>
    <t xml:space="preserve">Fondo 10 kg</t>
  </si>
  <si>
    <t xml:space="preserve">Por unidad de matafuego (cúpula + fondo)</t>
  </si>
  <si>
    <t xml:space="preserve">Masa neta (kg)</t>
  </si>
  <si>
    <t xml:space="preserve">kg de fleje</t>
  </si>
  <si>
    <t xml:space="preserve">USD de fleje</t>
  </si>
  <si>
    <t xml:space="preserve">kg de hoja</t>
  </si>
  <si>
    <t xml:space="preserve">USD de hoja</t>
  </si>
  <si>
    <t xml:space="preserve">Tiras de hoja</t>
  </si>
  <si>
    <t xml:space="preserve">D) Bobina madre por espesor con corte longitudinal propio (C): patrones de tiras</t>
  </si>
  <si>
    <t xml:space="preserve">Grupo</t>
  </si>
  <si>
    <t xml:space="preserve">Ancho de madre (mm)</t>
  </si>
  <si>
    <t xml:space="preserve">Cuerpo a lo ancho (1 alto, 2 desarrollo)</t>
  </si>
  <si>
    <t xml:space="preserve">kg por metro</t>
  </si>
  <si>
    <t xml:space="preserve">Tiras de disco por ancho</t>
  </si>
  <si>
    <t xml:space="preserve">Peso de madre (t)</t>
  </si>
  <si>
    <t xml:space="preserve">0,9 mm</t>
  </si>
  <si>
    <t xml:space="preserve">1,25 mm</t>
  </si>
  <si>
    <t xml:space="preserve">1,6 mm</t>
  </si>
  <si>
    <t xml:space="preserve">2,0 mm</t>
  </si>
  <si>
    <t xml:space="preserve">3,2 mm</t>
  </si>
  <si>
    <t xml:space="preserve">4,75 mm</t>
  </si>
  <si>
    <t xml:space="preserve">2 (fijo)</t>
  </si>
  <si>
    <t xml:space="preserve">Grupo 0,9 mm</t>
  </si>
  <si>
    <t xml:space="preserve">Tira</t>
  </si>
  <si>
    <t xml:space="preserve">Ancho (mm)</t>
  </si>
  <si>
    <t xml:space="preserve">Avance por pieza (mm)</t>
  </si>
  <si>
    <t xml:space="preserve">Patrón 1</t>
  </si>
  <si>
    <t xml:space="preserve">Patrón 2</t>
  </si>
  <si>
    <t xml:space="preserve">Patrón 3</t>
  </si>
  <si>
    <t xml:space="preserve">Tiras por metro de madre</t>
  </si>
  <si>
    <t xml:space="preserve">Cuerpo 1 kg</t>
  </si>
  <si>
    <t xml:space="preserve">Participación (% de los metros de madre)</t>
  </si>
  <si>
    <t xml:space="preserve">Ancho usado (mm)</t>
  </si>
  <si>
    <t xml:space="preserve">¿Entra en la madre? (orilla ≥ margen)</t>
  </si>
  <si>
    <t xml:space="preserve">Grupo 1,25 mm</t>
  </si>
  <si>
    <t xml:space="preserve">Cuerpo 2,5 kg</t>
  </si>
  <si>
    <t xml:space="preserve">Grupo 1,6 mm</t>
  </si>
  <si>
    <t xml:space="preserve">Cuerpo 5 kg</t>
  </si>
  <si>
    <t xml:space="preserve">Grupo 2,0 mm</t>
  </si>
  <si>
    <t xml:space="preserve">Cuerpo 10 kg</t>
  </si>
  <si>
    <t xml:space="preserve">Grupo 3,2 mm</t>
  </si>
  <si>
    <t xml:space="preserve">Cuerpo 25 kg</t>
  </si>
  <si>
    <t xml:space="preserve">Cuerpo 50 kg</t>
  </si>
  <si>
    <t xml:space="preserve">Grupo 4,75 mm</t>
  </si>
  <si>
    <t xml:space="preserve">Cuerpos 70 y 100 kg (franja compartida)</t>
  </si>
  <si>
    <t xml:space="preserve">70 y 100 kg</t>
  </si>
  <si>
    <t xml:space="preserve">alto de cada uno</t>
  </si>
  <si>
    <t xml:space="preserve">Patrones y participaciones por programación lineal sobre la demanda 2026-2035 (mínimo acero comprado); si cambia la demanda o una medida, hay que recalcularlos.</t>
  </si>
  <si>
    <t xml:space="preserve">Cálculo año por año de cada alternativa</t>
  </si>
  <si>
    <t xml:space="preserve">No se edita: sale de Datos, Demanda, Piezas y Corte. Los costos van en USD sin IVA.</t>
  </si>
  <si>
    <t xml:space="preserve">Período k (para descontar)</t>
  </si>
  <si>
    <t xml:space="preserve">Factor de descuento 1/(1+i)^k</t>
  </si>
  <si>
    <t xml:space="preserve">Unidades a fabricar (cuerpos)</t>
  </si>
  <si>
    <t xml:space="preserve">Acero neto en piezas (cuerpos + cúpulas + fondos)</t>
  </si>
  <si>
    <t xml:space="preserve">A — Bobina por formato para cuerpos + fleje a medida para discos</t>
  </si>
  <si>
    <t xml:space="preserve">Acero de bobina para cuerpos</t>
  </si>
  <si>
    <t xml:space="preserve">Costo de la bobina para cuerpos</t>
  </si>
  <si>
    <t xml:space="preserve">Acero de fleje para discos</t>
  </si>
  <si>
    <t xml:space="preserve">Costo del fleje para discos</t>
  </si>
  <si>
    <t xml:space="preserve">Acero comprado</t>
  </si>
  <si>
    <t xml:space="preserve">Costo del acero</t>
  </si>
  <si>
    <t xml:space="preserve">Scrap</t>
  </si>
  <si>
    <t xml:space="preserve">Venta de scrap (resta)</t>
  </si>
  <si>
    <t xml:space="preserve">Stock de bobinas de cuerpo</t>
  </si>
  <si>
    <t xml:space="preserve">Stock de rollos de fleje</t>
  </si>
  <si>
    <t xml:space="preserve">Stock promedio</t>
  </si>
  <si>
    <t xml:space="preserve">Costo financiero del stock</t>
  </si>
  <si>
    <t xml:space="preserve">Rollos de fleje por año</t>
  </si>
  <si>
    <t xml:space="preserve">rollos</t>
  </si>
  <si>
    <t xml:space="preserve">Horas-hombre de corte: línea + guillotina 1 + cambios de fleje</t>
  </si>
  <si>
    <t xml:space="preserve">h</t>
  </si>
  <si>
    <t xml:space="preserve">Mano de obra de corte</t>
  </si>
  <si>
    <t xml:space="preserve">Mantenimiento de equipos</t>
  </si>
  <si>
    <t xml:space="preserve">COSTO ANUAL A</t>
  </si>
  <si>
    <t xml:space="preserve">B — Hojas para todo: cuerpos con dos guillotinas y discos de tiras de hoja</t>
  </si>
  <si>
    <t xml:space="preserve">Hojas mixtas 70 + 100 kg</t>
  </si>
  <si>
    <t xml:space="preserve">hojas</t>
  </si>
  <si>
    <t xml:space="preserve">Hojas de 70 kg solas</t>
  </si>
  <si>
    <t xml:space="preserve">Hojas de 100 kg solas</t>
  </si>
  <si>
    <t xml:space="preserve">Hojas para cuerpos</t>
  </si>
  <si>
    <t xml:space="preserve">Acero de hojas para cuerpos</t>
  </si>
  <si>
    <t xml:space="preserve">Costo de las hojas para cuerpos</t>
  </si>
  <si>
    <t xml:space="preserve">Horas de la guillotina 1 (franjas; los dos cortes en rodantes)</t>
  </si>
  <si>
    <t xml:space="preserve">Horas de la guillotina 2 (piezas, franjas en paralelo)</t>
  </si>
  <si>
    <t xml:space="preserve">Acero de hojas para discos</t>
  </si>
  <si>
    <t xml:space="preserve">Costo de las hojas para discos</t>
  </si>
  <si>
    <t xml:space="preserve">Tiras de hoja para discos</t>
  </si>
  <si>
    <t xml:space="preserve">tiras</t>
  </si>
  <si>
    <t xml:space="preserve">Stock promedio (hojas)</t>
  </si>
  <si>
    <t xml:space="preserve">Horas-hombre de corte: guillotinas + tiras + carga manual</t>
  </si>
  <si>
    <t xml:space="preserve">COSTO ANUAL B</t>
  </si>
  <si>
    <t xml:space="preserve">C — Bobina madre por espesor con corte longitudinal propio</t>
  </si>
  <si>
    <t xml:space="preserve">Metros de madre de 0,9 mm</t>
  </si>
  <si>
    <t xml:space="preserve">m</t>
  </si>
  <si>
    <t xml:space="preserve">Metros de madre de 1,25 mm</t>
  </si>
  <si>
    <t xml:space="preserve">Metros de madre de 1,6 mm</t>
  </si>
  <si>
    <t xml:space="preserve">Metros de madre de 2,0 mm</t>
  </si>
  <si>
    <t xml:space="preserve">Metros de madre de 3,2 mm</t>
  </si>
  <si>
    <t xml:space="preserve">Metros de madre de 4,75 mm</t>
  </si>
  <si>
    <t xml:space="preserve">Acero de madre de 0,9 mm</t>
  </si>
  <si>
    <t xml:space="preserve">Acero de madre de 1,25 mm</t>
  </si>
  <si>
    <t xml:space="preserve">Acero de madre de 1,6 mm</t>
  </si>
  <si>
    <t xml:space="preserve">Acero de madre de 2,0 mm</t>
  </si>
  <si>
    <t xml:space="preserve">Acero de madre de 3,2 mm</t>
  </si>
  <si>
    <t xml:space="preserve">Acero de madre de 4,75 mm</t>
  </si>
  <si>
    <t xml:space="preserve">Stock promedio (madres y flejes en proceso)</t>
  </si>
  <si>
    <t xml:space="preserve">Horas de la cortadora longitudinal (máquina)</t>
  </si>
  <si>
    <t xml:space="preserve">Flejes de disco generados</t>
  </si>
  <si>
    <t xml:space="preserve">flejes</t>
  </si>
  <si>
    <t xml:space="preserve">Horas-hombre de corte: cortadora + línea + cambios de fleje</t>
  </si>
  <si>
    <t xml:space="preserve">COSTO ANUAL C</t>
  </si>
  <si>
    <t xml:space="preserve">D — Hojas para cuerpos (dos guillotinas en serie) + fleje a medida para discos</t>
  </si>
  <si>
    <t xml:space="preserve">Acero comprado: hojas de cuerpo + fleje</t>
  </si>
  <si>
    <t xml:space="preserve">Stock promedio: hojas + rollos de fleje</t>
  </si>
  <si>
    <t xml:space="preserve">Horas-hombre de corte: guillotinas 1 y 2 + cambios de fleje</t>
  </si>
  <si>
    <t xml:space="preserve">COSTO ANUAL D</t>
  </si>
  <si>
    <t xml:space="preserve">Referencia — cuerpos comprados cortados a medida + fleje a medida para discos</t>
  </si>
  <si>
    <t xml:space="preserve">Cuerpos a medida</t>
  </si>
  <si>
    <t xml:space="preserve">Costo de los cuerpos a medida</t>
  </si>
  <si>
    <t xml:space="preserve">Scrap (esqueleto de los discos)</t>
  </si>
  <si>
    <t xml:space="preserve">Stock promedio: cuerpos + rollos de fleje</t>
  </si>
  <si>
    <t xml:space="preserve">Horas-hombre: cambios de fleje</t>
  </si>
  <si>
    <t xml:space="preserve">Mano de obra</t>
  </si>
  <si>
    <t xml:space="preserve">COSTO ANUAL REFERENCIA</t>
  </si>
  <si>
    <t xml:space="preserve">Opción D: compras por año</t>
  </si>
  <si>
    <t xml:space="preserve">Hojas para cuerpos de 1 kg</t>
  </si>
  <si>
    <t xml:space="preserve">Hojas para cuerpos de 2,5 kg</t>
  </si>
  <si>
    <t xml:space="preserve">Hojas para cuerpos de 5 kg</t>
  </si>
  <si>
    <t xml:space="preserve">Hojas para cuerpos de 10 kg</t>
  </si>
  <si>
    <t xml:space="preserve">Hojas para cuerpos de 25 kg</t>
  </si>
  <si>
    <t xml:space="preserve">Hojas para cuerpos de 50 kg</t>
  </si>
  <si>
    <t xml:space="preserve">Hojas para cuerpos de 70 kg</t>
  </si>
  <si>
    <t xml:space="preserve">Hojas para cuerpos de 100 kg</t>
  </si>
  <si>
    <t xml:space="preserve">Rollos de fleje: cúpula 1 kg</t>
  </si>
  <si>
    <t xml:space="preserve">Rollos de fleje: fondo 1 kg</t>
  </si>
  <si>
    <t xml:space="preserve">Rollos de fleje: cúpula 2,5 kg</t>
  </si>
  <si>
    <t xml:space="preserve">Rollos de fleje: fondo 2,5 kg</t>
  </si>
  <si>
    <t xml:space="preserve">Rollos de fleje: cúpula 5 kg</t>
  </si>
  <si>
    <t xml:space="preserve">Rollos de fleje: fondo 5 kg</t>
  </si>
  <si>
    <t xml:space="preserve">Rollos de fleje: cúpula 10 kg</t>
  </si>
  <si>
    <t xml:space="preserve">Rollos de fleje: fondo 10 kg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</si>
</sst>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%"/>
    <numFmt numFmtId="167" formatCode="0"/>
    <numFmt numFmtId="168" formatCode="0.00"/>
    <numFmt numFmtId="169" formatCode="#,##0.00"/>
    <numFmt numFmtId="170" formatCode="0.0"/>
    <numFmt numFmtId="171" formatCode="0.00000"/>
    <numFmt numFmtId="172" formatCode="0.0000"/>
    <numFmt numFmtId="173" formatCode="0.000"/>
    <numFmt numFmtId="174" formatCode="#,##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Valor actual a 10 años (USD): menor es mejor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Resumen!$B$4:$F$4</c:f>
              <c:strCache>
                <c:ptCount val="5"/>
                <c:pt idx="0">
                  <c:v>A: bobina por formato + fleje</c:v>
                </c:pt>
                <c:pt idx="1">
                  <c:v>B: hojas para todo</c:v>
                </c:pt>
                <c:pt idx="2">
                  <c:v>C: bobina madre propia</c:v>
                </c:pt>
                <c:pt idx="3">
                  <c:v>D: hojas + fleje</c:v>
                </c:pt>
                <c:pt idx="4">
                  <c:v>Referencia: cuerpos a medida</c:v>
                </c:pt>
              </c:strCache>
            </c:strRef>
          </c:cat>
          <c:val>
            <c:numRef>
              <c:f>Resumen!$B$12:$F$12</c:f>
              <c:numCache>
                <c:formatCode>#,##0</c:formatCode>
                <c:ptCount val="5"/>
                <c:pt idx="0">
                  <c:v>1151596.9920884</c:v>
                </c:pt>
                <c:pt idx="1">
                  <c:v>1150161.11678637</c:v>
                </c:pt>
                <c:pt idx="2">
                  <c:v>1203055.32553162</c:v>
                </c:pt>
                <c:pt idx="3">
                  <c:v>1121061.70588396</c:v>
                </c:pt>
                <c:pt idx="4">
                  <c:v>1029277.71500999</c:v>
                </c:pt>
              </c:numCache>
            </c:numRef>
          </c:val>
        </c:ser>
        <c:gapWidth val="150"/>
        <c:overlap val="0"/>
        <c:axId val="59415577"/>
        <c:axId val="84153763"/>
      </c:barChart>
      <c:catAx>
        <c:axId val="594155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153763"/>
        <c:crosses val="autoZero"/>
        <c:auto val="1"/>
        <c:lblAlgn val="ctr"/>
        <c:lblOffset val="100"/>
        <c:noMultiLvlLbl val="0"/>
      </c:catAx>
      <c:valAx>
        <c:axId val="8415376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4155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2</xdr:col>
      <xdr:colOff>1696680</xdr:colOff>
      <xdr:row>35</xdr:row>
      <xdr:rowOff>32760</xdr:rowOff>
    </xdr:to>
    <xdr:graphicFrame>
      <xdr:nvGraphicFramePr>
        <xdr:cNvPr id="0" name="Chart 1"/>
        <xdr:cNvGraphicFramePr/>
      </xdr:nvGraphicFramePr>
      <xdr:xfrm>
        <a:off x="0" y="445788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24"/>
    <col collapsed="false" customWidth="true" hidden="false" outlineLevel="0" max="7" min="7" style="0" width="3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30" hidden="false" customHeight="true" outlineLevel="0" collapsed="false">
      <c r="A5" s="4" t="s">
        <v>8</v>
      </c>
      <c r="B5" s="4" t="s">
        <v>9</v>
      </c>
      <c r="C5" s="4" t="s">
        <v>10</v>
      </c>
      <c r="D5" s="4" t="s">
        <v>11</v>
      </c>
      <c r="E5" s="4" t="s">
        <v>10</v>
      </c>
      <c r="F5" s="4" t="s">
        <v>12</v>
      </c>
    </row>
    <row r="6" customFormat="false" ht="30" hidden="false" customHeight="true" outlineLevel="0" collapsed="false">
      <c r="A6" s="4" t="s">
        <v>13</v>
      </c>
      <c r="B6" s="4" t="s">
        <v>14</v>
      </c>
      <c r="C6" s="4" t="s">
        <v>15</v>
      </c>
      <c r="D6" s="4" t="s">
        <v>16</v>
      </c>
      <c r="E6" s="4" t="s">
        <v>14</v>
      </c>
      <c r="F6" s="4" t="s">
        <v>14</v>
      </c>
    </row>
    <row r="7" customFormat="false" ht="15.75" hidden="false" customHeight="true" outlineLevel="0" collapsed="false">
      <c r="A7" s="4" t="s">
        <v>17</v>
      </c>
      <c r="B7" s="5" t="n">
        <f aca="false">Datos!$C$112</f>
        <v>167800</v>
      </c>
      <c r="C7" s="5" t="n">
        <f aca="false">Datos!$D$112</f>
        <v>79500</v>
      </c>
      <c r="D7" s="5" t="n">
        <f aca="false">Datos!$E$112</f>
        <v>191000</v>
      </c>
      <c r="E7" s="5" t="n">
        <f aca="false">Datos!$F$112</f>
        <v>93000</v>
      </c>
      <c r="F7" s="5" t="n">
        <f aca="false">Datos!$G$112</f>
        <v>15000</v>
      </c>
    </row>
    <row r="8" customFormat="false" ht="15.75" hidden="false" customHeight="true" outlineLevel="0" collapsed="false">
      <c r="A8" s="4" t="s">
        <v>18</v>
      </c>
      <c r="B8" s="5" t="n">
        <f aca="false">SUM(Cálculo!$C$32:$L$32)</f>
        <v>1818.77492799882</v>
      </c>
      <c r="C8" s="5" t="n">
        <f aca="false">SUM(Cálculo!$C$58:$L$58)</f>
        <v>1931.7672924812</v>
      </c>
      <c r="D8" s="5" t="n">
        <f aca="false">SUM(Cálculo!$C$82:$L$82)</f>
        <v>1835.29684556646</v>
      </c>
      <c r="E8" s="5" t="n">
        <f aca="false">SUM(Cálculo!$C$96:$L$96)</f>
        <v>1889.69786405116</v>
      </c>
      <c r="F8" s="5" t="n">
        <f aca="false">SUM(Cálculo!$C$110:$L$110)</f>
        <v>1761.41907398161</v>
      </c>
    </row>
    <row r="9" customFormat="false" ht="15.75" hidden="false" customHeight="true" outlineLevel="0" collapsed="false">
      <c r="A9" s="4" t="s">
        <v>19</v>
      </c>
      <c r="B9" s="6" t="n">
        <f aca="false">SUM(Cálculo!$C$25:$L$25)/B8</f>
        <v>0.905245478360841</v>
      </c>
      <c r="C9" s="6" t="n">
        <f aca="false">SUM(Cálculo!$C$25:$L$25)/C8</f>
        <v>0.852296126006088</v>
      </c>
      <c r="D9" s="6" t="n">
        <f aca="false">SUM(Cálculo!$C$25:$L$25)/D8</f>
        <v>0.897096174771025</v>
      </c>
      <c r="E9" s="6" t="n">
        <f aca="false">SUM(Cálculo!$C$25:$L$25)/E8</f>
        <v>0.871270381920918</v>
      </c>
      <c r="F9" s="6" t="n">
        <f aca="false">SUM(Cálculo!$C$25:$L$25)/F8</f>
        <v>0.934722352021144</v>
      </c>
    </row>
    <row r="10" customFormat="false" ht="15.75" hidden="false" customHeight="true" outlineLevel="0" collapsed="false">
      <c r="A10" s="4" t="s">
        <v>20</v>
      </c>
      <c r="B10" s="5" t="n">
        <f aca="false">INDEX(Cálculo!$C$41:$L$41,Datos!$B$6-2025)</f>
        <v>558.01462351027</v>
      </c>
      <c r="C10" s="5" t="n">
        <f aca="false">INDEX(Cálculo!$C$64:$L$64,Datos!$B$6-2025)</f>
        <v>301.502853256394</v>
      </c>
      <c r="D10" s="5" t="n">
        <f aca="false">INDEX(Cálculo!$C$90:$L$90,Datos!$B$6-2025)</f>
        <v>406.129287447283</v>
      </c>
      <c r="E10" s="5" t="n">
        <f aca="false">INDEX(Cálculo!$C$102:$L$102,Datos!$B$6-2025)</f>
        <v>118.26219451631</v>
      </c>
      <c r="F10" s="5" t="n">
        <f aca="false">INDEX(Cálculo!$C$116:$L$116,Datos!$B$6-2025)</f>
        <v>20.155450074562</v>
      </c>
    </row>
    <row r="11" customFormat="false" ht="15.75" hidden="false" customHeight="true" outlineLevel="0" collapsed="false">
      <c r="A11" s="4" t="s">
        <v>21</v>
      </c>
      <c r="B11" s="5" t="n">
        <f aca="false">INDEX(Cálculo!$C$44:$L$44,Datos!$B$6-2025)</f>
        <v>512740.555165235</v>
      </c>
      <c r="C11" s="5" t="n">
        <f aca="false">INDEX(Cálculo!$C$67:$L$67,Datos!$B$6-2025)</f>
        <v>566169.097545704</v>
      </c>
      <c r="D11" s="5" t="n">
        <f aca="false">INDEX(Cálculo!$C$93:$L$93,Datos!$B$6-2025)</f>
        <v>523613.790553217</v>
      </c>
      <c r="E11" s="5" t="n">
        <f aca="false">INDEX(Cálculo!$C$105:$L$105,Datos!$B$6-2025)</f>
        <v>542274.009727035</v>
      </c>
      <c r="F11" s="5" t="n">
        <f aca="false">INDEX(Cálculo!$C$119:$L$119,Datos!$B$6-2025)</f>
        <v>539391.983464073</v>
      </c>
    </row>
    <row r="12" customFormat="false" ht="15.75" hidden="false" customHeight="true" outlineLevel="0" collapsed="false">
      <c r="A12" s="7" t="s">
        <v>22</v>
      </c>
      <c r="B12" s="8" t="n">
        <f aca="false">B7+SUMPRODUCT(Cálculo!$C$44:$L$44,Cálculo!$C$6:$L$6)</f>
        <v>1151596.9920884</v>
      </c>
      <c r="C12" s="8" t="n">
        <f aca="false">C7+SUMPRODUCT(Cálculo!$C$67:$L$67,Cálculo!$C$6:$L$6)</f>
        <v>1150161.11678637</v>
      </c>
      <c r="D12" s="8" t="n">
        <f aca="false">D7+SUMPRODUCT(Cálculo!$C$93:$L$93,Cálculo!$C$6:$L$6)</f>
        <v>1203055.32553162</v>
      </c>
      <c r="E12" s="8" t="n">
        <f aca="false">E7+SUMPRODUCT(Cálculo!$C$105:$L$105,Cálculo!$C$6:$L$6)</f>
        <v>1121061.70588396</v>
      </c>
      <c r="F12" s="8" t="n">
        <f aca="false">F7+SUMPRODUCT(Cálculo!$C$119:$L$119,Cálculo!$C$6:$L$6)</f>
        <v>1029277.71500999</v>
      </c>
    </row>
    <row r="13" customFormat="false" ht="15.75" hidden="false" customHeight="true" outlineLevel="0" collapsed="false">
      <c r="A13" s="4" t="s">
        <v>23</v>
      </c>
      <c r="B13" s="5" t="n">
        <f aca="false">RANK(B12,$B$12:$E$12,1)</f>
        <v>3</v>
      </c>
      <c r="C13" s="5" t="n">
        <f aca="false">RANK(C12,$B$12:$E$12,1)</f>
        <v>2</v>
      </c>
      <c r="D13" s="5" t="n">
        <f aca="false">RANK(D12,$B$12:$E$12,1)</f>
        <v>4</v>
      </c>
      <c r="E13" s="5" t="n">
        <f aca="false">RANK(E12,$B$12:$E$12,1)</f>
        <v>1</v>
      </c>
      <c r="F13" s="9" t="s">
        <v>24</v>
      </c>
    </row>
    <row r="14" customFormat="false" ht="15.75" hidden="false" customHeight="true" outlineLevel="0" collapsed="false">
      <c r="A14" s="4" t="s">
        <v>25</v>
      </c>
      <c r="B14" s="5" t="n">
        <f aca="false">B12-MIN($B$12:$E$12)</f>
        <v>30535.2862044449</v>
      </c>
      <c r="C14" s="5" t="n">
        <f aca="false">C12-MIN($B$12:$E$12)</f>
        <v>29099.410902411</v>
      </c>
      <c r="D14" s="5" t="n">
        <f aca="false">D12-MIN($B$12:$E$12)</f>
        <v>81993.6196476619</v>
      </c>
      <c r="E14" s="5" t="n">
        <f aca="false">E12-MIN($B$12:$E$12)</f>
        <v>0</v>
      </c>
      <c r="F14" s="5" t="n">
        <f aca="false">F12-MIN($B$12:$E$12)</f>
        <v>-91783.9908739689</v>
      </c>
    </row>
    <row r="16" customFormat="false" ht="15" hidden="false" customHeight="false" outlineLevel="0" collapsed="false">
      <c r="A16" s="7" t="s">
        <v>26</v>
      </c>
      <c r="B16" s="10" t="str">
        <f aca="false">INDEX({"A: bobina por formato + fleje","B: hojas para todo","C: bobina madre propia","D: hojas + fleje"},MATCH(MIN($B$12:$E$12),$B$12:$E$12,0))</f>
        <v>D: hojas + fleje</v>
      </c>
      <c r="C16" s="10"/>
      <c r="D16" s="10"/>
      <c r="E16" s="10"/>
      <c r="F16" s="10"/>
    </row>
    <row r="17" customFormat="false" ht="15" hidden="false" customHeight="false" outlineLevel="0" collapsed="false">
      <c r="A17" s="4" t="s">
        <v>27</v>
      </c>
      <c r="B17" s="6" t="n">
        <f aca="false">($B$12-$E$12)/SUMPRODUCT(Cálculo!$C$52:$L$52,Cálculo!$C$6:$L$6)</f>
        <v>0.0381341769617858</v>
      </c>
    </row>
    <row r="18" customFormat="false" ht="15" hidden="false" customHeight="false" outlineLevel="0" collapsed="false">
      <c r="A18" s="4" t="s">
        <v>28</v>
      </c>
      <c r="B18" s="6" t="n">
        <f aca="false">($C$12-$E$12)/SUMPRODUCT(Cálculo!$C$31:$L$31,Cálculo!$C$6:$L$6)</f>
        <v>0.128949132549089</v>
      </c>
    </row>
    <row r="20" customFormat="false" ht="15" hidden="false" customHeight="false" outlineLevel="0" collapsed="false">
      <c r="A20" s="2" t="s">
        <v>29</v>
      </c>
    </row>
  </sheetData>
  <mergeCells count="1">
    <mergeCell ref="B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7" min="4" style="0" width="12"/>
    <col collapsed="false" customWidth="true" hidden="false" outlineLevel="0" max="8" min="8" style="0" width="20"/>
    <col collapsed="false" customWidth="true" hidden="false" outlineLevel="0" max="9" min="9" style="0" width="70"/>
  </cols>
  <sheetData>
    <row r="1" customFormat="false" ht="1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11" t="s">
        <v>32</v>
      </c>
    </row>
    <row r="5" customFormat="false" ht="15" hidden="false" customHeight="true" outlineLevel="0" collapsed="false">
      <c r="A5" s="3" t="s">
        <v>33</v>
      </c>
      <c r="B5" s="3" t="s">
        <v>34</v>
      </c>
      <c r="C5" s="3" t="s">
        <v>35</v>
      </c>
      <c r="D5" s="12" t="s">
        <v>36</v>
      </c>
      <c r="E5" s="12"/>
      <c r="F5" s="12"/>
      <c r="G5" s="12"/>
      <c r="H5" s="12"/>
      <c r="I5" s="12"/>
    </row>
    <row r="6" customFormat="false" ht="15" hidden="false" customHeight="true" outlineLevel="0" collapsed="false">
      <c r="A6" s="4" t="s">
        <v>37</v>
      </c>
      <c r="B6" s="13" t="n">
        <v>2035</v>
      </c>
      <c r="C6" s="4" t="s">
        <v>38</v>
      </c>
      <c r="D6" s="14" t="s">
        <v>39</v>
      </c>
      <c r="E6" s="14"/>
      <c r="F6" s="14"/>
      <c r="G6" s="14"/>
      <c r="H6" s="14"/>
      <c r="I6" s="14"/>
    </row>
    <row r="7" customFormat="false" ht="15" hidden="false" customHeight="true" outlineLevel="0" collapsed="false">
      <c r="A7" s="4" t="s">
        <v>40</v>
      </c>
      <c r="B7" s="15" t="n">
        <v>0.12</v>
      </c>
      <c r="C7" s="4" t="s">
        <v>41</v>
      </c>
      <c r="D7" s="14" t="s">
        <v>42</v>
      </c>
      <c r="E7" s="14"/>
      <c r="F7" s="14"/>
      <c r="G7" s="14"/>
      <c r="H7" s="14"/>
      <c r="I7" s="14"/>
    </row>
    <row r="8" customFormat="false" ht="15" hidden="false" customHeight="true" outlineLevel="0" collapsed="false">
      <c r="A8" s="4" t="s">
        <v>43</v>
      </c>
      <c r="B8" s="15" t="n">
        <v>0.03</v>
      </c>
      <c r="C8" s="4" t="s">
        <v>44</v>
      </c>
      <c r="D8" s="14" t="s">
        <v>45</v>
      </c>
      <c r="E8" s="14"/>
      <c r="F8" s="14"/>
      <c r="G8" s="14"/>
      <c r="H8" s="14"/>
      <c r="I8" s="14"/>
    </row>
    <row r="9" customFormat="false" ht="15" hidden="false" customHeight="true" outlineLevel="0" collapsed="false">
      <c r="A9" s="4" t="s">
        <v>46</v>
      </c>
      <c r="B9" s="16" t="n">
        <v>250</v>
      </c>
      <c r="C9" s="4" t="s">
        <v>47</v>
      </c>
      <c r="D9" s="14" t="s">
        <v>48</v>
      </c>
      <c r="E9" s="14"/>
      <c r="F9" s="14"/>
      <c r="G9" s="14"/>
      <c r="H9" s="14"/>
      <c r="I9" s="14"/>
    </row>
    <row r="10" customFormat="false" ht="15" hidden="false" customHeight="true" outlineLevel="0" collapsed="false">
      <c r="A10" s="4" t="s">
        <v>49</v>
      </c>
      <c r="B10" s="17" t="n">
        <v>7.87</v>
      </c>
      <c r="C10" s="4" t="s">
        <v>50</v>
      </c>
      <c r="D10" s="14" t="s">
        <v>51</v>
      </c>
      <c r="E10" s="14"/>
      <c r="F10" s="14"/>
      <c r="G10" s="14"/>
      <c r="H10" s="14"/>
      <c r="I10" s="14"/>
    </row>
    <row r="11" customFormat="false" ht="15" hidden="false" customHeight="true" outlineLevel="0" collapsed="false">
      <c r="A11" s="4" t="s">
        <v>52</v>
      </c>
      <c r="B11" s="16" t="n">
        <v>1337922</v>
      </c>
      <c r="C11" s="4" t="s">
        <v>53</v>
      </c>
      <c r="D11" s="14" t="s">
        <v>54</v>
      </c>
      <c r="E11" s="14"/>
      <c r="F11" s="14"/>
      <c r="G11" s="14"/>
      <c r="H11" s="14"/>
      <c r="I11" s="14"/>
    </row>
    <row r="12" customFormat="false" ht="15" hidden="false" customHeight="true" outlineLevel="0" collapsed="false">
      <c r="A12" s="4" t="s">
        <v>55</v>
      </c>
      <c r="B12" s="16" t="n">
        <v>150</v>
      </c>
      <c r="C12" s="4" t="s">
        <v>56</v>
      </c>
      <c r="D12" s="14" t="s">
        <v>57</v>
      </c>
      <c r="E12" s="14"/>
      <c r="F12" s="14"/>
      <c r="G12" s="14"/>
      <c r="H12" s="14"/>
      <c r="I12" s="14"/>
    </row>
    <row r="13" customFormat="false" ht="15" hidden="false" customHeight="true" outlineLevel="0" collapsed="false">
      <c r="A13" s="4" t="s">
        <v>58</v>
      </c>
      <c r="B13" s="16" t="n">
        <v>1800</v>
      </c>
      <c r="C13" s="4" t="s">
        <v>59</v>
      </c>
      <c r="D13" s="14" t="s">
        <v>60</v>
      </c>
      <c r="E13" s="14"/>
      <c r="F13" s="14"/>
      <c r="G13" s="14"/>
      <c r="H13" s="14"/>
      <c r="I13" s="14"/>
    </row>
    <row r="14" customFormat="false" ht="15" hidden="false" customHeight="true" outlineLevel="0" collapsed="false">
      <c r="A14" s="4" t="s">
        <v>61</v>
      </c>
      <c r="B14" s="16" t="n">
        <v>1420</v>
      </c>
      <c r="C14" s="4" t="s">
        <v>62</v>
      </c>
      <c r="D14" s="14" t="s">
        <v>63</v>
      </c>
      <c r="E14" s="14"/>
      <c r="F14" s="14"/>
      <c r="G14" s="14"/>
      <c r="H14" s="14"/>
      <c r="I14" s="14"/>
    </row>
    <row r="15" customFormat="false" ht="15" hidden="false" customHeight="true" outlineLevel="0" collapsed="false">
      <c r="A15" s="4" t="s">
        <v>64</v>
      </c>
      <c r="B15" s="18" t="n">
        <f aca="false">Datos!$B$11/Datos!$B$12/Datos!$B$14</f>
        <v>6.28132394366197</v>
      </c>
      <c r="C15" s="4" t="s">
        <v>65</v>
      </c>
      <c r="D15" s="14" t="s">
        <v>66</v>
      </c>
      <c r="E15" s="14"/>
      <c r="F15" s="14"/>
      <c r="G15" s="14"/>
      <c r="H15" s="14"/>
      <c r="I15" s="14"/>
    </row>
    <row r="17" customFormat="false" ht="15" hidden="false" customHeight="false" outlineLevel="0" collapsed="false">
      <c r="A17" s="11" t="s">
        <v>67</v>
      </c>
    </row>
    <row r="18" customFormat="false" ht="15" hidden="false" customHeight="true" outlineLevel="0" collapsed="false">
      <c r="A18" s="3" t="s">
        <v>33</v>
      </c>
      <c r="B18" s="3" t="s">
        <v>34</v>
      </c>
      <c r="C18" s="3" t="s">
        <v>35</v>
      </c>
      <c r="D18" s="12" t="s">
        <v>36</v>
      </c>
      <c r="E18" s="12"/>
      <c r="F18" s="12"/>
      <c r="G18" s="12"/>
      <c r="H18" s="12"/>
      <c r="I18" s="12"/>
    </row>
    <row r="19" customFormat="false" ht="15" hidden="false" customHeight="true" outlineLevel="0" collapsed="false">
      <c r="A19" s="4" t="s">
        <v>68</v>
      </c>
      <c r="B19" s="16" t="n">
        <v>10</v>
      </c>
      <c r="C19" s="4" t="s">
        <v>69</v>
      </c>
      <c r="D19" s="14" t="s">
        <v>70</v>
      </c>
      <c r="E19" s="14"/>
      <c r="F19" s="14"/>
      <c r="G19" s="14"/>
      <c r="H19" s="14"/>
      <c r="I19" s="14"/>
    </row>
    <row r="20" customFormat="false" ht="15" hidden="false" customHeight="true" outlineLevel="0" collapsed="false">
      <c r="A20" s="4" t="s">
        <v>71</v>
      </c>
      <c r="B20" s="15" t="n">
        <v>0.005</v>
      </c>
      <c r="C20" s="4" t="s">
        <v>41</v>
      </c>
      <c r="D20" s="14" t="s">
        <v>45</v>
      </c>
      <c r="E20" s="14"/>
      <c r="F20" s="14"/>
      <c r="G20" s="14"/>
      <c r="H20" s="14"/>
      <c r="I20" s="14"/>
    </row>
    <row r="21" customFormat="false" ht="15" hidden="false" customHeight="true" outlineLevel="0" collapsed="false">
      <c r="A21" s="4" t="s">
        <v>72</v>
      </c>
      <c r="B21" s="19" t="n">
        <v>1.5</v>
      </c>
      <c r="C21" s="4" t="s">
        <v>73</v>
      </c>
      <c r="D21" s="14" t="s">
        <v>74</v>
      </c>
      <c r="E21" s="14"/>
      <c r="F21" s="14"/>
      <c r="G21" s="14"/>
      <c r="H21" s="14"/>
      <c r="I21" s="14"/>
    </row>
    <row r="22" customFormat="false" ht="15" hidden="false" customHeight="true" outlineLevel="0" collapsed="false">
      <c r="A22" s="4" t="s">
        <v>75</v>
      </c>
      <c r="B22" s="19" t="n">
        <v>0.7</v>
      </c>
      <c r="C22" s="4" t="s">
        <v>69</v>
      </c>
      <c r="D22" s="14" t="s">
        <v>76</v>
      </c>
      <c r="E22" s="14"/>
      <c r="F22" s="14"/>
      <c r="G22" s="14"/>
      <c r="H22" s="14"/>
      <c r="I22" s="14"/>
    </row>
    <row r="23" customFormat="false" ht="15" hidden="false" customHeight="true" outlineLevel="0" collapsed="false">
      <c r="A23" s="4" t="s">
        <v>77</v>
      </c>
      <c r="B23" s="19" t="n">
        <v>1.5</v>
      </c>
      <c r="C23" s="4" t="s">
        <v>78</v>
      </c>
      <c r="D23" s="14" t="s">
        <v>79</v>
      </c>
      <c r="E23" s="14"/>
      <c r="F23" s="14"/>
      <c r="G23" s="14"/>
      <c r="H23" s="14"/>
      <c r="I23" s="14"/>
    </row>
    <row r="24" customFormat="false" ht="15" hidden="false" customHeight="true" outlineLevel="0" collapsed="false">
      <c r="A24" s="4" t="s">
        <v>80</v>
      </c>
      <c r="B24" s="20" t="s">
        <v>81</v>
      </c>
      <c r="C24" s="4" t="s">
        <v>82</v>
      </c>
      <c r="D24" s="14" t="s">
        <v>83</v>
      </c>
      <c r="E24" s="14"/>
      <c r="F24" s="14"/>
      <c r="G24" s="14"/>
      <c r="H24" s="14"/>
      <c r="I24" s="14"/>
    </row>
    <row r="25" customFormat="false" ht="15" hidden="false" customHeight="true" outlineLevel="0" collapsed="false">
      <c r="A25" s="4" t="s">
        <v>84</v>
      </c>
      <c r="B25" s="16" t="n">
        <v>1</v>
      </c>
      <c r="C25" s="4" t="s">
        <v>85</v>
      </c>
      <c r="D25" s="14" t="s">
        <v>86</v>
      </c>
      <c r="E25" s="14"/>
      <c r="F25" s="14"/>
      <c r="G25" s="14"/>
      <c r="H25" s="14"/>
      <c r="I25" s="14"/>
    </row>
    <row r="26" customFormat="false" ht="15" hidden="false" customHeight="true" outlineLevel="0" collapsed="false">
      <c r="A26" s="4" t="s">
        <v>87</v>
      </c>
      <c r="B26" s="16" t="n">
        <v>3</v>
      </c>
      <c r="C26" s="4" t="s">
        <v>85</v>
      </c>
      <c r="D26" s="14" t="s">
        <v>86</v>
      </c>
      <c r="E26" s="14"/>
      <c r="F26" s="14"/>
      <c r="G26" s="14"/>
      <c r="H26" s="14"/>
      <c r="I26" s="14"/>
    </row>
    <row r="28" customFormat="false" ht="15" hidden="false" customHeight="false" outlineLevel="0" collapsed="false">
      <c r="A28" s="11" t="s">
        <v>88</v>
      </c>
    </row>
    <row r="29" customFormat="false" ht="15" hidden="false" customHeight="true" outlineLevel="0" collapsed="false">
      <c r="A29" s="3" t="s">
        <v>33</v>
      </c>
      <c r="B29" s="3" t="s">
        <v>34</v>
      </c>
      <c r="C29" s="3" t="s">
        <v>35</v>
      </c>
      <c r="D29" s="12" t="s">
        <v>36</v>
      </c>
      <c r="E29" s="12"/>
      <c r="F29" s="12"/>
      <c r="G29" s="12"/>
      <c r="H29" s="12"/>
      <c r="I29" s="12"/>
    </row>
    <row r="30" customFormat="false" ht="15" hidden="false" customHeight="true" outlineLevel="0" collapsed="false">
      <c r="A30" s="4" t="s">
        <v>89</v>
      </c>
      <c r="B30" s="16" t="n">
        <v>10</v>
      </c>
      <c r="C30" s="4" t="s">
        <v>90</v>
      </c>
      <c r="D30" s="14" t="s">
        <v>91</v>
      </c>
      <c r="E30" s="14"/>
      <c r="F30" s="14"/>
      <c r="G30" s="14"/>
      <c r="H30" s="14"/>
      <c r="I30" s="14"/>
    </row>
    <row r="31" customFormat="false" ht="15" hidden="false" customHeight="true" outlineLevel="0" collapsed="false">
      <c r="A31" s="4" t="s">
        <v>92</v>
      </c>
      <c r="B31" s="16" t="n">
        <v>3200</v>
      </c>
      <c r="C31" s="4" t="s">
        <v>69</v>
      </c>
      <c r="D31" s="14" t="s">
        <v>93</v>
      </c>
      <c r="E31" s="14"/>
      <c r="F31" s="14"/>
      <c r="G31" s="14"/>
      <c r="H31" s="14"/>
      <c r="I31" s="14"/>
    </row>
    <row r="32" customFormat="false" ht="15" hidden="false" customHeight="true" outlineLevel="0" collapsed="false">
      <c r="A32" s="4" t="s">
        <v>94</v>
      </c>
      <c r="B32" s="16" t="n">
        <v>1000</v>
      </c>
      <c r="C32" s="4" t="s">
        <v>69</v>
      </c>
      <c r="D32" s="14" t="s">
        <v>95</v>
      </c>
      <c r="E32" s="14"/>
      <c r="F32" s="14"/>
      <c r="G32" s="14"/>
      <c r="H32" s="14"/>
      <c r="I32" s="14"/>
    </row>
    <row r="33" customFormat="false" ht="15" hidden="false" customHeight="true" outlineLevel="0" collapsed="false">
      <c r="A33" s="4" t="s">
        <v>96</v>
      </c>
      <c r="B33" s="16" t="n">
        <v>20</v>
      </c>
      <c r="C33" s="4" t="s">
        <v>90</v>
      </c>
      <c r="D33" s="14" t="s">
        <v>97</v>
      </c>
      <c r="E33" s="14"/>
      <c r="F33" s="14"/>
      <c r="G33" s="14"/>
      <c r="H33" s="14"/>
      <c r="I33" s="14"/>
    </row>
    <row r="34" customFormat="false" ht="15" hidden="false" customHeight="true" outlineLevel="0" collapsed="false">
      <c r="A34" s="4" t="s">
        <v>98</v>
      </c>
      <c r="B34" s="16" t="n">
        <v>2500</v>
      </c>
      <c r="C34" s="4" t="s">
        <v>69</v>
      </c>
      <c r="D34" s="14" t="s">
        <v>99</v>
      </c>
      <c r="E34" s="14"/>
      <c r="F34" s="14"/>
      <c r="G34" s="14"/>
      <c r="H34" s="14"/>
      <c r="I34" s="14"/>
    </row>
    <row r="35" customFormat="false" ht="15" hidden="false" customHeight="true" outlineLevel="0" collapsed="false">
      <c r="A35" s="4" t="s">
        <v>100</v>
      </c>
      <c r="B35" s="16" t="n">
        <v>800</v>
      </c>
      <c r="C35" s="4" t="s">
        <v>69</v>
      </c>
      <c r="D35" s="14" t="s">
        <v>101</v>
      </c>
      <c r="E35" s="14"/>
      <c r="F35" s="14"/>
      <c r="G35" s="14"/>
      <c r="H35" s="14"/>
      <c r="I35" s="14"/>
    </row>
    <row r="36" customFormat="false" ht="15" hidden="false" customHeight="true" outlineLevel="0" collapsed="false">
      <c r="A36" s="4" t="s">
        <v>102</v>
      </c>
      <c r="B36" s="16" t="n">
        <v>1200</v>
      </c>
      <c r="C36" s="4" t="s">
        <v>103</v>
      </c>
      <c r="D36" s="14" t="s">
        <v>104</v>
      </c>
      <c r="E36" s="14"/>
      <c r="F36" s="14"/>
      <c r="G36" s="14"/>
      <c r="H36" s="14"/>
      <c r="I36" s="14"/>
    </row>
    <row r="37" customFormat="false" ht="15" hidden="false" customHeight="true" outlineLevel="0" collapsed="false">
      <c r="A37" s="4" t="s">
        <v>105</v>
      </c>
      <c r="B37" s="16" t="n">
        <v>40</v>
      </c>
      <c r="C37" s="4" t="s">
        <v>106</v>
      </c>
      <c r="D37" s="14" t="s">
        <v>107</v>
      </c>
      <c r="E37" s="14"/>
      <c r="F37" s="14"/>
      <c r="G37" s="14"/>
      <c r="H37" s="14"/>
      <c r="I37" s="14"/>
    </row>
    <row r="38" customFormat="false" ht="15" hidden="false" customHeight="true" outlineLevel="0" collapsed="false">
      <c r="A38" s="4" t="s">
        <v>108</v>
      </c>
      <c r="B38" s="16" t="n">
        <v>45</v>
      </c>
      <c r="C38" s="4" t="s">
        <v>109</v>
      </c>
      <c r="D38" s="14" t="s">
        <v>45</v>
      </c>
      <c r="E38" s="14"/>
      <c r="F38" s="14"/>
      <c r="G38" s="14"/>
      <c r="H38" s="14"/>
      <c r="I38" s="14"/>
    </row>
    <row r="39" customFormat="false" ht="15" hidden="false" customHeight="true" outlineLevel="0" collapsed="false">
      <c r="A39" s="4" t="s">
        <v>110</v>
      </c>
      <c r="B39" s="16" t="n">
        <v>2</v>
      </c>
      <c r="C39" s="4" t="s">
        <v>111</v>
      </c>
      <c r="D39" s="14" t="s">
        <v>45</v>
      </c>
      <c r="E39" s="14"/>
      <c r="F39" s="14"/>
      <c r="G39" s="14"/>
      <c r="H39" s="14"/>
      <c r="I39" s="14"/>
    </row>
    <row r="40" customFormat="false" ht="15" hidden="false" customHeight="true" outlineLevel="0" collapsed="false">
      <c r="A40" s="4" t="s">
        <v>112</v>
      </c>
      <c r="B40" s="16" t="n">
        <v>15</v>
      </c>
      <c r="C40" s="4" t="s">
        <v>113</v>
      </c>
      <c r="D40" s="14" t="s">
        <v>45</v>
      </c>
      <c r="E40" s="14"/>
      <c r="F40" s="14"/>
      <c r="G40" s="14"/>
      <c r="H40" s="14"/>
      <c r="I40" s="14"/>
    </row>
    <row r="41" customFormat="false" ht="15" hidden="false" customHeight="true" outlineLevel="0" collapsed="false">
      <c r="A41" s="4" t="s">
        <v>114</v>
      </c>
      <c r="B41" s="16" t="n">
        <v>15</v>
      </c>
      <c r="C41" s="4" t="s">
        <v>115</v>
      </c>
      <c r="D41" s="14" t="s">
        <v>45</v>
      </c>
      <c r="E41" s="14"/>
      <c r="F41" s="14"/>
      <c r="G41" s="14"/>
      <c r="H41" s="14"/>
      <c r="I41" s="14"/>
    </row>
    <row r="43" customFormat="false" ht="15" hidden="false" customHeight="false" outlineLevel="0" collapsed="false">
      <c r="A43" s="11" t="s">
        <v>116</v>
      </c>
    </row>
    <row r="44" customFormat="false" ht="15" hidden="false" customHeight="true" outlineLevel="0" collapsed="false">
      <c r="A44" s="3" t="s">
        <v>33</v>
      </c>
      <c r="B44" s="3" t="s">
        <v>34</v>
      </c>
      <c r="C44" s="3" t="s">
        <v>35</v>
      </c>
      <c r="D44" s="12" t="s">
        <v>36</v>
      </c>
      <c r="E44" s="12"/>
      <c r="F44" s="12"/>
      <c r="G44" s="12"/>
      <c r="H44" s="12"/>
      <c r="I44" s="12"/>
    </row>
    <row r="45" customFormat="false" ht="15" hidden="false" customHeight="true" outlineLevel="0" collapsed="false">
      <c r="A45" s="4" t="s">
        <v>117</v>
      </c>
      <c r="B45" s="16" t="n">
        <v>2</v>
      </c>
      <c r="C45" s="4" t="s">
        <v>118</v>
      </c>
      <c r="D45" s="14" t="s">
        <v>45</v>
      </c>
      <c r="E45" s="14"/>
      <c r="F45" s="14"/>
      <c r="G45" s="14"/>
      <c r="H45" s="14"/>
      <c r="I45" s="14"/>
    </row>
    <row r="46" customFormat="false" ht="15" hidden="false" customHeight="true" outlineLevel="0" collapsed="false">
      <c r="A46" s="4" t="s">
        <v>119</v>
      </c>
      <c r="B46" s="16" t="n">
        <v>1</v>
      </c>
      <c r="C46" s="4" t="s">
        <v>120</v>
      </c>
      <c r="D46" s="14" t="s">
        <v>121</v>
      </c>
      <c r="E46" s="14"/>
      <c r="F46" s="14"/>
      <c r="G46" s="14"/>
      <c r="H46" s="14"/>
      <c r="I46" s="14"/>
    </row>
    <row r="47" customFormat="false" ht="15" hidden="false" customHeight="true" outlineLevel="0" collapsed="false">
      <c r="A47" s="4" t="s">
        <v>122</v>
      </c>
      <c r="B47" s="16" t="n">
        <v>1</v>
      </c>
      <c r="C47" s="4" t="s">
        <v>120</v>
      </c>
      <c r="D47" s="14" t="s">
        <v>45</v>
      </c>
      <c r="E47" s="14"/>
      <c r="F47" s="14"/>
      <c r="G47" s="14"/>
      <c r="H47" s="14"/>
      <c r="I47" s="14"/>
    </row>
    <row r="48" customFormat="false" ht="15" hidden="false" customHeight="true" outlineLevel="0" collapsed="false">
      <c r="A48" s="4" t="s">
        <v>123</v>
      </c>
      <c r="B48" s="16" t="n">
        <v>3</v>
      </c>
      <c r="C48" s="4" t="s">
        <v>120</v>
      </c>
      <c r="D48" s="14" t="s">
        <v>45</v>
      </c>
      <c r="E48" s="14"/>
      <c r="F48" s="14"/>
      <c r="G48" s="14"/>
      <c r="H48" s="14"/>
      <c r="I48" s="14"/>
    </row>
    <row r="49" customFormat="false" ht="15" hidden="false" customHeight="true" outlineLevel="0" collapsed="false">
      <c r="A49" s="4" t="s">
        <v>124</v>
      </c>
      <c r="B49" s="19" t="n">
        <v>0.5</v>
      </c>
      <c r="C49" s="4" t="s">
        <v>125</v>
      </c>
      <c r="D49" s="14" t="s">
        <v>45</v>
      </c>
      <c r="E49" s="14"/>
      <c r="F49" s="14"/>
      <c r="G49" s="14"/>
      <c r="H49" s="14"/>
      <c r="I49" s="14"/>
    </row>
    <row r="50" customFormat="false" ht="15" hidden="false" customHeight="true" outlineLevel="0" collapsed="false">
      <c r="A50" s="4" t="s">
        <v>126</v>
      </c>
      <c r="B50" s="16" t="n">
        <v>1500</v>
      </c>
      <c r="C50" s="4" t="s">
        <v>69</v>
      </c>
      <c r="D50" s="14" t="s">
        <v>45</v>
      </c>
      <c r="E50" s="14"/>
      <c r="F50" s="14"/>
      <c r="G50" s="14"/>
      <c r="H50" s="14"/>
      <c r="I50" s="14"/>
    </row>
    <row r="51" customFormat="false" ht="15" hidden="false" customHeight="true" outlineLevel="0" collapsed="false">
      <c r="A51" s="4" t="s">
        <v>127</v>
      </c>
      <c r="B51" s="16" t="n">
        <v>508</v>
      </c>
      <c r="C51" s="4" t="s">
        <v>69</v>
      </c>
      <c r="D51" s="14" t="s">
        <v>128</v>
      </c>
      <c r="E51" s="14"/>
      <c r="F51" s="14"/>
      <c r="G51" s="14"/>
      <c r="H51" s="14"/>
      <c r="I51" s="14"/>
    </row>
    <row r="52" customFormat="false" ht="15" hidden="false" customHeight="true" outlineLevel="0" collapsed="false">
      <c r="A52" s="4" t="s">
        <v>129</v>
      </c>
      <c r="B52" s="21" t="n">
        <f aca="false">PI()/4*(Datos!$B$50^2-Datos!$B$51^2)*Datos!$B$10/1000000000</f>
        <v>0.0123123228341614</v>
      </c>
      <c r="C52" s="4" t="s">
        <v>130</v>
      </c>
      <c r="D52" s="14" t="s">
        <v>131</v>
      </c>
      <c r="E52" s="14"/>
      <c r="F52" s="14"/>
      <c r="G52" s="14"/>
      <c r="H52" s="14"/>
      <c r="I52" s="14"/>
    </row>
    <row r="53" customFormat="false" ht="15" hidden="false" customHeight="true" outlineLevel="0" collapsed="false">
      <c r="A53" s="4" t="s">
        <v>132</v>
      </c>
      <c r="B53" s="16" t="n">
        <v>10</v>
      </c>
      <c r="C53" s="4" t="s">
        <v>125</v>
      </c>
      <c r="D53" s="14" t="s">
        <v>133</v>
      </c>
      <c r="E53" s="14"/>
      <c r="F53" s="14"/>
      <c r="G53" s="14"/>
      <c r="H53" s="14"/>
      <c r="I53" s="14"/>
    </row>
    <row r="54" customFormat="false" ht="15" hidden="false" customHeight="true" outlineLevel="0" collapsed="false">
      <c r="A54" s="4" t="s">
        <v>134</v>
      </c>
      <c r="B54" s="16" t="n">
        <v>3</v>
      </c>
      <c r="C54" s="4" t="s">
        <v>125</v>
      </c>
      <c r="D54" s="14" t="s">
        <v>133</v>
      </c>
      <c r="E54" s="14"/>
      <c r="F54" s="14"/>
      <c r="G54" s="14"/>
      <c r="H54" s="14"/>
      <c r="I54" s="14"/>
    </row>
    <row r="55" customFormat="false" ht="15" hidden="false" customHeight="true" outlineLevel="0" collapsed="false">
      <c r="A55" s="4" t="s">
        <v>135</v>
      </c>
      <c r="B55" s="16" t="n">
        <v>14</v>
      </c>
      <c r="C55" s="4" t="s">
        <v>125</v>
      </c>
      <c r="D55" s="14" t="s">
        <v>136</v>
      </c>
      <c r="E55" s="14"/>
      <c r="F55" s="14"/>
      <c r="G55" s="14"/>
      <c r="H55" s="14"/>
      <c r="I55" s="14"/>
    </row>
    <row r="56" customFormat="false" ht="15" hidden="false" customHeight="true" outlineLevel="0" collapsed="false">
      <c r="A56" s="4" t="s">
        <v>137</v>
      </c>
      <c r="B56" s="15" t="n">
        <v>0</v>
      </c>
      <c r="C56" s="4" t="s">
        <v>41</v>
      </c>
      <c r="D56" s="14" t="s">
        <v>138</v>
      </c>
      <c r="E56" s="14"/>
      <c r="F56" s="14"/>
      <c r="G56" s="14"/>
      <c r="H56" s="14"/>
      <c r="I56" s="14"/>
    </row>
    <row r="57" customFormat="false" ht="15" hidden="false" customHeight="true" outlineLevel="0" collapsed="false">
      <c r="A57" s="4" t="s">
        <v>139</v>
      </c>
      <c r="B57" s="20" t="s">
        <v>140</v>
      </c>
      <c r="C57" s="4" t="s">
        <v>82</v>
      </c>
      <c r="D57" s="14" t="s">
        <v>141</v>
      </c>
      <c r="E57" s="14"/>
      <c r="F57" s="14"/>
      <c r="G57" s="14"/>
      <c r="H57" s="14"/>
      <c r="I57" s="14"/>
    </row>
    <row r="59" customFormat="false" ht="15" hidden="false" customHeight="false" outlineLevel="0" collapsed="false">
      <c r="A59" s="11" t="s">
        <v>142</v>
      </c>
    </row>
    <row r="60" customFormat="false" ht="15" hidden="false" customHeight="false" outlineLevel="0" collapsed="false">
      <c r="A60" s="3" t="s">
        <v>143</v>
      </c>
      <c r="B60" s="3" t="s">
        <v>144</v>
      </c>
      <c r="C60" s="3" t="s">
        <v>145</v>
      </c>
      <c r="D60" s="3" t="s">
        <v>146</v>
      </c>
      <c r="E60" s="3" t="s">
        <v>147</v>
      </c>
      <c r="F60" s="3" t="s">
        <v>148</v>
      </c>
      <c r="G60" s="3" t="s">
        <v>149</v>
      </c>
      <c r="H60" s="3" t="s">
        <v>150</v>
      </c>
      <c r="I60" s="3" t="s">
        <v>151</v>
      </c>
    </row>
    <row r="61" customFormat="false" ht="15" hidden="false" customHeight="false" outlineLevel="0" collapsed="false">
      <c r="A61" s="4" t="s">
        <v>152</v>
      </c>
      <c r="B61" s="4" t="s">
        <v>153</v>
      </c>
      <c r="C61" s="22" t="n">
        <v>0.9</v>
      </c>
      <c r="D61" s="4" t="s">
        <v>154</v>
      </c>
      <c r="E61" s="23" t="n">
        <v>1.26285</v>
      </c>
      <c r="F61" s="16" t="n">
        <v>1545</v>
      </c>
      <c r="G61" s="24" t="n">
        <f aca="false">IF(D61="USD",E61,E61/F61)</f>
        <v>1.26285</v>
      </c>
      <c r="H61" s="4" t="s">
        <v>155</v>
      </c>
      <c r="I61" s="4" t="s">
        <v>156</v>
      </c>
    </row>
    <row r="62" customFormat="false" ht="15" hidden="false" customHeight="false" outlineLevel="0" collapsed="false">
      <c r="A62" s="4" t="s">
        <v>152</v>
      </c>
      <c r="B62" s="4" t="s">
        <v>157</v>
      </c>
      <c r="C62" s="22" t="n">
        <v>1.25</v>
      </c>
      <c r="D62" s="4" t="s">
        <v>154</v>
      </c>
      <c r="E62" s="23" t="n">
        <v>1.25056</v>
      </c>
      <c r="F62" s="16" t="n">
        <v>1545</v>
      </c>
      <c r="G62" s="24" t="n">
        <f aca="false">IF(D62="USD",E62,E62/F62)</f>
        <v>1.25056</v>
      </c>
      <c r="H62" s="4" t="s">
        <v>155</v>
      </c>
      <c r="I62" s="4" t="s">
        <v>158</v>
      </c>
    </row>
    <row r="63" customFormat="false" ht="15" hidden="false" customHeight="false" outlineLevel="0" collapsed="false">
      <c r="A63" s="4" t="s">
        <v>152</v>
      </c>
      <c r="B63" s="4" t="s">
        <v>159</v>
      </c>
      <c r="C63" s="22" t="n">
        <v>1.6</v>
      </c>
      <c r="D63" s="4" t="s">
        <v>154</v>
      </c>
      <c r="E63" s="23" t="n">
        <v>1.25056</v>
      </c>
      <c r="F63" s="16" t="n">
        <v>1545</v>
      </c>
      <c r="G63" s="24" t="n">
        <f aca="false">IF(D63="USD",E63,E63/F63)</f>
        <v>1.25056</v>
      </c>
      <c r="H63" s="4" t="s">
        <v>160</v>
      </c>
      <c r="I63" s="4" t="s">
        <v>158</v>
      </c>
    </row>
    <row r="64" customFormat="false" ht="15" hidden="false" customHeight="false" outlineLevel="0" collapsed="false">
      <c r="A64" s="4" t="s">
        <v>152</v>
      </c>
      <c r="B64" s="4" t="s">
        <v>161</v>
      </c>
      <c r="C64" s="22" t="n">
        <v>2</v>
      </c>
      <c r="D64" s="4" t="s">
        <v>154</v>
      </c>
      <c r="E64" s="23" t="n">
        <v>1.26285</v>
      </c>
      <c r="F64" s="16" t="n">
        <v>1545</v>
      </c>
      <c r="G64" s="24" t="n">
        <f aca="false">IF(D64="USD",E64,E64/F64)</f>
        <v>1.26285</v>
      </c>
      <c r="H64" s="4" t="s">
        <v>160</v>
      </c>
      <c r="I64" s="4" t="s">
        <v>158</v>
      </c>
    </row>
    <row r="65" customFormat="false" ht="15" hidden="false" customHeight="false" outlineLevel="0" collapsed="false">
      <c r="A65" s="4" t="s">
        <v>152</v>
      </c>
      <c r="B65" s="4" t="s">
        <v>162</v>
      </c>
      <c r="C65" s="22" t="n">
        <v>3.2</v>
      </c>
      <c r="D65" s="4" t="s">
        <v>154</v>
      </c>
      <c r="E65" s="23" t="n">
        <v>1.11373</v>
      </c>
      <c r="F65" s="16" t="n">
        <v>1545</v>
      </c>
      <c r="G65" s="24" t="n">
        <f aca="false">IF(D65="USD",E65,E65/F65)</f>
        <v>1.11373</v>
      </c>
      <c r="H65" s="4" t="s">
        <v>163</v>
      </c>
      <c r="I65" s="4" t="s">
        <v>164</v>
      </c>
    </row>
    <row r="66" customFormat="false" ht="15" hidden="false" customHeight="false" outlineLevel="0" collapsed="false">
      <c r="A66" s="4" t="s">
        <v>152</v>
      </c>
      <c r="B66" s="4" t="s">
        <v>165</v>
      </c>
      <c r="C66" s="22" t="n">
        <v>4.75</v>
      </c>
      <c r="D66" s="4" t="s">
        <v>154</v>
      </c>
      <c r="E66" s="23" t="n">
        <v>1.05792</v>
      </c>
      <c r="F66" s="16" t="n">
        <v>1545</v>
      </c>
      <c r="G66" s="24" t="n">
        <f aca="false">IF(D66="USD",E66,E66/F66)</f>
        <v>1.05792</v>
      </c>
      <c r="H66" s="4" t="s">
        <v>166</v>
      </c>
      <c r="I66" s="4" t="s">
        <v>167</v>
      </c>
    </row>
    <row r="67" customFormat="false" ht="15" hidden="false" customHeight="false" outlineLevel="0" collapsed="false">
      <c r="A67" s="4" t="s">
        <v>168</v>
      </c>
      <c r="B67" s="4" t="s">
        <v>169</v>
      </c>
      <c r="C67" s="22" t="n">
        <v>1.6</v>
      </c>
      <c r="D67" s="4" t="s">
        <v>170</v>
      </c>
      <c r="E67" s="25" t="n">
        <v>2051.02</v>
      </c>
      <c r="F67" s="16" t="n">
        <v>1545</v>
      </c>
      <c r="G67" s="24" t="n">
        <f aca="false">IF(D67="USD",E67,E67/F67)</f>
        <v>1.32752103559871</v>
      </c>
      <c r="H67" s="4" t="s">
        <v>171</v>
      </c>
      <c r="I67" s="4" t="s">
        <v>172</v>
      </c>
    </row>
    <row r="68" customFormat="false" ht="15" hidden="false" customHeight="false" outlineLevel="0" collapsed="false">
      <c r="A68" s="4" t="s">
        <v>168</v>
      </c>
      <c r="B68" s="4" t="s">
        <v>173</v>
      </c>
      <c r="C68" s="22" t="n">
        <v>1.25</v>
      </c>
      <c r="D68" s="4" t="s">
        <v>170</v>
      </c>
      <c r="E68" s="25" t="n">
        <v>1993.51</v>
      </c>
      <c r="F68" s="16" t="n">
        <v>1545</v>
      </c>
      <c r="G68" s="24" t="n">
        <f aca="false">IF(D68="USD",E68,E68/F68)</f>
        <v>1.29029773462783</v>
      </c>
      <c r="H68" s="4" t="s">
        <v>174</v>
      </c>
      <c r="I68" s="4" t="s">
        <v>175</v>
      </c>
    </row>
    <row r="69" customFormat="false" ht="15" hidden="false" customHeight="false" outlineLevel="0" collapsed="false">
      <c r="A69" s="4" t="s">
        <v>168</v>
      </c>
      <c r="B69" s="4" t="s">
        <v>176</v>
      </c>
      <c r="C69" s="22" t="n">
        <v>2</v>
      </c>
      <c r="D69" s="4" t="s">
        <v>170</v>
      </c>
      <c r="E69" s="25" t="n">
        <v>1978.22</v>
      </c>
      <c r="F69" s="16" t="n">
        <v>1545</v>
      </c>
      <c r="G69" s="24" t="n">
        <f aca="false">IF(D69="USD",E69,E69/F69)</f>
        <v>1.28040129449838</v>
      </c>
      <c r="H69" s="4" t="s">
        <v>166</v>
      </c>
      <c r="I69" s="4" t="s">
        <v>177</v>
      </c>
    </row>
    <row r="70" customFormat="false" ht="15" hidden="false" customHeight="false" outlineLevel="0" collapsed="false">
      <c r="A70" s="4" t="s">
        <v>168</v>
      </c>
      <c r="B70" s="4" t="s">
        <v>178</v>
      </c>
      <c r="C70" s="22" t="n">
        <v>3.2</v>
      </c>
      <c r="D70" s="4" t="s">
        <v>170</v>
      </c>
      <c r="E70" s="25" t="n">
        <v>1702.49</v>
      </c>
      <c r="F70" s="16" t="n">
        <v>1545</v>
      </c>
      <c r="G70" s="24" t="n">
        <f aca="false">IF(D70="USD",E70,E70/F70)</f>
        <v>1.10193527508091</v>
      </c>
      <c r="H70" s="4" t="s">
        <v>166</v>
      </c>
      <c r="I70" s="4" t="s">
        <v>179</v>
      </c>
    </row>
    <row r="71" customFormat="false" ht="15" hidden="false" customHeight="false" outlineLevel="0" collapsed="false">
      <c r="A71" s="4" t="s">
        <v>168</v>
      </c>
      <c r="B71" s="4" t="s">
        <v>180</v>
      </c>
      <c r="C71" s="22" t="n">
        <v>4.75</v>
      </c>
      <c r="D71" s="4" t="s">
        <v>170</v>
      </c>
      <c r="E71" s="25" t="n">
        <v>1685.56</v>
      </c>
      <c r="F71" s="16" t="n">
        <v>1545</v>
      </c>
      <c r="G71" s="24" t="n">
        <f aca="false">IF(D71="USD",E71,E71/F71)</f>
        <v>1.09097734627832</v>
      </c>
      <c r="H71" s="4" t="s">
        <v>166</v>
      </c>
      <c r="I71" s="4" t="s">
        <v>181</v>
      </c>
    </row>
    <row r="72" customFormat="false" ht="15" hidden="false" customHeight="false" outlineLevel="0" collapsed="false">
      <c r="A72" s="4" t="s">
        <v>182</v>
      </c>
      <c r="B72" s="4" t="s">
        <v>183</v>
      </c>
      <c r="C72" s="22" t="n">
        <v>0.9</v>
      </c>
      <c r="D72" s="4" t="s">
        <v>154</v>
      </c>
      <c r="E72" s="23" t="n">
        <v>1.3561</v>
      </c>
      <c r="F72" s="16" t="n">
        <v>1</v>
      </c>
      <c r="G72" s="24" t="n">
        <f aca="false">IF(D72="USD",E72,E72/F72)</f>
        <v>1.3561</v>
      </c>
      <c r="H72" s="4" t="s">
        <v>174</v>
      </c>
      <c r="I72" s="4" t="s">
        <v>184</v>
      </c>
    </row>
    <row r="73" customFormat="false" ht="15" hidden="false" customHeight="false" outlineLevel="0" collapsed="false">
      <c r="A73" s="4" t="s">
        <v>182</v>
      </c>
      <c r="B73" s="4" t="s">
        <v>185</v>
      </c>
      <c r="C73" s="22" t="n">
        <v>0.9</v>
      </c>
      <c r="D73" s="4" t="s">
        <v>154</v>
      </c>
      <c r="E73" s="23" t="n">
        <v>1.3993</v>
      </c>
      <c r="F73" s="16" t="n">
        <v>1</v>
      </c>
      <c r="G73" s="24" t="n">
        <f aca="false">IF(D73="USD",E73,E73/F73)</f>
        <v>1.3993</v>
      </c>
      <c r="H73" s="4" t="s">
        <v>171</v>
      </c>
      <c r="I73" s="4" t="s">
        <v>186</v>
      </c>
    </row>
    <row r="74" customFormat="false" ht="15" hidden="false" customHeight="false" outlineLevel="0" collapsed="false">
      <c r="A74" s="4" t="s">
        <v>182</v>
      </c>
      <c r="B74" s="4" t="s">
        <v>187</v>
      </c>
      <c r="C74" s="22" t="n">
        <v>1.25</v>
      </c>
      <c r="D74" s="4" t="s">
        <v>154</v>
      </c>
      <c r="E74" s="23" t="n">
        <v>1.3464</v>
      </c>
      <c r="F74" s="16" t="n">
        <v>1</v>
      </c>
      <c r="G74" s="24" t="n">
        <f aca="false">IF(D74="USD",E74,E74/F74)</f>
        <v>1.3464</v>
      </c>
      <c r="H74" s="4" t="s">
        <v>174</v>
      </c>
      <c r="I74" s="4" t="s">
        <v>188</v>
      </c>
    </row>
    <row r="75" customFormat="false" ht="15" hidden="false" customHeight="false" outlineLevel="0" collapsed="false">
      <c r="A75" s="4" t="s">
        <v>182</v>
      </c>
      <c r="B75" s="4" t="s">
        <v>189</v>
      </c>
      <c r="C75" s="22" t="n">
        <v>1.6</v>
      </c>
      <c r="D75" s="4" t="s">
        <v>154</v>
      </c>
      <c r="E75" s="23" t="n">
        <v>1.3443</v>
      </c>
      <c r="F75" s="16" t="n">
        <v>1</v>
      </c>
      <c r="G75" s="24" t="n">
        <f aca="false">IF(D75="USD",E75,E75/F75)</f>
        <v>1.3443</v>
      </c>
      <c r="H75" s="4" t="s">
        <v>174</v>
      </c>
      <c r="I75" s="4" t="s">
        <v>190</v>
      </c>
    </row>
    <row r="76" customFormat="false" ht="15" hidden="false" customHeight="false" outlineLevel="0" collapsed="false">
      <c r="A76" s="4" t="s">
        <v>182</v>
      </c>
      <c r="B76" s="4" t="s">
        <v>191</v>
      </c>
      <c r="C76" s="22" t="n">
        <v>2</v>
      </c>
      <c r="D76" s="4" t="s">
        <v>154</v>
      </c>
      <c r="E76" s="23" t="n">
        <v>1.3605</v>
      </c>
      <c r="F76" s="16" t="n">
        <v>1</v>
      </c>
      <c r="G76" s="24" t="n">
        <f aca="false">IF(D76="USD",E76,E76/F76)</f>
        <v>1.3605</v>
      </c>
      <c r="H76" s="4" t="s">
        <v>174</v>
      </c>
      <c r="I76" s="4" t="s">
        <v>192</v>
      </c>
    </row>
    <row r="77" customFormat="false" ht="15" hidden="false" customHeight="false" outlineLevel="0" collapsed="false">
      <c r="A77" s="4" t="s">
        <v>182</v>
      </c>
      <c r="B77" s="4" t="s">
        <v>193</v>
      </c>
      <c r="C77" s="22" t="n">
        <v>3.2</v>
      </c>
      <c r="D77" s="4" t="s">
        <v>154</v>
      </c>
      <c r="E77" s="23" t="n">
        <v>1.1607</v>
      </c>
      <c r="F77" s="16" t="n">
        <v>1</v>
      </c>
      <c r="G77" s="24" t="n">
        <f aca="false">IF(D77="USD",E77,E77/F77)</f>
        <v>1.1607</v>
      </c>
      <c r="H77" s="4" t="s">
        <v>166</v>
      </c>
      <c r="I77" s="4" t="s">
        <v>179</v>
      </c>
    </row>
    <row r="78" customFormat="false" ht="15" hidden="false" customHeight="false" outlineLevel="0" collapsed="false">
      <c r="A78" s="4" t="s">
        <v>182</v>
      </c>
      <c r="B78" s="4" t="s">
        <v>194</v>
      </c>
      <c r="C78" s="22" t="n">
        <v>4.75</v>
      </c>
      <c r="D78" s="4" t="s">
        <v>154</v>
      </c>
      <c r="E78" s="23" t="n">
        <v>1.1678</v>
      </c>
      <c r="F78" s="16" t="n">
        <v>1</v>
      </c>
      <c r="G78" s="24" t="n">
        <f aca="false">IF(D78="USD",E78,E78/F78)</f>
        <v>1.1678</v>
      </c>
      <c r="H78" s="4" t="s">
        <v>166</v>
      </c>
      <c r="I78" s="4" t="s">
        <v>181</v>
      </c>
    </row>
    <row r="79" customFormat="false" ht="15" hidden="false" customHeight="false" outlineLevel="0" collapsed="false">
      <c r="A79" s="4" t="s">
        <v>195</v>
      </c>
      <c r="B79" s="4" t="s">
        <v>196</v>
      </c>
      <c r="C79" s="22" t="n">
        <v>1.25</v>
      </c>
      <c r="D79" s="4" t="s">
        <v>154</v>
      </c>
      <c r="E79" s="23" t="n">
        <v>1.186</v>
      </c>
      <c r="F79" s="16" t="n">
        <v>1530</v>
      </c>
      <c r="G79" s="24" t="n">
        <f aca="false">IF(D79="USD",E79,E79/F79)</f>
        <v>1.186</v>
      </c>
      <c r="H79" s="4" t="s">
        <v>197</v>
      </c>
      <c r="I79" s="4" t="s">
        <v>198</v>
      </c>
    </row>
    <row r="80" customFormat="false" ht="15" hidden="false" customHeight="false" outlineLevel="0" collapsed="false">
      <c r="A80" s="4" t="s">
        <v>195</v>
      </c>
      <c r="B80" s="4" t="s">
        <v>199</v>
      </c>
      <c r="C80" s="22" t="n">
        <v>1.6</v>
      </c>
      <c r="D80" s="4" t="s">
        <v>154</v>
      </c>
      <c r="E80" s="23" t="n">
        <v>1.186</v>
      </c>
      <c r="F80" s="16" t="n">
        <v>1530</v>
      </c>
      <c r="G80" s="24" t="n">
        <f aca="false">IF(D80="USD",E80,E80/F80)</f>
        <v>1.186</v>
      </c>
      <c r="H80" s="4" t="s">
        <v>200</v>
      </c>
      <c r="I80" s="4" t="s">
        <v>198</v>
      </c>
    </row>
    <row r="81" customFormat="false" ht="15" hidden="false" customHeight="false" outlineLevel="0" collapsed="false">
      <c r="A81" s="4" t="s">
        <v>195</v>
      </c>
      <c r="B81" s="4" t="s">
        <v>201</v>
      </c>
      <c r="C81" s="22" t="n">
        <v>2</v>
      </c>
      <c r="D81" s="4" t="s">
        <v>154</v>
      </c>
      <c r="E81" s="23" t="n">
        <v>1.198</v>
      </c>
      <c r="F81" s="16" t="n">
        <v>1530</v>
      </c>
      <c r="G81" s="24" t="n">
        <f aca="false">IF(D81="USD",E81,E81/F81)</f>
        <v>1.198</v>
      </c>
      <c r="H81" s="4" t="s">
        <v>202</v>
      </c>
      <c r="I81" s="4" t="s">
        <v>198</v>
      </c>
    </row>
    <row r="82" customFormat="false" ht="15" hidden="false" customHeight="false" outlineLevel="0" collapsed="false">
      <c r="A82" s="4" t="s">
        <v>195</v>
      </c>
      <c r="B82" s="4" t="s">
        <v>203</v>
      </c>
      <c r="C82" s="22" t="n">
        <v>1.25</v>
      </c>
      <c r="D82" s="4" t="s">
        <v>154</v>
      </c>
      <c r="E82" s="23" t="n">
        <v>1.426</v>
      </c>
      <c r="F82" s="16" t="n">
        <v>1530</v>
      </c>
      <c r="G82" s="24" t="n">
        <f aca="false">IF(D82="USD",E82,E82/F82)</f>
        <v>1.426</v>
      </c>
      <c r="H82" s="4" t="s">
        <v>204</v>
      </c>
      <c r="I82" s="4" t="s">
        <v>205</v>
      </c>
    </row>
    <row r="83" customFormat="false" ht="15" hidden="false" customHeight="false" outlineLevel="0" collapsed="false">
      <c r="A83" s="4" t="s">
        <v>195</v>
      </c>
      <c r="B83" s="4" t="s">
        <v>206</v>
      </c>
      <c r="C83" s="22" t="n">
        <v>1.6</v>
      </c>
      <c r="D83" s="4" t="s">
        <v>154</v>
      </c>
      <c r="E83" s="23" t="n">
        <v>1.453</v>
      </c>
      <c r="F83" s="16" t="n">
        <v>1530</v>
      </c>
      <c r="G83" s="24" t="n">
        <f aca="false">IF(D83="USD",E83,E83/F83)</f>
        <v>1.453</v>
      </c>
      <c r="H83" s="4" t="s">
        <v>207</v>
      </c>
      <c r="I83" s="4" t="s">
        <v>205</v>
      </c>
    </row>
    <row r="84" customFormat="false" ht="15" hidden="false" customHeight="false" outlineLevel="0" collapsed="false">
      <c r="A84" s="4" t="s">
        <v>195</v>
      </c>
      <c r="B84" s="4" t="s">
        <v>208</v>
      </c>
      <c r="C84" s="22" t="n">
        <v>2</v>
      </c>
      <c r="D84" s="4" t="s">
        <v>154</v>
      </c>
      <c r="E84" s="23" t="n">
        <v>1.429</v>
      </c>
      <c r="F84" s="16" t="n">
        <v>1530</v>
      </c>
      <c r="G84" s="24" t="n">
        <f aca="false">IF(D84="USD",E84,E84/F84)</f>
        <v>1.429</v>
      </c>
      <c r="H84" s="4" t="s">
        <v>209</v>
      </c>
      <c r="I84" s="4" t="s">
        <v>205</v>
      </c>
    </row>
    <row r="85" customFormat="false" ht="15" hidden="false" customHeight="false" outlineLevel="0" collapsed="false">
      <c r="A85" s="4" t="s">
        <v>195</v>
      </c>
      <c r="B85" s="4" t="s">
        <v>210</v>
      </c>
      <c r="C85" s="22" t="n">
        <v>3.2</v>
      </c>
      <c r="D85" s="4" t="s">
        <v>154</v>
      </c>
      <c r="E85" s="23" t="n">
        <v>1.256</v>
      </c>
      <c r="F85" s="16" t="n">
        <v>1530</v>
      </c>
      <c r="G85" s="24" t="n">
        <f aca="false">IF(D85="USD",E85,E85/F85)</f>
        <v>1.256</v>
      </c>
      <c r="H85" s="4" t="s">
        <v>211</v>
      </c>
      <c r="I85" s="4" t="s">
        <v>212</v>
      </c>
    </row>
    <row r="86" customFormat="false" ht="15" hidden="false" customHeight="false" outlineLevel="0" collapsed="false">
      <c r="A86" s="4" t="s">
        <v>213</v>
      </c>
      <c r="B86" s="4" t="s">
        <v>214</v>
      </c>
      <c r="C86" s="22" t="n">
        <v>4.75</v>
      </c>
      <c r="D86" s="4" t="s">
        <v>154</v>
      </c>
      <c r="E86" s="23" t="n">
        <v>1.236</v>
      </c>
      <c r="F86" s="16" t="n">
        <v>1530</v>
      </c>
      <c r="G86" s="24" t="n">
        <f aca="false">IF(D86="USD",E86,E86/F86)</f>
        <v>1.236</v>
      </c>
      <c r="H86" s="4" t="s">
        <v>215</v>
      </c>
      <c r="I86" s="4" t="s">
        <v>212</v>
      </c>
    </row>
    <row r="88" customFormat="false" ht="15" hidden="false" customHeight="false" outlineLevel="0" collapsed="false">
      <c r="A88" s="11" t="s">
        <v>216</v>
      </c>
    </row>
    <row r="89" customFormat="false" ht="23.85" hidden="false" customHeight="false" outlineLevel="0" collapsed="false">
      <c r="A89" s="3" t="s">
        <v>145</v>
      </c>
      <c r="B89" s="3" t="s">
        <v>217</v>
      </c>
      <c r="C89" s="3" t="s">
        <v>218</v>
      </c>
      <c r="D89" s="3" t="s">
        <v>219</v>
      </c>
      <c r="E89" s="3" t="s">
        <v>220</v>
      </c>
      <c r="F89" s="3" t="s">
        <v>221</v>
      </c>
      <c r="G89" s="3"/>
      <c r="H89" s="3"/>
      <c r="I89" s="3" t="s">
        <v>222</v>
      </c>
    </row>
    <row r="90" customFormat="false" ht="15" hidden="false" customHeight="false" outlineLevel="0" collapsed="false">
      <c r="A90" s="22" t="n">
        <v>0.9</v>
      </c>
      <c r="B90" s="24" t="n">
        <f aca="false">Datos!$G$61</f>
        <v>1.26285</v>
      </c>
      <c r="C90" s="24" t="n">
        <f aca="false">Datos!$G$72</f>
        <v>1.3561</v>
      </c>
      <c r="D90" s="24" t="n">
        <f aca="false">Datos!$G$61</f>
        <v>1.26285</v>
      </c>
      <c r="E90" s="24" t="n">
        <f aca="false">B90*(1+Datos!$B$56)</f>
        <v>1.26285</v>
      </c>
      <c r="F90" s="24" t="n">
        <f aca="false">Datos!$G$72</f>
        <v>1.3561</v>
      </c>
      <c r="I90" s="4" t="s">
        <v>223</v>
      </c>
    </row>
    <row r="91" customFormat="false" ht="15" hidden="false" customHeight="false" outlineLevel="0" collapsed="false">
      <c r="A91" s="22" t="n">
        <v>1.25</v>
      </c>
      <c r="B91" s="24" t="n">
        <f aca="false">Datos!$G$62</f>
        <v>1.25056</v>
      </c>
      <c r="C91" s="24" t="n">
        <f aca="false">Datos!$G$68</f>
        <v>1.29029773462783</v>
      </c>
      <c r="D91" s="24" t="n">
        <f aca="false">Datos!$G$79</f>
        <v>1.186</v>
      </c>
      <c r="E91" s="24" t="n">
        <f aca="false">B91*(1+Datos!$B$56)</f>
        <v>1.25056</v>
      </c>
      <c r="F91" s="24" t="n">
        <f aca="false">Datos!$G$82</f>
        <v>1.426</v>
      </c>
      <c r="I91" s="4" t="s">
        <v>224</v>
      </c>
    </row>
    <row r="92" customFormat="false" ht="15" hidden="false" customHeight="false" outlineLevel="0" collapsed="false">
      <c r="A92" s="22" t="n">
        <v>1.6</v>
      </c>
      <c r="B92" s="24" t="n">
        <f aca="false">Datos!$G$63</f>
        <v>1.25056</v>
      </c>
      <c r="C92" s="24" t="n">
        <f aca="false">Datos!$G$67</f>
        <v>1.32752103559871</v>
      </c>
      <c r="D92" s="24" t="n">
        <f aca="false">Datos!$G$80</f>
        <v>1.186</v>
      </c>
      <c r="E92" s="24" t="n">
        <f aca="false">B92*(1+Datos!$B$56)</f>
        <v>1.25056</v>
      </c>
      <c r="F92" s="24" t="n">
        <f aca="false">Datos!$G$83</f>
        <v>1.453</v>
      </c>
      <c r="I92" s="4" t="s">
        <v>225</v>
      </c>
    </row>
    <row r="93" customFormat="false" ht="15" hidden="false" customHeight="false" outlineLevel="0" collapsed="false">
      <c r="A93" s="22" t="n">
        <v>2</v>
      </c>
      <c r="B93" s="24" t="n">
        <f aca="false">Datos!$G$64</f>
        <v>1.26285</v>
      </c>
      <c r="C93" s="24" t="n">
        <f aca="false">Datos!$G$69</f>
        <v>1.28040129449838</v>
      </c>
      <c r="D93" s="24" t="n">
        <f aca="false">Datos!$G$81</f>
        <v>1.198</v>
      </c>
      <c r="E93" s="24" t="n">
        <f aca="false">B93*(1+Datos!$B$56)</f>
        <v>1.26285</v>
      </c>
      <c r="F93" s="24" t="n">
        <f aca="false">Datos!$G$84</f>
        <v>1.429</v>
      </c>
      <c r="I93" s="4" t="s">
        <v>226</v>
      </c>
    </row>
    <row r="94" customFormat="false" ht="15" hidden="false" customHeight="false" outlineLevel="0" collapsed="false">
      <c r="A94" s="22" t="n">
        <v>3.2</v>
      </c>
      <c r="B94" s="24" t="n">
        <f aca="false">Datos!$G$65</f>
        <v>1.11373</v>
      </c>
      <c r="C94" s="24" t="n">
        <f aca="false">Datos!$G$70</f>
        <v>1.10193527508091</v>
      </c>
      <c r="D94" s="24" t="n">
        <f aca="false">Datos!$G$65</f>
        <v>1.11373</v>
      </c>
      <c r="E94" s="24" t="n">
        <f aca="false">B94*(1+Datos!$B$56)</f>
        <v>1.11373</v>
      </c>
      <c r="F94" s="24" t="n">
        <f aca="false">Datos!$G$85</f>
        <v>1.256</v>
      </c>
      <c r="I94" s="4" t="s">
        <v>227</v>
      </c>
    </row>
    <row r="95" customFormat="false" ht="15" hidden="false" customHeight="false" outlineLevel="0" collapsed="false">
      <c r="A95" s="22" t="n">
        <v>4.75</v>
      </c>
      <c r="B95" s="24" t="n">
        <f aca="false">Datos!$G$65</f>
        <v>1.11373</v>
      </c>
      <c r="C95" s="24" t="n">
        <f aca="false">Datos!$G$71</f>
        <v>1.09097734627832</v>
      </c>
      <c r="D95" s="24" t="n">
        <f aca="false">Datos!$G$65</f>
        <v>1.11373</v>
      </c>
      <c r="E95" s="24" t="n">
        <f aca="false">B95*(1+Datos!$B$56)</f>
        <v>1.11373</v>
      </c>
      <c r="F95" s="24" t="n">
        <f aca="false">Datos!$G$86</f>
        <v>1.236</v>
      </c>
      <c r="I95" s="4" t="s">
        <v>228</v>
      </c>
    </row>
    <row r="97" customFormat="false" ht="15" hidden="false" customHeight="false" outlineLevel="0" collapsed="false">
      <c r="A97" s="11" t="s">
        <v>229</v>
      </c>
    </row>
    <row r="98" customFormat="false" ht="15" hidden="false" customHeight="false" outlineLevel="0" collapsed="false">
      <c r="A98" s="3" t="s">
        <v>230</v>
      </c>
      <c r="B98" s="3" t="s">
        <v>231</v>
      </c>
      <c r="C98" s="3" t="s">
        <v>232</v>
      </c>
      <c r="D98" s="3" t="s">
        <v>233</v>
      </c>
      <c r="E98" s="3" t="s">
        <v>234</v>
      </c>
      <c r="F98" s="3" t="s">
        <v>235</v>
      </c>
      <c r="G98" s="3" t="s">
        <v>236</v>
      </c>
      <c r="H98" s="3"/>
      <c r="I98" s="3" t="s">
        <v>237</v>
      </c>
    </row>
    <row r="99" customFormat="false" ht="23.85" hidden="false" customHeight="false" outlineLevel="0" collapsed="false">
      <c r="A99" s="4" t="s">
        <v>238</v>
      </c>
      <c r="B99" s="16" t="n">
        <v>80000</v>
      </c>
      <c r="C99" s="16" t="n">
        <v>1</v>
      </c>
      <c r="D99" s="16" t="n">
        <v>0</v>
      </c>
      <c r="E99" s="16" t="n">
        <v>1</v>
      </c>
      <c r="F99" s="16" t="n">
        <v>0</v>
      </c>
      <c r="G99" s="16" t="n">
        <v>0</v>
      </c>
      <c r="I99" s="4" t="s">
        <v>239</v>
      </c>
    </row>
    <row r="100" customFormat="false" ht="15" hidden="false" customHeight="false" outlineLevel="0" collapsed="false">
      <c r="A100" s="4" t="s">
        <v>240</v>
      </c>
      <c r="B100" s="16" t="n">
        <v>36800</v>
      </c>
      <c r="C100" s="16" t="n">
        <v>1</v>
      </c>
      <c r="D100" s="16" t="n">
        <v>1</v>
      </c>
      <c r="E100" s="16" t="n">
        <v>0</v>
      </c>
      <c r="F100" s="16" t="n">
        <v>1</v>
      </c>
      <c r="G100" s="16" t="n">
        <v>0</v>
      </c>
      <c r="I100" s="4" t="s">
        <v>241</v>
      </c>
    </row>
    <row r="101" customFormat="false" ht="15" hidden="false" customHeight="false" outlineLevel="0" collapsed="false">
      <c r="A101" s="4" t="s">
        <v>242</v>
      </c>
      <c r="B101" s="16" t="n">
        <v>10700</v>
      </c>
      <c r="C101" s="16" t="n">
        <v>0</v>
      </c>
      <c r="D101" s="16" t="n">
        <v>1</v>
      </c>
      <c r="E101" s="16" t="n">
        <v>0</v>
      </c>
      <c r="F101" s="16" t="n">
        <v>1</v>
      </c>
      <c r="G101" s="16" t="n">
        <v>0</v>
      </c>
      <c r="I101" s="4" t="s">
        <v>243</v>
      </c>
    </row>
    <row r="102" customFormat="false" ht="15" hidden="false" customHeight="false" outlineLevel="0" collapsed="false">
      <c r="A102" s="4" t="s">
        <v>244</v>
      </c>
      <c r="B102" s="16" t="n">
        <v>60000</v>
      </c>
      <c r="C102" s="16" t="n">
        <v>0</v>
      </c>
      <c r="D102" s="16" t="n">
        <v>0</v>
      </c>
      <c r="E102" s="16" t="n">
        <v>1</v>
      </c>
      <c r="F102" s="16" t="n">
        <v>0</v>
      </c>
      <c r="G102" s="16" t="n">
        <v>0</v>
      </c>
      <c r="I102" s="4" t="s">
        <v>245</v>
      </c>
    </row>
    <row r="103" customFormat="false" ht="15" hidden="false" customHeight="false" outlineLevel="0" collapsed="false">
      <c r="A103" s="4" t="s">
        <v>246</v>
      </c>
      <c r="B103" s="16" t="n">
        <v>30000</v>
      </c>
      <c r="C103" s="5" t="n">
        <f aca="false">IF(Datos!$B$57="SI",0,1)</f>
        <v>1</v>
      </c>
      <c r="D103" s="16" t="n">
        <v>0</v>
      </c>
      <c r="E103" s="5" t="n">
        <f aca="false">IF(Datos!$B$57="SI",0,1)</f>
        <v>1</v>
      </c>
      <c r="F103" s="16" t="n">
        <v>0</v>
      </c>
      <c r="G103" s="16" t="n">
        <v>0</v>
      </c>
      <c r="I103" s="4" t="s">
        <v>247</v>
      </c>
    </row>
    <row r="104" customFormat="false" ht="15" hidden="false" customHeight="false" outlineLevel="0" collapsed="false">
      <c r="A104" s="4" t="s">
        <v>248</v>
      </c>
      <c r="B104" s="16" t="n">
        <v>6000</v>
      </c>
      <c r="C104" s="16" t="n">
        <v>1</v>
      </c>
      <c r="D104" s="16" t="n">
        <v>0</v>
      </c>
      <c r="E104" s="16" t="n">
        <v>1</v>
      </c>
      <c r="F104" s="16" t="n">
        <v>0</v>
      </c>
      <c r="G104" s="16" t="n">
        <v>0</v>
      </c>
      <c r="I104" s="4" t="s">
        <v>249</v>
      </c>
    </row>
    <row r="105" customFormat="false" ht="15" hidden="false" customHeight="false" outlineLevel="0" collapsed="false">
      <c r="A105" s="4" t="s">
        <v>250</v>
      </c>
      <c r="B105" s="16" t="n">
        <v>12000</v>
      </c>
      <c r="C105" s="16" t="n">
        <v>1</v>
      </c>
      <c r="D105" s="16" t="n">
        <v>0</v>
      </c>
      <c r="E105" s="16" t="n">
        <v>1</v>
      </c>
      <c r="F105" s="16" t="n">
        <v>1</v>
      </c>
      <c r="G105" s="16" t="n">
        <v>1</v>
      </c>
      <c r="I105" s="4" t="s">
        <v>251</v>
      </c>
    </row>
    <row r="106" customFormat="false" ht="15" hidden="false" customHeight="false" outlineLevel="0" collapsed="false">
      <c r="A106" s="4" t="s">
        <v>252</v>
      </c>
      <c r="B106" s="16" t="n">
        <v>3000</v>
      </c>
      <c r="C106" s="16" t="n">
        <v>1</v>
      </c>
      <c r="D106" s="16" t="n">
        <v>0</v>
      </c>
      <c r="E106" s="16" t="n">
        <v>1</v>
      </c>
      <c r="F106" s="16" t="n">
        <v>1</v>
      </c>
      <c r="G106" s="16" t="n">
        <v>1</v>
      </c>
      <c r="I106" s="4" t="s">
        <v>249</v>
      </c>
    </row>
    <row r="107" customFormat="false" ht="15" hidden="false" customHeight="false" outlineLevel="0" collapsed="false">
      <c r="A107" s="4" t="s">
        <v>253</v>
      </c>
      <c r="B107" s="16" t="n">
        <v>20000</v>
      </c>
      <c r="C107" s="16" t="n">
        <v>0</v>
      </c>
      <c r="D107" s="16" t="n">
        <v>1</v>
      </c>
      <c r="E107" s="16" t="n">
        <v>0</v>
      </c>
      <c r="F107" s="16" t="n">
        <v>1</v>
      </c>
      <c r="G107" s="16" t="n">
        <v>0</v>
      </c>
      <c r="I107" s="4" t="s">
        <v>254</v>
      </c>
    </row>
    <row r="108" customFormat="false" ht="15" hidden="false" customHeight="false" outlineLevel="0" collapsed="false">
      <c r="A108" s="4" t="s">
        <v>255</v>
      </c>
      <c r="B108" s="16" t="n">
        <v>7000</v>
      </c>
      <c r="C108" s="16" t="n">
        <v>0</v>
      </c>
      <c r="D108" s="16" t="n">
        <v>1</v>
      </c>
      <c r="E108" s="16" t="n">
        <v>0</v>
      </c>
      <c r="F108" s="16" t="n">
        <v>1</v>
      </c>
      <c r="G108" s="16" t="n">
        <v>0</v>
      </c>
      <c r="I108" s="4" t="s">
        <v>249</v>
      </c>
    </row>
    <row r="109" customFormat="false" ht="15" hidden="false" customHeight="false" outlineLevel="0" collapsed="false">
      <c r="A109" s="4" t="s">
        <v>256</v>
      </c>
      <c r="B109" s="16" t="n">
        <v>1500</v>
      </c>
      <c r="C109" s="16" t="n">
        <v>0</v>
      </c>
      <c r="D109" s="16" t="n">
        <v>1</v>
      </c>
      <c r="E109" s="16" t="n">
        <v>0</v>
      </c>
      <c r="F109" s="16" t="n">
        <v>1</v>
      </c>
      <c r="G109" s="16" t="n">
        <v>0</v>
      </c>
      <c r="I109" s="4" t="s">
        <v>249</v>
      </c>
    </row>
    <row r="110" customFormat="false" ht="15" hidden="false" customHeight="false" outlineLevel="0" collapsed="false">
      <c r="A110" s="4" t="s">
        <v>257</v>
      </c>
      <c r="B110" s="16" t="n">
        <v>2000</v>
      </c>
      <c r="C110" s="16" t="n">
        <v>0</v>
      </c>
      <c r="D110" s="16" t="n">
        <v>1</v>
      </c>
      <c r="E110" s="16" t="n">
        <v>0</v>
      </c>
      <c r="F110" s="16" t="n">
        <v>1</v>
      </c>
      <c r="G110" s="16" t="n">
        <v>0</v>
      </c>
      <c r="I110" s="4" t="s">
        <v>249</v>
      </c>
    </row>
    <row r="111" customFormat="false" ht="15" hidden="false" customHeight="false" outlineLevel="0" collapsed="false">
      <c r="A111" s="4" t="s">
        <v>258</v>
      </c>
      <c r="B111" s="16" t="n">
        <v>1500</v>
      </c>
      <c r="C111" s="16" t="n">
        <v>0</v>
      </c>
      <c r="D111" s="16" t="n">
        <v>1</v>
      </c>
      <c r="E111" s="16" t="n">
        <v>0</v>
      </c>
      <c r="F111" s="16" t="n">
        <v>0</v>
      </c>
      <c r="G111" s="16" t="n">
        <v>0</v>
      </c>
      <c r="I111" s="4" t="s">
        <v>249</v>
      </c>
    </row>
    <row r="112" customFormat="false" ht="15" hidden="false" customHeight="false" outlineLevel="0" collapsed="false">
      <c r="A112" s="7" t="s">
        <v>259</v>
      </c>
      <c r="C112" s="8" t="n">
        <f aca="false">SUMPRODUCT($B$99:$B$111,C99:C111)</f>
        <v>167800</v>
      </c>
      <c r="D112" s="8" t="n">
        <f aca="false">SUMPRODUCT($B$99:$B$111,D99:D111)</f>
        <v>79500</v>
      </c>
      <c r="E112" s="8" t="n">
        <f aca="false">SUMPRODUCT($B$99:$B$111,E99:E111)</f>
        <v>191000</v>
      </c>
      <c r="F112" s="8" t="n">
        <f aca="false">SUMPRODUCT($B$99:$B$111,F99:F111)</f>
        <v>93000</v>
      </c>
      <c r="G112" s="8" t="n">
        <f aca="false">SUMPRODUCT($B$99:$B$111,G99:G111)</f>
        <v>15000</v>
      </c>
    </row>
    <row r="113" customFormat="false" ht="15" hidden="false" customHeight="false" outlineLevel="0" collapsed="false">
      <c r="A113" s="2" t="s">
        <v>260</v>
      </c>
    </row>
  </sheetData>
  <mergeCells count="47">
    <mergeCell ref="D5:I5"/>
    <mergeCell ref="D6:I6"/>
    <mergeCell ref="D7:I7"/>
    <mergeCell ref="D8:I8"/>
    <mergeCell ref="D9:I9"/>
    <mergeCell ref="D10:I10"/>
    <mergeCell ref="D11:I11"/>
    <mergeCell ref="D12:I12"/>
    <mergeCell ref="D13:I13"/>
    <mergeCell ref="D14:I14"/>
    <mergeCell ref="D15:I15"/>
    <mergeCell ref="D18:I18"/>
    <mergeCell ref="D19:I19"/>
    <mergeCell ref="D20:I20"/>
    <mergeCell ref="D21:I21"/>
    <mergeCell ref="D22:I22"/>
    <mergeCell ref="D23:I23"/>
    <mergeCell ref="D24:I24"/>
    <mergeCell ref="D25:I25"/>
    <mergeCell ref="D26:I26"/>
    <mergeCell ref="D29:I29"/>
    <mergeCell ref="D30:I30"/>
    <mergeCell ref="D31:I31"/>
    <mergeCell ref="D32:I32"/>
    <mergeCell ref="D33:I33"/>
    <mergeCell ref="D34:I34"/>
    <mergeCell ref="D35:I35"/>
    <mergeCell ref="D36:I36"/>
    <mergeCell ref="D37:I37"/>
    <mergeCell ref="D38:I38"/>
    <mergeCell ref="D39:I39"/>
    <mergeCell ref="D40:I40"/>
    <mergeCell ref="D41:I41"/>
    <mergeCell ref="D44:I44"/>
    <mergeCell ref="D45:I45"/>
    <mergeCell ref="D46:I46"/>
    <mergeCell ref="D47:I47"/>
    <mergeCell ref="D48:I48"/>
    <mergeCell ref="D49:I49"/>
    <mergeCell ref="D50:I50"/>
    <mergeCell ref="D51:I51"/>
    <mergeCell ref="D52:I52"/>
    <mergeCell ref="D53:I53"/>
    <mergeCell ref="D54:I54"/>
    <mergeCell ref="D55:I55"/>
    <mergeCell ref="D56:I56"/>
    <mergeCell ref="D57:I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96"/>
  </cols>
  <sheetData>
    <row r="1" customFormat="false" ht="15" hidden="false" customHeight="false" outlineLevel="0" collapsed="false">
      <c r="A1" s="1" t="s">
        <v>261</v>
      </c>
    </row>
    <row r="2" customFormat="false" ht="15" hidden="false" customHeight="false" outlineLevel="0" collapsed="false">
      <c r="A2" s="2" t="s">
        <v>262</v>
      </c>
    </row>
    <row r="3" customFormat="false" ht="15" hidden="false" customHeight="false" outlineLevel="0" collapsed="false">
      <c r="A3" s="26" t="s">
        <v>263</v>
      </c>
      <c r="B3" s="26" t="s">
        <v>264</v>
      </c>
      <c r="C3" s="26" t="s">
        <v>265</v>
      </c>
    </row>
    <row r="4" customFormat="false" ht="23.85" hidden="false" customHeight="false" outlineLevel="0" collapsed="false">
      <c r="A4" s="7" t="s">
        <v>266</v>
      </c>
      <c r="B4" s="4" t="s">
        <v>267</v>
      </c>
      <c r="C4" s="4" t="s">
        <v>268</v>
      </c>
    </row>
    <row r="5" customFormat="false" ht="23.85" hidden="false" customHeight="false" outlineLevel="0" collapsed="false">
      <c r="A5" s="7" t="s">
        <v>269</v>
      </c>
      <c r="B5" s="4" t="s">
        <v>270</v>
      </c>
      <c r="C5" s="4" t="s">
        <v>271</v>
      </c>
    </row>
    <row r="6" customFormat="false" ht="23.85" hidden="false" customHeight="false" outlineLevel="0" collapsed="false">
      <c r="A6" s="7" t="s">
        <v>272</v>
      </c>
      <c r="B6" s="4" t="s">
        <v>270</v>
      </c>
      <c r="C6" s="4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12" min="3" style="0" width="11"/>
  </cols>
  <sheetData>
    <row r="1" customFormat="false" ht="15" hidden="false" customHeight="false" outlineLevel="0" collapsed="false">
      <c r="A1" s="1" t="s">
        <v>274</v>
      </c>
    </row>
    <row r="2" customFormat="false" ht="15" hidden="false" customHeight="false" outlineLevel="0" collapsed="false">
      <c r="A2" s="2" t="s">
        <v>275</v>
      </c>
    </row>
    <row r="4" customFormat="false" ht="15" hidden="false" customHeight="false" outlineLevel="0" collapsed="false">
      <c r="A4" s="11" t="s">
        <v>276</v>
      </c>
    </row>
    <row r="5" customFormat="false" ht="15" hidden="false" customHeight="false" outlineLevel="0" collapsed="false">
      <c r="A5" s="3" t="s">
        <v>150</v>
      </c>
      <c r="B5" s="3" t="s">
        <v>277</v>
      </c>
      <c r="C5" s="3" t="s">
        <v>278</v>
      </c>
      <c r="D5" s="3" t="s">
        <v>279</v>
      </c>
      <c r="E5" s="3" t="s">
        <v>280</v>
      </c>
      <c r="F5" s="3" t="s">
        <v>281</v>
      </c>
      <c r="G5" s="3" t="s">
        <v>282</v>
      </c>
      <c r="H5" s="3" t="s">
        <v>283</v>
      </c>
      <c r="I5" s="3" t="s">
        <v>284</v>
      </c>
      <c r="J5" s="3" t="s">
        <v>285</v>
      </c>
      <c r="K5" s="3" t="s">
        <v>286</v>
      </c>
      <c r="L5" s="3" t="s">
        <v>287</v>
      </c>
    </row>
    <row r="6" customFormat="false" ht="15" hidden="false" customHeight="false" outlineLevel="0" collapsed="false">
      <c r="A6" s="4" t="s">
        <v>288</v>
      </c>
      <c r="B6" s="4" t="s">
        <v>289</v>
      </c>
      <c r="C6" s="8" t="n">
        <f aca="false">C18+C30+C42+C54</f>
        <v>4178.736543</v>
      </c>
      <c r="D6" s="8" t="n">
        <f aca="false">D18+D30+D42+D54</f>
        <v>5997.303977</v>
      </c>
      <c r="E6" s="8" t="n">
        <f aca="false">E18+E30+E42+E54</f>
        <v>14514.147758</v>
      </c>
      <c r="F6" s="8" t="n">
        <f aca="false">F18+F30+F42+F54</f>
        <v>35161.935549</v>
      </c>
      <c r="G6" s="8" t="n">
        <f aca="false">G18+G30+G42+G54</f>
        <v>62115.43271</v>
      </c>
      <c r="H6" s="8" t="n">
        <f aca="false">H18+H30+H42+H54</f>
        <v>87300.45307</v>
      </c>
      <c r="I6" s="8" t="n">
        <f aca="false">I18+I30+I42+I54</f>
        <v>121673.15326</v>
      </c>
      <c r="J6" s="8" t="n">
        <f aca="false">J18+J30+J42+J54</f>
        <v>156133.07848</v>
      </c>
      <c r="K6" s="8" t="n">
        <f aca="false">K18+K30+K42+K54</f>
        <v>175393.13614</v>
      </c>
      <c r="L6" s="8" t="n">
        <f aca="false">L18+L30+L42+L54</f>
        <v>202620.63913</v>
      </c>
    </row>
    <row r="7" customFormat="false" ht="15" hidden="false" customHeight="false" outlineLevel="0" collapsed="false">
      <c r="A7" s="4" t="s">
        <v>290</v>
      </c>
      <c r="B7" s="4" t="s">
        <v>289</v>
      </c>
      <c r="C7" s="8" t="n">
        <f aca="false">C19+C31+C43+C55</f>
        <v>302.0303572</v>
      </c>
      <c r="D7" s="8" t="n">
        <f aca="false">D19+D31+D43+D55</f>
        <v>727.2874503</v>
      </c>
      <c r="E7" s="8" t="n">
        <f aca="false">E19+E31+E43+E55</f>
        <v>1317.3880576</v>
      </c>
      <c r="F7" s="8" t="n">
        <f aca="false">F19+F31+F43+F55</f>
        <v>2592.678174</v>
      </c>
      <c r="G7" s="8" t="n">
        <f aca="false">G19+G31+G43+G55</f>
        <v>4297.387726</v>
      </c>
      <c r="H7" s="8" t="n">
        <f aca="false">H19+H31+H43+H55</f>
        <v>6113.149887</v>
      </c>
      <c r="I7" s="8" t="n">
        <f aca="false">I19+I31+I43+I55</f>
        <v>8117.275524</v>
      </c>
      <c r="J7" s="8" t="n">
        <f aca="false">J19+J31+J43+J55</f>
        <v>10270.226587</v>
      </c>
      <c r="K7" s="8" t="n">
        <f aca="false">K19+K31+K43+K55</f>
        <v>11976.506243</v>
      </c>
      <c r="L7" s="8" t="n">
        <f aca="false">L19+L31+L43+L55</f>
        <v>14135.378444</v>
      </c>
    </row>
    <row r="8" customFormat="false" ht="15" hidden="false" customHeight="false" outlineLevel="0" collapsed="false">
      <c r="A8" s="4" t="s">
        <v>291</v>
      </c>
      <c r="B8" s="4" t="s">
        <v>289</v>
      </c>
      <c r="C8" s="8" t="n">
        <f aca="false">C20+C32+C44+C56</f>
        <v>2286.773025</v>
      </c>
      <c r="D8" s="8" t="n">
        <f aca="false">D20+D32+D44+D56</f>
        <v>3940.458881</v>
      </c>
      <c r="E8" s="8" t="n">
        <f aca="false">E20+E32+E44+E56</f>
        <v>6733.097591</v>
      </c>
      <c r="F8" s="8" t="n">
        <f aca="false">F20+F32+F44+F56</f>
        <v>12240.955313</v>
      </c>
      <c r="G8" s="8" t="n">
        <f aca="false">G20+G32+G44+G56</f>
        <v>20628.46694</v>
      </c>
      <c r="H8" s="8" t="n">
        <f aca="false">H20+H32+H44+H56</f>
        <v>28744.68411</v>
      </c>
      <c r="I8" s="8" t="n">
        <f aca="false">I20+I32+I44+I56</f>
        <v>38699.47984</v>
      </c>
      <c r="J8" s="8" t="n">
        <f aca="false">J20+J32+J44+J56</f>
        <v>48872.02637</v>
      </c>
      <c r="K8" s="8" t="n">
        <f aca="false">K20+K32+K44+K56</f>
        <v>55509.52455</v>
      </c>
      <c r="L8" s="8" t="n">
        <f aca="false">L20+L32+L44+L56</f>
        <v>63882.93872</v>
      </c>
    </row>
    <row r="9" customFormat="false" ht="15" hidden="false" customHeight="false" outlineLevel="0" collapsed="false">
      <c r="A9" s="4" t="s">
        <v>292</v>
      </c>
      <c r="B9" s="4" t="s">
        <v>289</v>
      </c>
      <c r="C9" s="8" t="n">
        <f aca="false">C21+C33+C45+C57</f>
        <v>94.83318153</v>
      </c>
      <c r="D9" s="8" t="n">
        <f aca="false">D21+D33+D45+D57</f>
        <v>184.4872967</v>
      </c>
      <c r="E9" s="8" t="n">
        <f aca="false">E21+E33+E45+E57</f>
        <v>356.1787798</v>
      </c>
      <c r="F9" s="8" t="n">
        <f aca="false">F21+F33+F45+F57</f>
        <v>693.7804941</v>
      </c>
      <c r="G9" s="8" t="n">
        <f aca="false">G21+G33+G45+G57</f>
        <v>1206.3981519</v>
      </c>
      <c r="H9" s="8" t="n">
        <f aca="false">H21+H33+H45+H57</f>
        <v>1743.045032</v>
      </c>
      <c r="I9" s="8" t="n">
        <f aca="false">I21+I33+I45+I57</f>
        <v>2339.800545</v>
      </c>
      <c r="J9" s="8" t="n">
        <f aca="false">J21+J33+J45+J57</f>
        <v>2957.564812</v>
      </c>
      <c r="K9" s="8" t="n">
        <f aca="false">K21+K33+K45+K57</f>
        <v>3358.670054</v>
      </c>
      <c r="L9" s="8" t="n">
        <f aca="false">L21+L33+L45+L57</f>
        <v>3868.328079</v>
      </c>
    </row>
    <row r="10" customFormat="false" ht="15" hidden="false" customHeight="false" outlineLevel="0" collapsed="false">
      <c r="A10" s="4" t="s">
        <v>293</v>
      </c>
      <c r="B10" s="4" t="s">
        <v>294</v>
      </c>
      <c r="C10" s="8" t="n">
        <f aca="false">C22+C34+C46+C58</f>
        <v>36.05179136</v>
      </c>
      <c r="D10" s="8" t="n">
        <f aca="false">D22+D34+D46+D58</f>
        <v>58.62214745</v>
      </c>
      <c r="E10" s="8" t="n">
        <f aca="false">E22+E34+E46+E58</f>
        <v>90.76853998</v>
      </c>
      <c r="F10" s="8" t="n">
        <f aca="false">F22+F34+F46+F58</f>
        <v>153.9698529</v>
      </c>
      <c r="G10" s="8" t="n">
        <f aca="false">G22+G34+G46+G58</f>
        <v>251.3560035</v>
      </c>
      <c r="H10" s="8" t="n">
        <f aca="false">H22+H34+H46+H58</f>
        <v>349.5744827</v>
      </c>
      <c r="I10" s="8" t="n">
        <f aca="false">I22+I34+I46+I58</f>
        <v>465.4682332</v>
      </c>
      <c r="J10" s="8" t="n">
        <f aca="false">J22+J34+J46+J58</f>
        <v>587.7286707</v>
      </c>
      <c r="K10" s="8" t="n">
        <f aca="false">K22+K34+K46+K58</f>
        <v>671.6674156</v>
      </c>
      <c r="L10" s="8" t="n">
        <f aca="false">L22+L34+L46+L58</f>
        <v>777.3105332</v>
      </c>
    </row>
    <row r="11" customFormat="false" ht="15" hidden="false" customHeight="false" outlineLevel="0" collapsed="false">
      <c r="A11" s="4" t="s">
        <v>295</v>
      </c>
      <c r="B11" s="4" t="s">
        <v>294</v>
      </c>
      <c r="C11" s="8" t="n">
        <f aca="false">C23+C35+C47+C59</f>
        <v>76.913941</v>
      </c>
      <c r="D11" s="8" t="n">
        <f aca="false">D23+D35+D47+D59</f>
        <v>129.7767244</v>
      </c>
      <c r="E11" s="8" t="n">
        <f aca="false">E23+E35+E47+E59</f>
        <v>201.498788</v>
      </c>
      <c r="F11" s="8" t="n">
        <f aca="false">F23+F35+F47+F59</f>
        <v>336.5256765</v>
      </c>
      <c r="G11" s="8" t="n">
        <f aca="false">G23+G35+G47+G59</f>
        <v>554.0072077</v>
      </c>
      <c r="H11" s="8" t="n">
        <f aca="false">H23+H35+H47+H59</f>
        <v>770.135862</v>
      </c>
      <c r="I11" s="8" t="n">
        <f aca="false">I23+I35+I47+I59</f>
        <v>1024.3501129</v>
      </c>
      <c r="J11" s="8" t="n">
        <f aca="false">J23+J35+J47+J59</f>
        <v>1292.1070756</v>
      </c>
      <c r="K11" s="8" t="n">
        <f aca="false">K23+K35+K47+K59</f>
        <v>1479.6603143</v>
      </c>
      <c r="L11" s="8" t="n">
        <f aca="false">L23+L35+L47+L59</f>
        <v>1709.4351731</v>
      </c>
    </row>
    <row r="12" customFormat="false" ht="15" hidden="false" customHeight="false" outlineLevel="0" collapsed="false">
      <c r="A12" s="4" t="s">
        <v>296</v>
      </c>
      <c r="B12" s="4" t="s">
        <v>294</v>
      </c>
      <c r="C12" s="8" t="n">
        <f aca="false">C24+C36+C48+C60</f>
        <v>18.34485985</v>
      </c>
      <c r="D12" s="8" t="n">
        <f aca="false">D24+D36+D48+D60</f>
        <v>28.22183078</v>
      </c>
      <c r="E12" s="8" t="n">
        <f aca="false">E24+E36+E48+E60</f>
        <v>43.26009919</v>
      </c>
      <c r="F12" s="8" t="n">
        <f aca="false">F24+F36+F48+F60</f>
        <v>73.81432941</v>
      </c>
      <c r="G12" s="8" t="n">
        <f aca="false">G24+G36+G48+G60</f>
        <v>122.26048167</v>
      </c>
      <c r="H12" s="8" t="n">
        <f aca="false">H24+H36+H48+H60</f>
        <v>167.5285517</v>
      </c>
      <c r="I12" s="8" t="n">
        <f aca="false">I24+I36+I48+I60</f>
        <v>224.4807519</v>
      </c>
      <c r="J12" s="8" t="n">
        <f aca="false">J24+J36+J48+J60</f>
        <v>281.6473619</v>
      </c>
      <c r="K12" s="8" t="n">
        <f aca="false">K24+K36+K48+K60</f>
        <v>323.8211595</v>
      </c>
      <c r="L12" s="8" t="n">
        <f aca="false">L24+L36+L48+L60</f>
        <v>374.129856</v>
      </c>
    </row>
    <row r="13" customFormat="false" ht="15" hidden="false" customHeight="false" outlineLevel="0" collapsed="false">
      <c r="A13" s="4" t="s">
        <v>297</v>
      </c>
      <c r="B13" s="4" t="s">
        <v>294</v>
      </c>
      <c r="C13" s="8" t="n">
        <f aca="false">C25+C37+C49+C61</f>
        <v>12.89657324</v>
      </c>
      <c r="D13" s="8" t="n">
        <f aca="false">D25+D37+D49+D61</f>
        <v>18.86788719</v>
      </c>
      <c r="E13" s="8" t="n">
        <f aca="false">E25+E37+E49+E61</f>
        <v>28.82673279</v>
      </c>
      <c r="F13" s="8" t="n">
        <f aca="false">F25+F37+F49+F61</f>
        <v>48.32955294</v>
      </c>
      <c r="G13" s="8" t="n">
        <f aca="false">G25+G37+G49+G61</f>
        <v>80.64032112</v>
      </c>
      <c r="H13" s="8" t="n">
        <f aca="false">H25+H37+H49+H61</f>
        <v>111.85903447</v>
      </c>
      <c r="I13" s="8" t="n">
        <f aca="false">I25+I37+I49+I61</f>
        <v>148.97383461</v>
      </c>
      <c r="J13" s="8" t="n">
        <f aca="false">J25+J37+J49+J61</f>
        <v>186.5115746</v>
      </c>
      <c r="K13" s="8" t="n">
        <f aca="false">K25+K37+K49+K61</f>
        <v>213.960773</v>
      </c>
      <c r="L13" s="8" t="n">
        <f aca="false">L25+L37+L49+L61</f>
        <v>247.4465706</v>
      </c>
    </row>
    <row r="14" customFormat="false" ht="15" hidden="false" customHeight="false" outlineLevel="0" collapsed="false">
      <c r="A14" s="7" t="s">
        <v>298</v>
      </c>
      <c r="C14" s="8" t="n">
        <f aca="false">SUM(C6:C13)</f>
        <v>7006.58027218</v>
      </c>
      <c r="D14" s="8" t="n">
        <f aca="false">SUM(D6:D13)</f>
        <v>11085.02619482</v>
      </c>
      <c r="E14" s="8" t="n">
        <f aca="false">SUM(E6:E13)</f>
        <v>23285.16634636</v>
      </c>
      <c r="F14" s="8" t="n">
        <f aca="false">SUM(F6:F13)</f>
        <v>51301.98894185</v>
      </c>
      <c r="G14" s="8" t="n">
        <f aca="false">SUM(G6:G13)</f>
        <v>89255.94954189</v>
      </c>
      <c r="H14" s="8" t="n">
        <f aca="false">SUM(H6:H13)</f>
        <v>125300.43002987</v>
      </c>
      <c r="I14" s="8" t="n">
        <f aca="false">SUM(I6:I13)</f>
        <v>172692.98210161</v>
      </c>
      <c r="J14" s="8" t="n">
        <f aca="false">SUM(J6:J13)</f>
        <v>220580.8909318</v>
      </c>
      <c r="K14" s="8" t="n">
        <f aca="false">SUM(K6:K13)</f>
        <v>248926.9466494</v>
      </c>
      <c r="L14" s="8" t="n">
        <f aca="false">SUM(L6:L13)</f>
        <v>287615.6065059</v>
      </c>
    </row>
    <row r="16" customFormat="false" ht="15" hidden="false" customHeight="false" outlineLevel="0" collapsed="false">
      <c r="A16" s="11" t="s">
        <v>299</v>
      </c>
    </row>
    <row r="17" customFormat="false" ht="15" hidden="false" customHeight="false" outlineLevel="0" collapsed="false">
      <c r="A17" s="3" t="s">
        <v>150</v>
      </c>
      <c r="B17" s="3" t="s">
        <v>277</v>
      </c>
      <c r="C17" s="3" t="s">
        <v>278</v>
      </c>
      <c r="D17" s="3" t="s">
        <v>279</v>
      </c>
      <c r="E17" s="3" t="s">
        <v>280</v>
      </c>
      <c r="F17" s="3" t="s">
        <v>281</v>
      </c>
      <c r="G17" s="3" t="s">
        <v>282</v>
      </c>
      <c r="H17" s="3" t="s">
        <v>283</v>
      </c>
      <c r="I17" s="3" t="s">
        <v>284</v>
      </c>
      <c r="J17" s="3" t="s">
        <v>285</v>
      </c>
      <c r="K17" s="3" t="s">
        <v>286</v>
      </c>
      <c r="L17" s="3" t="s">
        <v>287</v>
      </c>
    </row>
    <row r="18" customFormat="false" ht="15" hidden="false" customHeight="false" outlineLevel="0" collapsed="false">
      <c r="A18" s="4" t="s">
        <v>288</v>
      </c>
      <c r="B18" s="4" t="s">
        <v>289</v>
      </c>
      <c r="C18" s="5" t="n">
        <f aca="false">IFERROR(__xludf.DUMMYFUNCTION("IMPORTRANGE(Links!$B$4,""Indexado Dim Técnico!B3:K10"")"),4178.736543)</f>
        <v>4178.736543</v>
      </c>
      <c r="D18" s="5" t="n">
        <f aca="false">IFERROR(__xludf.DUMMYFUNCTION("""COMPUTED_VALUE"""),5997.303977)</f>
        <v>5997.303977</v>
      </c>
      <c r="E18" s="5" t="n">
        <f aca="false">IFERROR(__xludf.DUMMYFUNCTION("""COMPUTED_VALUE"""),6851.747758)</f>
        <v>6851.747758</v>
      </c>
      <c r="F18" s="5" t="n">
        <f aca="false">IFERROR(__xludf.DUMMYFUNCTION("""COMPUTED_VALUE"""),8467.135549)</f>
        <v>8467.135549</v>
      </c>
      <c r="G18" s="5" t="n">
        <f aca="false">IFERROR(__xludf.DUMMYFUNCTION("""COMPUTED_VALUE"""),12680.63271)</f>
        <v>12680.63271</v>
      </c>
      <c r="H18" s="5" t="n">
        <f aca="false">IFERROR(__xludf.DUMMYFUNCTION("""COMPUTED_VALUE"""),15620.25307)</f>
        <v>15620.25307</v>
      </c>
      <c r="I18" s="5" t="n">
        <f aca="false">IFERROR(__xludf.DUMMYFUNCTION("""COMPUTED_VALUE"""),20332.55326)</f>
        <v>20332.55326</v>
      </c>
      <c r="J18" s="5" t="n">
        <f aca="false">IFERROR(__xludf.DUMMYFUNCTION("""COMPUTED_VALUE"""),25132.07848)</f>
        <v>25132.07848</v>
      </c>
      <c r="K18" s="5" t="n">
        <f aca="false">IFERROR(__xludf.DUMMYFUNCTION("""COMPUTED_VALUE"""),28573.33614)</f>
        <v>28573.33614</v>
      </c>
      <c r="L18" s="5" t="n">
        <f aca="false">IFERROR(__xludf.DUMMYFUNCTION("""COMPUTED_VALUE"""),32072.63913)</f>
        <v>32072.63913</v>
      </c>
    </row>
    <row r="19" customFormat="false" ht="15" hidden="false" customHeight="false" outlineLevel="0" collapsed="false">
      <c r="A19" s="4" t="s">
        <v>290</v>
      </c>
      <c r="B19" s="4" t="s">
        <v>289</v>
      </c>
      <c r="C19" s="5" t="n">
        <f aca="false">IFERROR(__xludf.DUMMYFUNCTION("""COMPUTED_VALUE"""),295.0303572)</f>
        <v>295.0303572</v>
      </c>
      <c r="D19" s="5" t="n">
        <f aca="false">IFERROR(__xludf.DUMMYFUNCTION("""COMPUTED_VALUE"""),709.7274503)</f>
        <v>709.7274503</v>
      </c>
      <c r="E19" s="5" t="n">
        <f aca="false">IFERROR(__xludf.DUMMYFUNCTION("""COMPUTED_VALUE"""),986.8680576)</f>
        <v>986.8680576</v>
      </c>
      <c r="F19" s="5" t="n">
        <f aca="false">IFERROR(__xludf.DUMMYFUNCTION("""COMPUTED_VALUE"""),1500.638174)</f>
        <v>1500.638174</v>
      </c>
      <c r="G19" s="5" t="n">
        <f aca="false">IFERROR(__xludf.DUMMYFUNCTION("""COMPUTED_VALUE"""),2312.627726)</f>
        <v>2312.627726</v>
      </c>
      <c r="H19" s="5" t="n">
        <f aca="false">IFERROR(__xludf.DUMMYFUNCTION("""COMPUTED_VALUE"""),3252.869887)</f>
        <v>3252.869887</v>
      </c>
      <c r="I19" s="5" t="n">
        <f aca="false">IFERROR(__xludf.DUMMYFUNCTION("""COMPUTED_VALUE"""),4102.315524)</f>
        <v>4102.315524</v>
      </c>
      <c r="J19" s="5" t="n">
        <f aca="false">IFERROR(__xludf.DUMMYFUNCTION("""COMPUTED_VALUE"""),5104.306587)</f>
        <v>5104.306587</v>
      </c>
      <c r="K19" s="5" t="n">
        <f aca="false">IFERROR(__xludf.DUMMYFUNCTION("""COMPUTED_VALUE"""),6195.186243)</f>
        <v>6195.186243</v>
      </c>
      <c r="L19" s="5" t="n">
        <f aca="false">IFERROR(__xludf.DUMMYFUNCTION("""COMPUTED_VALUE"""),7424.858444)</f>
        <v>7424.858444</v>
      </c>
    </row>
    <row r="20" customFormat="false" ht="15" hidden="false" customHeight="false" outlineLevel="0" collapsed="false">
      <c r="A20" s="4" t="s">
        <v>291</v>
      </c>
      <c r="B20" s="4" t="s">
        <v>289</v>
      </c>
      <c r="C20" s="5" t="n">
        <f aca="false">IFERROR(__xludf.DUMMYFUNCTION("""COMPUTED_VALUE"""),2255.773025)</f>
        <v>2255.773025</v>
      </c>
      <c r="D20" s="5" t="n">
        <f aca="false">IFERROR(__xludf.DUMMYFUNCTION("""COMPUTED_VALUE"""),3846.978881)</f>
        <v>3846.978881</v>
      </c>
      <c r="E20" s="5" t="n">
        <f aca="false">IFERROR(__xludf.DUMMYFUNCTION("""COMPUTED_VALUE"""),5093.537591)</f>
        <v>5093.537591</v>
      </c>
      <c r="F20" s="5" t="n">
        <f aca="false">IFERROR(__xludf.DUMMYFUNCTION("""COMPUTED_VALUE"""),6823.115313)</f>
        <v>6823.115313</v>
      </c>
      <c r="G20" s="5" t="n">
        <f aca="false">IFERROR(__xludf.DUMMYFUNCTION("""COMPUTED_VALUE"""),10819.30694)</f>
        <v>10819.30694</v>
      </c>
      <c r="H20" s="5" t="n">
        <f aca="false">IFERROR(__xludf.DUMMYFUNCTION("""COMPUTED_VALUE"""),14605.96411)</f>
        <v>14605.96411</v>
      </c>
      <c r="I20" s="5" t="n">
        <f aca="false">IFERROR(__xludf.DUMMYFUNCTION("""COMPUTED_VALUE"""),18877.75984)</f>
        <v>18877.75984</v>
      </c>
      <c r="J20" s="5" t="n">
        <f aca="false">IFERROR(__xludf.DUMMYFUNCTION("""COMPUTED_VALUE"""),23368.18637)</f>
        <v>23368.18637</v>
      </c>
      <c r="K20" s="5" t="n">
        <f aca="false">IFERROR(__xludf.DUMMYFUNCTION("""COMPUTED_VALUE"""),26967.72455)</f>
        <v>26967.72455</v>
      </c>
      <c r="L20" s="5" t="n">
        <f aca="false">IFERROR(__xludf.DUMMYFUNCTION("""COMPUTED_VALUE"""),30750.77872)</f>
        <v>30750.77872</v>
      </c>
    </row>
    <row r="21" customFormat="false" ht="15" hidden="false" customHeight="false" outlineLevel="0" collapsed="false">
      <c r="A21" s="4" t="s">
        <v>292</v>
      </c>
      <c r="B21" s="4" t="s">
        <v>289</v>
      </c>
      <c r="C21" s="5" t="n">
        <f aca="false">IFERROR(__xludf.DUMMYFUNCTION("""COMPUTED_VALUE"""),91.83318153)</f>
        <v>91.83318153</v>
      </c>
      <c r="D21" s="5" t="n">
        <f aca="false">IFERROR(__xludf.DUMMYFUNCTION("""COMPUTED_VALUE"""),177.2472967)</f>
        <v>177.2472967</v>
      </c>
      <c r="E21" s="5" t="n">
        <f aca="false">IFERROR(__xludf.DUMMYFUNCTION("""COMPUTED_VALUE"""),252.9787798)</f>
        <v>252.9787798</v>
      </c>
      <c r="F21" s="5" t="n">
        <f aca="false">IFERROR(__xludf.DUMMYFUNCTION("""COMPUTED_VALUE"""),358.0204941)</f>
        <v>358.0204941</v>
      </c>
      <c r="G21" s="5" t="n">
        <f aca="false">IFERROR(__xludf.DUMMYFUNCTION("""COMPUTED_VALUE"""),602.7181519)</f>
        <v>602.7181519</v>
      </c>
      <c r="H21" s="5" t="n">
        <f aca="false">IFERROR(__xludf.DUMMYFUNCTION("""COMPUTED_VALUE"""),872.605032)</f>
        <v>872.605032</v>
      </c>
      <c r="I21" s="5" t="n">
        <f aca="false">IFERROR(__xludf.DUMMYFUNCTION("""COMPUTED_VALUE"""),1127.160545)</f>
        <v>1127.160545</v>
      </c>
      <c r="J21" s="5" t="n">
        <f aca="false">IFERROR(__xludf.DUMMYFUNCTION("""COMPUTED_VALUE"""),1395.444812)</f>
        <v>1395.444812</v>
      </c>
      <c r="K21" s="5" t="n">
        <f aca="false">IFERROR(__xludf.DUMMYFUNCTION("""COMPUTED_VALUE"""),1612.350054)</f>
        <v>1612.350054</v>
      </c>
      <c r="L21" s="5" t="n">
        <f aca="false">IFERROR(__xludf.DUMMYFUNCTION("""COMPUTED_VALUE"""),1840.848079)</f>
        <v>1840.848079</v>
      </c>
    </row>
    <row r="22" customFormat="false" ht="15" hidden="false" customHeight="false" outlineLevel="0" collapsed="false">
      <c r="A22" s="4" t="s">
        <v>293</v>
      </c>
      <c r="B22" s="4" t="s">
        <v>294</v>
      </c>
      <c r="C22" s="5" t="n">
        <f aca="false">IFERROR(__xludf.DUMMYFUNCTION("""COMPUTED_VALUE"""),34.05179136)</f>
        <v>34.05179136</v>
      </c>
      <c r="D22" s="5" t="n">
        <f aca="false">IFERROR(__xludf.DUMMYFUNCTION("""COMPUTED_VALUE"""),58.46214745)</f>
        <v>58.46214745</v>
      </c>
      <c r="E22" s="5" t="n">
        <f aca="false">IFERROR(__xludf.DUMMYFUNCTION("""COMPUTED_VALUE"""),75.20853998)</f>
        <v>75.20853998</v>
      </c>
      <c r="F22" s="5" t="n">
        <f aca="false">IFERROR(__xludf.DUMMYFUNCTION("""COMPUTED_VALUE"""),100.5298529)</f>
        <v>100.5298529</v>
      </c>
      <c r="G22" s="5" t="n">
        <f aca="false">IFERROR(__xludf.DUMMYFUNCTION("""COMPUTED_VALUE"""),155.8760035)</f>
        <v>155.8760035</v>
      </c>
      <c r="H22" s="5" t="n">
        <f aca="false">IFERROR(__xludf.DUMMYFUNCTION("""COMPUTED_VALUE"""),211.9344827)</f>
        <v>211.9344827</v>
      </c>
      <c r="I22" s="5" t="n">
        <f aca="false">IFERROR(__xludf.DUMMYFUNCTION("""COMPUTED_VALUE"""),272.6682332)</f>
        <v>272.6682332</v>
      </c>
      <c r="J22" s="5" t="n">
        <f aca="false">IFERROR(__xludf.DUMMYFUNCTION("""COMPUTED_VALUE"""),337.8486707)</f>
        <v>337.8486707</v>
      </c>
      <c r="K22" s="5" t="n">
        <f aca="false">IFERROR(__xludf.DUMMYFUNCTION("""COMPUTED_VALUE"""),393.6274156)</f>
        <v>393.6274156</v>
      </c>
      <c r="L22" s="5" t="n">
        <f aca="false">IFERROR(__xludf.DUMMYFUNCTION("""COMPUTED_VALUE"""),453.2705332)</f>
        <v>453.2705332</v>
      </c>
    </row>
    <row r="23" customFormat="false" ht="15" hidden="false" customHeight="false" outlineLevel="0" collapsed="false">
      <c r="A23" s="4" t="s">
        <v>295</v>
      </c>
      <c r="B23" s="4" t="s">
        <v>294</v>
      </c>
      <c r="C23" s="5" t="n">
        <f aca="false">IFERROR(__xludf.DUMMYFUNCTION("""COMPUTED_VALUE"""),74.913941)</f>
        <v>74.913941</v>
      </c>
      <c r="D23" s="5" t="n">
        <f aca="false">IFERROR(__xludf.DUMMYFUNCTION("""COMPUTED_VALUE"""),128.6167244)</f>
        <v>128.6167244</v>
      </c>
      <c r="E23" s="5" t="n">
        <f aca="false">IFERROR(__xludf.DUMMYFUNCTION("""COMPUTED_VALUE"""),165.458788)</f>
        <v>165.458788</v>
      </c>
      <c r="F23" s="5" t="n">
        <f aca="false">IFERROR(__xludf.DUMMYFUNCTION("""COMPUTED_VALUE"""),221.1656765)</f>
        <v>221.1656765</v>
      </c>
      <c r="G23" s="5" t="n">
        <f aca="false">IFERROR(__xludf.DUMMYFUNCTION("""COMPUTED_VALUE"""),342.9272077)</f>
        <v>342.9272077</v>
      </c>
      <c r="H23" s="5" t="n">
        <f aca="false">IFERROR(__xludf.DUMMYFUNCTION("""COMPUTED_VALUE"""),466.255862)</f>
        <v>466.255862</v>
      </c>
      <c r="I23" s="5" t="n">
        <f aca="false">IFERROR(__xludf.DUMMYFUNCTION("""COMPUTED_VALUE"""),599.8701129)</f>
        <v>599.8701129</v>
      </c>
      <c r="J23" s="5" t="n">
        <f aca="false">IFERROR(__xludf.DUMMYFUNCTION("""COMPUTED_VALUE"""),743.2670756)</f>
        <v>743.2670756</v>
      </c>
      <c r="K23" s="5" t="n">
        <f aca="false">IFERROR(__xludf.DUMMYFUNCTION("""COMPUTED_VALUE"""),865.9803143)</f>
        <v>865.9803143</v>
      </c>
      <c r="L23" s="5" t="n">
        <f aca="false">IFERROR(__xludf.DUMMYFUNCTION("""COMPUTED_VALUE"""),997.1951731)</f>
        <v>997.1951731</v>
      </c>
    </row>
    <row r="24" customFormat="false" ht="15" hidden="false" customHeight="false" outlineLevel="0" collapsed="false">
      <c r="A24" s="4" t="s">
        <v>296</v>
      </c>
      <c r="B24" s="4" t="s">
        <v>294</v>
      </c>
      <c r="C24" s="5" t="n">
        <f aca="false">IFERROR(__xludf.DUMMYFUNCTION("""COMPUTED_VALUE"""),16.34485985)</f>
        <v>16.34485985</v>
      </c>
      <c r="D24" s="5" t="n">
        <f aca="false">IFERROR(__xludf.DUMMYFUNCTION("""COMPUTED_VALUE"""),28.06183078)</f>
        <v>28.06183078</v>
      </c>
      <c r="E24" s="5" t="n">
        <f aca="false">IFERROR(__xludf.DUMMYFUNCTION("""COMPUTED_VALUE"""),36.10009919)</f>
        <v>36.10009919</v>
      </c>
      <c r="F24" s="5" t="n">
        <f aca="false">IFERROR(__xludf.DUMMYFUNCTION("""COMPUTED_VALUE"""),48.25432941)</f>
        <v>48.25432941</v>
      </c>
      <c r="G24" s="5" t="n">
        <f aca="false">IFERROR(__xludf.DUMMYFUNCTION("""COMPUTED_VALUE"""),74.82048167)</f>
        <v>74.82048167</v>
      </c>
      <c r="H24" s="5" t="n">
        <f aca="false">IFERROR(__xludf.DUMMYFUNCTION("""COMPUTED_VALUE"""),101.7285517)</f>
        <v>101.7285517</v>
      </c>
      <c r="I24" s="5" t="n">
        <f aca="false">IFERROR(__xludf.DUMMYFUNCTION("""COMPUTED_VALUE"""),130.8807519)</f>
        <v>130.8807519</v>
      </c>
      <c r="J24" s="5" t="n">
        <f aca="false">IFERROR(__xludf.DUMMYFUNCTION("""COMPUTED_VALUE"""),162.1673619)</f>
        <v>162.1673619</v>
      </c>
      <c r="K24" s="5" t="n">
        <f aca="false">IFERROR(__xludf.DUMMYFUNCTION("""COMPUTED_VALUE"""),188.9411595)</f>
        <v>188.9411595</v>
      </c>
      <c r="L24" s="5" t="n">
        <f aca="false">IFERROR(__xludf.DUMMYFUNCTION("""COMPUTED_VALUE"""),217.569856)</f>
        <v>217.569856</v>
      </c>
    </row>
    <row r="25" customFormat="false" ht="15" hidden="false" customHeight="false" outlineLevel="0" collapsed="false">
      <c r="A25" s="4" t="s">
        <v>297</v>
      </c>
      <c r="B25" s="4" t="s">
        <v>294</v>
      </c>
      <c r="C25" s="5" t="n">
        <f aca="false">IFERROR(__xludf.DUMMYFUNCTION("""COMPUTED_VALUE"""),10.89657324)</f>
        <v>10.89657324</v>
      </c>
      <c r="D25" s="5" t="n">
        <f aca="false">IFERROR(__xludf.DUMMYFUNCTION("""COMPUTED_VALUE"""),18.70788719)</f>
        <v>18.70788719</v>
      </c>
      <c r="E25" s="5" t="n">
        <f aca="false">IFERROR(__xludf.DUMMYFUNCTION("""COMPUTED_VALUE"""),24.06673279)</f>
        <v>24.06673279</v>
      </c>
      <c r="F25" s="5" t="n">
        <f aca="false">IFERROR(__xludf.DUMMYFUNCTION("""COMPUTED_VALUE"""),32.16955294)</f>
        <v>32.16955294</v>
      </c>
      <c r="G25" s="5" t="n">
        <f aca="false">IFERROR(__xludf.DUMMYFUNCTION("""COMPUTED_VALUE"""),49.88032112)</f>
        <v>49.88032112</v>
      </c>
      <c r="H25" s="5" t="n">
        <f aca="false">IFERROR(__xludf.DUMMYFUNCTION("""COMPUTED_VALUE"""),67.81903447)</f>
        <v>67.81903447</v>
      </c>
      <c r="I25" s="5" t="n">
        <f aca="false">IFERROR(__xludf.DUMMYFUNCTION("""COMPUTED_VALUE"""),87.25383461)</f>
        <v>87.25383461</v>
      </c>
      <c r="J25" s="5" t="n">
        <f aca="false">IFERROR(__xludf.DUMMYFUNCTION("""COMPUTED_VALUE"""),108.1115746)</f>
        <v>108.1115746</v>
      </c>
      <c r="K25" s="5" t="n">
        <f aca="false">IFERROR(__xludf.DUMMYFUNCTION("""COMPUTED_VALUE"""),125.960773)</f>
        <v>125.960773</v>
      </c>
      <c r="L25" s="5" t="n">
        <f aca="false">IFERROR(__xludf.DUMMYFUNCTION("""COMPUTED_VALUE"""),145.0465706)</f>
        <v>145.0465706</v>
      </c>
    </row>
    <row r="26" customFormat="false" ht="15" hidden="false" customHeight="false" outlineLevel="0" collapsed="false">
      <c r="A26" s="7" t="s">
        <v>298</v>
      </c>
      <c r="C26" s="8" t="n">
        <f aca="false">SUM(C18:C25)</f>
        <v>6957.58027218</v>
      </c>
      <c r="D26" s="8" t="n">
        <f aca="false">SUM(D18:D25)</f>
        <v>10965.10619482</v>
      </c>
      <c r="E26" s="8" t="n">
        <f aca="false">SUM(E18:E25)</f>
        <v>13485.96634636</v>
      </c>
      <c r="F26" s="8" t="n">
        <f aca="false">SUM(F18:F25)</f>
        <v>17551.02894185</v>
      </c>
      <c r="G26" s="8" t="n">
        <f aca="false">SUM(G18:G25)</f>
        <v>27038.78954189</v>
      </c>
      <c r="H26" s="8" t="n">
        <f aca="false">SUM(H18:H25)</f>
        <v>35199.43002987</v>
      </c>
      <c r="I26" s="8" t="n">
        <f aca="false">SUM(I18:I25)</f>
        <v>45530.46210161</v>
      </c>
      <c r="J26" s="8" t="n">
        <f aca="false">SUM(J18:J25)</f>
        <v>56351.4109318</v>
      </c>
      <c r="K26" s="8" t="n">
        <f aca="false">SUM(K18:K25)</f>
        <v>64923.1066494</v>
      </c>
      <c r="L26" s="8" t="n">
        <f aca="false">SUM(L18:L25)</f>
        <v>73902.2065059</v>
      </c>
    </row>
    <row r="28" customFormat="false" ht="15" hidden="false" customHeight="false" outlineLevel="0" collapsed="false">
      <c r="A28" s="11" t="s">
        <v>300</v>
      </c>
    </row>
    <row r="29" customFormat="false" ht="15" hidden="false" customHeight="false" outlineLevel="0" collapsed="false">
      <c r="A29" s="3" t="s">
        <v>150</v>
      </c>
      <c r="B29" s="3" t="s">
        <v>277</v>
      </c>
      <c r="C29" s="3" t="s">
        <v>278</v>
      </c>
      <c r="D29" s="3" t="s">
        <v>279</v>
      </c>
      <c r="E29" s="3" t="s">
        <v>280</v>
      </c>
      <c r="F29" s="3" t="s">
        <v>281</v>
      </c>
      <c r="G29" s="3" t="s">
        <v>282</v>
      </c>
      <c r="H29" s="3" t="s">
        <v>283</v>
      </c>
      <c r="I29" s="3" t="s">
        <v>284</v>
      </c>
      <c r="J29" s="3" t="s">
        <v>285</v>
      </c>
      <c r="K29" s="3" t="s">
        <v>286</v>
      </c>
      <c r="L29" s="3" t="s">
        <v>287</v>
      </c>
    </row>
    <row r="30" customFormat="false" ht="15" hidden="false" customHeight="false" outlineLevel="0" collapsed="false">
      <c r="A30" s="4" t="s">
        <v>288</v>
      </c>
      <c r="B30" s="4" t="s">
        <v>289</v>
      </c>
      <c r="C30" s="5" t="n">
        <f aca="false">IFERROR(__xludf.DUMMYFUNCTION("IMPORTRANGE(Links!$B$4,""Indexado Dim Técnico!B15:K22"")"),0)</f>
        <v>0</v>
      </c>
      <c r="D30" s="5" t="n">
        <f aca="false">IFERROR(__xludf.DUMMYFUNCTION("""COMPUTED_VALUE"""),0)</f>
        <v>0</v>
      </c>
      <c r="E30" s="5" t="n">
        <f aca="false">IFERROR(__xludf.DUMMYFUNCTION("""COMPUTED_VALUE"""),7662.4)</f>
        <v>7662.4</v>
      </c>
      <c r="F30" s="5" t="n">
        <f aca="false">IFERROR(__xludf.DUMMYFUNCTION("""COMPUTED_VALUE"""),26694.8)</f>
        <v>26694.8</v>
      </c>
      <c r="G30" s="5" t="n">
        <f aca="false">IFERROR(__xludf.DUMMYFUNCTION("""COMPUTED_VALUE"""),49434.8)</f>
        <v>49434.8</v>
      </c>
      <c r="H30" s="5" t="n">
        <f aca="false">IFERROR(__xludf.DUMMYFUNCTION("""COMPUTED_VALUE"""),71680.2)</f>
        <v>71680.2</v>
      </c>
      <c r="I30" s="5" t="n">
        <f aca="false">IFERROR(__xludf.DUMMYFUNCTION("""COMPUTED_VALUE"""),101340.6)</f>
        <v>101340.6</v>
      </c>
      <c r="J30" s="5" t="n">
        <f aca="false">IFERROR(__xludf.DUMMYFUNCTION("""COMPUTED_VALUE"""),131001)</f>
        <v>131001</v>
      </c>
      <c r="K30" s="5" t="n">
        <f aca="false">IFERROR(__xludf.DUMMYFUNCTION("""COMPUTED_VALUE"""),146819.8)</f>
        <v>146819.8</v>
      </c>
      <c r="L30" s="5" t="n">
        <f aca="false">IFERROR(__xludf.DUMMYFUNCTION("""COMPUTED_VALUE"""),170548)</f>
        <v>170548</v>
      </c>
    </row>
    <row r="31" customFormat="false" ht="15" hidden="false" customHeight="false" outlineLevel="0" collapsed="false">
      <c r="A31" s="4" t="s">
        <v>290</v>
      </c>
      <c r="B31" s="4" t="s">
        <v>289</v>
      </c>
      <c r="C31" s="5" t="n">
        <f aca="false">IFERROR(__xludf.DUMMYFUNCTION("""COMPUTED_VALUE"""),0)</f>
        <v>0</v>
      </c>
      <c r="D31" s="5" t="n">
        <f aca="false">IFERROR(__xludf.DUMMYFUNCTION("""COMPUTED_VALUE"""),0)</f>
        <v>0</v>
      </c>
      <c r="E31" s="5" t="n">
        <f aca="false">IFERROR(__xludf.DUMMYFUNCTION("""COMPUTED_VALUE"""),299.6)</f>
        <v>299.6</v>
      </c>
      <c r="F31" s="5" t="n">
        <f aca="false">IFERROR(__xludf.DUMMYFUNCTION("""COMPUTED_VALUE"""),1043.8)</f>
        <v>1043.8</v>
      </c>
      <c r="G31" s="5" t="n">
        <f aca="false">IFERROR(__xludf.DUMMYFUNCTION("""COMPUTED_VALUE"""),1933)</f>
        <v>1933</v>
      </c>
      <c r="H31" s="5" t="n">
        <f aca="false">IFERROR(__xludf.DUMMYFUNCTION("""COMPUTED_VALUE"""),2803)</f>
        <v>2803</v>
      </c>
      <c r="I31" s="5" t="n">
        <f aca="false">IFERROR(__xludf.DUMMYFUNCTION("""COMPUTED_VALUE"""),3963)</f>
        <v>3963</v>
      </c>
      <c r="J31" s="5" t="n">
        <f aca="false">IFERROR(__xludf.DUMMYFUNCTION("""COMPUTED_VALUE"""),5123)</f>
        <v>5123</v>
      </c>
      <c r="K31" s="5" t="n">
        <f aca="false">IFERROR(__xludf.DUMMYFUNCTION("""COMPUTED_VALUE"""),5741.4)</f>
        <v>5741.4</v>
      </c>
      <c r="L31" s="5" t="n">
        <f aca="false">IFERROR(__xludf.DUMMYFUNCTION("""COMPUTED_VALUE"""),6669)</f>
        <v>6669</v>
      </c>
    </row>
    <row r="32" customFormat="false" ht="15" hidden="false" customHeight="false" outlineLevel="0" collapsed="false">
      <c r="A32" s="4" t="s">
        <v>291</v>
      </c>
      <c r="B32" s="4" t="s">
        <v>289</v>
      </c>
      <c r="C32" s="5" t="n">
        <f aca="false">IFERROR(__xludf.DUMMYFUNCTION("""COMPUTED_VALUE"""),0)</f>
        <v>0</v>
      </c>
      <c r="D32" s="5" t="n">
        <f aca="false">IFERROR(__xludf.DUMMYFUNCTION("""COMPUTED_VALUE"""),0)</f>
        <v>0</v>
      </c>
      <c r="E32" s="5" t="n">
        <f aca="false">IFERROR(__xludf.DUMMYFUNCTION("""COMPUTED_VALUE"""),1478.8)</f>
        <v>1478.8</v>
      </c>
      <c r="F32" s="5" t="n">
        <f aca="false">IFERROR(__xludf.DUMMYFUNCTION("""COMPUTED_VALUE"""),5152)</f>
        <v>5152</v>
      </c>
      <c r="G32" s="5" t="n">
        <f aca="false">IFERROR(__xludf.DUMMYFUNCTION("""COMPUTED_VALUE"""),9540.8)</f>
        <v>9540.8</v>
      </c>
      <c r="H32" s="5" t="n">
        <f aca="false">IFERROR(__xludf.DUMMYFUNCTION("""COMPUTED_VALUE"""),13834.2)</f>
        <v>13834.2</v>
      </c>
      <c r="I32" s="5" t="n">
        <f aca="false">IFERROR(__xludf.DUMMYFUNCTION("""COMPUTED_VALUE"""),19558.6)</f>
        <v>19558.6</v>
      </c>
      <c r="J32" s="5" t="n">
        <f aca="false">IFERROR(__xludf.DUMMYFUNCTION("""COMPUTED_VALUE"""),25283)</f>
        <v>25283</v>
      </c>
      <c r="K32" s="5" t="n">
        <f aca="false">IFERROR(__xludf.DUMMYFUNCTION("""COMPUTED_VALUE"""),28335.8)</f>
        <v>28335.8</v>
      </c>
      <c r="L32" s="5" t="n">
        <f aca="false">IFERROR(__xludf.DUMMYFUNCTION("""COMPUTED_VALUE"""),32915)</f>
        <v>32915</v>
      </c>
    </row>
    <row r="33" customFormat="false" ht="15" hidden="false" customHeight="false" outlineLevel="0" collapsed="false">
      <c r="A33" s="4" t="s">
        <v>292</v>
      </c>
      <c r="B33" s="4" t="s">
        <v>289</v>
      </c>
      <c r="C33" s="5" t="n">
        <f aca="false">IFERROR(__xludf.DUMMYFUNCTION("""COMPUTED_VALUE"""),0)</f>
        <v>0</v>
      </c>
      <c r="D33" s="5" t="n">
        <f aca="false">IFERROR(__xludf.DUMMYFUNCTION("""COMPUTED_VALUE"""),0)</f>
        <v>0</v>
      </c>
      <c r="E33" s="5" t="n">
        <f aca="false">IFERROR(__xludf.DUMMYFUNCTION("""COMPUTED_VALUE"""),90.4)</f>
        <v>90.4</v>
      </c>
      <c r="F33" s="5" t="n">
        <f aca="false">IFERROR(__xludf.DUMMYFUNCTION("""COMPUTED_VALUE"""),315)</f>
        <v>315</v>
      </c>
      <c r="G33" s="5" t="n">
        <f aca="false">IFERROR(__xludf.DUMMYFUNCTION("""COMPUTED_VALUE"""),583.4)</f>
        <v>583.4</v>
      </c>
      <c r="H33" s="5" t="n">
        <f aca="false">IFERROR(__xludf.DUMMYFUNCTION("""COMPUTED_VALUE"""),845.8)</f>
        <v>845.8</v>
      </c>
      <c r="I33" s="5" t="n">
        <f aca="false">IFERROR(__xludf.DUMMYFUNCTION("""COMPUTED_VALUE"""),1195.4)</f>
        <v>1195.4</v>
      </c>
      <c r="J33" s="5" t="n">
        <f aca="false">IFERROR(__xludf.DUMMYFUNCTION("""COMPUTED_VALUE"""),1545)</f>
        <v>1545</v>
      </c>
      <c r="K33" s="5" t="n">
        <f aca="false">IFERROR(__xludf.DUMMYFUNCTION("""COMPUTED_VALUE"""),1731.4)</f>
        <v>1731.4</v>
      </c>
      <c r="L33" s="5" t="n">
        <f aca="false">IFERROR(__xludf.DUMMYFUNCTION("""COMPUTED_VALUE"""),2011)</f>
        <v>2011</v>
      </c>
    </row>
    <row r="34" customFormat="false" ht="15" hidden="false" customHeight="false" outlineLevel="0" collapsed="false">
      <c r="A34" s="4" t="s">
        <v>293</v>
      </c>
      <c r="B34" s="4" t="s">
        <v>294</v>
      </c>
      <c r="C34" s="5" t="n">
        <f aca="false">IFERROR(__xludf.DUMMYFUNCTION("""COMPUTED_VALUE"""),0)</f>
        <v>0</v>
      </c>
      <c r="D34" s="5" t="n">
        <f aca="false">IFERROR(__xludf.DUMMYFUNCTION("""COMPUTED_VALUE"""),0)</f>
        <v>0</v>
      </c>
      <c r="E34" s="5" t="n">
        <f aca="false">IFERROR(__xludf.DUMMYFUNCTION("""COMPUTED_VALUE"""),14.4)</f>
        <v>14.4</v>
      </c>
      <c r="F34" s="5" t="n">
        <f aca="false">IFERROR(__xludf.DUMMYFUNCTION("""COMPUTED_VALUE"""),50.2)</f>
        <v>50.2</v>
      </c>
      <c r="G34" s="5" t="n">
        <f aca="false">IFERROR(__xludf.DUMMYFUNCTION("""COMPUTED_VALUE"""),93)</f>
        <v>93</v>
      </c>
      <c r="H34" s="5" t="n">
        <f aca="false">IFERROR(__xludf.DUMMYFUNCTION("""COMPUTED_VALUE"""),135)</f>
        <v>135</v>
      </c>
      <c r="I34" s="5" t="n">
        <f aca="false">IFERROR(__xludf.DUMMYFUNCTION("""COMPUTED_VALUE"""),191)</f>
        <v>191</v>
      </c>
      <c r="J34" s="5" t="n">
        <f aca="false">IFERROR(__xludf.DUMMYFUNCTION("""COMPUTED_VALUE"""),247)</f>
        <v>247</v>
      </c>
      <c r="K34" s="5" t="n">
        <f aca="false">IFERROR(__xludf.DUMMYFUNCTION("""COMPUTED_VALUE"""),277)</f>
        <v>277</v>
      </c>
      <c r="L34" s="5" t="n">
        <f aca="false">IFERROR(__xludf.DUMMYFUNCTION("""COMPUTED_VALUE"""),322)</f>
        <v>322</v>
      </c>
    </row>
    <row r="35" customFormat="false" ht="15" hidden="false" customHeight="false" outlineLevel="0" collapsed="false">
      <c r="A35" s="4" t="s">
        <v>295</v>
      </c>
      <c r="B35" s="4" t="s">
        <v>294</v>
      </c>
      <c r="C35" s="5" t="n">
        <f aca="false">IFERROR(__xludf.DUMMYFUNCTION("""COMPUTED_VALUE"""),0)</f>
        <v>0</v>
      </c>
      <c r="D35" s="5" t="n">
        <f aca="false">IFERROR(__xludf.DUMMYFUNCTION("""COMPUTED_VALUE"""),0)</f>
        <v>0</v>
      </c>
      <c r="E35" s="5" t="n">
        <f aca="false">IFERROR(__xludf.DUMMYFUNCTION("""COMPUTED_VALUE"""),31.8)</f>
        <v>31.8</v>
      </c>
      <c r="F35" s="5" t="n">
        <f aca="false">IFERROR(__xludf.DUMMYFUNCTION("""COMPUTED_VALUE"""),110.8)</f>
        <v>110.8</v>
      </c>
      <c r="G35" s="5" t="n">
        <f aca="false">IFERROR(__xludf.DUMMYFUNCTION("""COMPUTED_VALUE"""),205.2)</f>
        <v>205.2</v>
      </c>
      <c r="H35" s="5" t="n">
        <f aca="false">IFERROR(__xludf.DUMMYFUNCTION("""COMPUTED_VALUE"""),297.6)</f>
        <v>297.6</v>
      </c>
      <c r="I35" s="5" t="n">
        <f aca="false">IFERROR(__xludf.DUMMYFUNCTION("""COMPUTED_VALUE"""),420.8)</f>
        <v>420.8</v>
      </c>
      <c r="J35" s="5" t="n">
        <f aca="false">IFERROR(__xludf.DUMMYFUNCTION("""COMPUTED_VALUE"""),544)</f>
        <v>544</v>
      </c>
      <c r="K35" s="5" t="n">
        <f aca="false">IFERROR(__xludf.DUMMYFUNCTION("""COMPUTED_VALUE"""),609.6)</f>
        <v>609.6</v>
      </c>
      <c r="L35" s="5" t="n">
        <f aca="false">IFERROR(__xludf.DUMMYFUNCTION("""COMPUTED_VALUE"""),708)</f>
        <v>708</v>
      </c>
    </row>
    <row r="36" customFormat="false" ht="15" hidden="false" customHeight="false" outlineLevel="0" collapsed="false">
      <c r="A36" s="4" t="s">
        <v>296</v>
      </c>
      <c r="B36" s="4" t="s">
        <v>294</v>
      </c>
      <c r="C36" s="5" t="n">
        <f aca="false">IFERROR(__xludf.DUMMYFUNCTION("""COMPUTED_VALUE"""),0)</f>
        <v>0</v>
      </c>
      <c r="D36" s="5" t="n">
        <f aca="false">IFERROR(__xludf.DUMMYFUNCTION("""COMPUTED_VALUE"""),0)</f>
        <v>0</v>
      </c>
      <c r="E36" s="5" t="n">
        <f aca="false">IFERROR(__xludf.DUMMYFUNCTION("""COMPUTED_VALUE"""),7)</f>
        <v>7</v>
      </c>
      <c r="F36" s="5" t="n">
        <f aca="false">IFERROR(__xludf.DUMMYFUNCTION("""COMPUTED_VALUE"""),24.4)</f>
        <v>24.4</v>
      </c>
      <c r="G36" s="5" t="n">
        <f aca="false">IFERROR(__xludf.DUMMYFUNCTION("""COMPUTED_VALUE"""),45.2)</f>
        <v>45.2</v>
      </c>
      <c r="H36" s="5" t="n">
        <f aca="false">IFERROR(__xludf.DUMMYFUNCTION("""COMPUTED_VALUE"""),65.4)</f>
        <v>65.4</v>
      </c>
      <c r="I36" s="5" t="n">
        <f aca="false">IFERROR(__xludf.DUMMYFUNCTION("""COMPUTED_VALUE"""),92.2)</f>
        <v>92.2</v>
      </c>
      <c r="J36" s="5" t="n">
        <f aca="false">IFERROR(__xludf.DUMMYFUNCTION("""COMPUTED_VALUE"""),119)</f>
        <v>119</v>
      </c>
      <c r="K36" s="5" t="n">
        <f aca="false">IFERROR(__xludf.DUMMYFUNCTION("""COMPUTED_VALUE"""),133.4)</f>
        <v>133.4</v>
      </c>
      <c r="L36" s="5" t="n">
        <f aca="false">IFERROR(__xludf.DUMMYFUNCTION("""COMPUTED_VALUE"""),155)</f>
        <v>155</v>
      </c>
    </row>
    <row r="37" customFormat="false" ht="15" hidden="false" customHeight="false" outlineLevel="0" collapsed="false">
      <c r="A37" s="4" t="s">
        <v>297</v>
      </c>
      <c r="B37" s="4" t="s">
        <v>294</v>
      </c>
      <c r="C37" s="5" t="n">
        <f aca="false">IFERROR(__xludf.DUMMYFUNCTION("""COMPUTED_VALUE"""),0)</f>
        <v>0</v>
      </c>
      <c r="D37" s="5" t="n">
        <f aca="false">IFERROR(__xludf.DUMMYFUNCTION("""COMPUTED_VALUE"""),0)</f>
        <v>0</v>
      </c>
      <c r="E37" s="5" t="n">
        <f aca="false">IFERROR(__xludf.DUMMYFUNCTION("""COMPUTED_VALUE"""),4.6)</f>
        <v>4.6</v>
      </c>
      <c r="F37" s="5" t="n">
        <f aca="false">IFERROR(__xludf.DUMMYFUNCTION("""COMPUTED_VALUE"""),16)</f>
        <v>16</v>
      </c>
      <c r="G37" s="5" t="n">
        <f aca="false">IFERROR(__xludf.DUMMYFUNCTION("""COMPUTED_VALUE"""),29.6)</f>
        <v>29.6</v>
      </c>
      <c r="H37" s="5" t="n">
        <f aca="false">IFERROR(__xludf.DUMMYFUNCTION("""COMPUTED_VALUE"""),42.8)</f>
        <v>42.8</v>
      </c>
      <c r="I37" s="5" t="n">
        <f aca="false">IFERROR(__xludf.DUMMYFUNCTION("""COMPUTED_VALUE"""),60.4)</f>
        <v>60.4</v>
      </c>
      <c r="J37" s="5" t="n">
        <f aca="false">IFERROR(__xludf.DUMMYFUNCTION("""COMPUTED_VALUE"""),78)</f>
        <v>78</v>
      </c>
      <c r="K37" s="5" t="n">
        <f aca="false">IFERROR(__xludf.DUMMYFUNCTION("""COMPUTED_VALUE"""),87.6)</f>
        <v>87.6</v>
      </c>
      <c r="L37" s="5" t="n">
        <f aca="false">IFERROR(__xludf.DUMMYFUNCTION("""COMPUTED_VALUE"""),102)</f>
        <v>102</v>
      </c>
    </row>
    <row r="38" customFormat="false" ht="15" hidden="false" customHeight="false" outlineLevel="0" collapsed="false">
      <c r="A38" s="7" t="s">
        <v>298</v>
      </c>
      <c r="C38" s="8" t="n">
        <f aca="false">SUM(C30:C37)</f>
        <v>0</v>
      </c>
      <c r="D38" s="8" t="n">
        <f aca="false">SUM(D30:D37)</f>
        <v>0</v>
      </c>
      <c r="E38" s="8" t="n">
        <f aca="false">SUM(E30:E37)</f>
        <v>9589</v>
      </c>
      <c r="F38" s="8" t="n">
        <f aca="false">SUM(F30:F37)</f>
        <v>33407</v>
      </c>
      <c r="G38" s="8" t="n">
        <f aca="false">SUM(G30:G37)</f>
        <v>61865</v>
      </c>
      <c r="H38" s="8" t="n">
        <f aca="false">SUM(H30:H37)</f>
        <v>89704</v>
      </c>
      <c r="I38" s="8" t="n">
        <f aca="false">SUM(I30:I37)</f>
        <v>126822</v>
      </c>
      <c r="J38" s="8" t="n">
        <f aca="false">SUM(J30:J37)</f>
        <v>163940</v>
      </c>
      <c r="K38" s="8" t="n">
        <f aca="false">SUM(K30:K37)</f>
        <v>183736</v>
      </c>
      <c r="L38" s="8" t="n">
        <f aca="false">SUM(L30:L37)</f>
        <v>213430</v>
      </c>
    </row>
    <row r="40" customFormat="false" ht="15" hidden="false" customHeight="false" outlineLevel="0" collapsed="false">
      <c r="A40" s="11" t="s">
        <v>301</v>
      </c>
    </row>
    <row r="41" customFormat="false" ht="15" hidden="false" customHeight="false" outlineLevel="0" collapsed="false">
      <c r="A41" s="3" t="s">
        <v>150</v>
      </c>
      <c r="B41" s="3" t="s">
        <v>277</v>
      </c>
      <c r="C41" s="3" t="s">
        <v>278</v>
      </c>
      <c r="D41" s="3" t="s">
        <v>279</v>
      </c>
      <c r="E41" s="3" t="s">
        <v>280</v>
      </c>
      <c r="F41" s="3" t="s">
        <v>281</v>
      </c>
      <c r="G41" s="3" t="s">
        <v>282</v>
      </c>
      <c r="H41" s="3" t="s">
        <v>283</v>
      </c>
      <c r="I41" s="3" t="s">
        <v>284</v>
      </c>
      <c r="J41" s="3" t="s">
        <v>285</v>
      </c>
      <c r="K41" s="3" t="s">
        <v>286</v>
      </c>
      <c r="L41" s="3" t="s">
        <v>287</v>
      </c>
    </row>
    <row r="42" customFormat="false" ht="15" hidden="false" customHeight="false" outlineLevel="0" collapsed="false">
      <c r="A42" s="4" t="s">
        <v>288</v>
      </c>
      <c r="B42" s="4" t="s">
        <v>289</v>
      </c>
      <c r="C42" s="5" t="n">
        <f aca="false">IFERROR(__xludf.DUMMYFUNCTION("IMPORTRANGE(Links!$B$6,""sobrestock_sustitutos!B73:K76"")"),0)</f>
        <v>0</v>
      </c>
      <c r="D42" s="5" t="n">
        <f aca="false">IFERROR(__xludf.DUMMYFUNCTION("""COMPUTED_VALUE"""),0)</f>
        <v>0</v>
      </c>
      <c r="E42" s="5" t="n">
        <f aca="false">IFERROR(__xludf.DUMMYFUNCTION("""COMPUTED_VALUE"""),0)</f>
        <v>0</v>
      </c>
      <c r="F42" s="5" t="n">
        <f aca="false">IFERROR(__xludf.DUMMYFUNCTION("""COMPUTED_VALUE"""),0)</f>
        <v>0</v>
      </c>
      <c r="G42" s="5" t="n">
        <f aca="false">IFERROR(__xludf.DUMMYFUNCTION("""COMPUTED_VALUE"""),0)</f>
        <v>0</v>
      </c>
      <c r="H42" s="5" t="n">
        <f aca="false">IFERROR(__xludf.DUMMYFUNCTION("""COMPUTED_VALUE"""),0)</f>
        <v>0</v>
      </c>
      <c r="I42" s="5" t="n">
        <f aca="false">IFERROR(__xludf.DUMMYFUNCTION("""COMPUTED_VALUE"""),0)</f>
        <v>0</v>
      </c>
      <c r="J42" s="5" t="n">
        <f aca="false">IFERROR(__xludf.DUMMYFUNCTION("""COMPUTED_VALUE"""),0)</f>
        <v>0</v>
      </c>
      <c r="K42" s="5" t="n">
        <f aca="false">IFERROR(__xludf.DUMMYFUNCTION("""COMPUTED_VALUE"""),0)</f>
        <v>0</v>
      </c>
      <c r="L42" s="5" t="n">
        <f aca="false">IFERROR(__xludf.DUMMYFUNCTION("""COMPUTED_VALUE"""),0)</f>
        <v>0</v>
      </c>
    </row>
    <row r="43" customFormat="false" ht="15" hidden="false" customHeight="false" outlineLevel="0" collapsed="false">
      <c r="A43" s="4" t="s">
        <v>290</v>
      </c>
      <c r="B43" s="4" t="s">
        <v>289</v>
      </c>
      <c r="C43" s="5" t="n">
        <f aca="false">IFERROR(__xludf.DUMMYFUNCTION("""COMPUTED_VALUE"""),3)</f>
        <v>3</v>
      </c>
      <c r="D43" s="5" t="n">
        <f aca="false">IFERROR(__xludf.DUMMYFUNCTION("""COMPUTED_VALUE"""),6.24)</f>
        <v>6.24</v>
      </c>
      <c r="E43" s="5" t="n">
        <f aca="false">IFERROR(__xludf.DUMMYFUNCTION("""COMPUTED_VALUE"""),10.72)</f>
        <v>10.72</v>
      </c>
      <c r="F43" s="5" t="n">
        <f aca="false">IFERROR(__xludf.DUMMYFUNCTION("""COMPUTED_VALUE"""),17.52)</f>
        <v>17.52</v>
      </c>
      <c r="G43" s="5" t="n">
        <f aca="false">IFERROR(__xludf.DUMMYFUNCTION("""COMPUTED_VALUE"""),18.8)</f>
        <v>18.8</v>
      </c>
      <c r="H43" s="5" t="n">
        <f aca="false">IFERROR(__xludf.DUMMYFUNCTION("""COMPUTED_VALUE"""),21.08)</f>
        <v>21.08</v>
      </c>
      <c r="I43" s="5" t="n">
        <f aca="false">IFERROR(__xludf.DUMMYFUNCTION("""COMPUTED_VALUE"""),18.44)</f>
        <v>18.44</v>
      </c>
      <c r="J43" s="5" t="n">
        <f aca="false">IFERROR(__xludf.DUMMYFUNCTION("""COMPUTED_VALUE"""),15.48)</f>
        <v>15.48</v>
      </c>
      <c r="K43" s="5" t="n">
        <f aca="false">IFERROR(__xludf.DUMMYFUNCTION("""COMPUTED_VALUE"""),14.2)</f>
        <v>14.2</v>
      </c>
      <c r="L43" s="5" t="n">
        <f aca="false">IFERROR(__xludf.DUMMYFUNCTION("""COMPUTED_VALUE"""),14.76)</f>
        <v>14.76</v>
      </c>
    </row>
    <row r="44" customFormat="false" ht="15" hidden="false" customHeight="false" outlineLevel="0" collapsed="false">
      <c r="A44" s="4" t="s">
        <v>291</v>
      </c>
      <c r="B44" s="4" t="s">
        <v>289</v>
      </c>
      <c r="C44" s="5" t="n">
        <f aca="false">IFERROR(__xludf.DUMMYFUNCTION("""COMPUTED_VALUE"""),11)</f>
        <v>11</v>
      </c>
      <c r="D44" s="5" t="n">
        <f aca="false">IFERROR(__xludf.DUMMYFUNCTION("""COMPUTED_VALUE"""),33.88)</f>
        <v>33.88</v>
      </c>
      <c r="E44" s="5" t="n">
        <f aca="false">IFERROR(__xludf.DUMMYFUNCTION("""COMPUTED_VALUE"""),57.52)</f>
        <v>57.52</v>
      </c>
      <c r="F44" s="5" t="n">
        <f aca="false">IFERROR(__xludf.DUMMYFUNCTION("""COMPUTED_VALUE"""),95.84)</f>
        <v>95.84</v>
      </c>
      <c r="G44" s="5" t="n">
        <f aca="false">IFERROR(__xludf.DUMMYFUNCTION("""COMPUTED_VALUE"""),95.88)</f>
        <v>95.88</v>
      </c>
      <c r="H44" s="5" t="n">
        <f aca="false">IFERROR(__xludf.DUMMYFUNCTION("""COMPUTED_VALUE"""),109.36)</f>
        <v>109.36</v>
      </c>
      <c r="I44" s="5" t="n">
        <f aca="false">IFERROR(__xludf.DUMMYFUNCTION("""COMPUTED_VALUE"""),93.4)</f>
        <v>93.4</v>
      </c>
      <c r="J44" s="5" t="n">
        <f aca="false">IFERROR(__xludf.DUMMYFUNCTION("""COMPUTED_VALUE"""),79.6)</f>
        <v>79.6</v>
      </c>
      <c r="K44" s="5" t="n">
        <f aca="false">IFERROR(__xludf.DUMMYFUNCTION("""COMPUTED_VALUE"""),73.28)</f>
        <v>73.28</v>
      </c>
      <c r="L44" s="5" t="n">
        <f aca="false">IFERROR(__xludf.DUMMYFUNCTION("""COMPUTED_VALUE"""),78.16)</f>
        <v>78.16</v>
      </c>
    </row>
    <row r="45" customFormat="false" ht="15" hidden="false" customHeight="false" outlineLevel="0" collapsed="false">
      <c r="A45" s="4" t="s">
        <v>292</v>
      </c>
      <c r="B45" s="4" t="s">
        <v>289</v>
      </c>
      <c r="C45" s="5" t="n">
        <f aca="false">IFERROR(__xludf.DUMMYFUNCTION("""COMPUTED_VALUE"""),1)</f>
        <v>1</v>
      </c>
      <c r="D45" s="5" t="n">
        <f aca="false">IFERROR(__xludf.DUMMYFUNCTION("""COMPUTED_VALUE"""),3.08)</f>
        <v>3.08</v>
      </c>
      <c r="E45" s="5" t="n">
        <f aca="false">IFERROR(__xludf.DUMMYFUNCTION("""COMPUTED_VALUE"""),4.32)</f>
        <v>4.32</v>
      </c>
      <c r="F45" s="5" t="n">
        <f aca="false">IFERROR(__xludf.DUMMYFUNCTION("""COMPUTED_VALUE"""),7.64)</f>
        <v>7.64</v>
      </c>
      <c r="G45" s="5" t="n">
        <f aca="false">IFERROR(__xludf.DUMMYFUNCTION("""COMPUTED_VALUE"""),7.2)</f>
        <v>7.2</v>
      </c>
      <c r="H45" s="5" t="n">
        <f aca="false">IFERROR(__xludf.DUMMYFUNCTION("""COMPUTED_VALUE"""),8.68)</f>
        <v>8.68</v>
      </c>
      <c r="I45" s="5" t="n">
        <f aca="false">IFERROR(__xludf.DUMMYFUNCTION("""COMPUTED_VALUE"""),6.24)</f>
        <v>6.24</v>
      </c>
      <c r="J45" s="5" t="n">
        <f aca="false">IFERROR(__xludf.DUMMYFUNCTION("""COMPUTED_VALUE"""),6.56)</f>
        <v>6.56</v>
      </c>
      <c r="K45" s="5" t="n">
        <f aca="false">IFERROR(__xludf.DUMMYFUNCTION("""COMPUTED_VALUE"""),4.88)</f>
        <v>4.88</v>
      </c>
      <c r="L45" s="5" t="n">
        <f aca="false">IFERROR(__xludf.DUMMYFUNCTION("""COMPUTED_VALUE"""),6.04)</f>
        <v>6.04</v>
      </c>
    </row>
    <row r="46" customFormat="false" ht="15" hidden="false" customHeight="false" outlineLevel="0" collapsed="false">
      <c r="A46" s="4" t="s">
        <v>293</v>
      </c>
      <c r="B46" s="4" t="s">
        <v>294</v>
      </c>
      <c r="C46" s="5" t="n">
        <f aca="false">IFERROR(__xludf.DUMMYFUNCTION("IMPORTRANGE(Links!$B$6,""sobrestock_sustitutos!B86:K89"")"),1)</f>
        <v>1</v>
      </c>
      <c r="D46" s="5" t="n">
        <f aca="false">IFERROR(__xludf.DUMMYFUNCTION("""COMPUTED_VALUE"""),0.08)</f>
        <v>0.08</v>
      </c>
      <c r="E46" s="5" t="n">
        <f aca="false">IFERROR(__xludf.DUMMYFUNCTION("""COMPUTED_VALUE"""),0.08)</f>
        <v>0.08</v>
      </c>
      <c r="F46" s="5" t="n">
        <f aca="false">IFERROR(__xludf.DUMMYFUNCTION("""COMPUTED_VALUE"""),1.08)</f>
        <v>1.08</v>
      </c>
      <c r="G46" s="5" t="n">
        <f aca="false">IFERROR(__xludf.DUMMYFUNCTION("""COMPUTED_VALUE"""),1.16)</f>
        <v>1.16</v>
      </c>
      <c r="H46" s="5" t="n">
        <f aca="false">IFERROR(__xludf.DUMMYFUNCTION("""COMPUTED_VALUE"""),1.24)</f>
        <v>1.24</v>
      </c>
      <c r="I46" s="5" t="n">
        <f aca="false">IFERROR(__xludf.DUMMYFUNCTION("""COMPUTED_VALUE"""),0.32)</f>
        <v>0.32</v>
      </c>
      <c r="J46" s="5" t="n">
        <f aca="false">IFERROR(__xludf.DUMMYFUNCTION("""COMPUTED_VALUE"""),1.32)</f>
        <v>1.32</v>
      </c>
      <c r="K46" s="5" t="n">
        <f aca="false">IFERROR(__xludf.DUMMYFUNCTION("""COMPUTED_VALUE"""),0.4)</f>
        <v>0.4</v>
      </c>
      <c r="L46" s="5" t="n">
        <f aca="false">IFERROR(__xludf.DUMMYFUNCTION("""COMPUTED_VALUE"""),0.4)</f>
        <v>0.4</v>
      </c>
    </row>
    <row r="47" customFormat="false" ht="15" hidden="false" customHeight="false" outlineLevel="0" collapsed="false">
      <c r="A47" s="4" t="s">
        <v>295</v>
      </c>
      <c r="B47" s="4" t="s">
        <v>294</v>
      </c>
      <c r="C47" s="5" t="n">
        <f aca="false">IFERROR(__xludf.DUMMYFUNCTION("""COMPUTED_VALUE"""),1)</f>
        <v>1</v>
      </c>
      <c r="D47" s="5" t="n">
        <f aca="false">IFERROR(__xludf.DUMMYFUNCTION("""COMPUTED_VALUE"""),0.08)</f>
        <v>0.08</v>
      </c>
      <c r="E47" s="5" t="n">
        <f aca="false">IFERROR(__xludf.DUMMYFUNCTION("""COMPUTED_VALUE"""),2.08)</f>
        <v>2.08</v>
      </c>
      <c r="F47" s="5" t="n">
        <f aca="false">IFERROR(__xludf.DUMMYFUNCTION("""COMPUTED_VALUE"""),1.24)</f>
        <v>1.24</v>
      </c>
      <c r="G47" s="5" t="n">
        <f aca="false">IFERROR(__xludf.DUMMYFUNCTION("""COMPUTED_VALUE"""),2.32)</f>
        <v>2.32</v>
      </c>
      <c r="H47" s="5" t="n">
        <f aca="false">IFERROR(__xludf.DUMMYFUNCTION("""COMPUTED_VALUE"""),2.48)</f>
        <v>2.48</v>
      </c>
      <c r="I47" s="5" t="n">
        <f aca="false">IFERROR(__xludf.DUMMYFUNCTION("""COMPUTED_VALUE"""),0.64)</f>
        <v>0.64</v>
      </c>
      <c r="J47" s="5" t="n">
        <f aca="false">IFERROR(__xludf.DUMMYFUNCTION("""COMPUTED_VALUE"""),1.64)</f>
        <v>1.64</v>
      </c>
      <c r="K47" s="5" t="n">
        <f aca="false">IFERROR(__xludf.DUMMYFUNCTION("""COMPUTED_VALUE"""),1.72)</f>
        <v>1.72</v>
      </c>
      <c r="L47" s="5" t="n">
        <f aca="false">IFERROR(__xludf.DUMMYFUNCTION("""COMPUTED_VALUE"""),1.8)</f>
        <v>1.8</v>
      </c>
    </row>
    <row r="48" customFormat="false" ht="15" hidden="false" customHeight="false" outlineLevel="0" collapsed="false">
      <c r="A48" s="4" t="s">
        <v>296</v>
      </c>
      <c r="B48" s="4" t="s">
        <v>294</v>
      </c>
      <c r="C48" s="5" t="n">
        <f aca="false">IFERROR(__xludf.DUMMYFUNCTION("""COMPUTED_VALUE"""),1)</f>
        <v>1</v>
      </c>
      <c r="D48" s="5" t="n">
        <f aca="false">IFERROR(__xludf.DUMMYFUNCTION("""COMPUTED_VALUE"""),0.08)</f>
        <v>0.08</v>
      </c>
      <c r="E48" s="5" t="n">
        <f aca="false">IFERROR(__xludf.DUMMYFUNCTION("""COMPUTED_VALUE"""),0.08)</f>
        <v>0.08</v>
      </c>
      <c r="F48" s="5" t="n">
        <f aca="false">IFERROR(__xludf.DUMMYFUNCTION("""COMPUTED_VALUE"""),0.08)</f>
        <v>0.08</v>
      </c>
      <c r="G48" s="5" t="n">
        <f aca="false">IFERROR(__xludf.DUMMYFUNCTION("""COMPUTED_VALUE"""),1.08)</f>
        <v>1.08</v>
      </c>
      <c r="H48" s="5" t="n">
        <f aca="false">IFERROR(__xludf.DUMMYFUNCTION("""COMPUTED_VALUE"""),0.16)</f>
        <v>0.16</v>
      </c>
      <c r="I48" s="5" t="n">
        <f aca="false">IFERROR(__xludf.DUMMYFUNCTION("""COMPUTED_VALUE"""),0.16)</f>
        <v>0.16</v>
      </c>
      <c r="J48" s="5" t="n">
        <f aca="false">IFERROR(__xludf.DUMMYFUNCTION("""COMPUTED_VALUE"""),0.16)</f>
        <v>0.16</v>
      </c>
      <c r="K48" s="5" t="n">
        <f aca="false">IFERROR(__xludf.DUMMYFUNCTION("""COMPUTED_VALUE"""),1.16)</f>
        <v>1.16</v>
      </c>
      <c r="L48" s="5" t="n">
        <f aca="false">IFERROR(__xludf.DUMMYFUNCTION("""COMPUTED_VALUE"""),0.24)</f>
        <v>0.24</v>
      </c>
    </row>
    <row r="49" customFormat="false" ht="15" hidden="false" customHeight="false" outlineLevel="0" collapsed="false">
      <c r="A49" s="4" t="s">
        <v>297</v>
      </c>
      <c r="B49" s="4" t="s">
        <v>294</v>
      </c>
      <c r="C49" s="5" t="n">
        <f aca="false">IFERROR(__xludf.DUMMYFUNCTION("""COMPUTED_VALUE"""),1)</f>
        <v>1</v>
      </c>
      <c r="D49" s="5" t="n">
        <f aca="false">IFERROR(__xludf.DUMMYFUNCTION("""COMPUTED_VALUE"""),0.08)</f>
        <v>0.08</v>
      </c>
      <c r="E49" s="5" t="n">
        <f aca="false">IFERROR(__xludf.DUMMYFUNCTION("""COMPUTED_VALUE"""),0.08)</f>
        <v>0.08</v>
      </c>
      <c r="F49" s="5" t="n">
        <f aca="false">IFERROR(__xludf.DUMMYFUNCTION("""COMPUTED_VALUE"""),0.08)</f>
        <v>0.08</v>
      </c>
      <c r="G49" s="5" t="n">
        <f aca="false">IFERROR(__xludf.DUMMYFUNCTION("""COMPUTED_VALUE"""),0.08)</f>
        <v>0.08</v>
      </c>
      <c r="H49" s="5" t="n">
        <f aca="false">IFERROR(__xludf.DUMMYFUNCTION("""COMPUTED_VALUE"""),1.08)</f>
        <v>1.08</v>
      </c>
      <c r="I49" s="5" t="n">
        <f aca="false">IFERROR(__xludf.DUMMYFUNCTION("""COMPUTED_VALUE"""),0.16)</f>
        <v>0.16</v>
      </c>
      <c r="J49" s="5" t="n">
        <f aca="false">IFERROR(__xludf.DUMMYFUNCTION("""COMPUTED_VALUE"""),0.16)</f>
        <v>0.16</v>
      </c>
      <c r="K49" s="5" t="n">
        <f aca="false">IFERROR(__xludf.DUMMYFUNCTION("""COMPUTED_VALUE"""),0.16)</f>
        <v>0.16</v>
      </c>
      <c r="L49" s="5" t="n">
        <f aca="false">IFERROR(__xludf.DUMMYFUNCTION("""COMPUTED_VALUE"""),0.16)</f>
        <v>0.16</v>
      </c>
    </row>
    <row r="50" customFormat="false" ht="15" hidden="false" customHeight="false" outlineLevel="0" collapsed="false">
      <c r="A50" s="7" t="s">
        <v>298</v>
      </c>
      <c r="C50" s="8" t="n">
        <f aca="false">SUM(C42:C49)</f>
        <v>19</v>
      </c>
      <c r="D50" s="8" t="n">
        <f aca="false">SUM(D42:D49)</f>
        <v>43.52</v>
      </c>
      <c r="E50" s="8" t="n">
        <f aca="false">SUM(E42:E49)</f>
        <v>74.88</v>
      </c>
      <c r="F50" s="8" t="n">
        <f aca="false">SUM(F42:F49)</f>
        <v>123.48</v>
      </c>
      <c r="G50" s="8" t="n">
        <f aca="false">SUM(G42:G49)</f>
        <v>126.52</v>
      </c>
      <c r="H50" s="8" t="n">
        <f aca="false">SUM(H42:H49)</f>
        <v>144.08</v>
      </c>
      <c r="I50" s="8" t="n">
        <f aca="false">SUM(I42:I49)</f>
        <v>119.36</v>
      </c>
      <c r="J50" s="8" t="n">
        <f aca="false">SUM(J42:J49)</f>
        <v>104.92</v>
      </c>
      <c r="K50" s="8" t="n">
        <f aca="false">SUM(K42:K49)</f>
        <v>95.8</v>
      </c>
      <c r="L50" s="8" t="n">
        <f aca="false">SUM(L42:L49)</f>
        <v>101.56</v>
      </c>
    </row>
    <row r="52" customFormat="false" ht="15" hidden="false" customHeight="false" outlineLevel="0" collapsed="false">
      <c r="A52" s="11" t="s">
        <v>302</v>
      </c>
    </row>
    <row r="53" customFormat="false" ht="15" hidden="false" customHeight="false" outlineLevel="0" collapsed="false">
      <c r="A53" s="3" t="s">
        <v>150</v>
      </c>
      <c r="B53" s="3" t="s">
        <v>277</v>
      </c>
      <c r="C53" s="3" t="s">
        <v>278</v>
      </c>
      <c r="D53" s="3" t="s">
        <v>279</v>
      </c>
      <c r="E53" s="3" t="s">
        <v>280</v>
      </c>
      <c r="F53" s="3" t="s">
        <v>281</v>
      </c>
      <c r="G53" s="3" t="s">
        <v>282</v>
      </c>
      <c r="H53" s="3" t="s">
        <v>283</v>
      </c>
      <c r="I53" s="3" t="s">
        <v>284</v>
      </c>
      <c r="J53" s="3" t="s">
        <v>285</v>
      </c>
      <c r="K53" s="3" t="s">
        <v>286</v>
      </c>
      <c r="L53" s="3" t="s">
        <v>287</v>
      </c>
    </row>
    <row r="54" customFormat="false" ht="15" hidden="false" customHeight="false" outlineLevel="0" collapsed="false">
      <c r="A54" s="4" t="s">
        <v>288</v>
      </c>
      <c r="B54" s="4" t="s">
        <v>289</v>
      </c>
      <c r="C54" s="5" t="n">
        <f aca="false">IFERROR(__xludf.DUMMYFUNCTION("IMPORTRANGE(Links!$B$5,""sobrestock_sustitutos!B73:K76"")"),0)</f>
        <v>0</v>
      </c>
      <c r="D54" s="5" t="n">
        <f aca="false">IFERROR(__xludf.DUMMYFUNCTION("""COMPUTED_VALUE"""),0)</f>
        <v>0</v>
      </c>
      <c r="E54" s="5" t="n">
        <f aca="false">IFERROR(__xludf.DUMMYFUNCTION("""COMPUTED_VALUE"""),0)</f>
        <v>0</v>
      </c>
      <c r="F54" s="5" t="n">
        <f aca="false">IFERROR(__xludf.DUMMYFUNCTION("""COMPUTED_VALUE"""),0)</f>
        <v>0</v>
      </c>
      <c r="G54" s="5" t="n">
        <f aca="false">IFERROR(__xludf.DUMMYFUNCTION("""COMPUTED_VALUE"""),0)</f>
        <v>0</v>
      </c>
      <c r="H54" s="5" t="n">
        <f aca="false">IFERROR(__xludf.DUMMYFUNCTION("""COMPUTED_VALUE"""),0)</f>
        <v>0</v>
      </c>
      <c r="I54" s="5" t="n">
        <f aca="false">IFERROR(__xludf.DUMMYFUNCTION("""COMPUTED_VALUE"""),0)</f>
        <v>0</v>
      </c>
      <c r="J54" s="5" t="n">
        <f aca="false">IFERROR(__xludf.DUMMYFUNCTION("""COMPUTED_VALUE"""),0)</f>
        <v>0</v>
      </c>
      <c r="K54" s="5" t="n">
        <f aca="false">IFERROR(__xludf.DUMMYFUNCTION("""COMPUTED_VALUE"""),0)</f>
        <v>0</v>
      </c>
      <c r="L54" s="5" t="n">
        <f aca="false">IFERROR(__xludf.DUMMYFUNCTION("""COMPUTED_VALUE"""),0)</f>
        <v>0</v>
      </c>
    </row>
    <row r="55" customFormat="false" ht="15" hidden="false" customHeight="false" outlineLevel="0" collapsed="false">
      <c r="A55" s="4" t="s">
        <v>290</v>
      </c>
      <c r="B55" s="4" t="s">
        <v>289</v>
      </c>
      <c r="C55" s="5" t="n">
        <f aca="false">IFERROR(__xludf.DUMMYFUNCTION("""COMPUTED_VALUE"""),4)</f>
        <v>4</v>
      </c>
      <c r="D55" s="5" t="n">
        <f aca="false">IFERROR(__xludf.DUMMYFUNCTION("""COMPUTED_VALUE"""),11.32)</f>
        <v>11.32</v>
      </c>
      <c r="E55" s="5" t="n">
        <f aca="false">IFERROR(__xludf.DUMMYFUNCTION("""COMPUTED_VALUE"""),20.2)</f>
        <v>20.2</v>
      </c>
      <c r="F55" s="5" t="n">
        <f aca="false">IFERROR(__xludf.DUMMYFUNCTION("""COMPUTED_VALUE"""),30.72)</f>
        <v>30.72</v>
      </c>
      <c r="G55" s="5" t="n">
        <f aca="false">IFERROR(__xludf.DUMMYFUNCTION("""COMPUTED_VALUE"""),32.96)</f>
        <v>32.96</v>
      </c>
      <c r="H55" s="5" t="n">
        <f aca="false">IFERROR(__xludf.DUMMYFUNCTION("""COMPUTED_VALUE"""),36.2)</f>
        <v>36.2</v>
      </c>
      <c r="I55" s="5" t="n">
        <f aca="false">IFERROR(__xludf.DUMMYFUNCTION("""COMPUTED_VALUE"""),33.52)</f>
        <v>33.52</v>
      </c>
      <c r="J55" s="5" t="n">
        <f aca="false">IFERROR(__xludf.DUMMYFUNCTION("""COMPUTED_VALUE"""),27.44)</f>
        <v>27.44</v>
      </c>
      <c r="K55" s="5" t="n">
        <f aca="false">IFERROR(__xludf.DUMMYFUNCTION("""COMPUTED_VALUE"""),25.72)</f>
        <v>25.72</v>
      </c>
      <c r="L55" s="5" t="n">
        <f aca="false">IFERROR(__xludf.DUMMYFUNCTION("""COMPUTED_VALUE"""),26.76)</f>
        <v>26.76</v>
      </c>
    </row>
    <row r="56" customFormat="false" ht="15" hidden="false" customHeight="false" outlineLevel="0" collapsed="false">
      <c r="A56" s="4" t="s">
        <v>291</v>
      </c>
      <c r="B56" s="4" t="s">
        <v>289</v>
      </c>
      <c r="C56" s="5" t="n">
        <f aca="false">IFERROR(__xludf.DUMMYFUNCTION("""COMPUTED_VALUE"""),20)</f>
        <v>20</v>
      </c>
      <c r="D56" s="5" t="n">
        <f aca="false">IFERROR(__xludf.DUMMYFUNCTION("""COMPUTED_VALUE"""),59.6)</f>
        <v>59.6</v>
      </c>
      <c r="E56" s="5" t="n">
        <f aca="false">IFERROR(__xludf.DUMMYFUNCTION("""COMPUTED_VALUE"""),103.24)</f>
        <v>103.24</v>
      </c>
      <c r="F56" s="5" t="n">
        <f aca="false">IFERROR(__xludf.DUMMYFUNCTION("""COMPUTED_VALUE"""),170)</f>
        <v>170</v>
      </c>
      <c r="G56" s="5" t="n">
        <f aca="false">IFERROR(__xludf.DUMMYFUNCTION("""COMPUTED_VALUE"""),172.48)</f>
        <v>172.48</v>
      </c>
      <c r="H56" s="5" t="n">
        <f aca="false">IFERROR(__xludf.DUMMYFUNCTION("""COMPUTED_VALUE"""),195.16)</f>
        <v>195.16</v>
      </c>
      <c r="I56" s="5" t="n">
        <f aca="false">IFERROR(__xludf.DUMMYFUNCTION("""COMPUTED_VALUE"""),169.72)</f>
        <v>169.72</v>
      </c>
      <c r="J56" s="5" t="n">
        <f aca="false">IFERROR(__xludf.DUMMYFUNCTION("""COMPUTED_VALUE"""),141.24)</f>
        <v>141.24</v>
      </c>
      <c r="K56" s="5" t="n">
        <f aca="false">IFERROR(__xludf.DUMMYFUNCTION("""COMPUTED_VALUE"""),132.72)</f>
        <v>132.72</v>
      </c>
      <c r="L56" s="5" t="n">
        <f aca="false">IFERROR(__xludf.DUMMYFUNCTION("""COMPUTED_VALUE"""),139)</f>
        <v>139</v>
      </c>
    </row>
    <row r="57" customFormat="false" ht="15" hidden="false" customHeight="false" outlineLevel="0" collapsed="false">
      <c r="A57" s="4" t="s">
        <v>292</v>
      </c>
      <c r="B57" s="4" t="s">
        <v>289</v>
      </c>
      <c r="C57" s="5" t="n">
        <f aca="false">IFERROR(__xludf.DUMMYFUNCTION("""COMPUTED_VALUE"""),2)</f>
        <v>2</v>
      </c>
      <c r="D57" s="5" t="n">
        <f aca="false">IFERROR(__xludf.DUMMYFUNCTION("""COMPUTED_VALUE"""),4.16)</f>
        <v>4.16</v>
      </c>
      <c r="E57" s="5" t="n">
        <f aca="false">IFERROR(__xludf.DUMMYFUNCTION("""COMPUTED_VALUE"""),8.48)</f>
        <v>8.48</v>
      </c>
      <c r="F57" s="5" t="n">
        <f aca="false">IFERROR(__xludf.DUMMYFUNCTION("""COMPUTED_VALUE"""),13.12)</f>
        <v>13.12</v>
      </c>
      <c r="G57" s="5" t="n">
        <f aca="false">IFERROR(__xludf.DUMMYFUNCTION("""COMPUTED_VALUE"""),13.08)</f>
        <v>13.08</v>
      </c>
      <c r="H57" s="5" t="n">
        <f aca="false">IFERROR(__xludf.DUMMYFUNCTION("""COMPUTED_VALUE"""),15.96)</f>
        <v>15.96</v>
      </c>
      <c r="I57" s="5" t="n">
        <f aca="false">IFERROR(__xludf.DUMMYFUNCTION("""COMPUTED_VALUE"""),11)</f>
        <v>11</v>
      </c>
      <c r="J57" s="5" t="n">
        <f aca="false">IFERROR(__xludf.DUMMYFUNCTION("""COMPUTED_VALUE"""),10.56)</f>
        <v>10.56</v>
      </c>
      <c r="K57" s="5" t="n">
        <f aca="false">IFERROR(__xludf.DUMMYFUNCTION("""COMPUTED_VALUE"""),10.04)</f>
        <v>10.04</v>
      </c>
      <c r="L57" s="5" t="n">
        <f aca="false">IFERROR(__xludf.DUMMYFUNCTION("""COMPUTED_VALUE"""),10.44)</f>
        <v>10.44</v>
      </c>
    </row>
    <row r="58" customFormat="false" ht="15" hidden="false" customHeight="false" outlineLevel="0" collapsed="false">
      <c r="A58" s="4" t="s">
        <v>293</v>
      </c>
      <c r="B58" s="4" t="s">
        <v>294</v>
      </c>
      <c r="C58" s="5" t="n">
        <f aca="false">IFERROR(__xludf.DUMMYFUNCTION("IMPORTRANGE(Links!$B$5,""sobrestock_sustitutos!B86:K89"")"),1)</f>
        <v>1</v>
      </c>
      <c r="D58" s="5" t="n">
        <f aca="false">IFERROR(__xludf.DUMMYFUNCTION("""COMPUTED_VALUE"""),0.08)</f>
        <v>0.08</v>
      </c>
      <c r="E58" s="5" t="n">
        <f aca="false">IFERROR(__xludf.DUMMYFUNCTION("""COMPUTED_VALUE"""),1.08)</f>
        <v>1.08</v>
      </c>
      <c r="F58" s="5" t="n">
        <f aca="false">IFERROR(__xludf.DUMMYFUNCTION("""COMPUTED_VALUE"""),2.16)</f>
        <v>2.16</v>
      </c>
      <c r="G58" s="5" t="n">
        <f aca="false">IFERROR(__xludf.DUMMYFUNCTION("""COMPUTED_VALUE"""),1.32)</f>
        <v>1.32</v>
      </c>
      <c r="H58" s="5" t="n">
        <f aca="false">IFERROR(__xludf.DUMMYFUNCTION("""COMPUTED_VALUE"""),1.4)</f>
        <v>1.4</v>
      </c>
      <c r="I58" s="5" t="n">
        <f aca="false">IFERROR(__xludf.DUMMYFUNCTION("""COMPUTED_VALUE"""),1.48)</f>
        <v>1.48</v>
      </c>
      <c r="J58" s="5" t="n">
        <f aca="false">IFERROR(__xludf.DUMMYFUNCTION("""COMPUTED_VALUE"""),1.56)</f>
        <v>1.56</v>
      </c>
      <c r="K58" s="5" t="n">
        <f aca="false">IFERROR(__xludf.DUMMYFUNCTION("""COMPUTED_VALUE"""),0.64)</f>
        <v>0.64</v>
      </c>
      <c r="L58" s="5" t="n">
        <f aca="false">IFERROR(__xludf.DUMMYFUNCTION("""COMPUTED_VALUE"""),1.64)</f>
        <v>1.64</v>
      </c>
    </row>
    <row r="59" customFormat="false" ht="15" hidden="false" customHeight="false" outlineLevel="0" collapsed="false">
      <c r="A59" s="4" t="s">
        <v>295</v>
      </c>
      <c r="B59" s="4" t="s">
        <v>294</v>
      </c>
      <c r="C59" s="5" t="n">
        <f aca="false">IFERROR(__xludf.DUMMYFUNCTION("""COMPUTED_VALUE"""),1)</f>
        <v>1</v>
      </c>
      <c r="D59" s="5" t="n">
        <f aca="false">IFERROR(__xludf.DUMMYFUNCTION("""COMPUTED_VALUE"""),1.08)</f>
        <v>1.08</v>
      </c>
      <c r="E59" s="5" t="n">
        <f aca="false">IFERROR(__xludf.DUMMYFUNCTION("""COMPUTED_VALUE"""),2.16)</f>
        <v>2.16</v>
      </c>
      <c r="F59" s="5" t="n">
        <f aca="false">IFERROR(__xludf.DUMMYFUNCTION("""COMPUTED_VALUE"""),3.32)</f>
        <v>3.32</v>
      </c>
      <c r="G59" s="5" t="n">
        <f aca="false">IFERROR(__xludf.DUMMYFUNCTION("""COMPUTED_VALUE"""),3.56)</f>
        <v>3.56</v>
      </c>
      <c r="H59" s="5" t="n">
        <f aca="false">IFERROR(__xludf.DUMMYFUNCTION("""COMPUTED_VALUE"""),3.8)</f>
        <v>3.8</v>
      </c>
      <c r="I59" s="5" t="n">
        <f aca="false">IFERROR(__xludf.DUMMYFUNCTION("""COMPUTED_VALUE"""),3.04)</f>
        <v>3.04</v>
      </c>
      <c r="J59" s="5" t="n">
        <f aca="false">IFERROR(__xludf.DUMMYFUNCTION("""COMPUTED_VALUE"""),3.2)</f>
        <v>3.2</v>
      </c>
      <c r="K59" s="5" t="n">
        <f aca="false">IFERROR(__xludf.DUMMYFUNCTION("""COMPUTED_VALUE"""),2.36)</f>
        <v>2.36</v>
      </c>
      <c r="L59" s="5" t="n">
        <f aca="false">IFERROR(__xludf.DUMMYFUNCTION("""COMPUTED_VALUE"""),2.44)</f>
        <v>2.44</v>
      </c>
    </row>
    <row r="60" customFormat="false" ht="15" hidden="false" customHeight="false" outlineLevel="0" collapsed="false">
      <c r="A60" s="4" t="s">
        <v>296</v>
      </c>
      <c r="B60" s="4" t="s">
        <v>294</v>
      </c>
      <c r="C60" s="5" t="n">
        <f aca="false">IFERROR(__xludf.DUMMYFUNCTION("""COMPUTED_VALUE"""),1)</f>
        <v>1</v>
      </c>
      <c r="D60" s="5" t="n">
        <f aca="false">IFERROR(__xludf.DUMMYFUNCTION("""COMPUTED_VALUE"""),0.08)</f>
        <v>0.08</v>
      </c>
      <c r="E60" s="5" t="n">
        <f aca="false">IFERROR(__xludf.DUMMYFUNCTION("""COMPUTED_VALUE"""),0.08)</f>
        <v>0.08</v>
      </c>
      <c r="F60" s="5" t="n">
        <f aca="false">IFERROR(__xludf.DUMMYFUNCTION("""COMPUTED_VALUE"""),1.08)</f>
        <v>1.08</v>
      </c>
      <c r="G60" s="5" t="n">
        <f aca="false">IFERROR(__xludf.DUMMYFUNCTION("""COMPUTED_VALUE"""),1.16)</f>
        <v>1.16</v>
      </c>
      <c r="H60" s="5" t="n">
        <f aca="false">IFERROR(__xludf.DUMMYFUNCTION("""COMPUTED_VALUE"""),0.24)</f>
        <v>0.24</v>
      </c>
      <c r="I60" s="5" t="n">
        <f aca="false">IFERROR(__xludf.DUMMYFUNCTION("""COMPUTED_VALUE"""),1.24)</f>
        <v>1.24</v>
      </c>
      <c r="J60" s="5" t="n">
        <f aca="false">IFERROR(__xludf.DUMMYFUNCTION("""COMPUTED_VALUE"""),0.32)</f>
        <v>0.32</v>
      </c>
      <c r="K60" s="5" t="n">
        <f aca="false">IFERROR(__xludf.DUMMYFUNCTION("""COMPUTED_VALUE"""),0.32)</f>
        <v>0.32</v>
      </c>
      <c r="L60" s="5" t="n">
        <f aca="false">IFERROR(__xludf.DUMMYFUNCTION("""COMPUTED_VALUE"""),1.32)</f>
        <v>1.32</v>
      </c>
    </row>
    <row r="61" customFormat="false" ht="15" hidden="false" customHeight="false" outlineLevel="0" collapsed="false">
      <c r="A61" s="4" t="s">
        <v>297</v>
      </c>
      <c r="B61" s="4" t="s">
        <v>294</v>
      </c>
      <c r="C61" s="5" t="n">
        <f aca="false">IFERROR(__xludf.DUMMYFUNCTION("""COMPUTED_VALUE"""),1)</f>
        <v>1</v>
      </c>
      <c r="D61" s="5" t="n">
        <f aca="false">IFERROR(__xludf.DUMMYFUNCTION("""COMPUTED_VALUE"""),0.08)</f>
        <v>0.08</v>
      </c>
      <c r="E61" s="5" t="n">
        <f aca="false">IFERROR(__xludf.DUMMYFUNCTION("""COMPUTED_VALUE"""),0.08)</f>
        <v>0.08</v>
      </c>
      <c r="F61" s="5" t="n">
        <f aca="false">IFERROR(__xludf.DUMMYFUNCTION("""COMPUTED_VALUE"""),0.08)</f>
        <v>0.08</v>
      </c>
      <c r="G61" s="5" t="n">
        <f aca="false">IFERROR(__xludf.DUMMYFUNCTION("""COMPUTED_VALUE"""),1.08)</f>
        <v>1.08</v>
      </c>
      <c r="H61" s="5" t="n">
        <f aca="false">IFERROR(__xludf.DUMMYFUNCTION("""COMPUTED_VALUE"""),0.16)</f>
        <v>0.16</v>
      </c>
      <c r="I61" s="5" t="n">
        <f aca="false">IFERROR(__xludf.DUMMYFUNCTION("""COMPUTED_VALUE"""),1.16)</f>
        <v>1.16</v>
      </c>
      <c r="J61" s="5" t="n">
        <f aca="false">IFERROR(__xludf.DUMMYFUNCTION("""COMPUTED_VALUE"""),0.24)</f>
        <v>0.24</v>
      </c>
      <c r="K61" s="5" t="n">
        <f aca="false">IFERROR(__xludf.DUMMYFUNCTION("""COMPUTED_VALUE"""),0.24)</f>
        <v>0.24</v>
      </c>
      <c r="L61" s="5" t="n">
        <f aca="false">IFERROR(__xludf.DUMMYFUNCTION("""COMPUTED_VALUE"""),0.24)</f>
        <v>0.24</v>
      </c>
    </row>
    <row r="62" customFormat="false" ht="15" hidden="false" customHeight="false" outlineLevel="0" collapsed="false">
      <c r="A62" s="7" t="s">
        <v>298</v>
      </c>
      <c r="C62" s="8" t="n">
        <f aca="false">SUM(C54:C61)</f>
        <v>30</v>
      </c>
      <c r="D62" s="8" t="n">
        <f aca="false">SUM(D54:D61)</f>
        <v>76.4</v>
      </c>
      <c r="E62" s="8" t="n">
        <f aca="false">SUM(E54:E61)</f>
        <v>135.32</v>
      </c>
      <c r="F62" s="8" t="n">
        <f aca="false">SUM(F54:F61)</f>
        <v>220.48</v>
      </c>
      <c r="G62" s="8" t="n">
        <f aca="false">SUM(G54:G61)</f>
        <v>225.64</v>
      </c>
      <c r="H62" s="8" t="n">
        <f aca="false">SUM(H54:H61)</f>
        <v>252.92</v>
      </c>
      <c r="I62" s="8" t="n">
        <f aca="false">SUM(I54:I61)</f>
        <v>221.16</v>
      </c>
      <c r="J62" s="8" t="n">
        <f aca="false">SUM(J54:J61)</f>
        <v>184.56</v>
      </c>
      <c r="K62" s="8" t="n">
        <f aca="false">SUM(K54:K61)</f>
        <v>172.04</v>
      </c>
      <c r="L62" s="8" t="n">
        <f aca="false">SUM(L54:L61)</f>
        <v>181.84</v>
      </c>
    </row>
    <row r="64" customFormat="false" ht="15" hidden="false" customHeight="false" outlineLevel="0" collapsed="false">
      <c r="A64" s="2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0"/>
    <col collapsed="false" customWidth="true" hidden="false" outlineLevel="0" max="7" min="4" style="0" width="10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3" min="11" style="0" width="11"/>
    <col collapsed="false" customWidth="true" hidden="false" outlineLevel="0" max="14" min="14" style="0" width="9"/>
    <col collapsed="false" customWidth="true" hidden="false" outlineLevel="0" max="16" min="15" style="0" width="10"/>
    <col collapsed="false" customWidth="true" hidden="false" outlineLevel="0" max="17" min="17" style="0" width="13"/>
    <col collapsed="false" customWidth="true" hidden="false" outlineLevel="0" max="18" min="18" style="0" width="8"/>
    <col collapsed="false" customWidth="true" hidden="false" outlineLevel="0" max="19" min="19" style="0" width="11"/>
    <col collapsed="false" customWidth="true" hidden="false" outlineLevel="0" max="20" min="20" style="0" width="44"/>
    <col collapsed="false" customWidth="true" hidden="false" outlineLevel="0" max="21" min="21" style="0" width="3"/>
    <col collapsed="false" customWidth="true" hidden="false" outlineLevel="0" max="22" min="22" style="0" width="12"/>
    <col collapsed="false" customWidth="true" hidden="false" outlineLevel="0" max="23" min="23" style="0" width="10"/>
    <col collapsed="false" customWidth="true" hidden="false" outlineLevel="0" max="24" min="24" style="0" width="14"/>
  </cols>
  <sheetData>
    <row r="1" customFormat="false" ht="15" hidden="false" customHeight="false" outlineLevel="0" collapsed="false">
      <c r="A1" s="1" t="s">
        <v>304</v>
      </c>
    </row>
    <row r="2" customFormat="false" ht="15" hidden="false" customHeight="false" outlineLevel="0" collapsed="false">
      <c r="A2" s="2" t="s">
        <v>305</v>
      </c>
    </row>
    <row r="4" customFormat="false" ht="15" hidden="false" customHeight="false" outlineLevel="0" collapsed="false">
      <c r="A4" s="11" t="s">
        <v>306</v>
      </c>
    </row>
    <row r="5" customFormat="false" ht="23.85" hidden="false" customHeight="false" outlineLevel="0" collapsed="false">
      <c r="A5" s="3" t="s">
        <v>150</v>
      </c>
      <c r="B5" s="3" t="s">
        <v>277</v>
      </c>
      <c r="C5" s="3" t="s">
        <v>307</v>
      </c>
      <c r="D5" s="3" t="s">
        <v>308</v>
      </c>
      <c r="E5" s="3" t="s">
        <v>145</v>
      </c>
      <c r="F5" s="3" t="s">
        <v>309</v>
      </c>
      <c r="G5" s="3" t="s">
        <v>310</v>
      </c>
      <c r="H5" s="3" t="s">
        <v>311</v>
      </c>
      <c r="I5" s="3" t="s">
        <v>312</v>
      </c>
    </row>
    <row r="6" customFormat="false" ht="15" hidden="false" customHeight="false" outlineLevel="0" collapsed="false">
      <c r="A6" s="4" t="s">
        <v>288</v>
      </c>
      <c r="B6" s="4" t="s">
        <v>289</v>
      </c>
      <c r="C6" s="4" t="s">
        <v>313</v>
      </c>
      <c r="D6" s="19" t="n">
        <v>76.2</v>
      </c>
      <c r="E6" s="17" t="n">
        <v>0.9</v>
      </c>
      <c r="F6" s="19" t="n">
        <v>263.5</v>
      </c>
      <c r="G6" s="27" t="n">
        <f aca="false">ROUND(PI()*(D6-E6)*2,0)/2</f>
        <v>236.5</v>
      </c>
      <c r="H6" s="28" t="n">
        <f aca="false">F6*G6*E6*Datos!$B$10/1000000</f>
        <v>0.44139662325</v>
      </c>
      <c r="I6" s="4" t="s">
        <v>314</v>
      </c>
    </row>
    <row r="7" customFormat="false" ht="15" hidden="false" customHeight="false" outlineLevel="0" collapsed="false">
      <c r="A7" s="4" t="s">
        <v>290</v>
      </c>
      <c r="B7" s="4" t="s">
        <v>289</v>
      </c>
      <c r="C7" s="4" t="s">
        <v>315</v>
      </c>
      <c r="D7" s="19" t="n">
        <v>124</v>
      </c>
      <c r="E7" s="17" t="n">
        <v>1.25</v>
      </c>
      <c r="F7" s="19" t="n">
        <v>267.5</v>
      </c>
      <c r="G7" s="27" t="n">
        <f aca="false">ROUND(PI()*(D7-E7)*2,0)/2</f>
        <v>385.5</v>
      </c>
      <c r="H7" s="28" t="n">
        <f aca="false">F7*G7*E7*Datos!$B$10/1000000</f>
        <v>1.014455296875</v>
      </c>
      <c r="I7" s="4" t="s">
        <v>314</v>
      </c>
    </row>
    <row r="8" customFormat="false" ht="15" hidden="false" customHeight="false" outlineLevel="0" collapsed="false">
      <c r="A8" s="4" t="s">
        <v>291</v>
      </c>
      <c r="B8" s="4" t="s">
        <v>289</v>
      </c>
      <c r="C8" s="4" t="s">
        <v>316</v>
      </c>
      <c r="D8" s="19" t="n">
        <v>153</v>
      </c>
      <c r="E8" s="17" t="n">
        <v>1.6</v>
      </c>
      <c r="F8" s="19" t="n">
        <v>327.5</v>
      </c>
      <c r="G8" s="27" t="n">
        <f aca="false">ROUND(PI()*(D8-E8)*2,0)/2</f>
        <v>475.5</v>
      </c>
      <c r="H8" s="28" t="n">
        <f aca="false">F8*G8*E8*Datos!$B$10/1000000</f>
        <v>1.96090494</v>
      </c>
      <c r="I8" s="4" t="s">
        <v>314</v>
      </c>
    </row>
    <row r="9" customFormat="false" ht="15" hidden="false" customHeight="false" outlineLevel="0" collapsed="false">
      <c r="A9" s="4" t="s">
        <v>292</v>
      </c>
      <c r="B9" s="4" t="s">
        <v>289</v>
      </c>
      <c r="C9" s="4" t="s">
        <v>317</v>
      </c>
      <c r="D9" s="19" t="n">
        <v>181.5</v>
      </c>
      <c r="E9" s="17" t="n">
        <v>2</v>
      </c>
      <c r="F9" s="19" t="n">
        <v>493</v>
      </c>
      <c r="G9" s="27" t="n">
        <f aca="false">ROUND(PI()*(D9-E9)*2,0)/2</f>
        <v>564</v>
      </c>
      <c r="H9" s="28" t="n">
        <f aca="false">F9*G9*E9*Datos!$B$10/1000000</f>
        <v>4.37653848</v>
      </c>
      <c r="I9" s="4" t="s">
        <v>314</v>
      </c>
    </row>
    <row r="10" customFormat="false" ht="15" hidden="false" customHeight="false" outlineLevel="0" collapsed="false">
      <c r="A10" s="4" t="s">
        <v>293</v>
      </c>
      <c r="B10" s="4" t="s">
        <v>294</v>
      </c>
      <c r="C10" s="4" t="s">
        <v>318</v>
      </c>
      <c r="D10" s="19" t="n">
        <v>276.5</v>
      </c>
      <c r="E10" s="17" t="n">
        <v>3.2</v>
      </c>
      <c r="F10" s="19" t="n">
        <v>493</v>
      </c>
      <c r="G10" s="27" t="n">
        <f aca="false">ROUND(PI()*(D10-E10)*2,0)/2</f>
        <v>858.5</v>
      </c>
      <c r="H10" s="28" t="n">
        <f aca="false">F10*G10*E10*Datos!$B$10/1000000</f>
        <v>10.658888752</v>
      </c>
      <c r="I10" s="4" t="s">
        <v>319</v>
      </c>
    </row>
    <row r="11" customFormat="false" ht="15" hidden="false" customHeight="false" outlineLevel="0" collapsed="false">
      <c r="A11" s="4" t="s">
        <v>295</v>
      </c>
      <c r="B11" s="4" t="s">
        <v>294</v>
      </c>
      <c r="C11" s="4" t="s">
        <v>320</v>
      </c>
      <c r="D11" s="19" t="n">
        <v>320</v>
      </c>
      <c r="E11" s="17" t="n">
        <v>3.2</v>
      </c>
      <c r="F11" s="19" t="n">
        <v>640</v>
      </c>
      <c r="G11" s="27" t="n">
        <f aca="false">ROUND(PI()*(D11-E11)*2,0)/2</f>
        <v>995.5</v>
      </c>
      <c r="H11" s="28" t="n">
        <f aca="false">F11*G11*E11*Datos!$B$10/1000000</f>
        <v>16.04523008</v>
      </c>
      <c r="I11" s="4" t="s">
        <v>319</v>
      </c>
    </row>
    <row r="12" customFormat="false" ht="15" hidden="false" customHeight="false" outlineLevel="0" collapsed="false">
      <c r="A12" s="4" t="s">
        <v>296</v>
      </c>
      <c r="B12" s="4" t="s">
        <v>294</v>
      </c>
      <c r="C12" s="4" t="s">
        <v>321</v>
      </c>
      <c r="D12" s="19" t="n">
        <v>390</v>
      </c>
      <c r="E12" s="17" t="n">
        <v>4.75</v>
      </c>
      <c r="F12" s="19" t="n">
        <v>680</v>
      </c>
      <c r="G12" s="27" t="n">
        <f aca="false">ROUND(PI()*(D12-E12)*2,0)/2</f>
        <v>1210.5</v>
      </c>
      <c r="H12" s="28" t="n">
        <f aca="false">F12*G12*E12*Datos!$B$10/1000000</f>
        <v>30.77103105</v>
      </c>
      <c r="I12" s="4" t="s">
        <v>319</v>
      </c>
    </row>
    <row r="13" customFormat="false" ht="15" hidden="false" customHeight="false" outlineLevel="0" collapsed="false">
      <c r="A13" s="4" t="s">
        <v>297</v>
      </c>
      <c r="B13" s="4" t="s">
        <v>294</v>
      </c>
      <c r="C13" s="4" t="s">
        <v>322</v>
      </c>
      <c r="D13" s="19" t="n">
        <v>390</v>
      </c>
      <c r="E13" s="17" t="n">
        <v>4.75</v>
      </c>
      <c r="F13" s="19" t="n">
        <v>900</v>
      </c>
      <c r="G13" s="27" t="n">
        <f aca="false">ROUND(PI()*(D13-E13)*2,0)/2</f>
        <v>1210.5</v>
      </c>
      <c r="H13" s="28" t="n">
        <f aca="false">F13*G13*E13*Datos!$B$10/1000000</f>
        <v>40.726364625</v>
      </c>
      <c r="I13" s="4" t="s">
        <v>319</v>
      </c>
    </row>
    <row r="14" customFormat="false" ht="15" hidden="false" customHeight="false" outlineLevel="0" collapsed="false">
      <c r="A14" s="2" t="s">
        <v>323</v>
      </c>
    </row>
    <row r="16" customFormat="false" ht="15" hidden="false" customHeight="false" outlineLevel="0" collapsed="false">
      <c r="A16" s="11" t="s">
        <v>324</v>
      </c>
    </row>
    <row r="17" customFormat="false" ht="35.05" hidden="false" customHeight="false" outlineLevel="0" collapsed="false">
      <c r="A17" s="3" t="s">
        <v>150</v>
      </c>
      <c r="B17" s="3" t="s">
        <v>325</v>
      </c>
      <c r="C17" s="3" t="s">
        <v>326</v>
      </c>
      <c r="D17" s="3" t="s">
        <v>327</v>
      </c>
      <c r="E17" s="3" t="s">
        <v>308</v>
      </c>
      <c r="F17" s="3" t="s">
        <v>328</v>
      </c>
      <c r="G17" s="3" t="s">
        <v>329</v>
      </c>
      <c r="H17" s="3" t="s">
        <v>330</v>
      </c>
      <c r="I17" s="3" t="s">
        <v>331</v>
      </c>
      <c r="J17" s="3" t="s">
        <v>332</v>
      </c>
      <c r="K17" s="3" t="s">
        <v>333</v>
      </c>
      <c r="L17" s="3" t="s">
        <v>334</v>
      </c>
      <c r="M17" s="3" t="s">
        <v>335</v>
      </c>
      <c r="N17" s="3" t="s">
        <v>336</v>
      </c>
      <c r="O17" s="3" t="s">
        <v>337</v>
      </c>
      <c r="P17" s="3" t="s">
        <v>338</v>
      </c>
      <c r="Q17" s="3" t="s">
        <v>339</v>
      </c>
      <c r="R17" s="3" t="s">
        <v>340</v>
      </c>
      <c r="S17" s="3" t="s">
        <v>341</v>
      </c>
      <c r="T17" s="3" t="s">
        <v>307</v>
      </c>
      <c r="V17" s="3" t="s">
        <v>342</v>
      </c>
      <c r="W17" s="3" t="s">
        <v>343</v>
      </c>
      <c r="X17" s="3" t="s">
        <v>344</v>
      </c>
    </row>
    <row r="18" customFormat="false" ht="15" hidden="false" customHeight="false" outlineLevel="0" collapsed="false">
      <c r="A18" s="4" t="s">
        <v>288</v>
      </c>
      <c r="B18" s="4" t="s">
        <v>345</v>
      </c>
      <c r="C18" s="4" t="s">
        <v>346</v>
      </c>
      <c r="D18" s="17" t="n">
        <v>0.9</v>
      </c>
      <c r="E18" s="19" t="n">
        <v>76.2</v>
      </c>
      <c r="F18" s="19" t="n">
        <v>12.5</v>
      </c>
      <c r="G18" s="19" t="n">
        <v>6</v>
      </c>
      <c r="H18" s="18" t="n">
        <f aca="false">E18/2-D18/2</f>
        <v>37.65</v>
      </c>
      <c r="I18" s="18" t="n">
        <f aca="false">F18-G18-D18/2</f>
        <v>6.05</v>
      </c>
      <c r="J18" s="5" t="n">
        <f aca="false">PI()*H18^2+PI()*I18^2/(2*SQRT(1-(I18/H18)^2))*LN((1+SQRT(1-(I18/H18)^2))/(1-SQRT(1-(I18/H18)^2)))+2*PI()*H18*G18</f>
        <v>6165.64644293131</v>
      </c>
      <c r="K18" s="27" t="n">
        <f aca="false">SQRT(4*J18/PI())</f>
        <v>88.6021719259513</v>
      </c>
      <c r="L18" s="29" t="n">
        <f aca="false">CEILING(K18,0.5)</f>
        <v>89</v>
      </c>
      <c r="M18" s="27" t="n">
        <f aca="false">2*H18</f>
        <v>75.3</v>
      </c>
      <c r="N18" s="28" t="n">
        <f aca="false">M18/L18</f>
        <v>0.846067415730337</v>
      </c>
      <c r="O18" s="18" t="n">
        <f aca="false">D18/L18*100</f>
        <v>1.01123595505618</v>
      </c>
      <c r="P18" s="18" t="n">
        <f aca="false">INDEX($X$18:$X$23,MATCH(O18,$V$18:$V$23,1))</f>
        <v>0.53</v>
      </c>
      <c r="Q18" s="30" t="str">
        <f aca="false">IF(N18&gt;=P18,"Sí","No: dos embutidos")</f>
        <v>Sí</v>
      </c>
      <c r="R18" s="18" t="n">
        <f aca="false">F18/E18</f>
        <v>0.164041994750656</v>
      </c>
      <c r="S18" s="28" t="n">
        <f aca="false">PI()*L18^2/4*D18*Datos!$B$10/1000000</f>
        <v>0.0440643264906368</v>
      </c>
      <c r="T18" s="4" t="s">
        <v>313</v>
      </c>
      <c r="V18" s="25" t="n">
        <v>0.08</v>
      </c>
      <c r="W18" s="25" t="n">
        <v>0.15</v>
      </c>
      <c r="X18" s="25" t="n">
        <v>0.63</v>
      </c>
    </row>
    <row r="19" customFormat="false" ht="15" hidden="false" customHeight="false" outlineLevel="0" collapsed="false">
      <c r="A19" s="4" t="s">
        <v>288</v>
      </c>
      <c r="B19" s="4" t="s">
        <v>347</v>
      </c>
      <c r="C19" s="4" t="s">
        <v>346</v>
      </c>
      <c r="D19" s="17" t="n">
        <v>1.25</v>
      </c>
      <c r="E19" s="19" t="n">
        <v>76.2</v>
      </c>
      <c r="F19" s="19" t="n">
        <v>22</v>
      </c>
      <c r="G19" s="19" t="n">
        <v>6</v>
      </c>
      <c r="H19" s="18" t="n">
        <f aca="false">E19/2-D19/2</f>
        <v>37.475</v>
      </c>
      <c r="I19" s="18" t="n">
        <f aca="false">F19-G19-D19/2</f>
        <v>15.375</v>
      </c>
      <c r="J19" s="5" t="n">
        <f aca="false">PI()*H19^2+PI()*I19^2/(2*SQRT(1-(I19/H19)^2))*LN((1+SQRT(1-(I19/H19)^2))/(1-SQRT(1-(I19/H19)^2)))+2*PI()*H19*G19</f>
        <v>7078.06204795471</v>
      </c>
      <c r="K19" s="27" t="n">
        <f aca="false">SQRT(4*J19/PI())</f>
        <v>94.9319150736204</v>
      </c>
      <c r="L19" s="29" t="n">
        <f aca="false">CEILING(K19,0.5)</f>
        <v>95</v>
      </c>
      <c r="M19" s="27" t="n">
        <f aca="false">2*H19</f>
        <v>74.95</v>
      </c>
      <c r="N19" s="28" t="n">
        <f aca="false">M19/L19</f>
        <v>0.788947368421053</v>
      </c>
      <c r="O19" s="18" t="n">
        <f aca="false">D19/L19*100</f>
        <v>1.31578947368421</v>
      </c>
      <c r="P19" s="18" t="n">
        <f aca="false">INDEX($X$18:$X$23,MATCH(O19,$V$18:$V$23,1))</f>
        <v>0.53</v>
      </c>
      <c r="Q19" s="30" t="str">
        <f aca="false">IF(N19&gt;=P19,"Sí","No: dos embutidos")</f>
        <v>Sí</v>
      </c>
      <c r="R19" s="18" t="n">
        <f aca="false">F19/E19</f>
        <v>0.288713910761155</v>
      </c>
      <c r="S19" s="28" t="n">
        <f aca="false">PI()*L19^2/4*D19*Datos!$B$10/1000000</f>
        <v>0.0697303487526122</v>
      </c>
      <c r="T19" s="4" t="s">
        <v>313</v>
      </c>
      <c r="V19" s="25" t="n">
        <v>0.15</v>
      </c>
      <c r="W19" s="25" t="n">
        <v>0.3</v>
      </c>
      <c r="X19" s="25" t="n">
        <v>0.6</v>
      </c>
    </row>
    <row r="20" customFormat="false" ht="15" hidden="false" customHeight="false" outlineLevel="0" collapsed="false">
      <c r="A20" s="4" t="s">
        <v>290</v>
      </c>
      <c r="B20" s="4" t="s">
        <v>345</v>
      </c>
      <c r="C20" s="4" t="s">
        <v>346</v>
      </c>
      <c r="D20" s="17" t="n">
        <v>1.25</v>
      </c>
      <c r="E20" s="19" t="n">
        <v>124</v>
      </c>
      <c r="F20" s="19" t="n">
        <v>39.5</v>
      </c>
      <c r="G20" s="19" t="n">
        <v>6</v>
      </c>
      <c r="H20" s="18" t="n">
        <f aca="false">E20/2-D20/2</f>
        <v>61.375</v>
      </c>
      <c r="I20" s="18" t="n">
        <f aca="false">F20-G20-D20/2</f>
        <v>32.875</v>
      </c>
      <c r="J20" s="5" t="n">
        <f aca="false">PI()*H20^2+PI()*I20^2/(2*SQRT(1-(I20/H20)^2))*LN((1+SQRT(1-(I20/H20)^2))/(1-SQRT(1-(I20/H20)^2)))+2*PI()*H20*G20</f>
        <v>19119.3818297508</v>
      </c>
      <c r="K20" s="27" t="n">
        <f aca="false">SQRT(4*J20/PI())</f>
        <v>156.024206508252</v>
      </c>
      <c r="L20" s="29" t="n">
        <f aca="false">CEILING(K20,0.5)</f>
        <v>156.5</v>
      </c>
      <c r="M20" s="27" t="n">
        <f aca="false">2*H20</f>
        <v>122.75</v>
      </c>
      <c r="N20" s="28" t="n">
        <f aca="false">M20/L20</f>
        <v>0.784345047923323</v>
      </c>
      <c r="O20" s="18" t="n">
        <f aca="false">D20/L20*100</f>
        <v>0.798722044728434</v>
      </c>
      <c r="P20" s="18" t="n">
        <f aca="false">INDEX($X$18:$X$23,MATCH(O20,$V$18:$V$23,1))</f>
        <v>0.55</v>
      </c>
      <c r="Q20" s="30" t="str">
        <f aca="false">IF(N20&gt;=P20,"Sí","No: dos embutidos")</f>
        <v>Sí</v>
      </c>
      <c r="R20" s="18" t="n">
        <f aca="false">F20/E20</f>
        <v>0.318548387096774</v>
      </c>
      <c r="S20" s="28" t="n">
        <f aca="false">PI()*L20^2/4*D20*Datos!$B$10/1000000</f>
        <v>0.189235804347497</v>
      </c>
      <c r="T20" s="4" t="s">
        <v>315</v>
      </c>
      <c r="V20" s="25" t="n">
        <v>0.3</v>
      </c>
      <c r="W20" s="25" t="n">
        <v>0.6</v>
      </c>
      <c r="X20" s="25" t="n">
        <v>0.58</v>
      </c>
    </row>
    <row r="21" customFormat="false" ht="15" hidden="false" customHeight="false" outlineLevel="0" collapsed="false">
      <c r="A21" s="4" t="s">
        <v>290</v>
      </c>
      <c r="B21" s="4" t="s">
        <v>347</v>
      </c>
      <c r="C21" s="4" t="s">
        <v>348</v>
      </c>
      <c r="D21" s="17" t="n">
        <v>1.25</v>
      </c>
      <c r="E21" s="19" t="n">
        <v>121.5</v>
      </c>
      <c r="F21" s="19" t="n">
        <v>10.5</v>
      </c>
      <c r="G21" s="19" t="n">
        <v>10</v>
      </c>
      <c r="H21" s="18" t="n">
        <f aca="false">E21/2-D21/2</f>
        <v>60.125</v>
      </c>
      <c r="I21" s="18" t="n">
        <f aca="false">F21</f>
        <v>10.5</v>
      </c>
      <c r="J21" s="5" t="n">
        <f aca="false">PI()*H21^4/(6*I21^2)*((1+4*I21^2/H21^2)^1.5-1)+2*PI()*H21*G21</f>
        <v>15474.2939326693</v>
      </c>
      <c r="K21" s="27" t="n">
        <f aca="false">SQRT(4*J21/PI())</f>
        <v>140.365533383128</v>
      </c>
      <c r="L21" s="29" t="n">
        <f aca="false">CEILING(K21,0.5)</f>
        <v>140.5</v>
      </c>
      <c r="M21" s="27" t="n">
        <f aca="false">2*H21</f>
        <v>120.25</v>
      </c>
      <c r="N21" s="28" t="n">
        <f aca="false">M21/L21</f>
        <v>0.855871886120996</v>
      </c>
      <c r="O21" s="18" t="n">
        <f aca="false">D21/L21*100</f>
        <v>0.889679715302491</v>
      </c>
      <c r="P21" s="18" t="n">
        <f aca="false">INDEX($X$18:$X$23,MATCH(O21,$V$18:$V$23,1))</f>
        <v>0.55</v>
      </c>
      <c r="Q21" s="30" t="str">
        <f aca="false">IF(N21&gt;=P21,"Sí","No: dos embutidos")</f>
        <v>Sí</v>
      </c>
      <c r="R21" s="18" t="n">
        <f aca="false">(F21+G21)/E21</f>
        <v>0.168724279835391</v>
      </c>
      <c r="S21" s="28" t="n">
        <f aca="false">PI()*L21^2/4*D21*Datos!$B$10/1000000</f>
        <v>0.152520168084626</v>
      </c>
      <c r="T21" s="4" t="s">
        <v>349</v>
      </c>
      <c r="V21" s="25" t="n">
        <v>0.6</v>
      </c>
      <c r="W21" s="25" t="n">
        <v>1</v>
      </c>
      <c r="X21" s="25" t="n">
        <v>0.55</v>
      </c>
    </row>
    <row r="22" customFormat="false" ht="15" hidden="false" customHeight="false" outlineLevel="0" collapsed="false">
      <c r="A22" s="4" t="s">
        <v>291</v>
      </c>
      <c r="B22" s="4" t="s">
        <v>345</v>
      </c>
      <c r="C22" s="4" t="s">
        <v>346</v>
      </c>
      <c r="D22" s="17" t="n">
        <v>1.6</v>
      </c>
      <c r="E22" s="19" t="n">
        <v>153</v>
      </c>
      <c r="F22" s="19" t="n">
        <v>54.5</v>
      </c>
      <c r="G22" s="19" t="n">
        <v>6</v>
      </c>
      <c r="H22" s="18" t="n">
        <f aca="false">E22/2-D22/2</f>
        <v>75.7</v>
      </c>
      <c r="I22" s="18" t="n">
        <f aca="false">F22-G22-D22/2</f>
        <v>47.7</v>
      </c>
      <c r="J22" s="5" t="n">
        <f aca="false">PI()*H22^2+PI()*I22^2/(2*SQRT(1-(I22/H22)^2))*LN((1+SQRT(1-(I22/H22)^2))/(1-SQRT(1-(I22/H22)^2)))+2*PI()*H22*G22</f>
        <v>30398.0750923347</v>
      </c>
      <c r="K22" s="27" t="n">
        <f aca="false">SQRT(4*J22/PI())</f>
        <v>196.733401565137</v>
      </c>
      <c r="L22" s="29" t="n">
        <f aca="false">CEILING(K22,0.5)</f>
        <v>197</v>
      </c>
      <c r="M22" s="27" t="n">
        <f aca="false">2*H22</f>
        <v>151.4</v>
      </c>
      <c r="N22" s="28" t="n">
        <f aca="false">M22/L22</f>
        <v>0.768527918781726</v>
      </c>
      <c r="O22" s="18" t="n">
        <f aca="false">D22/L22*100</f>
        <v>0.812182741116751</v>
      </c>
      <c r="P22" s="18" t="n">
        <f aca="false">INDEX($X$18:$X$23,MATCH(O22,$V$18:$V$23,1))</f>
        <v>0.55</v>
      </c>
      <c r="Q22" s="30" t="str">
        <f aca="false">IF(N22&gt;=P22,"Sí","No: dos embutidos")</f>
        <v>Sí</v>
      </c>
      <c r="R22" s="18" t="n">
        <f aca="false">F22/E22</f>
        <v>0.356209150326797</v>
      </c>
      <c r="S22" s="28" t="n">
        <f aca="false">PI()*L22^2/4*D22*Datos!$B$10/1000000</f>
        <v>0.383810674134887</v>
      </c>
      <c r="T22" s="4" t="s">
        <v>316</v>
      </c>
      <c r="V22" s="25" t="n">
        <v>1</v>
      </c>
      <c r="W22" s="25" t="n">
        <v>1.5</v>
      </c>
      <c r="X22" s="25" t="n">
        <v>0.53</v>
      </c>
    </row>
    <row r="23" customFormat="false" ht="15" hidden="false" customHeight="false" outlineLevel="0" collapsed="false">
      <c r="A23" s="4" t="s">
        <v>291</v>
      </c>
      <c r="B23" s="4" t="s">
        <v>347</v>
      </c>
      <c r="C23" s="4" t="s">
        <v>348</v>
      </c>
      <c r="D23" s="17" t="n">
        <v>1.6</v>
      </c>
      <c r="E23" s="19" t="n">
        <v>149.8</v>
      </c>
      <c r="F23" s="19" t="n">
        <v>16</v>
      </c>
      <c r="G23" s="19" t="n">
        <v>10</v>
      </c>
      <c r="H23" s="18" t="n">
        <f aca="false">E23/2-D23/2</f>
        <v>74.1</v>
      </c>
      <c r="I23" s="18" t="n">
        <f aca="false">F23</f>
        <v>16</v>
      </c>
      <c r="J23" s="5" t="n">
        <f aca="false">PI()*H23^4/(6*I23^2)*((1+4*I23^2/H23^2)^1.5-1)+2*PI()*H23*G23</f>
        <v>22686.5796264245</v>
      </c>
      <c r="K23" s="27" t="n">
        <f aca="false">SQRT(4*J23/PI())</f>
        <v>169.957201421849</v>
      </c>
      <c r="L23" s="29" t="n">
        <f aca="false">CEILING(K23,0.5)</f>
        <v>170</v>
      </c>
      <c r="M23" s="27" t="n">
        <f aca="false">2*H23</f>
        <v>148.2</v>
      </c>
      <c r="N23" s="28" t="n">
        <f aca="false">M23/L23</f>
        <v>0.871764705882353</v>
      </c>
      <c r="O23" s="18" t="n">
        <f aca="false">D23/L23*100</f>
        <v>0.941176470588235</v>
      </c>
      <c r="P23" s="18" t="n">
        <f aca="false">INDEX($X$18:$X$23,MATCH(O23,$V$18:$V$23,1))</f>
        <v>0.55</v>
      </c>
      <c r="Q23" s="30" t="str">
        <f aca="false">IF(N23&gt;=P23,"Sí","No: dos embutidos")</f>
        <v>Sí</v>
      </c>
      <c r="R23" s="18" t="n">
        <f aca="false">(F23+G23)/E23</f>
        <v>0.173564753004005</v>
      </c>
      <c r="S23" s="28" t="n">
        <f aca="false">PI()*L23^2/4*D23*Datos!$B$10/1000000</f>
        <v>0.285813303164169</v>
      </c>
      <c r="T23" s="4" t="s">
        <v>350</v>
      </c>
      <c r="V23" s="25" t="n">
        <v>1.5</v>
      </c>
      <c r="W23" s="25" t="n">
        <v>2</v>
      </c>
      <c r="X23" s="25" t="n">
        <v>0.5</v>
      </c>
    </row>
    <row r="24" customFormat="false" ht="15" hidden="false" customHeight="false" outlineLevel="0" collapsed="false">
      <c r="A24" s="4" t="s">
        <v>292</v>
      </c>
      <c r="B24" s="4" t="s">
        <v>345</v>
      </c>
      <c r="C24" s="4" t="s">
        <v>346</v>
      </c>
      <c r="D24" s="17" t="n">
        <v>1.6</v>
      </c>
      <c r="E24" s="19" t="n">
        <v>181.5</v>
      </c>
      <c r="F24" s="19" t="n">
        <v>62.5</v>
      </c>
      <c r="G24" s="19" t="n">
        <v>6</v>
      </c>
      <c r="H24" s="18" t="n">
        <f aca="false">E24/2-D24/2</f>
        <v>89.95</v>
      </c>
      <c r="I24" s="18" t="n">
        <f aca="false">F24-G24-D24/2</f>
        <v>55.7</v>
      </c>
      <c r="J24" s="5" t="n">
        <f aca="false">PI()*H24^2+PI()*I24^2/(2*SQRT(1-(I24/H24)^2))*LN((1+SQRT(1-(I24/H24)^2))/(1-SQRT(1-(I24/H24)^2)))+2*PI()*H24*G24</f>
        <v>41952.6317701193</v>
      </c>
      <c r="K24" s="27" t="n">
        <f aca="false">SQRT(4*J24/PI())</f>
        <v>231.118475625443</v>
      </c>
      <c r="L24" s="29" t="n">
        <f aca="false">CEILING(K24,0.5)</f>
        <v>231.5</v>
      </c>
      <c r="M24" s="27" t="n">
        <f aca="false">2*H24</f>
        <v>179.9</v>
      </c>
      <c r="N24" s="28" t="n">
        <f aca="false">M24/L24</f>
        <v>0.777105831533477</v>
      </c>
      <c r="O24" s="18" t="n">
        <f aca="false">D24/L24*100</f>
        <v>0.691144708423326</v>
      </c>
      <c r="P24" s="18" t="n">
        <f aca="false">INDEX($X$18:$X$23,MATCH(O24,$V$18:$V$23,1))</f>
        <v>0.55</v>
      </c>
      <c r="Q24" s="30" t="str">
        <f aca="false">IF(N24&gt;=P24,"Sí","No: dos embutidos")</f>
        <v>Sí</v>
      </c>
      <c r="R24" s="18" t="n">
        <f aca="false">F24/E24</f>
        <v>0.34435261707989</v>
      </c>
      <c r="S24" s="28" t="n">
        <f aca="false">PI()*L24^2/4*D24*Datos!$B$10/1000000</f>
        <v>0.530013079463666</v>
      </c>
      <c r="T24" s="4" t="s">
        <v>317</v>
      </c>
      <c r="V24" s="2" t="s">
        <v>351</v>
      </c>
    </row>
    <row r="25" customFormat="false" ht="15" hidden="false" customHeight="false" outlineLevel="0" collapsed="false">
      <c r="A25" s="4" t="s">
        <v>292</v>
      </c>
      <c r="B25" s="4" t="s">
        <v>347</v>
      </c>
      <c r="C25" s="4" t="s">
        <v>348</v>
      </c>
      <c r="D25" s="17" t="n">
        <v>2</v>
      </c>
      <c r="E25" s="19" t="n">
        <v>177.5</v>
      </c>
      <c r="F25" s="19" t="n">
        <v>11.7</v>
      </c>
      <c r="G25" s="19" t="n">
        <v>10</v>
      </c>
      <c r="H25" s="18" t="n">
        <f aca="false">E25/2-D25/2</f>
        <v>87.75</v>
      </c>
      <c r="I25" s="18" t="n">
        <f aca="false">F25</f>
        <v>11.7</v>
      </c>
      <c r="J25" s="5" t="n">
        <f aca="false">PI()*H25^4/(6*I25^2)*((1+4*I25^2/H25^2)^1.5-1)+2*PI()*H25*G25</f>
        <v>30129.0418646174</v>
      </c>
      <c r="K25" s="27" t="n">
        <f aca="false">SQRT(4*J25/PI())</f>
        <v>195.860888252382</v>
      </c>
      <c r="L25" s="29" t="n">
        <f aca="false">CEILING(K25,0.5)</f>
        <v>196</v>
      </c>
      <c r="M25" s="27" t="n">
        <f aca="false">2*H25</f>
        <v>175.5</v>
      </c>
      <c r="N25" s="28" t="n">
        <f aca="false">M25/L25</f>
        <v>0.895408163265306</v>
      </c>
      <c r="O25" s="18" t="n">
        <f aca="false">D25/L25*100</f>
        <v>1.02040816326531</v>
      </c>
      <c r="P25" s="18" t="n">
        <f aca="false">INDEX($X$18:$X$23,MATCH(O25,$V$18:$V$23,1))</f>
        <v>0.53</v>
      </c>
      <c r="Q25" s="30" t="str">
        <f aca="false">IF(N25&gt;=P25,"Sí","No: dos embutidos")</f>
        <v>Sí</v>
      </c>
      <c r="R25" s="18" t="n">
        <f aca="false">(F25+G25)/E25</f>
        <v>0.122253521126761</v>
      </c>
      <c r="S25" s="28" t="n">
        <f aca="false">PI()*L25^2/4*D25*Datos!$B$10/1000000</f>
        <v>0.474905011001502</v>
      </c>
      <c r="T25" s="4" t="s">
        <v>352</v>
      </c>
    </row>
    <row r="27" customFormat="false" ht="15" hidden="false" customHeight="false" outlineLevel="0" collapsed="false">
      <c r="A27" s="11" t="s">
        <v>353</v>
      </c>
    </row>
    <row r="28" customFormat="false" ht="15" hidden="false" customHeight="false" outlineLevel="0" collapsed="false">
      <c r="A28" s="2" t="s">
        <v>354</v>
      </c>
    </row>
    <row r="29" customFormat="false" ht="15" hidden="false" customHeight="false" outlineLevel="0" collapsed="false">
      <c r="A29" s="2" t="s">
        <v>355</v>
      </c>
    </row>
    <row r="30" customFormat="false" ht="15" hidden="false" customHeight="false" outlineLevel="0" collapsed="false">
      <c r="A30" s="2" t="s">
        <v>356</v>
      </c>
    </row>
    <row r="31" customFormat="false" ht="15" hidden="false" customHeight="false" outlineLevel="0" collapsed="false">
      <c r="A31" s="2" t="s">
        <v>357</v>
      </c>
    </row>
    <row r="32" customFormat="false" ht="15" hidden="false" customHeight="false" outlineLevel="0" collapsed="false">
      <c r="A32" s="2" t="s">
        <v>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1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4" min="12" style="0" width="10"/>
    <col collapsed="false" customWidth="true" hidden="false" outlineLevel="0" max="15" min="15" style="0" width="12"/>
    <col collapsed="false" customWidth="true" hidden="false" outlineLevel="0" max="17" min="16" style="0" width="11"/>
    <col collapsed="false" customWidth="true" hidden="false" outlineLevel="0" max="18" min="18" style="0" width="30"/>
    <col collapsed="false" customWidth="true" hidden="false" outlineLevel="0" max="19" min="19" style="0" width="11"/>
  </cols>
  <sheetData>
    <row r="1" customFormat="false" ht="15" hidden="false" customHeight="false" outlineLevel="0" collapsed="false">
      <c r="A1" s="1" t="s">
        <v>359</v>
      </c>
    </row>
    <row r="2" customFormat="false" ht="15" hidden="false" customHeight="false" outlineLevel="0" collapsed="false">
      <c r="A2" s="2" t="s">
        <v>360</v>
      </c>
    </row>
    <row r="4" customFormat="false" ht="15" hidden="false" customHeight="false" outlineLevel="0" collapsed="false">
      <c r="A4" s="11" t="s">
        <v>361</v>
      </c>
    </row>
    <row r="5" customFormat="false" ht="35.05" hidden="false" customHeight="false" outlineLevel="0" collapsed="false">
      <c r="A5" s="3" t="s">
        <v>150</v>
      </c>
      <c r="B5" s="3" t="s">
        <v>362</v>
      </c>
      <c r="C5" s="3" t="s">
        <v>363</v>
      </c>
      <c r="D5" s="3" t="s">
        <v>364</v>
      </c>
      <c r="E5" s="3" t="s">
        <v>365</v>
      </c>
      <c r="F5" s="3" t="s">
        <v>366</v>
      </c>
      <c r="G5" s="3" t="s">
        <v>367</v>
      </c>
      <c r="H5" s="3" t="s">
        <v>368</v>
      </c>
      <c r="I5" s="3" t="s">
        <v>369</v>
      </c>
      <c r="J5" s="3" t="s">
        <v>370</v>
      </c>
      <c r="K5" s="3" t="s">
        <v>371</v>
      </c>
      <c r="L5" s="3" t="s">
        <v>372</v>
      </c>
      <c r="M5" s="3" t="s">
        <v>373</v>
      </c>
      <c r="N5" s="3" t="s">
        <v>374</v>
      </c>
      <c r="O5" s="3" t="s">
        <v>375</v>
      </c>
      <c r="P5" s="3" t="s">
        <v>376</v>
      </c>
      <c r="Q5" s="3" t="s">
        <v>377</v>
      </c>
      <c r="R5" s="3" t="s">
        <v>378</v>
      </c>
    </row>
    <row r="6" customFormat="false" ht="15" hidden="false" customHeight="false" outlineLevel="0" collapsed="false">
      <c r="A6" s="4" t="s">
        <v>288</v>
      </c>
      <c r="B6" s="16" t="n">
        <v>1220</v>
      </c>
      <c r="C6" s="16" t="n">
        <v>2440</v>
      </c>
      <c r="D6" s="8" t="n">
        <f aca="false">MAX(INT(B6/Piezas!$F$6)*INT(C6/Piezas!$G$6),INT(B6/Piezas!$G$6)*INT(C6/Piezas!$F$6))</f>
        <v>45</v>
      </c>
      <c r="E6" s="6" t="n">
        <f aca="false">D6*Piezas!$F$6*Piezas!$G$6/(B6*C6)</f>
        <v>0.942051447863478</v>
      </c>
      <c r="F6" s="27" t="n">
        <f aca="false">IF(INT(B6/Piezas!$F$6)*INT(C6/Piezas!$G$6)&gt;=INT(B6/Piezas!$G$6)*INT(C6/Piezas!$F$6),Piezas!$F$6,Piezas!$G$6)</f>
        <v>236.5</v>
      </c>
      <c r="G6" s="5" t="n">
        <f aca="false">INT(B6/F6)</f>
        <v>5</v>
      </c>
      <c r="H6" s="5" t="n">
        <f aca="false">IF(INT(B6/Piezas!$F$6)*INT(C6/Piezas!$G$6)&gt;=INT(B6/Piezas!$G$6)*INT(C6/Piezas!$F$6),INT(C6/Piezas!$G$6),INT(C6/Piezas!$F$6))</f>
        <v>9</v>
      </c>
      <c r="I6" s="27" t="n">
        <f aca="false">IF(INT(B6/Piezas!$F$6)*INT(C6/Piezas!$G$6)&gt;=INT(B6/Piezas!$G$6)*INT(C6/Piezas!$F$6),Piezas!$G$6,Piezas!$F$6)</f>
        <v>263.5</v>
      </c>
      <c r="J6" s="27" t="n">
        <f aca="false">IF(F6&lt;=Datos!$B$32,F6,B6-F6*G6)</f>
        <v>236.5</v>
      </c>
      <c r="K6" s="31" t="str">
        <f aca="false">IF(AND(I6&lt;=Datos!$B$35,F6&lt;=Datos!$B$34),"G2","G1")</f>
        <v>G2</v>
      </c>
      <c r="L6" s="5" t="n">
        <f aca="false">INT(IF(K6="G2",Datos!$B$34,Datos!$B$31)/F6)</f>
        <v>10</v>
      </c>
      <c r="M6" s="18" t="n">
        <f aca="false">G6+IF(K6="G1",G6*H6/L6,0)</f>
        <v>5</v>
      </c>
      <c r="N6" s="18" t="n">
        <f aca="false">IF(K6="G2",G6*H6/L6,0)</f>
        <v>4.5</v>
      </c>
      <c r="O6" s="18" t="n">
        <f aca="false">M6/Datos!$B$30+N6/Datos!$B$33</f>
        <v>0.725</v>
      </c>
      <c r="P6" s="32" t="n">
        <f aca="false">B6*C6*Piezas!$E$6*Datos!$B$10/1000000</f>
        <v>21.0846744</v>
      </c>
      <c r="Q6" s="18" t="n">
        <f aca="false">P6*INDEX(Datos!$C$90:$C$95,MATCH(Piezas!$E$6,Datos!$A$90:$A$95,0))</f>
        <v>28.59292695384</v>
      </c>
      <c r="R6" s="30" t="str">
        <f aca="false">IF(C6&gt;Datos!$B$31,"Hoja más larga que la cuchilla de G1",IF(J6&gt;Datos!$B$32,"Franja mayor que el tope de G1",IF(AND(K6="G1",I6&gt;Datos!$B$32),"Pieza mayor que el tope de G1: va en la hoja mixta","OK")))</f>
        <v>OK</v>
      </c>
    </row>
    <row r="7" customFormat="false" ht="15" hidden="false" customHeight="false" outlineLevel="0" collapsed="false">
      <c r="A7" s="4" t="s">
        <v>290</v>
      </c>
      <c r="B7" s="16" t="n">
        <v>1220</v>
      </c>
      <c r="C7" s="16" t="n">
        <v>2440</v>
      </c>
      <c r="D7" s="8" t="n">
        <f aca="false">MAX(INT(B7/Piezas!$F$7)*INT(C7/Piezas!$G$7),INT(B7/Piezas!$G$7)*INT(C7/Piezas!$F$7))</f>
        <v>27</v>
      </c>
      <c r="E7" s="6" t="n">
        <f aca="false">D7*Piezas!$F$7*Piezas!$G$7/(B7*C7)</f>
        <v>0.935324425557646</v>
      </c>
      <c r="F7" s="27" t="n">
        <f aca="false">IF(INT(B7/Piezas!$F$7)*INT(C7/Piezas!$G$7)&gt;=INT(B7/Piezas!$G$7)*INT(C7/Piezas!$F$7),Piezas!$F$7,Piezas!$G$7)</f>
        <v>385.5</v>
      </c>
      <c r="G7" s="5" t="n">
        <f aca="false">INT(B7/F7)</f>
        <v>3</v>
      </c>
      <c r="H7" s="5" t="n">
        <f aca="false">IF(INT(B7/Piezas!$F$7)*INT(C7/Piezas!$G$7)&gt;=INT(B7/Piezas!$G$7)*INT(C7/Piezas!$F$7),INT(C7/Piezas!$G$7),INT(C7/Piezas!$F$7))</f>
        <v>9</v>
      </c>
      <c r="I7" s="27" t="n">
        <f aca="false">IF(INT(B7/Piezas!$F$7)*INT(C7/Piezas!$G$7)&gt;=INT(B7/Piezas!$G$7)*INT(C7/Piezas!$F$7),Piezas!$G$7,Piezas!$F$7)</f>
        <v>267.5</v>
      </c>
      <c r="J7" s="27" t="n">
        <f aca="false">IF(F7&lt;=Datos!$B$32,F7,B7-F7*G7)</f>
        <v>385.5</v>
      </c>
      <c r="K7" s="31" t="str">
        <f aca="false">IF(AND(I7&lt;=Datos!$B$35,F7&lt;=Datos!$B$34),"G2","G1")</f>
        <v>G2</v>
      </c>
      <c r="L7" s="5" t="n">
        <f aca="false">INT(IF(K7="G2",Datos!$B$34,Datos!$B$31)/F7)</f>
        <v>6</v>
      </c>
      <c r="M7" s="18" t="n">
        <f aca="false">G7+IF(K7="G1",G7*H7/L7,0)</f>
        <v>3</v>
      </c>
      <c r="N7" s="18" t="n">
        <f aca="false">IF(K7="G2",G7*H7/L7,0)</f>
        <v>4.5</v>
      </c>
      <c r="O7" s="18" t="n">
        <f aca="false">M7/Datos!$B$30+N7/Datos!$B$33</f>
        <v>0.525</v>
      </c>
      <c r="P7" s="32" t="n">
        <f aca="false">B7*C7*Piezas!$E$7*Datos!$B$10/1000000</f>
        <v>29.28427</v>
      </c>
      <c r="Q7" s="18" t="n">
        <f aca="false">P7*INDEX(Datos!$C$90:$C$95,MATCH(Piezas!$E$7,Datos!$A$90:$A$95,0))</f>
        <v>37.7854272412298</v>
      </c>
      <c r="R7" s="30" t="str">
        <f aca="false">IF(C7&gt;Datos!$B$31,"Hoja más larga que la cuchilla de G1",IF(J7&gt;Datos!$B$32,"Franja mayor que el tope de G1",IF(AND(K7="G1",I7&gt;Datos!$B$32),"Pieza mayor que el tope de G1: va en la hoja mixta","OK")))</f>
        <v>OK</v>
      </c>
    </row>
    <row r="8" customFormat="false" ht="15" hidden="false" customHeight="false" outlineLevel="0" collapsed="false">
      <c r="A8" s="4" t="s">
        <v>291</v>
      </c>
      <c r="B8" s="16" t="n">
        <v>1000</v>
      </c>
      <c r="C8" s="16" t="n">
        <v>2000</v>
      </c>
      <c r="D8" s="8" t="n">
        <f aca="false">MAX(INT(B8/Piezas!$F$8)*INT(C8/Piezas!$G$8),INT(B8/Piezas!$G$8)*INT(C8/Piezas!$F$8))</f>
        <v>12</v>
      </c>
      <c r="E8" s="6" t="n">
        <f aca="false">D8*Piezas!$F$8*Piezas!$G$8/(B8*C8)</f>
        <v>0.9343575</v>
      </c>
      <c r="F8" s="27" t="n">
        <f aca="false">IF(INT(B8/Piezas!$F$8)*INT(C8/Piezas!$G$8)&gt;=INT(B8/Piezas!$G$8)*INT(C8/Piezas!$F$8),Piezas!$F$8,Piezas!$G$8)</f>
        <v>327.5</v>
      </c>
      <c r="G8" s="5" t="n">
        <f aca="false">INT(B8/F8)</f>
        <v>3</v>
      </c>
      <c r="H8" s="5" t="n">
        <f aca="false">IF(INT(B8/Piezas!$F$8)*INT(C8/Piezas!$G$8)&gt;=INT(B8/Piezas!$G$8)*INT(C8/Piezas!$F$8),INT(C8/Piezas!$G$8),INT(C8/Piezas!$F$8))</f>
        <v>4</v>
      </c>
      <c r="I8" s="27" t="n">
        <f aca="false">IF(INT(B8/Piezas!$F$8)*INT(C8/Piezas!$G$8)&gt;=INT(B8/Piezas!$G$8)*INT(C8/Piezas!$F$8),Piezas!$G$8,Piezas!$F$8)</f>
        <v>475.5</v>
      </c>
      <c r="J8" s="27" t="n">
        <f aca="false">IF(F8&lt;=Datos!$B$32,F8,B8-F8*G8)</f>
        <v>327.5</v>
      </c>
      <c r="K8" s="31" t="str">
        <f aca="false">IF(AND(I8&lt;=Datos!$B$35,F8&lt;=Datos!$B$34),"G2","G1")</f>
        <v>G2</v>
      </c>
      <c r="L8" s="5" t="n">
        <f aca="false">INT(IF(K8="G2",Datos!$B$34,Datos!$B$31)/F8)</f>
        <v>7</v>
      </c>
      <c r="M8" s="18" t="n">
        <f aca="false">G8+IF(K8="G1",G8*H8/L8,0)</f>
        <v>3</v>
      </c>
      <c r="N8" s="18" t="n">
        <f aca="false">IF(K8="G2",G8*H8/L8,0)</f>
        <v>1.71428571428571</v>
      </c>
      <c r="O8" s="18" t="n">
        <f aca="false">M8/Datos!$B$30+N8/Datos!$B$33</f>
        <v>0.385714285714286</v>
      </c>
      <c r="P8" s="32" t="n">
        <f aca="false">B8*C8*Piezas!$E$8*Datos!$B$10/1000000</f>
        <v>25.184</v>
      </c>
      <c r="Q8" s="18" t="n">
        <f aca="false">P8*INDEX(Datos!$C$90:$C$95,MATCH(Piezas!$E$8,Datos!$A$90:$A$95,0))</f>
        <v>33.4322897605178</v>
      </c>
      <c r="R8" s="30" t="str">
        <f aca="false">IF(C8&gt;Datos!$B$31,"Hoja más larga que la cuchilla de G1",IF(J8&gt;Datos!$B$32,"Franja mayor que el tope de G1",IF(AND(K8="G1",I8&gt;Datos!$B$32),"Pieza mayor que el tope de G1: va en la hoja mixta","OK")))</f>
        <v>OK</v>
      </c>
    </row>
    <row r="9" customFormat="false" ht="15" hidden="false" customHeight="false" outlineLevel="0" collapsed="false">
      <c r="A9" s="4" t="s">
        <v>292</v>
      </c>
      <c r="B9" s="16" t="n">
        <v>1500</v>
      </c>
      <c r="C9" s="16" t="n">
        <v>3000</v>
      </c>
      <c r="D9" s="8" t="n">
        <f aca="false">MAX(INT(B9/Piezas!$F$9)*INT(C9/Piezas!$G$9),INT(B9/Piezas!$G$9)*INT(C9/Piezas!$F$9))</f>
        <v>15</v>
      </c>
      <c r="E9" s="6" t="n">
        <f aca="false">D9*Piezas!$F$9*Piezas!$G$9/(B9*C9)</f>
        <v>0.92684</v>
      </c>
      <c r="F9" s="27" t="n">
        <f aca="false">IF(INT(B9/Piezas!$F$9)*INT(C9/Piezas!$G$9)&gt;=INT(B9/Piezas!$G$9)*INT(C9/Piezas!$F$9),Piezas!$F$9,Piezas!$G$9)</f>
        <v>493</v>
      </c>
      <c r="G9" s="5" t="n">
        <f aca="false">INT(B9/F9)</f>
        <v>3</v>
      </c>
      <c r="H9" s="5" t="n">
        <f aca="false">IF(INT(B9/Piezas!$F$9)*INT(C9/Piezas!$G$9)&gt;=INT(B9/Piezas!$G$9)*INT(C9/Piezas!$F$9),INT(C9/Piezas!$G$9),INT(C9/Piezas!$F$9))</f>
        <v>5</v>
      </c>
      <c r="I9" s="27" t="n">
        <f aca="false">IF(INT(B9/Piezas!$F$9)*INT(C9/Piezas!$G$9)&gt;=INT(B9/Piezas!$G$9)*INT(C9/Piezas!$F$9),Piezas!$G$9,Piezas!$F$9)</f>
        <v>564</v>
      </c>
      <c r="J9" s="27" t="n">
        <f aca="false">IF(F9&lt;=Datos!$B$32,F9,B9-F9*G9)</f>
        <v>493</v>
      </c>
      <c r="K9" s="31" t="str">
        <f aca="false">IF(AND(I9&lt;=Datos!$B$35,F9&lt;=Datos!$B$34),"G2","G1")</f>
        <v>G2</v>
      </c>
      <c r="L9" s="5" t="n">
        <f aca="false">INT(IF(K9="G2",Datos!$B$34,Datos!$B$31)/F9)</f>
        <v>5</v>
      </c>
      <c r="M9" s="18" t="n">
        <f aca="false">G9+IF(K9="G1",G9*H9/L9,0)</f>
        <v>3</v>
      </c>
      <c r="N9" s="18" t="n">
        <f aca="false">IF(K9="G2",G9*H9/L9,0)</f>
        <v>3</v>
      </c>
      <c r="O9" s="18" t="n">
        <f aca="false">M9/Datos!$B$30+N9/Datos!$B$33</f>
        <v>0.45</v>
      </c>
      <c r="P9" s="32" t="n">
        <f aca="false">B9*C9*Piezas!$E$9*Datos!$B$10/1000000</f>
        <v>70.83</v>
      </c>
      <c r="Q9" s="18" t="n">
        <f aca="false">P9*INDEX(Datos!$C$90:$C$95,MATCH(Piezas!$E$9,Datos!$A$90:$A$95,0))</f>
        <v>90.6908236893204</v>
      </c>
      <c r="R9" s="30" t="str">
        <f aca="false">IF(C9&gt;Datos!$B$31,"Hoja más larga que la cuchilla de G1",IF(J9&gt;Datos!$B$32,"Franja mayor que el tope de G1",IF(AND(K9="G1",I9&gt;Datos!$B$32),"Pieza mayor que el tope de G1: va en la hoja mixta","OK")))</f>
        <v>OK</v>
      </c>
    </row>
    <row r="10" customFormat="false" ht="15" hidden="false" customHeight="false" outlineLevel="0" collapsed="false">
      <c r="A10" s="4" t="s">
        <v>293</v>
      </c>
      <c r="B10" s="16" t="n">
        <v>1500</v>
      </c>
      <c r="C10" s="16" t="n">
        <v>3000</v>
      </c>
      <c r="D10" s="8" t="n">
        <f aca="false">MAX(INT(B10/Piezas!$F$10)*INT(C10/Piezas!$G$10),INT(B10/Piezas!$G$10)*INT(C10/Piezas!$F$10))</f>
        <v>9</v>
      </c>
      <c r="E10" s="6" t="n">
        <f aca="false">D10*Piezas!$F$10*Piezas!$G$10/(B10*C10)</f>
        <v>0.846481</v>
      </c>
      <c r="F10" s="27" t="n">
        <f aca="false">IF(INT(B10/Piezas!$F$10)*INT(C10/Piezas!$G$10)&gt;=INT(B10/Piezas!$G$10)*INT(C10/Piezas!$F$10),Piezas!$F$10,Piezas!$G$10)</f>
        <v>493</v>
      </c>
      <c r="G10" s="5" t="n">
        <f aca="false">INT(B10/F10)</f>
        <v>3</v>
      </c>
      <c r="H10" s="5" t="n">
        <f aca="false">IF(INT(B10/Piezas!$F$10)*INT(C10/Piezas!$G$10)&gt;=INT(B10/Piezas!$G$10)*INT(C10/Piezas!$F$10),INT(C10/Piezas!$G$10),INT(C10/Piezas!$F$10))</f>
        <v>3</v>
      </c>
      <c r="I10" s="27" t="n">
        <f aca="false">IF(INT(B10/Piezas!$F$10)*INT(C10/Piezas!$G$10)&gt;=INT(B10/Piezas!$G$10)*INT(C10/Piezas!$F$10),Piezas!$G$10,Piezas!$F$10)</f>
        <v>858.5</v>
      </c>
      <c r="J10" s="27" t="n">
        <f aca="false">IF(F10&lt;=Datos!$B$32,F10,B10-F10*G10)</f>
        <v>493</v>
      </c>
      <c r="K10" s="31" t="str">
        <f aca="false">IF(AND(I10&lt;=Datos!$B$35,F10&lt;=Datos!$B$34),"G2","G1")</f>
        <v>G1</v>
      </c>
      <c r="L10" s="5" t="n">
        <f aca="false">INT(IF(K10="G2",Datos!$B$34,Datos!$B$31)/F10)</f>
        <v>6</v>
      </c>
      <c r="M10" s="18" t="n">
        <f aca="false">G10+IF(K10="G1",G10*H10/L10,0)</f>
        <v>4.5</v>
      </c>
      <c r="N10" s="18" t="n">
        <f aca="false">IF(K10="G2",G10*H10/L10,0)</f>
        <v>0</v>
      </c>
      <c r="O10" s="18" t="n">
        <f aca="false">M10/Datos!$B$30+N10/Datos!$B$33</f>
        <v>0.45</v>
      </c>
      <c r="P10" s="32" t="n">
        <f aca="false">B10*C10*Piezas!$E$10*Datos!$B$10/1000000</f>
        <v>113.328</v>
      </c>
      <c r="Q10" s="18" t="n">
        <f aca="false">P10*INDEX(Datos!$C$90:$C$95,MATCH(Piezas!$E$10,Datos!$A$90:$A$95,0))</f>
        <v>124.880120854369</v>
      </c>
      <c r="R10" s="30" t="str">
        <f aca="false">IF(C10&gt;Datos!$B$31,"Hoja más larga que la cuchilla de G1",IF(J10&gt;Datos!$B$32,"Franja mayor que el tope de G1",IF(AND(K10="G1",I10&gt;Datos!$B$32),"Pieza mayor que el tope de G1: va en la hoja mixta","OK")))</f>
        <v>OK</v>
      </c>
    </row>
    <row r="11" customFormat="false" ht="15" hidden="false" customHeight="false" outlineLevel="0" collapsed="false">
      <c r="A11" s="4" t="s">
        <v>295</v>
      </c>
      <c r="B11" s="16" t="n">
        <v>1500</v>
      </c>
      <c r="C11" s="16" t="n">
        <v>3000</v>
      </c>
      <c r="D11" s="8" t="n">
        <f aca="false">MAX(INT(B11/Piezas!$F$11)*INT(C11/Piezas!$G$11),INT(B11/Piezas!$G$11)*INT(C11/Piezas!$F$11))</f>
        <v>6</v>
      </c>
      <c r="E11" s="6" t="n">
        <f aca="false">D11*Piezas!$F$11*Piezas!$G$11/(B11*C11)</f>
        <v>0.849493333333333</v>
      </c>
      <c r="F11" s="27" t="n">
        <f aca="false">IF(INT(B11/Piezas!$F$11)*INT(C11/Piezas!$G$11)&gt;=INT(B11/Piezas!$G$11)*INT(C11/Piezas!$F$11),Piezas!$F$11,Piezas!$G$11)</f>
        <v>640</v>
      </c>
      <c r="G11" s="5" t="n">
        <f aca="false">INT(B11/F11)</f>
        <v>2</v>
      </c>
      <c r="H11" s="5" t="n">
        <f aca="false">IF(INT(B11/Piezas!$F$11)*INT(C11/Piezas!$G$11)&gt;=INT(B11/Piezas!$G$11)*INT(C11/Piezas!$F$11),INT(C11/Piezas!$G$11),INT(C11/Piezas!$F$11))</f>
        <v>3</v>
      </c>
      <c r="I11" s="27" t="n">
        <f aca="false">IF(INT(B11/Piezas!$F$11)*INT(C11/Piezas!$G$11)&gt;=INT(B11/Piezas!$G$11)*INT(C11/Piezas!$F$11),Piezas!$G$11,Piezas!$F$11)</f>
        <v>995.5</v>
      </c>
      <c r="J11" s="27" t="n">
        <f aca="false">IF(F11&lt;=Datos!$B$32,F11,B11-F11*G11)</f>
        <v>640</v>
      </c>
      <c r="K11" s="31" t="str">
        <f aca="false">IF(AND(I11&lt;=Datos!$B$35,F11&lt;=Datos!$B$34),"G2","G1")</f>
        <v>G1</v>
      </c>
      <c r="L11" s="5" t="n">
        <f aca="false">INT(IF(K11="G2",Datos!$B$34,Datos!$B$31)/F11)</f>
        <v>5</v>
      </c>
      <c r="M11" s="18" t="n">
        <f aca="false">G11+IF(K11="G1",G11*H11/L11,0)</f>
        <v>3.2</v>
      </c>
      <c r="N11" s="18" t="n">
        <f aca="false">IF(K11="G2",G11*H11/L11,0)</f>
        <v>0</v>
      </c>
      <c r="O11" s="18" t="n">
        <f aca="false">M11/Datos!$B$30+N11/Datos!$B$33</f>
        <v>0.32</v>
      </c>
      <c r="P11" s="32" t="n">
        <f aca="false">B11*C11*Piezas!$E$11*Datos!$B$10/1000000</f>
        <v>113.328</v>
      </c>
      <c r="Q11" s="18" t="n">
        <f aca="false">P11*INDEX(Datos!$C$90:$C$95,MATCH(Piezas!$E$11,Datos!$A$90:$A$95,0))</f>
        <v>124.880120854369</v>
      </c>
      <c r="R11" s="30" t="str">
        <f aca="false">IF(C11&gt;Datos!$B$31,"Hoja más larga que la cuchilla de G1",IF(J11&gt;Datos!$B$32,"Franja mayor que el tope de G1",IF(AND(K11="G1",I11&gt;Datos!$B$32),"Pieza mayor que el tope de G1: va en la hoja mixta","OK")))</f>
        <v>OK</v>
      </c>
    </row>
    <row r="12" customFormat="false" ht="23.85" hidden="false" customHeight="false" outlineLevel="0" collapsed="false">
      <c r="A12" s="4" t="s">
        <v>296</v>
      </c>
      <c r="B12" s="16" t="n">
        <v>1500</v>
      </c>
      <c r="C12" s="16" t="n">
        <v>3000</v>
      </c>
      <c r="D12" s="8" t="n">
        <f aca="false">MAX(INT(B12/Piezas!$F$12)*INT(C12/Piezas!$G$12),INT(B12/Piezas!$G$12)*INT(C12/Piezas!$F$12))</f>
        <v>4</v>
      </c>
      <c r="E12" s="6" t="n">
        <f aca="false">D12*Piezas!$F$12*Piezas!$G$12/(B12*C12)</f>
        <v>0.73168</v>
      </c>
      <c r="F12" s="27" t="n">
        <f aca="false">IF(INT(B12/Piezas!$F$12)*INT(C12/Piezas!$G$12)&gt;=INT(B12/Piezas!$G$12)*INT(C12/Piezas!$F$12),Piezas!$F$12,Piezas!$G$12)</f>
        <v>680</v>
      </c>
      <c r="G12" s="5" t="n">
        <f aca="false">INT(B12/F12)</f>
        <v>2</v>
      </c>
      <c r="H12" s="5" t="n">
        <f aca="false">IF(INT(B12/Piezas!$F$12)*INT(C12/Piezas!$G$12)&gt;=INT(B12/Piezas!$G$12)*INT(C12/Piezas!$F$12),INT(C12/Piezas!$G$12),INT(C12/Piezas!$F$12))</f>
        <v>2</v>
      </c>
      <c r="I12" s="27" t="n">
        <f aca="false">IF(INT(B12/Piezas!$F$12)*INT(C12/Piezas!$G$12)&gt;=INT(B12/Piezas!$G$12)*INT(C12/Piezas!$F$12),Piezas!$G$12,Piezas!$F$12)</f>
        <v>1210.5</v>
      </c>
      <c r="J12" s="27" t="n">
        <f aca="false">IF(F12&lt;=Datos!$B$32,F12,B12-F12*G12)</f>
        <v>680</v>
      </c>
      <c r="K12" s="31" t="str">
        <f aca="false">IF(AND(I12&lt;=Datos!$B$35,F12&lt;=Datos!$B$34),"G2","G1")</f>
        <v>G1</v>
      </c>
      <c r="L12" s="5" t="n">
        <f aca="false">INT(IF(K12="G2",Datos!$B$34,Datos!$B$31)/F12)</f>
        <v>4</v>
      </c>
      <c r="M12" s="18" t="n">
        <f aca="false">G12+IF(K12="G1",G12*H12/L12,0)</f>
        <v>3</v>
      </c>
      <c r="N12" s="18" t="n">
        <f aca="false">IF(K12="G2",G12*H12/L12,0)</f>
        <v>0</v>
      </c>
      <c r="O12" s="18" t="n">
        <f aca="false">M12/Datos!$B$30+N12/Datos!$B$33</f>
        <v>0.3</v>
      </c>
      <c r="P12" s="32" t="n">
        <f aca="false">B12*C12*Piezas!$E$12*Datos!$B$10/1000000</f>
        <v>168.22125</v>
      </c>
      <c r="Q12" s="18" t="n">
        <f aca="false">P12*INDEX(Datos!$C$90:$C$95,MATCH(Piezas!$E$12,Datos!$A$90:$A$95,0))</f>
        <v>183.525572912621</v>
      </c>
      <c r="R12" s="30" t="str">
        <f aca="false">IF(C12&gt;Datos!$B$31,"Hoja más larga que la cuchilla de G1",IF(J12&gt;Datos!$B$32,"Franja mayor que el tope de G1",IF(AND(K12="G1",I12&gt;Datos!$B$32),"Pieza mayor que el tope de G1: va en la hoja mixta","OK")))</f>
        <v>Pieza mayor que el tope de G1: va en la hoja mixta</v>
      </c>
    </row>
    <row r="13" customFormat="false" ht="15" hidden="false" customHeight="false" outlineLevel="0" collapsed="false">
      <c r="A13" s="4" t="s">
        <v>297</v>
      </c>
      <c r="B13" s="16" t="n">
        <v>1500</v>
      </c>
      <c r="C13" s="16" t="n">
        <v>3000</v>
      </c>
      <c r="D13" s="8" t="n">
        <f aca="false">MAX(INT(B13/Piezas!$F$13)*INT(C13/Piezas!$G$13),INT(B13/Piezas!$G$13)*INT(C13/Piezas!$F$13))</f>
        <v>3</v>
      </c>
      <c r="E13" s="6" t="n">
        <f aca="false">D13*Piezas!$F$13*Piezas!$G$13/(B13*C13)</f>
        <v>0.7263</v>
      </c>
      <c r="F13" s="27" t="n">
        <f aca="false">IF(INT(B13/Piezas!$F$13)*INT(C13/Piezas!$G$13)&gt;=INT(B13/Piezas!$G$13)*INT(C13/Piezas!$F$13),Piezas!$F$13,Piezas!$G$13)</f>
        <v>1210.5</v>
      </c>
      <c r="G13" s="5" t="n">
        <f aca="false">INT(B13/F13)</f>
        <v>1</v>
      </c>
      <c r="H13" s="5" t="n">
        <f aca="false">IF(INT(B13/Piezas!$F$13)*INT(C13/Piezas!$G$13)&gt;=INT(B13/Piezas!$G$13)*INT(C13/Piezas!$F$13),INT(C13/Piezas!$G$13),INT(C13/Piezas!$F$13))</f>
        <v>3</v>
      </c>
      <c r="I13" s="27" t="n">
        <f aca="false">IF(INT(B13/Piezas!$F$13)*INT(C13/Piezas!$G$13)&gt;=INT(B13/Piezas!$G$13)*INT(C13/Piezas!$F$13),Piezas!$G$13,Piezas!$F$13)</f>
        <v>900</v>
      </c>
      <c r="J13" s="27" t="n">
        <f aca="false">IF(F13&lt;=Datos!$B$32,F13,B13-F13*G13)</f>
        <v>289.5</v>
      </c>
      <c r="K13" s="31" t="str">
        <f aca="false">IF(AND(I13&lt;=Datos!$B$35,F13&lt;=Datos!$B$34),"G2","G1")</f>
        <v>G1</v>
      </c>
      <c r="L13" s="5" t="n">
        <f aca="false">INT(IF(K13="G2",Datos!$B$34,Datos!$B$31)/F13)</f>
        <v>2</v>
      </c>
      <c r="M13" s="18" t="n">
        <f aca="false">G13+IF(K13="G1",G13*H13/L13,0)</f>
        <v>2.5</v>
      </c>
      <c r="N13" s="18" t="n">
        <f aca="false">IF(K13="G2",G13*H13/L13,0)</f>
        <v>0</v>
      </c>
      <c r="O13" s="18" t="n">
        <f aca="false">M13/Datos!$B$30+N13/Datos!$B$33</f>
        <v>0.25</v>
      </c>
      <c r="P13" s="32" t="n">
        <f aca="false">B13*C13*Piezas!$E$13*Datos!$B$10/1000000</f>
        <v>168.22125</v>
      </c>
      <c r="Q13" s="18" t="n">
        <f aca="false">P13*INDEX(Datos!$C$90:$C$95,MATCH(Piezas!$E$13,Datos!$A$90:$A$95,0))</f>
        <v>183.525572912621</v>
      </c>
      <c r="R13" s="30" t="str">
        <f aca="false">IF(C13&gt;Datos!$B$31,"Hoja más larga que la cuchilla de G1",IF(J13&gt;Datos!$B$32,"Franja mayor que el tope de G1",IF(AND(K13="G1",I13&gt;Datos!$B$32),"Pieza mayor que el tope de G1: va en la hoja mixta","OK")))</f>
        <v>OK</v>
      </c>
    </row>
    <row r="14" customFormat="false" ht="15" hidden="false" customHeight="false" outlineLevel="0" collapsed="false">
      <c r="A14" s="7" t="s">
        <v>379</v>
      </c>
      <c r="B14" s="5" t="n">
        <f aca="false">B13</f>
        <v>1500</v>
      </c>
      <c r="C14" s="5" t="n">
        <f aca="false">C13</f>
        <v>3000</v>
      </c>
      <c r="D14" s="8" t="n">
        <f aca="false">Datos!$B$25+Datos!$B$26</f>
        <v>4</v>
      </c>
      <c r="E14" s="6" t="n">
        <f aca="false">(Datos!$B$25*Piezas!$F$13*Piezas!$G$13+Datos!$B$26*Piezas!$F$12*Piezas!$G$12)/(B14*C14)</f>
        <v>0.79086</v>
      </c>
      <c r="F14" s="27" t="n">
        <f aca="false">Piezas!$G$13</f>
        <v>1210.5</v>
      </c>
      <c r="G14" s="5" t="n">
        <v>1</v>
      </c>
      <c r="H14" s="5" t="n">
        <f aca="false">D14</f>
        <v>4</v>
      </c>
      <c r="I14" s="27" t="n">
        <f aca="false">MAX(Piezas!$F$13,Piezas!$F$12)</f>
        <v>900</v>
      </c>
      <c r="J14" s="27" t="n">
        <f aca="false">IF(F14&lt;=Datos!$B$32,F14,B14-F14*G14)</f>
        <v>289.5</v>
      </c>
      <c r="K14" s="31" t="str">
        <f aca="false">IF(AND(I14&lt;=Datos!$B$35,F14&lt;=Datos!$B$34),"G2","G1")</f>
        <v>G1</v>
      </c>
      <c r="L14" s="5" t="n">
        <f aca="false">INT(IF(K14="G2",Datos!$B$34,Datos!$B$31)/F14)</f>
        <v>2</v>
      </c>
      <c r="M14" s="18" t="n">
        <f aca="false">G14+IF(K14="G1",G14*H14/L14,0)</f>
        <v>3</v>
      </c>
      <c r="N14" s="18" t="n">
        <f aca="false">IF(K14="G2",G14*H14/L14,0)</f>
        <v>0</v>
      </c>
      <c r="O14" s="18" t="n">
        <f aca="false">M14/Datos!$B$30+N14/Datos!$B$33</f>
        <v>0.3</v>
      </c>
      <c r="P14" s="32" t="n">
        <f aca="false">B14*C14*Piezas!$E$13*Datos!$B$10/1000000</f>
        <v>168.22125</v>
      </c>
      <c r="Q14" s="18" t="n">
        <f aca="false">P14*INDEX(Datos!$C$90:$C$95,MATCH(Piezas!$E$13,Datos!$A$90:$A$95,0))</f>
        <v>183.525572912621</v>
      </c>
      <c r="R14" s="30" t="str">
        <f aca="false">IF(AND(Piezas!$G$12&lt;=B14,Piezas!$G$13&lt;=B14,Datos!$B$25*Piezas!$F$13+Datos!$B$26*Piezas!$F$12&lt;=C14),"OK: 1 de 100 kg y 3 de 70 kg","No entra")</f>
        <v>OK: 1 de 100 kg y 3 de 70 kg</v>
      </c>
    </row>
    <row r="15" customFormat="false" ht="15" hidden="false" customHeight="false" outlineLevel="0" collapsed="false">
      <c r="A15" s="2" t="s">
        <v>380</v>
      </c>
    </row>
    <row r="17" customFormat="false" ht="15" hidden="false" customHeight="false" outlineLevel="0" collapsed="false">
      <c r="A17" s="11" t="s">
        <v>381</v>
      </c>
    </row>
    <row r="18" customFormat="false" ht="35.05" hidden="false" customHeight="false" outlineLevel="0" collapsed="false">
      <c r="A18" s="3" t="s">
        <v>150</v>
      </c>
      <c r="B18" s="3" t="s">
        <v>382</v>
      </c>
      <c r="C18" s="3" t="s">
        <v>383</v>
      </c>
      <c r="D18" s="3" t="s">
        <v>384</v>
      </c>
      <c r="E18" s="3" t="s">
        <v>365</v>
      </c>
      <c r="F18" s="3" t="s">
        <v>385</v>
      </c>
      <c r="G18" s="3" t="s">
        <v>386</v>
      </c>
      <c r="H18" s="3" t="s">
        <v>387</v>
      </c>
      <c r="I18" s="3" t="s">
        <v>388</v>
      </c>
    </row>
    <row r="19" customFormat="false" ht="15" hidden="false" customHeight="false" outlineLevel="0" collapsed="false">
      <c r="A19" s="4" t="s">
        <v>288</v>
      </c>
      <c r="B19" s="16" t="n">
        <v>1220</v>
      </c>
      <c r="C19" s="5" t="n">
        <f aca="false">IF(INT((B19-Datos!$B$19)/Piezas!$F$6)*Piezas!$F$6/B19&gt;=INT((B19-Datos!$B$19)/Piezas!$G$6)*Piezas!$G$6/B19,INT((B19-Datos!$B$19)/Piezas!$F$6),INT((B19-Datos!$B$19)/Piezas!$G$6))</f>
        <v>5</v>
      </c>
      <c r="D19" s="27" t="n">
        <f aca="false">IF(INT((B19-Datos!$B$19)/Piezas!$F$6)*Piezas!$F$6/B19&gt;=INT((B19-Datos!$B$19)/Piezas!$G$6)*Piezas!$G$6/B19,Piezas!$G$6,Piezas!$F$6)</f>
        <v>263.5</v>
      </c>
      <c r="E19" s="6" t="n">
        <f aca="false">MAX(INT((B19-Datos!$B$19)/Piezas!$F$6)*Piezas!$F$6/B19,INT((B19-Datos!$B$19)/Piezas!$G$6)*Piezas!$G$6/B19)*(1-Datos!$B$20)</f>
        <v>0.964415983606557</v>
      </c>
      <c r="F19" s="28" t="n">
        <f aca="false">Piezas!$H$6/E19</f>
        <v>0.457682816080402</v>
      </c>
      <c r="G19" s="18" t="n">
        <f aca="false">F19*INDEX(Datos!$B$90:$B$95,MATCH(Piezas!$E$6,Datos!$A$90:$A$95,0))</f>
        <v>0.577984744287136</v>
      </c>
      <c r="H19" s="27" t="n">
        <f aca="false">MIN(ROUNDDOWN(MIN(B19*Datos!$B$52,Datos!$B$53)*2,0)/2,MAX(Datos!$B$49,ROUNDUP(INDEX(Demanda!$C$6:$L$6,Datos!$B$6-2025)*F19/1000/12*Datos!$B$47*2,0)/2))</f>
        <v>8</v>
      </c>
      <c r="I19" s="18" t="n">
        <f aca="false">Piezas!$H$6*INDEX(Datos!$F$90:$F$95,MATCH(Piezas!$E$6,Datos!$A$90:$A$95,0))</f>
        <v>0.598577960789325</v>
      </c>
    </row>
    <row r="20" customFormat="false" ht="15" hidden="false" customHeight="false" outlineLevel="0" collapsed="false">
      <c r="A20" s="4" t="s">
        <v>290</v>
      </c>
      <c r="B20" s="16" t="n">
        <v>1220</v>
      </c>
      <c r="C20" s="5" t="n">
        <f aca="false">IF(INT((B20-Datos!$B$19)/Piezas!$F$7)*Piezas!$F$7/B20&gt;=INT((B20-Datos!$B$19)/Piezas!$G$7)*Piezas!$G$7/B20,INT((B20-Datos!$B$19)/Piezas!$F$7),INT((B20-Datos!$B$19)/Piezas!$G$7))</f>
        <v>3</v>
      </c>
      <c r="D20" s="27" t="n">
        <f aca="false">IF(INT((B20-Datos!$B$19)/Piezas!$F$7)*Piezas!$F$7/B20&gt;=INT((B20-Datos!$B$19)/Piezas!$G$7)*Piezas!$G$7/B20,Piezas!$G$7,Piezas!$F$7)</f>
        <v>267.5</v>
      </c>
      <c r="E20" s="6" t="n">
        <f aca="false">MAX(INT((B20-Datos!$B$19)/Piezas!$F$7)*Piezas!$F$7/B20,INT((B20-Datos!$B$19)/Piezas!$G$7)*Piezas!$G$7/B20)*(1-Datos!$B$20)</f>
        <v>0.94321106557377</v>
      </c>
      <c r="F20" s="28" t="n">
        <f aca="false">Piezas!$H$7/E20</f>
        <v>1.07553371021776</v>
      </c>
      <c r="G20" s="18" t="n">
        <f aca="false">F20*INDEX(Datos!$B$90:$B$95,MATCH(Piezas!$E$7,Datos!$A$90:$A$95,0))</f>
        <v>1.34501943664992</v>
      </c>
      <c r="H20" s="27" t="n">
        <f aca="false">MIN(ROUNDDOWN(MIN(B20*Datos!$B$52,Datos!$B$53)*2,0)/2,MAX(Datos!$B$49,ROUNDUP(INDEX(Demanda!$C$7:$L$7,Datos!$B$6-2025)*F20/1000/12*Datos!$B$47*2,0)/2))</f>
        <v>1.5</v>
      </c>
      <c r="I20" s="18" t="n">
        <f aca="false">Piezas!$H$7*INDEX(Datos!$F$90:$F$95,MATCH(Piezas!$E$7,Datos!$A$90:$A$95,0))</f>
        <v>1.44661325334375</v>
      </c>
    </row>
    <row r="21" customFormat="false" ht="15" hidden="false" customHeight="false" outlineLevel="0" collapsed="false">
      <c r="A21" s="4" t="s">
        <v>291</v>
      </c>
      <c r="B21" s="16" t="n">
        <v>1000</v>
      </c>
      <c r="C21" s="5" t="n">
        <f aca="false">IF(INT((B21-Datos!$B$19)/Piezas!$F$8)*Piezas!$F$8/B21&gt;=INT((B21-Datos!$B$19)/Piezas!$G$8)*Piezas!$G$8/B21,INT((B21-Datos!$B$19)/Piezas!$F$8),INT((B21-Datos!$B$19)/Piezas!$G$8))</f>
        <v>3</v>
      </c>
      <c r="D21" s="27" t="n">
        <f aca="false">IF(INT((B21-Datos!$B$19)/Piezas!$F$8)*Piezas!$F$8/B21&gt;=INT((B21-Datos!$B$19)/Piezas!$G$8)*Piezas!$G$8/B21,Piezas!$G$8,Piezas!$F$8)</f>
        <v>475.5</v>
      </c>
      <c r="E21" s="6" t="n">
        <f aca="false">MAX(INT((B21-Datos!$B$19)/Piezas!$F$8)*Piezas!$F$8/B21,INT((B21-Datos!$B$19)/Piezas!$G$8)*Piezas!$G$8/B21)*(1-Datos!$B$20)</f>
        <v>0.9775875</v>
      </c>
      <c r="F21" s="28" t="n">
        <f aca="false">Piezas!$H$8/E21</f>
        <v>2.00586130653266</v>
      </c>
      <c r="G21" s="18" t="n">
        <f aca="false">F21*INDEX(Datos!$B$90:$B$95,MATCH(Piezas!$E$8,Datos!$A$90:$A$95,0))</f>
        <v>2.50844991549749</v>
      </c>
      <c r="H21" s="27" t="n">
        <f aca="false">MIN(ROUNDDOWN(MIN(B21*Datos!$B$52,Datos!$B$53)*2,0)/2,MAX(Datos!$B$49,ROUNDUP(INDEX(Demanda!$C$8:$L$8,Datos!$B$6-2025)*F21/1000/12*Datos!$B$47*2,0)/2))</f>
        <v>10</v>
      </c>
      <c r="I21" s="18" t="n">
        <f aca="false">Piezas!$H$8*INDEX(Datos!$F$90:$F$95,MATCH(Piezas!$E$8,Datos!$A$90:$A$95,0))</f>
        <v>2.84919487782</v>
      </c>
    </row>
    <row r="22" customFormat="false" ht="15" hidden="false" customHeight="false" outlineLevel="0" collapsed="false">
      <c r="A22" s="4" t="s">
        <v>292</v>
      </c>
      <c r="B22" s="16" t="n">
        <v>1000</v>
      </c>
      <c r="C22" s="5" t="n">
        <f aca="false">IF(INT((B22-Datos!$B$19)/Piezas!$F$9)*Piezas!$F$9/B22&gt;=INT((B22-Datos!$B$19)/Piezas!$G$9)*Piezas!$G$9/B22,INT((B22-Datos!$B$19)/Piezas!$F$9),INT((B22-Datos!$B$19)/Piezas!$G$9))</f>
        <v>2</v>
      </c>
      <c r="D22" s="27" t="n">
        <f aca="false">IF(INT((B22-Datos!$B$19)/Piezas!$F$9)*Piezas!$F$9/B22&gt;=INT((B22-Datos!$B$19)/Piezas!$G$9)*Piezas!$G$9/B22,Piezas!$G$9,Piezas!$F$9)</f>
        <v>564</v>
      </c>
      <c r="E22" s="6" t="n">
        <f aca="false">MAX(INT((B22-Datos!$B$19)/Piezas!$F$9)*Piezas!$F$9/B22,INT((B22-Datos!$B$19)/Piezas!$G$9)*Piezas!$G$9/B22)*(1-Datos!$B$20)</f>
        <v>0.98107</v>
      </c>
      <c r="F22" s="28" t="n">
        <f aca="false">Piezas!$H$9/E22</f>
        <v>4.46098492462312</v>
      </c>
      <c r="G22" s="18" t="n">
        <f aca="false">F22*INDEX(Datos!$B$90:$B$95,MATCH(Piezas!$E$9,Datos!$A$90:$A$95,0))</f>
        <v>5.6335548120603</v>
      </c>
      <c r="H22" s="27" t="n">
        <f aca="false">MIN(ROUNDDOWN(MIN(B22*Datos!$B$52,Datos!$B$53)*2,0)/2,MAX(Datos!$B$49,ROUNDUP(INDEX(Demanda!$C$9:$L$9,Datos!$B$6-2025)*F22/1000/12*Datos!$B$47*2,0)/2))</f>
        <v>1.5</v>
      </c>
      <c r="I22" s="18" t="n">
        <f aca="false">Piezas!$H$9*INDEX(Datos!$F$90:$F$95,MATCH(Piezas!$E$9,Datos!$A$90:$A$95,0))</f>
        <v>6.25407348792</v>
      </c>
    </row>
    <row r="23" customFormat="false" ht="15" hidden="false" customHeight="false" outlineLevel="0" collapsed="false">
      <c r="A23" s="4" t="s">
        <v>293</v>
      </c>
      <c r="B23" s="16" t="n">
        <v>1500</v>
      </c>
      <c r="C23" s="5" t="n">
        <f aca="false">IF(INT((B23-Datos!$B$19)/Piezas!$F$10)*Piezas!$F$10/B23&gt;=INT((B23-Datos!$B$19)/Piezas!$G$10)*Piezas!$G$10/B23,INT((B23-Datos!$B$19)/Piezas!$F$10),INT((B23-Datos!$B$19)/Piezas!$G$10))</f>
        <v>3</v>
      </c>
      <c r="D23" s="27" t="n">
        <f aca="false">IF(INT((B23-Datos!$B$19)/Piezas!$F$10)*Piezas!$F$10/B23&gt;=INT((B23-Datos!$B$19)/Piezas!$G$10)*Piezas!$G$10/B23,Piezas!$G$10,Piezas!$F$10)</f>
        <v>858.5</v>
      </c>
      <c r="E23" s="6" t="n">
        <f aca="false">MAX(INT((B23-Datos!$B$19)/Piezas!$F$10)*Piezas!$F$10/B23,INT((B23-Datos!$B$19)/Piezas!$G$10)*Piezas!$G$10/B23)*(1-Datos!$B$20)</f>
        <v>0.98107</v>
      </c>
      <c r="F23" s="28" t="n">
        <f aca="false">Piezas!$H$10/E23</f>
        <v>10.8645547738693</v>
      </c>
      <c r="G23" s="18" t="n">
        <f aca="false">F23*INDEX(Datos!$B$90:$B$95,MATCH(Piezas!$E$10,Datos!$A$90:$A$95,0))</f>
        <v>12.1001805883015</v>
      </c>
      <c r="H23" s="27" t="n">
        <f aca="false">MIN(ROUNDDOWN(MIN(B23*Datos!$B$52,Datos!$B$53)*2,0)/2,MAX(Datos!$B$49,ROUNDUP(INDEX(Demanda!$C$10:$L$10,Datos!$B$6-2025)*F23/1000/12*Datos!$B$47*2,0)/2))</f>
        <v>1</v>
      </c>
      <c r="I23" s="18" t="n">
        <f aca="false">Piezas!$H$10*INDEX(Datos!$F$90:$F$95,MATCH(Piezas!$E$10,Datos!$A$90:$A$95,0))</f>
        <v>13.387564272512</v>
      </c>
    </row>
    <row r="24" customFormat="false" ht="15" hidden="false" customHeight="false" outlineLevel="0" collapsed="false">
      <c r="A24" s="4" t="s">
        <v>295</v>
      </c>
      <c r="B24" s="16" t="n">
        <v>1500</v>
      </c>
      <c r="C24" s="5" t="n">
        <f aca="false">IF(INT((B24-Datos!$B$19)/Piezas!$F$11)*Piezas!$F$11/B24&gt;=INT((B24-Datos!$B$19)/Piezas!$G$11)*Piezas!$G$11/B24,INT((B24-Datos!$B$19)/Piezas!$F$11),INT((B24-Datos!$B$19)/Piezas!$G$11))</f>
        <v>2</v>
      </c>
      <c r="D24" s="27" t="n">
        <f aca="false">IF(INT((B24-Datos!$B$19)/Piezas!$F$11)*Piezas!$F$11/B24&gt;=INT((B24-Datos!$B$19)/Piezas!$G$11)*Piezas!$G$11/B24,Piezas!$G$11,Piezas!$F$11)</f>
        <v>995.5</v>
      </c>
      <c r="E24" s="6" t="n">
        <f aca="false">MAX(INT((B24-Datos!$B$19)/Piezas!$F$11)*Piezas!$F$11/B24,INT((B24-Datos!$B$19)/Piezas!$G$11)*Piezas!$G$11/B24)*(1-Datos!$B$20)</f>
        <v>0.849066666666667</v>
      </c>
      <c r="F24" s="28" t="n">
        <f aca="false">Piezas!$H$11/E24</f>
        <v>18.8974914572864</v>
      </c>
      <c r="G24" s="18" t="n">
        <f aca="false">F24*INDEX(Datos!$B$90:$B$95,MATCH(Piezas!$E$11,Datos!$A$90:$A$95,0))</f>
        <v>21.0467031607236</v>
      </c>
      <c r="H24" s="27" t="n">
        <f aca="false">MIN(ROUNDDOWN(MIN(B24*Datos!$B$52,Datos!$B$53)*2,0)/2,MAX(Datos!$B$49,ROUNDUP(INDEX(Demanda!$C$11:$L$11,Datos!$B$6-2025)*F24/1000/12*Datos!$B$47*2,0)/2))</f>
        <v>3</v>
      </c>
      <c r="I24" s="18" t="n">
        <f aca="false">Piezas!$H$11*INDEX(Datos!$F$90:$F$95,MATCH(Piezas!$E$11,Datos!$A$90:$A$95,0))</f>
        <v>20.15280898048</v>
      </c>
    </row>
    <row r="25" customFormat="false" ht="15" hidden="false" customHeight="false" outlineLevel="0" collapsed="false">
      <c r="A25" s="4" t="s">
        <v>296</v>
      </c>
      <c r="B25" s="16" t="n">
        <v>1245</v>
      </c>
      <c r="C25" s="5" t="n">
        <f aca="false">IF(INT((B25-Datos!$B$19)/Piezas!$F$12)*Piezas!$F$12/B25&gt;=INT((B25-Datos!$B$19)/Piezas!$G$12)*Piezas!$G$12/B25,INT((B25-Datos!$B$19)/Piezas!$F$12),INT((B25-Datos!$B$19)/Piezas!$G$12))</f>
        <v>1</v>
      </c>
      <c r="D25" s="27" t="n">
        <f aca="false">IF(INT((B25-Datos!$B$19)/Piezas!$F$12)*Piezas!$F$12/B25&gt;=INT((B25-Datos!$B$19)/Piezas!$G$12)*Piezas!$G$12/B25,Piezas!$G$12,Piezas!$F$12)</f>
        <v>680</v>
      </c>
      <c r="E25" s="6" t="n">
        <f aca="false">MAX(INT((B25-Datos!$B$19)/Piezas!$F$12)*Piezas!$F$12/B25,INT((B25-Datos!$B$19)/Piezas!$G$12)*Piezas!$G$12/B25)*(1-Datos!$B$20)</f>
        <v>0.967427710843374</v>
      </c>
      <c r="F25" s="28" t="n">
        <f aca="false">Piezas!$H$12/E25</f>
        <v>31.807059798995</v>
      </c>
      <c r="G25" s="18" t="n">
        <f aca="false">F25*INDEX(Datos!$B$90:$B$95,MATCH(Piezas!$E$12,Datos!$A$90:$A$95,0))</f>
        <v>35.4244767099347</v>
      </c>
      <c r="H25" s="27" t="n">
        <f aca="false">MIN(ROUNDDOWN(MIN(B25*Datos!$B$52,Datos!$B$53)*2,0)/2,MAX(Datos!$B$49,ROUNDUP(INDEX(Demanda!$C$12:$L$12,Datos!$B$6-2025)*F25/1000/12*Datos!$B$47*2,0)/2))</f>
        <v>1</v>
      </c>
      <c r="I25" s="18" t="n">
        <f aca="false">Piezas!$H$12*INDEX(Datos!$F$90:$F$95,MATCH(Piezas!$E$12,Datos!$A$90:$A$95,0))</f>
        <v>38.0329943778</v>
      </c>
    </row>
    <row r="26" customFormat="false" ht="15" hidden="false" customHeight="false" outlineLevel="0" collapsed="false">
      <c r="A26" s="4" t="s">
        <v>297</v>
      </c>
      <c r="B26" s="16" t="n">
        <v>1245</v>
      </c>
      <c r="C26" s="5" t="n">
        <f aca="false">IF(INT((B26-Datos!$B$19)/Piezas!$F$13)*Piezas!$F$13/B26&gt;=INT((B26-Datos!$B$19)/Piezas!$G$13)*Piezas!$G$13/B26,INT((B26-Datos!$B$19)/Piezas!$F$13),INT((B26-Datos!$B$19)/Piezas!$G$13))</f>
        <v>1</v>
      </c>
      <c r="D26" s="27" t="n">
        <f aca="false">IF(INT((B26-Datos!$B$19)/Piezas!$F$13)*Piezas!$F$13/B26&gt;=INT((B26-Datos!$B$19)/Piezas!$G$13)*Piezas!$G$13/B26,Piezas!$G$13,Piezas!$F$13)</f>
        <v>900</v>
      </c>
      <c r="E26" s="6" t="n">
        <f aca="false">MAX(INT((B26-Datos!$B$19)/Piezas!$F$13)*Piezas!$F$13/B26,INT((B26-Datos!$B$19)/Piezas!$G$13)*Piezas!$G$13/B26)*(1-Datos!$B$20)</f>
        <v>0.967427710843374</v>
      </c>
      <c r="F26" s="28" t="n">
        <f aca="false">Piezas!$H$13/E26</f>
        <v>42.0975791457286</v>
      </c>
      <c r="G26" s="18" t="n">
        <f aca="false">F26*INDEX(Datos!$B$90:$B$95,MATCH(Piezas!$E$13,Datos!$A$90:$A$95,0))</f>
        <v>46.8853368219724</v>
      </c>
      <c r="H26" s="27" t="n">
        <f aca="false">MIN(ROUNDDOWN(MIN(B26*Datos!$B$52,Datos!$B$53)*2,0)/2,MAX(Datos!$B$49,ROUNDUP(INDEX(Demanda!$C$13:$L$13,Datos!$B$6-2025)*F26/1000/12*Datos!$B$47*2,0)/2))</f>
        <v>1</v>
      </c>
      <c r="I26" s="18" t="n">
        <f aca="false">Piezas!$H$13*INDEX(Datos!$F$90:$F$95,MATCH(Piezas!$E$13,Datos!$A$90:$A$95,0))</f>
        <v>50.3377866765</v>
      </c>
    </row>
    <row r="29" customFormat="false" ht="15" hidden="false" customHeight="false" outlineLevel="0" collapsed="false">
      <c r="A29" s="11" t="s">
        <v>389</v>
      </c>
    </row>
    <row r="30" customFormat="false" ht="23.85" hidden="false" customHeight="false" outlineLevel="0" collapsed="false">
      <c r="A30" s="3" t="s">
        <v>325</v>
      </c>
      <c r="B30" s="3" t="s">
        <v>390</v>
      </c>
      <c r="C30" s="3" t="s">
        <v>145</v>
      </c>
      <c r="D30" s="3" t="s">
        <v>391</v>
      </c>
      <c r="E30" s="3" t="s">
        <v>392</v>
      </c>
      <c r="F30" s="3" t="s">
        <v>393</v>
      </c>
      <c r="G30" s="3" t="s">
        <v>394</v>
      </c>
      <c r="H30" s="3" t="s">
        <v>395</v>
      </c>
      <c r="I30" s="3" t="s">
        <v>396</v>
      </c>
      <c r="J30" s="3" t="s">
        <v>397</v>
      </c>
      <c r="K30" s="3" t="s">
        <v>398</v>
      </c>
      <c r="L30" s="3" t="s">
        <v>399</v>
      </c>
      <c r="M30" s="3" t="s">
        <v>400</v>
      </c>
      <c r="N30" s="3" t="s">
        <v>401</v>
      </c>
      <c r="O30" s="3" t="s">
        <v>402</v>
      </c>
      <c r="P30" s="3" t="s">
        <v>403</v>
      </c>
      <c r="Q30" s="3" t="s">
        <v>404</v>
      </c>
      <c r="R30" s="3" t="s">
        <v>405</v>
      </c>
      <c r="S30" s="3" t="s">
        <v>406</v>
      </c>
    </row>
    <row r="31" customFormat="false" ht="15" hidden="false" customHeight="false" outlineLevel="0" collapsed="false">
      <c r="A31" s="4" t="s">
        <v>407</v>
      </c>
      <c r="B31" s="27" t="n">
        <f aca="false">Piezas!$L$18</f>
        <v>89</v>
      </c>
      <c r="C31" s="22" t="n">
        <f aca="false">Piezas!$D$18</f>
        <v>0.9</v>
      </c>
      <c r="D31" s="18" t="n">
        <f aca="false">MAX(Datos!$B$21*C31,Datos!$B$22)</f>
        <v>1.35</v>
      </c>
      <c r="E31" s="18" t="n">
        <f aca="false">Datos!$B$23*D31</f>
        <v>2.025</v>
      </c>
      <c r="F31" s="27" t="n">
        <f aca="false">B31+2*E31</f>
        <v>93.05</v>
      </c>
      <c r="G31" s="27" t="n">
        <f aca="false">B31+D31</f>
        <v>90.35</v>
      </c>
      <c r="H31" s="6" t="n">
        <f aca="false">PI()*B31^2/4/(F31*G31)*(1-Datos!$B$20)</f>
        <v>0.736289218328488</v>
      </c>
      <c r="I31" s="28" t="n">
        <f aca="false">Piezas!$S$18/H31</f>
        <v>0.0598464915603015</v>
      </c>
      <c r="J31" s="28" t="n">
        <f aca="false">I31*INDEX(Datos!$D$90:$D$95,MATCH(C31,Datos!$A$90:$A$95,0))</f>
        <v>0.0755771418669268</v>
      </c>
      <c r="K31" s="27" t="n">
        <f aca="false">MIN(ROUNDDOWN(MIN(F31*Datos!$B$52,Datos!$B$54)*2,0)/2,MAX(Datos!$B$49,ROUNDUP(INDEX(Demanda!$C$6:$L$6,Datos!$B$6-2025)*I31/1000/12*Datos!$B$47*2,0)/2))</f>
        <v>1</v>
      </c>
      <c r="L31" s="16" t="n">
        <v>1220</v>
      </c>
      <c r="M31" s="16" t="n">
        <v>2440</v>
      </c>
      <c r="N31" s="5" t="n">
        <f aca="false">IF(INT(L31/F31)*INT((M31-D31)/G31)&gt;=INT(M31/F31)*INT((L31-D31)/G31),INT(L31/F31),INT(M31/F31))</f>
        <v>13</v>
      </c>
      <c r="O31" s="5" t="n">
        <f aca="false">IF(INT(L31/F31)*INT((M31-D31)/G31)&gt;=INT(M31/F31)*INT((L31-D31)/G31),INT((M31-D31)/G31),INT((L31-D31)/G31))</f>
        <v>26</v>
      </c>
      <c r="P31" s="5" t="n">
        <f aca="false">N31*O31</f>
        <v>338</v>
      </c>
      <c r="Q31" s="6" t="n">
        <f aca="false">P31*PI()*B31^2/4/(L31*M31)</f>
        <v>0.706377631035898</v>
      </c>
      <c r="R31" s="28" t="n">
        <f aca="false">L31*M31*C31*Datos!$B$10/1000000/P31</f>
        <v>0.0623806934911243</v>
      </c>
      <c r="S31" s="28" t="n">
        <f aca="false">R31*INDEX(Datos!$C$90:$C$95,MATCH(C31,Datos!$A$90:$A$95,0))</f>
        <v>0.0845944584433136</v>
      </c>
    </row>
    <row r="32" customFormat="false" ht="15" hidden="false" customHeight="false" outlineLevel="0" collapsed="false">
      <c r="A32" s="4" t="s">
        <v>408</v>
      </c>
      <c r="B32" s="27" t="n">
        <f aca="false">Piezas!$L$19</f>
        <v>95</v>
      </c>
      <c r="C32" s="22" t="n">
        <f aca="false">Piezas!$D$19</f>
        <v>1.25</v>
      </c>
      <c r="D32" s="18" t="n">
        <f aca="false">MAX(Datos!$B$21*C32,Datos!$B$22)</f>
        <v>1.875</v>
      </c>
      <c r="E32" s="18" t="n">
        <f aca="false">Datos!$B$23*D32</f>
        <v>2.8125</v>
      </c>
      <c r="F32" s="27" t="n">
        <f aca="false">B32+2*E32</f>
        <v>100.625</v>
      </c>
      <c r="G32" s="27" t="n">
        <f aca="false">B32+D32</f>
        <v>96.875</v>
      </c>
      <c r="H32" s="6" t="n">
        <f aca="false">PI()*B32^2/4/(F32*G32)*(1-Datos!$B$20)</f>
        <v>0.723506710931636</v>
      </c>
      <c r="I32" s="28" t="n">
        <f aca="false">Piezas!$S$19/H32</f>
        <v>0.0963783026460428</v>
      </c>
      <c r="J32" s="28" t="n">
        <f aca="false">I32*INDEX(Datos!$D$90:$D$95,MATCH(C32,Datos!$A$90:$A$95,0))</f>
        <v>0.114304666938207</v>
      </c>
      <c r="K32" s="27" t="n">
        <f aca="false">MIN(ROUNDDOWN(MIN(F32*Datos!$B$52,Datos!$B$54)*2,0)/2,MAX(Datos!$B$49,ROUNDUP(INDEX(Demanda!$C$6:$L$6,Datos!$B$6-2025)*I32/1000/12*Datos!$B$47*2,0)/2))</f>
        <v>1</v>
      </c>
      <c r="L32" s="16" t="n">
        <v>1220</v>
      </c>
      <c r="M32" s="16" t="n">
        <v>2440</v>
      </c>
      <c r="N32" s="5" t="n">
        <f aca="false">IF(INT(L32/F32)*INT((M32-D32)/G32)&gt;=INT(M32/F32)*INT((L32-D32)/G32),INT(L32/F32),INT(M32/F32))</f>
        <v>12</v>
      </c>
      <c r="O32" s="5" t="n">
        <f aca="false">IF(INT(L32/F32)*INT((M32-D32)/G32)&gt;=INT(M32/F32)*INT((L32-D32)/G32),INT((M32-D32)/G32),INT((L32-D32)/G32))</f>
        <v>25</v>
      </c>
      <c r="P32" s="5" t="n">
        <f aca="false">N32*O32</f>
        <v>300</v>
      </c>
      <c r="Q32" s="6" t="n">
        <f aca="false">P32*PI()*B32^2/4/(L32*M32)</f>
        <v>0.714346119120731</v>
      </c>
      <c r="R32" s="28" t="n">
        <f aca="false">L32*M32*C32*Datos!$B$10/1000000/P32</f>
        <v>0.0976142333333333</v>
      </c>
      <c r="S32" s="28" t="n">
        <f aca="false">R32*INDEX(Datos!$C$90:$C$95,MATCH(C32,Datos!$A$90:$A$95,0))</f>
        <v>0.125951424137433</v>
      </c>
    </row>
    <row r="33" customFormat="false" ht="15" hidden="false" customHeight="false" outlineLevel="0" collapsed="false">
      <c r="A33" s="4" t="s">
        <v>409</v>
      </c>
      <c r="B33" s="27" t="n">
        <f aca="false">Piezas!$L$20</f>
        <v>156.5</v>
      </c>
      <c r="C33" s="22" t="n">
        <f aca="false">Piezas!$D$20</f>
        <v>1.25</v>
      </c>
      <c r="D33" s="18" t="n">
        <f aca="false">MAX(Datos!$B$21*C33,Datos!$B$22)</f>
        <v>1.875</v>
      </c>
      <c r="E33" s="18" t="n">
        <f aca="false">Datos!$B$23*D33</f>
        <v>2.8125</v>
      </c>
      <c r="F33" s="27" t="n">
        <f aca="false">B33+2*E33</f>
        <v>162.125</v>
      </c>
      <c r="G33" s="27" t="n">
        <f aca="false">B33+D33</f>
        <v>158.375</v>
      </c>
      <c r="H33" s="6" t="n">
        <f aca="false">PI()*B33^2/4/(F33*G33)*(1-Datos!$B$20)</f>
        <v>0.745426844965258</v>
      </c>
      <c r="I33" s="28" t="n">
        <f aca="false">Piezas!$S$20/H33</f>
        <v>0.253862341590766</v>
      </c>
      <c r="J33" s="28" t="n">
        <f aca="false">I33*INDEX(Datos!$D$90:$D$95,MATCH(C33,Datos!$A$90:$A$95,0))</f>
        <v>0.301080737126649</v>
      </c>
      <c r="K33" s="27" t="n">
        <f aca="false">MIN(ROUNDDOWN(MIN(F33*Datos!$B$52,Datos!$B$54)*2,0)/2,MAX(Datos!$B$49,ROUNDUP(INDEX(Demanda!$C$7:$L$7,Datos!$B$6-2025)*I33/1000/12*Datos!$B$47*2,0)/2))</f>
        <v>0.5</v>
      </c>
      <c r="L33" s="16" t="n">
        <v>1220</v>
      </c>
      <c r="M33" s="16" t="n">
        <v>2440</v>
      </c>
      <c r="N33" s="5" t="n">
        <f aca="false">IF(INT(L33/F33)*INT((M33-D33)/G33)&gt;=INT(M33/F33)*INT((L33-D33)/G33),INT(L33/F33),INT(M33/F33))</f>
        <v>7</v>
      </c>
      <c r="O33" s="5" t="n">
        <f aca="false">IF(INT(L33/F33)*INT((M33-D33)/G33)&gt;=INT(M33/F33)*INT((L33-D33)/G33),INT((M33-D33)/G33),INT((L33-D33)/G33))</f>
        <v>15</v>
      </c>
      <c r="P33" s="5" t="n">
        <f aca="false">N33*O33</f>
        <v>105</v>
      </c>
      <c r="Q33" s="6" t="n">
        <f aca="false">P33*PI()*B33^2/4/(L33*M33)</f>
        <v>0.678513053475031</v>
      </c>
      <c r="R33" s="28" t="n">
        <f aca="false">L33*M33*C33*Datos!$B$10/1000000/P33</f>
        <v>0.27889780952381</v>
      </c>
      <c r="S33" s="28" t="n">
        <f aca="false">R33*INDEX(Datos!$C$90:$C$95,MATCH(C33,Datos!$A$90:$A$95,0))</f>
        <v>0.359861211821236</v>
      </c>
    </row>
    <row r="34" customFormat="false" ht="15" hidden="false" customHeight="false" outlineLevel="0" collapsed="false">
      <c r="A34" s="4" t="s">
        <v>410</v>
      </c>
      <c r="B34" s="27" t="n">
        <f aca="false">Piezas!$L$21</f>
        <v>140.5</v>
      </c>
      <c r="C34" s="22" t="n">
        <f aca="false">Piezas!$D$21</f>
        <v>1.25</v>
      </c>
      <c r="D34" s="18" t="n">
        <f aca="false">MAX(Datos!$B$21*C34,Datos!$B$22)</f>
        <v>1.875</v>
      </c>
      <c r="E34" s="18" t="n">
        <f aca="false">Datos!$B$23*D34</f>
        <v>2.8125</v>
      </c>
      <c r="F34" s="27" t="n">
        <f aca="false">B34+2*E34</f>
        <v>146.125</v>
      </c>
      <c r="G34" s="27" t="n">
        <f aca="false">B34+D34</f>
        <v>142.375</v>
      </c>
      <c r="H34" s="6" t="n">
        <f aca="false">PI()*B34^2/4/(F34*G34)*(1-Datos!$B$20)</f>
        <v>0.741493501743544</v>
      </c>
      <c r="I34" s="28" t="n">
        <f aca="false">Piezas!$S$21/H34</f>
        <v>0.205693195862123</v>
      </c>
      <c r="J34" s="28" t="n">
        <f aca="false">I34*INDEX(Datos!$D$90:$D$95,MATCH(C34,Datos!$A$90:$A$95,0))</f>
        <v>0.243952130292478</v>
      </c>
      <c r="K34" s="27" t="n">
        <f aca="false">MIN(ROUNDDOWN(MIN(F34*Datos!$B$52,Datos!$B$54)*2,0)/2,MAX(Datos!$B$49,ROUNDUP(INDEX(Demanda!$C$7:$L$7,Datos!$B$6-2025)*I34/1000/12*Datos!$B$47*2,0)/2))</f>
        <v>0.5</v>
      </c>
      <c r="L34" s="16" t="n">
        <v>1220</v>
      </c>
      <c r="M34" s="16" t="n">
        <v>2440</v>
      </c>
      <c r="N34" s="5" t="n">
        <f aca="false">IF(INT(L34/F34)*INT((M34-D34)/G34)&gt;=INT(M34/F34)*INT((L34-D34)/G34),INT(L34/F34),INT(M34/F34))</f>
        <v>8</v>
      </c>
      <c r="O34" s="5" t="n">
        <f aca="false">IF(INT(L34/F34)*INT((M34-D34)/G34)&gt;=INT(M34/F34)*INT((L34-D34)/G34),INT((M34-D34)/G34),INT((L34-D34)/G34))</f>
        <v>17</v>
      </c>
      <c r="P34" s="5" t="n">
        <f aca="false">N34*O34</f>
        <v>136</v>
      </c>
      <c r="Q34" s="6" t="n">
        <f aca="false">P34*PI()*B34^2/4/(L34*M34)</f>
        <v>0.708323713020989</v>
      </c>
      <c r="R34" s="28" t="n">
        <f aca="false">L34*M34*C34*Datos!$B$10/1000000/P34</f>
        <v>0.215325514705882</v>
      </c>
      <c r="S34" s="28" t="n">
        <f aca="false">R34*INDEX(Datos!$C$90:$C$95,MATCH(C34,Datos!$A$90:$A$95,0))</f>
        <v>0.277834023832572</v>
      </c>
    </row>
    <row r="35" customFormat="false" ht="15" hidden="false" customHeight="false" outlineLevel="0" collapsed="false">
      <c r="A35" s="4" t="s">
        <v>411</v>
      </c>
      <c r="B35" s="27" t="n">
        <f aca="false">Piezas!$L$22</f>
        <v>197</v>
      </c>
      <c r="C35" s="22" t="n">
        <f aca="false">Piezas!$D$22</f>
        <v>1.6</v>
      </c>
      <c r="D35" s="18" t="n">
        <f aca="false">MAX(Datos!$B$21*C35,Datos!$B$22)</f>
        <v>2.4</v>
      </c>
      <c r="E35" s="18" t="n">
        <f aca="false">Datos!$B$23*D35</f>
        <v>3.6</v>
      </c>
      <c r="F35" s="27" t="n">
        <f aca="false">B35+2*E35</f>
        <v>204.2</v>
      </c>
      <c r="G35" s="27" t="n">
        <f aca="false">B35+D35</f>
        <v>199.4</v>
      </c>
      <c r="H35" s="6" t="n">
        <f aca="false">PI()*B35^2/4/(F35*G35)*(1-Datos!$B$20)</f>
        <v>0.744842626230187</v>
      </c>
      <c r="I35" s="28" t="n">
        <f aca="false">Piezas!$S$22/H35</f>
        <v>0.515290962974874</v>
      </c>
      <c r="J35" s="28" t="n">
        <f aca="false">I35*INDEX(Datos!$D$90:$D$95,MATCH(C35,Datos!$A$90:$A$95,0))</f>
        <v>0.611135082088201</v>
      </c>
      <c r="K35" s="27" t="n">
        <f aca="false">MIN(ROUNDDOWN(MIN(F35*Datos!$B$52,Datos!$B$54)*2,0)/2,MAX(Datos!$B$49,ROUNDUP(INDEX(Demanda!$C$8:$L$8,Datos!$B$6-2025)*I35/1000/12*Datos!$B$47*2,0)/2))</f>
        <v>2.5</v>
      </c>
      <c r="L35" s="16" t="n">
        <v>1220</v>
      </c>
      <c r="M35" s="16" t="n">
        <v>2440</v>
      </c>
      <c r="N35" s="5" t="n">
        <f aca="false">IF(INT(L35/F35)*INT((M35-D35)/G35)&gt;=INT(M35/F35)*INT((L35-D35)/G35),INT(L35/F35),INT(M35/F35))</f>
        <v>11</v>
      </c>
      <c r="O35" s="5" t="n">
        <f aca="false">IF(INT(L35/F35)*INT((M35-D35)/G35)&gt;=INT(M35/F35)*INT((L35-D35)/G35),INT((M35-D35)/G35),INT((L35-D35)/G35))</f>
        <v>6</v>
      </c>
      <c r="P35" s="5" t="n">
        <f aca="false">N35*O35</f>
        <v>66</v>
      </c>
      <c r="Q35" s="6" t="n">
        <f aca="false">P35*PI()*B35^2/4/(L35*M35)</f>
        <v>0.675797548823315</v>
      </c>
      <c r="R35" s="28" t="n">
        <f aca="false">L35*M35*C35*Datos!$B$10/1000000/P35</f>
        <v>0.567937357575758</v>
      </c>
      <c r="S35" s="28" t="n">
        <f aca="false">R35*INDEX(Datos!$C$90:$C$95,MATCH(C35,Datos!$A$90:$A$95,0))</f>
        <v>0.753948789084162</v>
      </c>
    </row>
    <row r="36" customFormat="false" ht="15" hidden="false" customHeight="false" outlineLevel="0" collapsed="false">
      <c r="A36" s="4" t="s">
        <v>412</v>
      </c>
      <c r="B36" s="27" t="n">
        <f aca="false">Piezas!$L$23</f>
        <v>170</v>
      </c>
      <c r="C36" s="22" t="n">
        <f aca="false">Piezas!$D$23</f>
        <v>1.6</v>
      </c>
      <c r="D36" s="18" t="n">
        <f aca="false">MAX(Datos!$B$21*C36,Datos!$B$22)</f>
        <v>2.4</v>
      </c>
      <c r="E36" s="18" t="n">
        <f aca="false">Datos!$B$23*D36</f>
        <v>3.6</v>
      </c>
      <c r="F36" s="27" t="n">
        <f aca="false">B36+2*E36</f>
        <v>177.2</v>
      </c>
      <c r="G36" s="27" t="n">
        <f aca="false">B36+D36</f>
        <v>172.4</v>
      </c>
      <c r="H36" s="6" t="n">
        <f aca="false">PI()*B36^2/4/(F36*G36)*(1-Datos!$B$20)</f>
        <v>0.739281478567591</v>
      </c>
      <c r="I36" s="28" t="n">
        <f aca="false">Piezas!$S$23/H36</f>
        <v>0.386609581668342</v>
      </c>
      <c r="J36" s="28" t="n">
        <f aca="false">I36*INDEX(Datos!$D$90:$D$95,MATCH(C36,Datos!$A$90:$A$95,0))</f>
        <v>0.458518963858653</v>
      </c>
      <c r="K36" s="27" t="n">
        <f aca="false">MIN(ROUNDDOWN(MIN(F36*Datos!$B$52,Datos!$B$54)*2,0)/2,MAX(Datos!$B$49,ROUNDUP(INDEX(Demanda!$C$8:$L$8,Datos!$B$6-2025)*I36/1000/12*Datos!$B$47*2,0)/2))</f>
        <v>2</v>
      </c>
      <c r="L36" s="16" t="n">
        <v>1000</v>
      </c>
      <c r="M36" s="16" t="n">
        <v>2000</v>
      </c>
      <c r="N36" s="5" t="n">
        <f aca="false">IF(INT(L36/F36)*INT((M36-D36)/G36)&gt;=INT(M36/F36)*INT((L36-D36)/G36),INT(L36/F36),INT(M36/F36))</f>
        <v>5</v>
      </c>
      <c r="O36" s="5" t="n">
        <f aca="false">IF(INT(L36/F36)*INT((M36-D36)/G36)&gt;=INT(M36/F36)*INT((L36-D36)/G36),INT((M36-D36)/G36),INT((L36-D36)/G36))</f>
        <v>11</v>
      </c>
      <c r="P36" s="5" t="n">
        <f aca="false">N36*O36</f>
        <v>55</v>
      </c>
      <c r="Q36" s="6" t="n">
        <f aca="false">P36*PI()*B36^2/4/(L36*M36)</f>
        <v>0.624195190360122</v>
      </c>
      <c r="R36" s="28" t="n">
        <f aca="false">L36*M36*C36*Datos!$B$10/1000000/P36</f>
        <v>0.457890909090909</v>
      </c>
      <c r="S36" s="28" t="n">
        <f aca="false">R36*INDEX(Datos!$C$90:$C$95,MATCH(C36,Datos!$A$90:$A$95,0))</f>
        <v>0.607859813827596</v>
      </c>
    </row>
    <row r="37" customFormat="false" ht="15" hidden="false" customHeight="false" outlineLevel="0" collapsed="false">
      <c r="A37" s="4" t="s">
        <v>413</v>
      </c>
      <c r="B37" s="27" t="n">
        <f aca="false">Piezas!$L$24</f>
        <v>231.5</v>
      </c>
      <c r="C37" s="22" t="n">
        <f aca="false">Piezas!$D$24</f>
        <v>1.6</v>
      </c>
      <c r="D37" s="18" t="n">
        <f aca="false">MAX(Datos!$B$21*C37,Datos!$B$22)</f>
        <v>2.4</v>
      </c>
      <c r="E37" s="18" t="n">
        <f aca="false">Datos!$B$23*D37</f>
        <v>3.6</v>
      </c>
      <c r="F37" s="27" t="n">
        <f aca="false">B37+2*E37</f>
        <v>238.7</v>
      </c>
      <c r="G37" s="27" t="n">
        <f aca="false">B37+D37</f>
        <v>233.9</v>
      </c>
      <c r="H37" s="6" t="n">
        <f aca="false">PI()*B37^2/4/(F37*G37)*(1-Datos!$B$20)</f>
        <v>0.750122706643407</v>
      </c>
      <c r="I37" s="28" t="n">
        <f aca="false">Piezas!$S$24/H37</f>
        <v>0.706568505085427</v>
      </c>
      <c r="J37" s="28" t="n">
        <f aca="false">I37*INDEX(Datos!$D$90:$D$95,MATCH(C37,Datos!$A$90:$A$95,0))</f>
        <v>0.837990247031316</v>
      </c>
      <c r="K37" s="27" t="n">
        <f aca="false">MIN(ROUNDDOWN(MIN(F37*Datos!$B$52,Datos!$B$54)*2,0)/2,MAX(Datos!$B$49,ROUNDUP(INDEX(Demanda!$C$9:$L$9,Datos!$B$6-2025)*I37/1000/12*Datos!$B$47*2,0)/2))</f>
        <v>0.5</v>
      </c>
      <c r="L37" s="16" t="n">
        <v>1000</v>
      </c>
      <c r="M37" s="16" t="n">
        <v>2000</v>
      </c>
      <c r="N37" s="5" t="n">
        <f aca="false">IF(INT(L37/F37)*INT((M37-D37)/G37)&gt;=INT(M37/F37)*INT((L37-D37)/G37),INT(L37/F37),INT(M37/F37))</f>
        <v>4</v>
      </c>
      <c r="O37" s="5" t="n">
        <f aca="false">IF(INT(L37/F37)*INT((M37-D37)/G37)&gt;=INT(M37/F37)*INT((L37-D37)/G37),INT((M37-D37)/G37),INT((L37-D37)/G37))</f>
        <v>8</v>
      </c>
      <c r="P37" s="5" t="n">
        <f aca="false">N37*O37</f>
        <v>32</v>
      </c>
      <c r="Q37" s="6" t="n">
        <f aca="false">P37*PI()*B37^2/4/(L37*M37)</f>
        <v>0.67346007555739</v>
      </c>
      <c r="R37" s="28" t="n">
        <f aca="false">L37*M37*C37*Datos!$B$10/1000000/P37</f>
        <v>0.787</v>
      </c>
      <c r="S37" s="28" t="n">
        <f aca="false">R37*INDEX(Datos!$C$90:$C$95,MATCH(C37,Datos!$A$90:$A$95,0))</f>
        <v>1.04475905501618</v>
      </c>
    </row>
    <row r="38" customFormat="false" ht="15" hidden="false" customHeight="false" outlineLevel="0" collapsed="false">
      <c r="A38" s="4" t="s">
        <v>414</v>
      </c>
      <c r="B38" s="27" t="n">
        <f aca="false">Piezas!$L$25</f>
        <v>196</v>
      </c>
      <c r="C38" s="22" t="n">
        <f aca="false">Piezas!$D$25</f>
        <v>2</v>
      </c>
      <c r="D38" s="18" t="n">
        <f aca="false">MAX(Datos!$B$21*C38,Datos!$B$22)</f>
        <v>3</v>
      </c>
      <c r="E38" s="18" t="n">
        <f aca="false">Datos!$B$23*D38</f>
        <v>4.5</v>
      </c>
      <c r="F38" s="27" t="n">
        <f aca="false">B38+2*E38</f>
        <v>205</v>
      </c>
      <c r="G38" s="27" t="n">
        <f aca="false">B38+D38</f>
        <v>199</v>
      </c>
      <c r="H38" s="6" t="n">
        <f aca="false">PI()*B38^2/4/(F38*G38)*(1-Datos!$B$20)</f>
        <v>0.735898923050643</v>
      </c>
      <c r="I38" s="28" t="n">
        <f aca="false">Piezas!$S$25/H38</f>
        <v>0.64534</v>
      </c>
      <c r="J38" s="28" t="n">
        <f aca="false">I38*INDEX(Datos!$D$90:$D$95,MATCH(C38,Datos!$A$90:$A$95,0))</f>
        <v>0.77311732</v>
      </c>
      <c r="K38" s="27" t="n">
        <f aca="false">MIN(ROUNDDOWN(MIN(F38*Datos!$B$52,Datos!$B$54)*2,0)/2,MAX(Datos!$B$49,ROUNDUP(INDEX(Demanda!$C$9:$L$9,Datos!$B$6-2025)*I38/1000/12*Datos!$B$47*2,0)/2))</f>
        <v>0.5</v>
      </c>
      <c r="L38" s="16" t="n">
        <v>1500</v>
      </c>
      <c r="M38" s="16" t="n">
        <v>3000</v>
      </c>
      <c r="N38" s="5" t="n">
        <f aca="false">IF(INT(L38/F38)*INT((M38-D38)/G38)&gt;=INT(M38/F38)*INT((L38-D38)/G38),INT(L38/F38),INT(M38/F38))</f>
        <v>7</v>
      </c>
      <c r="O38" s="5" t="n">
        <f aca="false">IF(INT(L38/F38)*INT((M38-D38)/G38)&gt;=INT(M38/F38)*INT((L38-D38)/G38),INT((M38-D38)/G38),INT((L38-D38)/G38))</f>
        <v>15</v>
      </c>
      <c r="P38" s="5" t="n">
        <f aca="false">N38*O38</f>
        <v>105</v>
      </c>
      <c r="Q38" s="6" t="n">
        <f aca="false">P38*PI()*B38^2/4/(L38*M38)</f>
        <v>0.704009969718449</v>
      </c>
      <c r="R38" s="28" t="n">
        <f aca="false">L38*M38*C38*Datos!$B$10/1000000/P38</f>
        <v>0.674571428571429</v>
      </c>
      <c r="S38" s="28" t="n">
        <f aca="false">R38*INDEX(Datos!$C$90:$C$95,MATCH(C38,Datos!$A$90:$A$95,0))</f>
        <v>0.86372213037448</v>
      </c>
    </row>
    <row r="40" customFormat="false" ht="15" hidden="false" customHeight="false" outlineLevel="0" collapsed="false">
      <c r="A40" s="11" t="s">
        <v>415</v>
      </c>
    </row>
    <row r="41" customFormat="false" ht="15" hidden="false" customHeight="false" outlineLevel="0" collapsed="false">
      <c r="A41" s="3" t="s">
        <v>150</v>
      </c>
      <c r="B41" s="3" t="s">
        <v>416</v>
      </c>
      <c r="C41" s="3" t="s">
        <v>417</v>
      </c>
      <c r="D41" s="3" t="s">
        <v>418</v>
      </c>
      <c r="E41" s="3" t="s">
        <v>419</v>
      </c>
      <c r="F41" s="3" t="s">
        <v>420</v>
      </c>
      <c r="G41" s="3" t="s">
        <v>421</v>
      </c>
    </row>
    <row r="42" customFormat="false" ht="15" hidden="false" customHeight="false" outlineLevel="0" collapsed="false">
      <c r="A42" s="4" t="s">
        <v>288</v>
      </c>
      <c r="B42" s="28" t="n">
        <f aca="false">Piezas!$S$18+Piezas!$S$19</f>
        <v>0.113794675243249</v>
      </c>
      <c r="C42" s="28" t="n">
        <f aca="false">I31+I32</f>
        <v>0.156224794206344</v>
      </c>
      <c r="D42" s="28" t="n">
        <f aca="false">J31+J32</f>
        <v>0.189881808805133</v>
      </c>
      <c r="E42" s="28" t="n">
        <f aca="false">R31+R32</f>
        <v>0.159994926824458</v>
      </c>
      <c r="F42" s="28" t="n">
        <f aca="false">S31+S32</f>
        <v>0.210545882580746</v>
      </c>
      <c r="G42" s="28" t="n">
        <f aca="false">1/O31+1/O32</f>
        <v>0.0784615384615385</v>
      </c>
    </row>
    <row r="43" customFormat="false" ht="15" hidden="false" customHeight="false" outlineLevel="0" collapsed="false">
      <c r="A43" s="4" t="s">
        <v>290</v>
      </c>
      <c r="B43" s="28" t="n">
        <f aca="false">Piezas!$S$20+Piezas!$S$21</f>
        <v>0.341755972432124</v>
      </c>
      <c r="C43" s="28" t="n">
        <f aca="false">I33+I34</f>
        <v>0.45955553745289</v>
      </c>
      <c r="D43" s="28" t="n">
        <f aca="false">J33+J34</f>
        <v>0.545032867419127</v>
      </c>
      <c r="E43" s="28" t="n">
        <f aca="false">R33+R34</f>
        <v>0.494223324229692</v>
      </c>
      <c r="F43" s="28" t="n">
        <f aca="false">S33+S34</f>
        <v>0.637695235653808</v>
      </c>
      <c r="G43" s="28" t="n">
        <f aca="false">1/O33+1/O34</f>
        <v>0.125490196078431</v>
      </c>
    </row>
    <row r="44" customFormat="false" ht="15" hidden="false" customHeight="false" outlineLevel="0" collapsed="false">
      <c r="A44" s="4" t="s">
        <v>291</v>
      </c>
      <c r="B44" s="28" t="n">
        <f aca="false">Piezas!$S$22+Piezas!$S$23</f>
        <v>0.669623977299057</v>
      </c>
      <c r="C44" s="28" t="n">
        <f aca="false">I35+I36</f>
        <v>0.901900544643216</v>
      </c>
      <c r="D44" s="28" t="n">
        <f aca="false">J35+J36</f>
        <v>1.06965404594685</v>
      </c>
      <c r="E44" s="28" t="n">
        <f aca="false">R35+R36</f>
        <v>1.02582826666667</v>
      </c>
      <c r="F44" s="28" t="n">
        <f aca="false">S35+S36</f>
        <v>1.36180860291176</v>
      </c>
      <c r="G44" s="28" t="n">
        <f aca="false">1/O35+1/O36</f>
        <v>0.257575757575758</v>
      </c>
    </row>
    <row r="45" customFormat="false" ht="15" hidden="false" customHeight="false" outlineLevel="0" collapsed="false">
      <c r="A45" s="4" t="s">
        <v>292</v>
      </c>
      <c r="B45" s="28" t="n">
        <f aca="false">Piezas!$S$24+Piezas!$S$25</f>
        <v>1.00491809046517</v>
      </c>
      <c r="C45" s="28" t="n">
        <f aca="false">I37+I38</f>
        <v>1.35190850508543</v>
      </c>
      <c r="D45" s="28" t="n">
        <f aca="false">J37+J38</f>
        <v>1.61110756703132</v>
      </c>
      <c r="E45" s="28" t="n">
        <f aca="false">R37+R38</f>
        <v>1.46157142857143</v>
      </c>
      <c r="F45" s="28" t="n">
        <f aca="false">S37+S38</f>
        <v>1.90848118539066</v>
      </c>
      <c r="G45" s="28" t="n">
        <f aca="false">1/O37+1/O38</f>
        <v>0.191666666666667</v>
      </c>
    </row>
    <row r="48" customFormat="false" ht="15" hidden="false" customHeight="false" outlineLevel="0" collapsed="false">
      <c r="A48" s="11" t="s">
        <v>422</v>
      </c>
    </row>
    <row r="49" customFormat="false" ht="35.05" hidden="false" customHeight="false" outlineLevel="0" collapsed="false">
      <c r="A49" s="3" t="s">
        <v>423</v>
      </c>
      <c r="B49" s="3" t="s">
        <v>424</v>
      </c>
      <c r="C49" s="3" t="s">
        <v>425</v>
      </c>
      <c r="D49" s="3" t="s">
        <v>426</v>
      </c>
      <c r="E49" s="3" t="s">
        <v>149</v>
      </c>
      <c r="F49" s="3" t="s">
        <v>427</v>
      </c>
      <c r="G49" s="3" t="s">
        <v>428</v>
      </c>
      <c r="H49" s="3" t="s">
        <v>378</v>
      </c>
    </row>
    <row r="50" customFormat="false" ht="15" hidden="false" customHeight="false" outlineLevel="0" collapsed="false">
      <c r="A50" s="4" t="s">
        <v>429</v>
      </c>
      <c r="B50" s="16" t="n">
        <v>1220</v>
      </c>
      <c r="C50" s="16" t="n">
        <v>2</v>
      </c>
      <c r="D50" s="18" t="n">
        <f aca="false">B50*0.9*Datos!$B$10/1000</f>
        <v>8.64126</v>
      </c>
      <c r="E50" s="24" t="n">
        <f aca="false">INDEX(Datos!$E$90:$E$95,MATCH(0.9,Datos!$A$90:$A$95,0))</f>
        <v>1.26285</v>
      </c>
      <c r="F50" s="18" t="n">
        <f aca="false">H60</f>
        <v>1.5145</v>
      </c>
      <c r="G50" s="27" t="n">
        <f aca="false">MIN(ROUNDDOWN(MIN(B50*Datos!$B$52,Datos!$B$55)*2,0)/2,MAX(Datos!$B$49,ROUNDUP(INDEX(Cálculo!$C$76:$L$76,Datos!$B$6-2025)/12*Datos!$B$47*2,0)/2))</f>
        <v>9</v>
      </c>
      <c r="H50" s="30" t="str">
        <f aca="false">IF(AND(H62="Suma 100 %",COUNTIF(E64:G64,"No entra")=0),"OK","Revisar")</f>
        <v>OK</v>
      </c>
    </row>
    <row r="51" customFormat="false" ht="15" hidden="false" customHeight="false" outlineLevel="0" collapsed="false">
      <c r="A51" s="4" t="s">
        <v>430</v>
      </c>
      <c r="B51" s="16" t="n">
        <v>1000</v>
      </c>
      <c r="C51" s="16" t="n">
        <v>2</v>
      </c>
      <c r="D51" s="18" t="n">
        <f aca="false">B51*1.25*Datos!$B$10/1000</f>
        <v>9.8375</v>
      </c>
      <c r="E51" s="24" t="n">
        <f aca="false">INDEX(Datos!$E$90:$E$95,MATCH(1.25,Datos!$A$90:$A$95,0))</f>
        <v>1.25056</v>
      </c>
      <c r="F51" s="18" t="n">
        <f aca="false">H69+H70+H71</f>
        <v>5.7688</v>
      </c>
      <c r="G51" s="27" t="n">
        <f aca="false">MIN(ROUNDDOWN(MIN(B51*Datos!$B$52,Datos!$B$55)*2,0)/2,MAX(Datos!$B$49,ROUNDUP(INDEX(Cálculo!$C$77:$L$77,Datos!$B$6-2025)/12*Datos!$B$47*2,0)/2))</f>
        <v>3.5</v>
      </c>
      <c r="H51" s="30" t="str">
        <f aca="false">IF(AND(H72="Suma 100 %",COUNTIF(E74:G74,"No entra")=0),"OK","Revisar")</f>
        <v>OK</v>
      </c>
    </row>
    <row r="52" customFormat="false" ht="15" hidden="false" customHeight="false" outlineLevel="0" collapsed="false">
      <c r="A52" s="4" t="s">
        <v>431</v>
      </c>
      <c r="B52" s="16" t="n">
        <v>1000</v>
      </c>
      <c r="C52" s="16" t="n">
        <v>1</v>
      </c>
      <c r="D52" s="18" t="n">
        <f aca="false">B52*1.6*Datos!$B$10/1000</f>
        <v>12.592</v>
      </c>
      <c r="E52" s="24" t="n">
        <f aca="false">INDEX(Datos!$E$90:$E$95,MATCH(1.6,Datos!$A$90:$A$95,0))</f>
        <v>1.25056</v>
      </c>
      <c r="F52" s="18" t="n">
        <f aca="false">H79+H80+H81</f>
        <v>1.6455</v>
      </c>
      <c r="G52" s="27" t="n">
        <f aca="false">MIN(ROUNDDOWN(MIN(B52*Datos!$B$52,Datos!$B$55)*2,0)/2,MAX(Datos!$B$49,ROUNDUP(INDEX(Cálculo!$C$78:$L$78,Datos!$B$6-2025)/12*Datos!$B$47*2,0)/2))</f>
        <v>12</v>
      </c>
      <c r="H52" s="30" t="str">
        <f aca="false">IF(AND(H82="Suma 100 %",COUNTIF(E84:G84,"No entra")=0),"OK","Revisar")</f>
        <v>OK</v>
      </c>
    </row>
    <row r="53" customFormat="false" ht="15" hidden="false" customHeight="false" outlineLevel="0" collapsed="false">
      <c r="A53" s="4" t="s">
        <v>432</v>
      </c>
      <c r="B53" s="16" t="n">
        <v>1000</v>
      </c>
      <c r="C53" s="16" t="n">
        <v>1</v>
      </c>
      <c r="D53" s="18" t="n">
        <f aca="false">B53*2*Datos!$B$10/1000</f>
        <v>15.74</v>
      </c>
      <c r="E53" s="24" t="n">
        <f aca="false">INDEX(Datos!$E$90:$E$95,MATCH(2,Datos!$A$90:$A$95,0))</f>
        <v>1.26285</v>
      </c>
      <c r="F53" s="18" t="n">
        <f aca="false">H89</f>
        <v>0.5998</v>
      </c>
      <c r="G53" s="27" t="n">
        <f aca="false">MIN(ROUNDDOWN(MIN(B53*Datos!$B$52,Datos!$B$55)*2,0)/2,MAX(Datos!$B$49,ROUNDUP(INDEX(Cálculo!$C$79:$L$79,Datos!$B$6-2025)/12*Datos!$B$47*2,0)/2))</f>
        <v>2</v>
      </c>
      <c r="H53" s="30" t="str">
        <f aca="false">IF(AND(H90="Suma 100 %",COUNTIF(E92:G92,"No entra")=0),"OK","Revisar")</f>
        <v>OK</v>
      </c>
    </row>
    <row r="54" customFormat="false" ht="15" hidden="false" customHeight="false" outlineLevel="0" collapsed="false">
      <c r="A54" s="4" t="s">
        <v>433</v>
      </c>
      <c r="B54" s="16" t="n">
        <v>1500</v>
      </c>
      <c r="C54" s="16" t="n">
        <v>1</v>
      </c>
      <c r="D54" s="18" t="n">
        <f aca="false">B54*3.2*Datos!$B$10/1000</f>
        <v>37.776</v>
      </c>
      <c r="E54" s="24" t="n">
        <f aca="false">INDEX(Datos!$E$90:$E$95,MATCH(3.2,Datos!$A$90:$A$95,0))</f>
        <v>1.11373</v>
      </c>
      <c r="F54" s="18" t="n">
        <v>0</v>
      </c>
      <c r="G54" s="27" t="n">
        <f aca="false">MIN(ROUNDDOWN(MIN(B54*Datos!$B$52,Datos!$B$55)*2,0)/2,MAX(Datos!$B$49,ROUNDUP(INDEX(Cálculo!$C$80:$L$80,Datos!$B$6-2025)/12*Datos!$B$47*2,0)/2))</f>
        <v>3.5</v>
      </c>
      <c r="H54" s="30" t="str">
        <f aca="false">IF(AND(H98="Suma 100 %",COUNTIF(E100:G100,"No entra")=0),"OK","Revisar")</f>
        <v>OK</v>
      </c>
    </row>
    <row r="55" customFormat="false" ht="15" hidden="false" customHeight="false" outlineLevel="0" collapsed="false">
      <c r="A55" s="4" t="s">
        <v>434</v>
      </c>
      <c r="B55" s="16" t="n">
        <v>1245</v>
      </c>
      <c r="C55" s="9" t="s">
        <v>435</v>
      </c>
      <c r="D55" s="18" t="n">
        <f aca="false">B55*4.75*Datos!$B$10/1000</f>
        <v>46.5412125</v>
      </c>
      <c r="E55" s="24" t="n">
        <f aca="false">INDEX(Datos!$E$90:$E$95,MATCH(4.75,Datos!$A$90:$A$95,0))</f>
        <v>1.11373</v>
      </c>
      <c r="F55" s="18" t="n">
        <v>0</v>
      </c>
      <c r="G55" s="27" t="n">
        <f aca="false">MIN(ROUNDDOWN(MIN(B55*Datos!$B$52,Datos!$B$55)*2,0)/2,MAX(Datos!$B$49,ROUNDUP(INDEX(Cálculo!$C$81:$L$81,Datos!$B$6-2025)/12*Datos!$B$47*2,0)/2))</f>
        <v>2</v>
      </c>
      <c r="H55" s="30" t="str">
        <f aca="false">IF(AND(H105="Suma 100 %",COUNTIF(E107:G107,"No entra")=0),"OK","Revisar")</f>
        <v>OK</v>
      </c>
    </row>
    <row r="58" customFormat="false" ht="15" hidden="false" customHeight="false" outlineLevel="0" collapsed="false">
      <c r="A58" s="11" t="s">
        <v>436</v>
      </c>
    </row>
    <row r="59" customFormat="false" ht="35.05" hidden="false" customHeight="false" outlineLevel="0" collapsed="false">
      <c r="A59" s="3" t="s">
        <v>437</v>
      </c>
      <c r="B59" s="3" t="s">
        <v>150</v>
      </c>
      <c r="C59" s="3" t="s">
        <v>438</v>
      </c>
      <c r="D59" s="3" t="s">
        <v>439</v>
      </c>
      <c r="E59" s="3" t="s">
        <v>440</v>
      </c>
      <c r="F59" s="3" t="s">
        <v>441</v>
      </c>
      <c r="G59" s="3" t="s">
        <v>442</v>
      </c>
      <c r="H59" s="3" t="s">
        <v>443</v>
      </c>
    </row>
    <row r="60" customFormat="false" ht="15" hidden="false" customHeight="false" outlineLevel="0" collapsed="false">
      <c r="A60" s="4" t="s">
        <v>407</v>
      </c>
      <c r="B60" s="4" t="s">
        <v>288</v>
      </c>
      <c r="C60" s="27" t="n">
        <f aca="false">F31</f>
        <v>93.05</v>
      </c>
      <c r="D60" s="27" t="n">
        <f aca="false">G31</f>
        <v>90.35</v>
      </c>
      <c r="E60" s="16" t="n">
        <v>0</v>
      </c>
      <c r="F60" s="16" t="n">
        <v>13</v>
      </c>
      <c r="G60" s="16" t="n">
        <v>0</v>
      </c>
      <c r="H60" s="28" t="n">
        <f aca="false">E60*$E$62+F60*$F$62+G60*$G$62</f>
        <v>1.5145</v>
      </c>
    </row>
    <row r="61" customFormat="false" ht="15" hidden="false" customHeight="false" outlineLevel="0" collapsed="false">
      <c r="A61" s="4" t="s">
        <v>444</v>
      </c>
      <c r="B61" s="4" t="s">
        <v>288</v>
      </c>
      <c r="C61" s="27" t="n">
        <f aca="false">IF($C$50=1,Piezas!$F$6,Piezas!$G$6)</f>
        <v>236.5</v>
      </c>
      <c r="D61" s="27" t="n">
        <f aca="false">IF($C$50=1,Piezas!$G$6,Piezas!$F$6)</f>
        <v>263.5</v>
      </c>
      <c r="E61" s="16" t="n">
        <v>5</v>
      </c>
      <c r="F61" s="16" t="n">
        <v>0</v>
      </c>
      <c r="G61" s="16" t="n">
        <v>0</v>
      </c>
      <c r="H61" s="28" t="n">
        <f aca="false">E61*$E$62+F61*$F$62+G61*$G$62</f>
        <v>4.4175</v>
      </c>
    </row>
    <row r="62" customFormat="false" ht="23.85" hidden="false" customHeight="false" outlineLevel="0" collapsed="false">
      <c r="A62" s="4" t="s">
        <v>445</v>
      </c>
      <c r="E62" s="15" t="n">
        <v>0.8835</v>
      </c>
      <c r="F62" s="15" t="n">
        <v>0.1165</v>
      </c>
      <c r="G62" s="15" t="n">
        <v>0</v>
      </c>
      <c r="H62" s="30" t="str">
        <f aca="false">IF(ABS(SUM(E62:G62)-1)&lt;0.001,"Suma 100 %","Revisar: no suma 100 %")</f>
        <v>Suma 100 %</v>
      </c>
    </row>
    <row r="63" customFormat="false" ht="15" hidden="false" customHeight="false" outlineLevel="0" collapsed="false">
      <c r="A63" s="4" t="s">
        <v>446</v>
      </c>
      <c r="E63" s="27" t="n">
        <f aca="false">SUMPRODUCT($C$60:$C$61,E60:E61)</f>
        <v>1182.5</v>
      </c>
      <c r="F63" s="27" t="n">
        <f aca="false">SUMPRODUCT($C$60:$C$61,F60:F61)</f>
        <v>1209.65</v>
      </c>
      <c r="G63" s="27" t="n">
        <f aca="false">SUMPRODUCT($C$60:$C$61,G60:G61)</f>
        <v>0</v>
      </c>
    </row>
    <row r="64" customFormat="false" ht="15" hidden="false" customHeight="false" outlineLevel="0" collapsed="false">
      <c r="A64" s="4" t="s">
        <v>447</v>
      </c>
      <c r="E64" s="30" t="str">
        <f aca="false">IF(E63=0,"sin uso",IF($B$50-E63&gt;=Datos!$B$19,"OK","No entra"))</f>
        <v>OK</v>
      </c>
      <c r="F64" s="30" t="str">
        <f aca="false">IF(F63=0,"sin uso",IF($B$50-F63&gt;=Datos!$B$19,"OK","No entra"))</f>
        <v>OK</v>
      </c>
      <c r="G64" s="30" t="str">
        <f aca="false">IF(G63=0,"sin uso",IF($B$50-G63&gt;=Datos!$B$19,"OK","No entra"))</f>
        <v>sin uso</v>
      </c>
    </row>
    <row r="66" customFormat="false" ht="15" hidden="false" customHeight="false" outlineLevel="0" collapsed="false">
      <c r="A66" s="11" t="s">
        <v>448</v>
      </c>
    </row>
    <row r="67" customFormat="false" ht="35.05" hidden="false" customHeight="false" outlineLevel="0" collapsed="false">
      <c r="A67" s="3" t="s">
        <v>437</v>
      </c>
      <c r="B67" s="3" t="s">
        <v>150</v>
      </c>
      <c r="C67" s="3" t="s">
        <v>438</v>
      </c>
      <c r="D67" s="3" t="s">
        <v>439</v>
      </c>
      <c r="E67" s="3" t="s">
        <v>440</v>
      </c>
      <c r="F67" s="3" t="s">
        <v>441</v>
      </c>
      <c r="G67" s="3" t="s">
        <v>442</v>
      </c>
      <c r="H67" s="3" t="s">
        <v>443</v>
      </c>
    </row>
    <row r="68" customFormat="false" ht="15" hidden="false" customHeight="false" outlineLevel="0" collapsed="false">
      <c r="A68" s="4" t="s">
        <v>449</v>
      </c>
      <c r="B68" s="4" t="s">
        <v>290</v>
      </c>
      <c r="C68" s="27" t="n">
        <f aca="false">IF($C$51=1,Piezas!$F$7,Piezas!$G$7)</f>
        <v>385.5</v>
      </c>
      <c r="D68" s="27" t="n">
        <f aca="false">IF($C$51=1,Piezas!$G$7,Piezas!$F$7)</f>
        <v>267.5</v>
      </c>
      <c r="E68" s="16" t="n">
        <v>1</v>
      </c>
      <c r="F68" s="16" t="n">
        <v>1</v>
      </c>
      <c r="G68" s="16" t="n">
        <v>0</v>
      </c>
      <c r="H68" s="28" t="n">
        <f aca="false">E68*$E$72+F68*$F$72+G68*$G$72</f>
        <v>0.9064</v>
      </c>
    </row>
    <row r="69" customFormat="false" ht="15" hidden="false" customHeight="false" outlineLevel="0" collapsed="false">
      <c r="A69" s="4" t="s">
        <v>409</v>
      </c>
      <c r="B69" s="4" t="s">
        <v>290</v>
      </c>
      <c r="C69" s="27" t="n">
        <f aca="false">F33</f>
        <v>162.125</v>
      </c>
      <c r="D69" s="27" t="n">
        <f aca="false">G33</f>
        <v>158.375</v>
      </c>
      <c r="E69" s="16" t="n">
        <v>0</v>
      </c>
      <c r="F69" s="16" t="n">
        <v>1</v>
      </c>
      <c r="G69" s="16" t="n">
        <v>4</v>
      </c>
      <c r="H69" s="28" t="n">
        <f aca="false">E69*$E$72+F69*$F$72+G69*$G$72</f>
        <v>0.5368</v>
      </c>
    </row>
    <row r="70" customFormat="false" ht="15" hidden="false" customHeight="false" outlineLevel="0" collapsed="false">
      <c r="A70" s="4" t="s">
        <v>410</v>
      </c>
      <c r="B70" s="4" t="s">
        <v>290</v>
      </c>
      <c r="C70" s="27" t="n">
        <f aca="false">F34</f>
        <v>146.125</v>
      </c>
      <c r="D70" s="27" t="n">
        <f aca="false">G34</f>
        <v>142.375</v>
      </c>
      <c r="E70" s="16" t="n">
        <v>0</v>
      </c>
      <c r="F70" s="16" t="n">
        <v>3</v>
      </c>
      <c r="G70" s="16" t="n">
        <v>0</v>
      </c>
      <c r="H70" s="28" t="n">
        <f aca="false">E70*$E$72+F70*$F$72+G70*$G$72</f>
        <v>0.4872</v>
      </c>
    </row>
    <row r="71" customFormat="false" ht="15" hidden="false" customHeight="false" outlineLevel="0" collapsed="false">
      <c r="A71" s="4" t="s">
        <v>408</v>
      </c>
      <c r="B71" s="4" t="s">
        <v>288</v>
      </c>
      <c r="C71" s="27" t="n">
        <f aca="false">F32</f>
        <v>100.625</v>
      </c>
      <c r="D71" s="27" t="n">
        <f aca="false">G32</f>
        <v>96.875</v>
      </c>
      <c r="E71" s="16" t="n">
        <v>6</v>
      </c>
      <c r="F71" s="16" t="n">
        <v>0</v>
      </c>
      <c r="G71" s="16" t="n">
        <v>3</v>
      </c>
      <c r="H71" s="28" t="n">
        <f aca="false">E71*$E$72+F71*$F$72+G71*$G$72</f>
        <v>4.7448</v>
      </c>
    </row>
    <row r="72" customFormat="false" ht="23.85" hidden="false" customHeight="false" outlineLevel="0" collapsed="false">
      <c r="A72" s="4" t="s">
        <v>445</v>
      </c>
      <c r="E72" s="15" t="n">
        <v>0.744</v>
      </c>
      <c r="F72" s="15" t="n">
        <v>0.1624</v>
      </c>
      <c r="G72" s="15" t="n">
        <v>0.0936</v>
      </c>
      <c r="H72" s="30" t="str">
        <f aca="false">IF(ABS(SUM(E72:G72)-1)&lt;0.001,"Suma 100 %","Revisar: no suma 100 %")</f>
        <v>Suma 100 %</v>
      </c>
    </row>
    <row r="73" customFormat="false" ht="15" hidden="false" customHeight="false" outlineLevel="0" collapsed="false">
      <c r="A73" s="4" t="s">
        <v>446</v>
      </c>
      <c r="E73" s="27" t="n">
        <f aca="false">SUMPRODUCT($C$68:$C$71,E68:E71)</f>
        <v>989.25</v>
      </c>
      <c r="F73" s="27" t="n">
        <f aca="false">SUMPRODUCT($C$68:$C$71,F68:F71)</f>
        <v>986</v>
      </c>
      <c r="G73" s="27" t="n">
        <f aca="false">SUMPRODUCT($C$68:$C$71,G68:G71)</f>
        <v>950.375</v>
      </c>
    </row>
    <row r="74" customFormat="false" ht="15" hidden="false" customHeight="false" outlineLevel="0" collapsed="false">
      <c r="A74" s="4" t="s">
        <v>447</v>
      </c>
      <c r="E74" s="30" t="str">
        <f aca="false">IF(E73=0,"sin uso",IF($B$51-E73&gt;=Datos!$B$19,"OK","No entra"))</f>
        <v>OK</v>
      </c>
      <c r="F74" s="30" t="str">
        <f aca="false">IF(F73=0,"sin uso",IF($B$51-F73&gt;=Datos!$B$19,"OK","No entra"))</f>
        <v>OK</v>
      </c>
      <c r="G74" s="30" t="str">
        <f aca="false">IF(G73=0,"sin uso",IF($B$51-G73&gt;=Datos!$B$19,"OK","No entra"))</f>
        <v>OK</v>
      </c>
    </row>
    <row r="76" customFormat="false" ht="15" hidden="false" customHeight="false" outlineLevel="0" collapsed="false">
      <c r="A76" s="11" t="s">
        <v>450</v>
      </c>
    </row>
    <row r="77" customFormat="false" ht="35.05" hidden="false" customHeight="false" outlineLevel="0" collapsed="false">
      <c r="A77" s="3" t="s">
        <v>437</v>
      </c>
      <c r="B77" s="3" t="s">
        <v>150</v>
      </c>
      <c r="C77" s="3" t="s">
        <v>438</v>
      </c>
      <c r="D77" s="3" t="s">
        <v>439</v>
      </c>
      <c r="E77" s="3" t="s">
        <v>440</v>
      </c>
      <c r="F77" s="3" t="s">
        <v>441</v>
      </c>
      <c r="G77" s="3" t="s">
        <v>442</v>
      </c>
      <c r="H77" s="3" t="s">
        <v>443</v>
      </c>
    </row>
    <row r="78" customFormat="false" ht="15" hidden="false" customHeight="false" outlineLevel="0" collapsed="false">
      <c r="A78" s="4" t="s">
        <v>451</v>
      </c>
      <c r="B78" s="4" t="s">
        <v>291</v>
      </c>
      <c r="C78" s="27" t="n">
        <f aca="false">IF($C$52=1,Piezas!$F$8,Piezas!$G$8)</f>
        <v>327.5</v>
      </c>
      <c r="D78" s="27" t="n">
        <f aca="false">IF($C$52=1,Piezas!$G$8,Piezas!$F$8)</f>
        <v>475.5</v>
      </c>
      <c r="E78" s="16" t="n">
        <v>3</v>
      </c>
      <c r="F78" s="16" t="n">
        <v>0</v>
      </c>
      <c r="G78" s="16" t="n">
        <v>0</v>
      </c>
      <c r="H78" s="28" t="n">
        <f aca="false">E78*$E$82+F78*$F$82+G78*$G$82</f>
        <v>2.0127</v>
      </c>
    </row>
    <row r="79" customFormat="false" ht="15" hidden="false" customHeight="false" outlineLevel="0" collapsed="false">
      <c r="A79" s="4" t="s">
        <v>411</v>
      </c>
      <c r="B79" s="4" t="s">
        <v>291</v>
      </c>
      <c r="C79" s="27" t="n">
        <f aca="false">F35</f>
        <v>204.2</v>
      </c>
      <c r="D79" s="27" t="n">
        <f aca="false">G35</f>
        <v>199.4</v>
      </c>
      <c r="E79" s="16" t="n">
        <v>0</v>
      </c>
      <c r="F79" s="16" t="n">
        <v>3</v>
      </c>
      <c r="G79" s="16" t="n">
        <v>1</v>
      </c>
      <c r="H79" s="28" t="n">
        <f aca="false">E79*$E$82+F79*$F$82+G79*$G$82</f>
        <v>0.8441</v>
      </c>
    </row>
    <row r="80" customFormat="false" ht="15" hidden="false" customHeight="false" outlineLevel="0" collapsed="false">
      <c r="A80" s="4" t="s">
        <v>412</v>
      </c>
      <c r="B80" s="4" t="s">
        <v>291</v>
      </c>
      <c r="C80" s="27" t="n">
        <f aca="false">F36</f>
        <v>177.2</v>
      </c>
      <c r="D80" s="27" t="n">
        <f aca="false">G36</f>
        <v>172.4</v>
      </c>
      <c r="E80" s="16" t="n">
        <v>0</v>
      </c>
      <c r="F80" s="16" t="n">
        <v>2</v>
      </c>
      <c r="G80" s="16" t="n">
        <v>3</v>
      </c>
      <c r="H80" s="28" t="n">
        <f aca="false">E80*$E$82+F80*$F$82+G80*$G$82</f>
        <v>0.7298</v>
      </c>
    </row>
    <row r="81" customFormat="false" ht="15" hidden="false" customHeight="false" outlineLevel="0" collapsed="false">
      <c r="A81" s="4" t="s">
        <v>413</v>
      </c>
      <c r="B81" s="4" t="s">
        <v>292</v>
      </c>
      <c r="C81" s="27" t="n">
        <f aca="false">F37</f>
        <v>238.7</v>
      </c>
      <c r="D81" s="27" t="n">
        <f aca="false">G37</f>
        <v>233.9</v>
      </c>
      <c r="E81" s="16" t="n">
        <v>0</v>
      </c>
      <c r="F81" s="16" t="n">
        <v>0</v>
      </c>
      <c r="G81" s="16" t="n">
        <v>1</v>
      </c>
      <c r="H81" s="28" t="n">
        <f aca="false">E81*$E$82+F81*$F$82+G81*$G$82</f>
        <v>0.0716</v>
      </c>
    </row>
    <row r="82" customFormat="false" ht="23.85" hidden="false" customHeight="false" outlineLevel="0" collapsed="false">
      <c r="A82" s="4" t="s">
        <v>445</v>
      </c>
      <c r="E82" s="15" t="n">
        <v>0.6709</v>
      </c>
      <c r="F82" s="15" t="n">
        <v>0.2575</v>
      </c>
      <c r="G82" s="15" t="n">
        <v>0.0716</v>
      </c>
      <c r="H82" s="30" t="str">
        <f aca="false">IF(ABS(SUM(E82:G82)-1)&lt;0.001,"Suma 100 %","Revisar: no suma 100 %")</f>
        <v>Suma 100 %</v>
      </c>
    </row>
    <row r="83" customFormat="false" ht="15" hidden="false" customHeight="false" outlineLevel="0" collapsed="false">
      <c r="A83" s="4" t="s">
        <v>446</v>
      </c>
      <c r="E83" s="27" t="n">
        <f aca="false">SUMPRODUCT($C$78:$C$81,E78:E81)</f>
        <v>982.5</v>
      </c>
      <c r="F83" s="27" t="n">
        <f aca="false">SUMPRODUCT($C$78:$C$81,F78:F81)</f>
        <v>967</v>
      </c>
      <c r="G83" s="27" t="n">
        <f aca="false">SUMPRODUCT($C$78:$C$81,G78:G81)</f>
        <v>974.5</v>
      </c>
    </row>
    <row r="84" customFormat="false" ht="15" hidden="false" customHeight="false" outlineLevel="0" collapsed="false">
      <c r="A84" s="4" t="s">
        <v>447</v>
      </c>
      <c r="E84" s="30" t="str">
        <f aca="false">IF(E83=0,"sin uso",IF($B$52-E83&gt;=Datos!$B$19,"OK","No entra"))</f>
        <v>OK</v>
      </c>
      <c r="F84" s="30" t="str">
        <f aca="false">IF(F83=0,"sin uso",IF($B$52-F83&gt;=Datos!$B$19,"OK","No entra"))</f>
        <v>OK</v>
      </c>
      <c r="G84" s="30" t="str">
        <f aca="false">IF(G83=0,"sin uso",IF($B$52-G83&gt;=Datos!$B$19,"OK","No entra"))</f>
        <v>OK</v>
      </c>
    </row>
    <row r="86" customFormat="false" ht="15" hidden="false" customHeight="false" outlineLevel="0" collapsed="false">
      <c r="A86" s="11" t="s">
        <v>452</v>
      </c>
    </row>
    <row r="87" customFormat="false" ht="35.05" hidden="false" customHeight="false" outlineLevel="0" collapsed="false">
      <c r="A87" s="3" t="s">
        <v>437</v>
      </c>
      <c r="B87" s="3" t="s">
        <v>150</v>
      </c>
      <c r="C87" s="3" t="s">
        <v>438</v>
      </c>
      <c r="D87" s="3" t="s">
        <v>439</v>
      </c>
      <c r="E87" s="3" t="s">
        <v>440</v>
      </c>
      <c r="F87" s="3" t="s">
        <v>441</v>
      </c>
      <c r="G87" s="3" t="s">
        <v>442</v>
      </c>
      <c r="H87" s="3" t="s">
        <v>443</v>
      </c>
    </row>
    <row r="88" customFormat="false" ht="15" hidden="false" customHeight="false" outlineLevel="0" collapsed="false">
      <c r="A88" s="4" t="s">
        <v>453</v>
      </c>
      <c r="B88" s="4" t="s">
        <v>292</v>
      </c>
      <c r="C88" s="27" t="n">
        <f aca="false">IF($C$53=1,Piezas!$F$9,Piezas!$G$9)</f>
        <v>493</v>
      </c>
      <c r="D88" s="27" t="n">
        <f aca="false">IF($C$53=1,Piezas!$G$9,Piezas!$F$9)</f>
        <v>564</v>
      </c>
      <c r="E88" s="16" t="n">
        <v>2</v>
      </c>
      <c r="F88" s="16" t="n">
        <v>1</v>
      </c>
      <c r="G88" s="16" t="n">
        <v>0</v>
      </c>
      <c r="H88" s="28" t="n">
        <f aca="false">E88*$E$90+F88*$F$90+G88*$G$90</f>
        <v>1.7001</v>
      </c>
    </row>
    <row r="89" customFormat="false" ht="15" hidden="false" customHeight="false" outlineLevel="0" collapsed="false">
      <c r="A89" s="4" t="s">
        <v>414</v>
      </c>
      <c r="B89" s="4" t="s">
        <v>292</v>
      </c>
      <c r="C89" s="27" t="n">
        <f aca="false">F38</f>
        <v>205</v>
      </c>
      <c r="D89" s="27" t="n">
        <f aca="false">G38</f>
        <v>199</v>
      </c>
      <c r="E89" s="16" t="n">
        <v>0</v>
      </c>
      <c r="F89" s="16" t="n">
        <v>2</v>
      </c>
      <c r="G89" s="16" t="n">
        <v>0</v>
      </c>
      <c r="H89" s="28" t="n">
        <f aca="false">E89*$E$90+F89*$F$90+G89*$G$90</f>
        <v>0.5998</v>
      </c>
    </row>
    <row r="90" customFormat="false" ht="23.85" hidden="false" customHeight="false" outlineLevel="0" collapsed="false">
      <c r="A90" s="4" t="s">
        <v>445</v>
      </c>
      <c r="E90" s="15" t="n">
        <v>0.7001</v>
      </c>
      <c r="F90" s="15" t="n">
        <v>0.2999</v>
      </c>
      <c r="G90" s="15" t="n">
        <v>0</v>
      </c>
      <c r="H90" s="30" t="str">
        <f aca="false">IF(ABS(SUM(E90:G90)-1)&lt;0.001,"Suma 100 %","Revisar: no suma 100 %")</f>
        <v>Suma 100 %</v>
      </c>
    </row>
    <row r="91" customFormat="false" ht="15" hidden="false" customHeight="false" outlineLevel="0" collapsed="false">
      <c r="A91" s="4" t="s">
        <v>446</v>
      </c>
      <c r="E91" s="27" t="n">
        <f aca="false">SUMPRODUCT($C$88:$C$89,E88:E89)</f>
        <v>986</v>
      </c>
      <c r="F91" s="27" t="n">
        <f aca="false">SUMPRODUCT($C$88:$C$89,F88:F89)</f>
        <v>903</v>
      </c>
      <c r="G91" s="27" t="n">
        <f aca="false">SUMPRODUCT($C$88:$C$89,G88:G89)</f>
        <v>0</v>
      </c>
    </row>
    <row r="92" customFormat="false" ht="15" hidden="false" customHeight="false" outlineLevel="0" collapsed="false">
      <c r="A92" s="4" t="s">
        <v>447</v>
      </c>
      <c r="E92" s="30" t="str">
        <f aca="false">IF(E91=0,"sin uso",IF($B$53-E91&gt;=Datos!$B$19,"OK","No entra"))</f>
        <v>OK</v>
      </c>
      <c r="F92" s="30" t="str">
        <f aca="false">IF(F91=0,"sin uso",IF($B$53-F91&gt;=Datos!$B$19,"OK","No entra"))</f>
        <v>OK</v>
      </c>
      <c r="G92" s="30" t="str">
        <f aca="false">IF(G91=0,"sin uso",IF($B$53-G91&gt;=Datos!$B$19,"OK","No entra"))</f>
        <v>sin uso</v>
      </c>
    </row>
    <row r="94" customFormat="false" ht="15" hidden="false" customHeight="false" outlineLevel="0" collapsed="false">
      <c r="A94" s="11" t="s">
        <v>454</v>
      </c>
    </row>
    <row r="95" customFormat="false" ht="35.05" hidden="false" customHeight="false" outlineLevel="0" collapsed="false">
      <c r="A95" s="3" t="s">
        <v>437</v>
      </c>
      <c r="B95" s="3" t="s">
        <v>150</v>
      </c>
      <c r="C95" s="3" t="s">
        <v>438</v>
      </c>
      <c r="D95" s="3" t="s">
        <v>439</v>
      </c>
      <c r="E95" s="3" t="s">
        <v>440</v>
      </c>
      <c r="F95" s="3" t="s">
        <v>441</v>
      </c>
      <c r="G95" s="3" t="s">
        <v>442</v>
      </c>
      <c r="H95" s="3" t="s">
        <v>443</v>
      </c>
    </row>
    <row r="96" customFormat="false" ht="15" hidden="false" customHeight="false" outlineLevel="0" collapsed="false">
      <c r="A96" s="4" t="s">
        <v>455</v>
      </c>
      <c r="B96" s="4" t="s">
        <v>293</v>
      </c>
      <c r="C96" s="27" t="n">
        <f aca="false">IF($C$54=1,Piezas!$F$10,Piezas!$G$10)</f>
        <v>493</v>
      </c>
      <c r="D96" s="27" t="n">
        <f aca="false">IF($C$54=1,Piezas!$G$10,Piezas!$F$10)</f>
        <v>858.5</v>
      </c>
      <c r="E96" s="16" t="n">
        <v>0</v>
      </c>
      <c r="F96" s="16" t="n">
        <v>3</v>
      </c>
      <c r="G96" s="16" t="n">
        <v>0</v>
      </c>
      <c r="H96" s="28" t="n">
        <f aca="false">E96*$E$98+F96*$F$98+G96*$G$98</f>
        <v>0.6216</v>
      </c>
    </row>
    <row r="97" customFormat="false" ht="15" hidden="false" customHeight="false" outlineLevel="0" collapsed="false">
      <c r="A97" s="4" t="s">
        <v>456</v>
      </c>
      <c r="B97" s="4" t="s">
        <v>295</v>
      </c>
      <c r="C97" s="27" t="n">
        <f aca="false">IF($C$54=1,Piezas!$F$11,Piezas!$G$11)</f>
        <v>640</v>
      </c>
      <c r="D97" s="27" t="n">
        <f aca="false">IF($C$54=1,Piezas!$G$11,Piezas!$F$11)</f>
        <v>995.5</v>
      </c>
      <c r="E97" s="16" t="n">
        <v>2</v>
      </c>
      <c r="F97" s="16" t="n">
        <v>0</v>
      </c>
      <c r="G97" s="16" t="n">
        <v>0</v>
      </c>
      <c r="H97" s="28" t="n">
        <f aca="false">E97*$E$98+F97*$F$98+G97*$G$98</f>
        <v>1.5856</v>
      </c>
    </row>
    <row r="98" customFormat="false" ht="23.85" hidden="false" customHeight="false" outlineLevel="0" collapsed="false">
      <c r="A98" s="4" t="s">
        <v>445</v>
      </c>
      <c r="E98" s="15" t="n">
        <v>0.7928</v>
      </c>
      <c r="F98" s="15" t="n">
        <v>0.2072</v>
      </c>
      <c r="G98" s="15" t="n">
        <v>0</v>
      </c>
      <c r="H98" s="30" t="str">
        <f aca="false">IF(ABS(SUM(E98:G98)-1)&lt;0.001,"Suma 100 %","Revisar: no suma 100 %")</f>
        <v>Suma 100 %</v>
      </c>
    </row>
    <row r="99" customFormat="false" ht="15" hidden="false" customHeight="false" outlineLevel="0" collapsed="false">
      <c r="A99" s="4" t="s">
        <v>446</v>
      </c>
      <c r="E99" s="27" t="n">
        <f aca="false">SUMPRODUCT($C$96:$C$97,E96:E97)</f>
        <v>1280</v>
      </c>
      <c r="F99" s="27" t="n">
        <f aca="false">SUMPRODUCT($C$96:$C$97,F96:F97)</f>
        <v>1479</v>
      </c>
      <c r="G99" s="27" t="n">
        <f aca="false">SUMPRODUCT($C$96:$C$97,G96:G97)</f>
        <v>0</v>
      </c>
    </row>
    <row r="100" customFormat="false" ht="15" hidden="false" customHeight="false" outlineLevel="0" collapsed="false">
      <c r="A100" s="4" t="s">
        <v>447</v>
      </c>
      <c r="E100" s="30" t="str">
        <f aca="false">IF(E99=0,"sin uso",IF($B$54-E99&gt;=Datos!$B$19,"OK","No entra"))</f>
        <v>OK</v>
      </c>
      <c r="F100" s="30" t="str">
        <f aca="false">IF(F99=0,"sin uso",IF($B$54-F99&gt;=Datos!$B$19,"OK","No entra"))</f>
        <v>OK</v>
      </c>
      <c r="G100" s="30" t="str">
        <f aca="false">IF(G99=0,"sin uso",IF($B$54-G99&gt;=Datos!$B$19,"OK","No entra"))</f>
        <v>sin uso</v>
      </c>
    </row>
    <row r="102" customFormat="false" ht="15" hidden="false" customHeight="false" outlineLevel="0" collapsed="false">
      <c r="A102" s="11" t="s">
        <v>457</v>
      </c>
    </row>
    <row r="103" customFormat="false" ht="35.05" hidden="false" customHeight="false" outlineLevel="0" collapsed="false">
      <c r="A103" s="3" t="s">
        <v>437</v>
      </c>
      <c r="B103" s="3" t="s">
        <v>150</v>
      </c>
      <c r="C103" s="3" t="s">
        <v>438</v>
      </c>
      <c r="D103" s="3" t="s">
        <v>439</v>
      </c>
      <c r="E103" s="3" t="s">
        <v>440</v>
      </c>
      <c r="F103" s="3" t="s">
        <v>441</v>
      </c>
      <c r="G103" s="3" t="s">
        <v>442</v>
      </c>
      <c r="H103" s="3" t="s">
        <v>443</v>
      </c>
    </row>
    <row r="104" customFormat="false" ht="23.85" hidden="false" customHeight="false" outlineLevel="0" collapsed="false">
      <c r="A104" s="4" t="s">
        <v>458</v>
      </c>
      <c r="B104" s="4" t="s">
        <v>459</v>
      </c>
      <c r="C104" s="27" t="n">
        <f aca="false">Piezas!$G$13</f>
        <v>1210.5</v>
      </c>
      <c r="D104" s="4" t="s">
        <v>460</v>
      </c>
      <c r="E104" s="16" t="n">
        <v>1</v>
      </c>
      <c r="F104" s="16" t="n">
        <v>0</v>
      </c>
      <c r="G104" s="16" t="n">
        <v>0</v>
      </c>
      <c r="H104" s="28" t="n">
        <f aca="false">E104*$E$105+F104*$F$105+G104*$G$105</f>
        <v>1</v>
      </c>
    </row>
    <row r="105" customFormat="false" ht="23.85" hidden="false" customHeight="false" outlineLevel="0" collapsed="false">
      <c r="A105" s="4" t="s">
        <v>445</v>
      </c>
      <c r="E105" s="15" t="n">
        <v>1</v>
      </c>
      <c r="F105" s="15" t="n">
        <v>0</v>
      </c>
      <c r="G105" s="15" t="n">
        <v>0</v>
      </c>
      <c r="H105" s="30" t="str">
        <f aca="false">IF(ABS(SUM(E105:G105)-1)&lt;0.001,"Suma 100 %","Revisar: no suma 100 %")</f>
        <v>Suma 100 %</v>
      </c>
    </row>
    <row r="106" customFormat="false" ht="15" hidden="false" customHeight="false" outlineLevel="0" collapsed="false">
      <c r="A106" s="4" t="s">
        <v>446</v>
      </c>
      <c r="E106" s="27" t="n">
        <f aca="false">SUMPRODUCT($C$104:$C$104,E104:E104)</f>
        <v>1210.5</v>
      </c>
      <c r="F106" s="27" t="n">
        <f aca="false">SUMPRODUCT($C$104:$C$104,F104:F104)</f>
        <v>0</v>
      </c>
      <c r="G106" s="27" t="n">
        <f aca="false">SUMPRODUCT($C$104:$C$104,G104:G104)</f>
        <v>0</v>
      </c>
    </row>
    <row r="107" customFormat="false" ht="15" hidden="false" customHeight="false" outlineLevel="0" collapsed="false">
      <c r="A107" s="4" t="s">
        <v>447</v>
      </c>
      <c r="E107" s="30" t="str">
        <f aca="false">IF(E106=0,"sin uso",IF($B$55-E106&gt;=Datos!$B$19,"OK","No entra"))</f>
        <v>OK</v>
      </c>
      <c r="F107" s="30" t="str">
        <f aca="false">IF(F106=0,"sin uso",IF($B$55-F106&gt;=Datos!$B$19,"OK","No entra"))</f>
        <v>sin uso</v>
      </c>
      <c r="G107" s="30" t="str">
        <f aca="false">IF(G106=0,"sin uso",IF($B$55-G106&gt;=Datos!$B$19,"OK","No entra"))</f>
        <v>sin uso</v>
      </c>
    </row>
    <row r="108" customFormat="false" ht="15" hidden="false" customHeight="false" outlineLevel="0" collapsed="false">
      <c r="A108" s="2" t="s">
        <v>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9"/>
    <col collapsed="false" customWidth="true" hidden="false" outlineLevel="0" max="12" min="3" style="0" width="12"/>
  </cols>
  <sheetData>
    <row r="1" customFormat="false" ht="15" hidden="false" customHeight="false" outlineLevel="0" collapsed="false">
      <c r="A1" s="1" t="s">
        <v>462</v>
      </c>
    </row>
    <row r="2" customFormat="false" ht="15" hidden="false" customHeight="false" outlineLevel="0" collapsed="false">
      <c r="A2" s="2" t="s">
        <v>463</v>
      </c>
    </row>
    <row r="4" customFormat="false" ht="15" hidden="false" customHeight="false" outlineLevel="0" collapsed="false">
      <c r="A4" s="3" t="s">
        <v>33</v>
      </c>
      <c r="B4" s="3" t="s">
        <v>35</v>
      </c>
      <c r="C4" s="3" t="s">
        <v>278</v>
      </c>
      <c r="D4" s="3" t="s">
        <v>279</v>
      </c>
      <c r="E4" s="3" t="s">
        <v>280</v>
      </c>
      <c r="F4" s="3" t="s">
        <v>281</v>
      </c>
      <c r="G4" s="3" t="s">
        <v>282</v>
      </c>
      <c r="H4" s="3" t="s">
        <v>283</v>
      </c>
      <c r="I4" s="3" t="s">
        <v>284</v>
      </c>
      <c r="J4" s="3" t="s">
        <v>285</v>
      </c>
      <c r="K4" s="3" t="s">
        <v>286</v>
      </c>
      <c r="L4" s="3" t="s">
        <v>287</v>
      </c>
    </row>
    <row r="5" customFormat="false" ht="15" hidden="false" customHeight="false" outlineLevel="0" collapsed="false">
      <c r="A5" s="4" t="s">
        <v>464</v>
      </c>
      <c r="C5" s="5" t="n">
        <v>1</v>
      </c>
      <c r="D5" s="5" t="n">
        <v>2</v>
      </c>
      <c r="E5" s="5" t="n">
        <v>3</v>
      </c>
      <c r="F5" s="5" t="n">
        <v>4</v>
      </c>
      <c r="G5" s="5" t="n">
        <v>5</v>
      </c>
      <c r="H5" s="5" t="n">
        <v>6</v>
      </c>
      <c r="I5" s="5" t="n">
        <v>7</v>
      </c>
      <c r="J5" s="5" t="n">
        <v>8</v>
      </c>
      <c r="K5" s="5" t="n">
        <v>9</v>
      </c>
      <c r="L5" s="5" t="n">
        <v>10</v>
      </c>
    </row>
    <row r="6" customFormat="false" ht="15" hidden="false" customHeight="false" outlineLevel="0" collapsed="false">
      <c r="A6" s="4" t="s">
        <v>465</v>
      </c>
      <c r="C6" s="28" t="n">
        <f aca="false">1/(1+Datos!$B$7)^C5</f>
        <v>0.892857142857143</v>
      </c>
      <c r="D6" s="28" t="n">
        <f aca="false">1/(1+Datos!$B$7)^D5</f>
        <v>0.79719387755102</v>
      </c>
      <c r="E6" s="28" t="n">
        <f aca="false">1/(1+Datos!$B$7)^E5</f>
        <v>0.711780247813411</v>
      </c>
      <c r="F6" s="28" t="n">
        <f aca="false">1/(1+Datos!$B$7)^F5</f>
        <v>0.635518078404831</v>
      </c>
      <c r="G6" s="28" t="n">
        <f aca="false">1/(1+Datos!$B$7)^G5</f>
        <v>0.567426855718599</v>
      </c>
      <c r="H6" s="28" t="n">
        <f aca="false">1/(1+Datos!$B$7)^H5</f>
        <v>0.506631121177321</v>
      </c>
      <c r="I6" s="28" t="n">
        <f aca="false">1/(1+Datos!$B$7)^I5</f>
        <v>0.452349215336893</v>
      </c>
      <c r="J6" s="28" t="n">
        <f aca="false">1/(1+Datos!$B$7)^J5</f>
        <v>0.403883227979369</v>
      </c>
      <c r="K6" s="28" t="n">
        <f aca="false">1/(1+Datos!$B$7)^K5</f>
        <v>0.360610024981579</v>
      </c>
      <c r="L6" s="28" t="n">
        <f aca="false">1/(1+Datos!$B$7)^L5</f>
        <v>0.321973236590696</v>
      </c>
    </row>
    <row r="7" customFormat="false" ht="15" hidden="false" customHeight="false" outlineLevel="0" collapsed="false">
      <c r="A7" s="11" t="s">
        <v>466</v>
      </c>
    </row>
    <row r="8" customFormat="false" ht="15" hidden="false" customHeight="false" outlineLevel="0" collapsed="false">
      <c r="A8" s="4" t="s">
        <v>288</v>
      </c>
      <c r="B8" s="4" t="s">
        <v>85</v>
      </c>
      <c r="C8" s="5" t="n">
        <f aca="false">Demanda!C6</f>
        <v>4178.736543</v>
      </c>
      <c r="D8" s="5" t="n">
        <f aca="false">Demanda!D6</f>
        <v>5997.303977</v>
      </c>
      <c r="E8" s="5" t="n">
        <f aca="false">Demanda!E6</f>
        <v>14514.147758</v>
      </c>
      <c r="F8" s="5" t="n">
        <f aca="false">Demanda!F6</f>
        <v>35161.935549</v>
      </c>
      <c r="G8" s="5" t="n">
        <f aca="false">Demanda!G6</f>
        <v>62115.43271</v>
      </c>
      <c r="H8" s="5" t="n">
        <f aca="false">Demanda!H6</f>
        <v>87300.45307</v>
      </c>
      <c r="I8" s="5" t="n">
        <f aca="false">Demanda!I6</f>
        <v>121673.15326</v>
      </c>
      <c r="J8" s="5" t="n">
        <f aca="false">Demanda!J6</f>
        <v>156133.07848</v>
      </c>
      <c r="K8" s="5" t="n">
        <f aca="false">Demanda!K6</f>
        <v>175393.13614</v>
      </c>
      <c r="L8" s="5" t="n">
        <f aca="false">Demanda!L6</f>
        <v>202620.63913</v>
      </c>
    </row>
    <row r="9" customFormat="false" ht="15" hidden="false" customHeight="false" outlineLevel="0" collapsed="false">
      <c r="A9" s="4" t="s">
        <v>290</v>
      </c>
      <c r="B9" s="4" t="s">
        <v>85</v>
      </c>
      <c r="C9" s="5" t="n">
        <f aca="false">Demanda!C7</f>
        <v>302.0303572</v>
      </c>
      <c r="D9" s="5" t="n">
        <f aca="false">Demanda!D7</f>
        <v>727.2874503</v>
      </c>
      <c r="E9" s="5" t="n">
        <f aca="false">Demanda!E7</f>
        <v>1317.3880576</v>
      </c>
      <c r="F9" s="5" t="n">
        <f aca="false">Demanda!F7</f>
        <v>2592.678174</v>
      </c>
      <c r="G9" s="5" t="n">
        <f aca="false">Demanda!G7</f>
        <v>4297.387726</v>
      </c>
      <c r="H9" s="5" t="n">
        <f aca="false">Demanda!H7</f>
        <v>6113.149887</v>
      </c>
      <c r="I9" s="5" t="n">
        <f aca="false">Demanda!I7</f>
        <v>8117.275524</v>
      </c>
      <c r="J9" s="5" t="n">
        <f aca="false">Demanda!J7</f>
        <v>10270.226587</v>
      </c>
      <c r="K9" s="5" t="n">
        <f aca="false">Demanda!K7</f>
        <v>11976.506243</v>
      </c>
      <c r="L9" s="5" t="n">
        <f aca="false">Demanda!L7</f>
        <v>14135.378444</v>
      </c>
    </row>
    <row r="10" customFormat="false" ht="15" hidden="false" customHeight="false" outlineLevel="0" collapsed="false">
      <c r="A10" s="4" t="s">
        <v>291</v>
      </c>
      <c r="B10" s="4" t="s">
        <v>85</v>
      </c>
      <c r="C10" s="5" t="n">
        <f aca="false">Demanda!C8</f>
        <v>2286.773025</v>
      </c>
      <c r="D10" s="5" t="n">
        <f aca="false">Demanda!D8</f>
        <v>3940.458881</v>
      </c>
      <c r="E10" s="5" t="n">
        <f aca="false">Demanda!E8</f>
        <v>6733.097591</v>
      </c>
      <c r="F10" s="5" t="n">
        <f aca="false">Demanda!F8</f>
        <v>12240.955313</v>
      </c>
      <c r="G10" s="5" t="n">
        <f aca="false">Demanda!G8</f>
        <v>20628.46694</v>
      </c>
      <c r="H10" s="5" t="n">
        <f aca="false">Demanda!H8</f>
        <v>28744.68411</v>
      </c>
      <c r="I10" s="5" t="n">
        <f aca="false">Demanda!I8</f>
        <v>38699.47984</v>
      </c>
      <c r="J10" s="5" t="n">
        <f aca="false">Demanda!J8</f>
        <v>48872.02637</v>
      </c>
      <c r="K10" s="5" t="n">
        <f aca="false">Demanda!K8</f>
        <v>55509.52455</v>
      </c>
      <c r="L10" s="5" t="n">
        <f aca="false">Demanda!L8</f>
        <v>63882.93872</v>
      </c>
    </row>
    <row r="11" customFormat="false" ht="15" hidden="false" customHeight="false" outlineLevel="0" collapsed="false">
      <c r="A11" s="4" t="s">
        <v>292</v>
      </c>
      <c r="B11" s="4" t="s">
        <v>85</v>
      </c>
      <c r="C11" s="5" t="n">
        <f aca="false">Demanda!C9</f>
        <v>94.83318153</v>
      </c>
      <c r="D11" s="5" t="n">
        <f aca="false">Demanda!D9</f>
        <v>184.4872967</v>
      </c>
      <c r="E11" s="5" t="n">
        <f aca="false">Demanda!E9</f>
        <v>356.1787798</v>
      </c>
      <c r="F11" s="5" t="n">
        <f aca="false">Demanda!F9</f>
        <v>693.7804941</v>
      </c>
      <c r="G11" s="5" t="n">
        <f aca="false">Demanda!G9</f>
        <v>1206.3981519</v>
      </c>
      <c r="H11" s="5" t="n">
        <f aca="false">Demanda!H9</f>
        <v>1743.045032</v>
      </c>
      <c r="I11" s="5" t="n">
        <f aca="false">Demanda!I9</f>
        <v>2339.800545</v>
      </c>
      <c r="J11" s="5" t="n">
        <f aca="false">Demanda!J9</f>
        <v>2957.564812</v>
      </c>
      <c r="K11" s="5" t="n">
        <f aca="false">Demanda!K9</f>
        <v>3358.670054</v>
      </c>
      <c r="L11" s="5" t="n">
        <f aca="false">Demanda!L9</f>
        <v>3868.328079</v>
      </c>
    </row>
    <row r="12" customFormat="false" ht="15" hidden="false" customHeight="false" outlineLevel="0" collapsed="false">
      <c r="A12" s="4" t="s">
        <v>293</v>
      </c>
      <c r="B12" s="4" t="s">
        <v>85</v>
      </c>
      <c r="C12" s="5" t="n">
        <f aca="false">Demanda!C10</f>
        <v>36.05179136</v>
      </c>
      <c r="D12" s="5" t="n">
        <f aca="false">Demanda!D10</f>
        <v>58.62214745</v>
      </c>
      <c r="E12" s="5" t="n">
        <f aca="false">Demanda!E10</f>
        <v>90.76853998</v>
      </c>
      <c r="F12" s="5" t="n">
        <f aca="false">Demanda!F10</f>
        <v>153.9698529</v>
      </c>
      <c r="G12" s="5" t="n">
        <f aca="false">Demanda!G10</f>
        <v>251.3560035</v>
      </c>
      <c r="H12" s="5" t="n">
        <f aca="false">Demanda!H10</f>
        <v>349.5744827</v>
      </c>
      <c r="I12" s="5" t="n">
        <f aca="false">Demanda!I10</f>
        <v>465.4682332</v>
      </c>
      <c r="J12" s="5" t="n">
        <f aca="false">Demanda!J10</f>
        <v>587.7286707</v>
      </c>
      <c r="K12" s="5" t="n">
        <f aca="false">Demanda!K10</f>
        <v>671.6674156</v>
      </c>
      <c r="L12" s="5" t="n">
        <f aca="false">Demanda!L10</f>
        <v>777.3105332</v>
      </c>
    </row>
    <row r="13" customFormat="false" ht="15" hidden="false" customHeight="false" outlineLevel="0" collapsed="false">
      <c r="A13" s="4" t="s">
        <v>295</v>
      </c>
      <c r="B13" s="4" t="s">
        <v>85</v>
      </c>
      <c r="C13" s="5" t="n">
        <f aca="false">Demanda!C11</f>
        <v>76.913941</v>
      </c>
      <c r="D13" s="5" t="n">
        <f aca="false">Demanda!D11</f>
        <v>129.7767244</v>
      </c>
      <c r="E13" s="5" t="n">
        <f aca="false">Demanda!E11</f>
        <v>201.498788</v>
      </c>
      <c r="F13" s="5" t="n">
        <f aca="false">Demanda!F11</f>
        <v>336.5256765</v>
      </c>
      <c r="G13" s="5" t="n">
        <f aca="false">Demanda!G11</f>
        <v>554.0072077</v>
      </c>
      <c r="H13" s="5" t="n">
        <f aca="false">Demanda!H11</f>
        <v>770.135862</v>
      </c>
      <c r="I13" s="5" t="n">
        <f aca="false">Demanda!I11</f>
        <v>1024.3501129</v>
      </c>
      <c r="J13" s="5" t="n">
        <f aca="false">Demanda!J11</f>
        <v>1292.1070756</v>
      </c>
      <c r="K13" s="5" t="n">
        <f aca="false">Demanda!K11</f>
        <v>1479.6603143</v>
      </c>
      <c r="L13" s="5" t="n">
        <f aca="false">Demanda!L11</f>
        <v>1709.4351731</v>
      </c>
    </row>
    <row r="14" customFormat="false" ht="15" hidden="false" customHeight="false" outlineLevel="0" collapsed="false">
      <c r="A14" s="4" t="s">
        <v>296</v>
      </c>
      <c r="B14" s="4" t="s">
        <v>85</v>
      </c>
      <c r="C14" s="5" t="n">
        <f aca="false">Demanda!C12</f>
        <v>18.34485985</v>
      </c>
      <c r="D14" s="5" t="n">
        <f aca="false">Demanda!D12</f>
        <v>28.22183078</v>
      </c>
      <c r="E14" s="5" t="n">
        <f aca="false">Demanda!E12</f>
        <v>43.26009919</v>
      </c>
      <c r="F14" s="5" t="n">
        <f aca="false">Demanda!F12</f>
        <v>73.81432941</v>
      </c>
      <c r="G14" s="5" t="n">
        <f aca="false">Demanda!G12</f>
        <v>122.26048167</v>
      </c>
      <c r="H14" s="5" t="n">
        <f aca="false">Demanda!H12</f>
        <v>167.5285517</v>
      </c>
      <c r="I14" s="5" t="n">
        <f aca="false">Demanda!I12</f>
        <v>224.4807519</v>
      </c>
      <c r="J14" s="5" t="n">
        <f aca="false">Demanda!J12</f>
        <v>281.6473619</v>
      </c>
      <c r="K14" s="5" t="n">
        <f aca="false">Demanda!K12</f>
        <v>323.8211595</v>
      </c>
      <c r="L14" s="5" t="n">
        <f aca="false">Demanda!L12</f>
        <v>374.129856</v>
      </c>
    </row>
    <row r="15" customFormat="false" ht="15" hidden="false" customHeight="false" outlineLevel="0" collapsed="false">
      <c r="A15" s="4" t="s">
        <v>297</v>
      </c>
      <c r="B15" s="4" t="s">
        <v>85</v>
      </c>
      <c r="C15" s="5" t="n">
        <f aca="false">Demanda!C13</f>
        <v>12.89657324</v>
      </c>
      <c r="D15" s="5" t="n">
        <f aca="false">Demanda!D13</f>
        <v>18.86788719</v>
      </c>
      <c r="E15" s="5" t="n">
        <f aca="false">Demanda!E13</f>
        <v>28.82673279</v>
      </c>
      <c r="F15" s="5" t="n">
        <f aca="false">Demanda!F13</f>
        <v>48.32955294</v>
      </c>
      <c r="G15" s="5" t="n">
        <f aca="false">Demanda!G13</f>
        <v>80.64032112</v>
      </c>
      <c r="H15" s="5" t="n">
        <f aca="false">Demanda!H13</f>
        <v>111.85903447</v>
      </c>
      <c r="I15" s="5" t="n">
        <f aca="false">Demanda!I13</f>
        <v>148.97383461</v>
      </c>
      <c r="J15" s="5" t="n">
        <f aca="false">Demanda!J13</f>
        <v>186.5115746</v>
      </c>
      <c r="K15" s="5" t="n">
        <f aca="false">Demanda!K13</f>
        <v>213.960773</v>
      </c>
      <c r="L15" s="5" t="n">
        <f aca="false">Demanda!L13</f>
        <v>247.4465706</v>
      </c>
    </row>
    <row r="16" customFormat="false" ht="15" hidden="false" customHeight="false" outlineLevel="0" collapsed="false">
      <c r="A16" s="4" t="s">
        <v>407</v>
      </c>
      <c r="B16" s="4" t="s">
        <v>85</v>
      </c>
      <c r="C16" s="5" t="n">
        <f aca="false">C8</f>
        <v>4178.736543</v>
      </c>
      <c r="D16" s="5" t="n">
        <f aca="false">D8</f>
        <v>5997.303977</v>
      </c>
      <c r="E16" s="5" t="n">
        <f aca="false">E8</f>
        <v>14514.147758</v>
      </c>
      <c r="F16" s="5" t="n">
        <f aca="false">F8</f>
        <v>35161.935549</v>
      </c>
      <c r="G16" s="5" t="n">
        <f aca="false">G8</f>
        <v>62115.43271</v>
      </c>
      <c r="H16" s="5" t="n">
        <f aca="false">H8</f>
        <v>87300.45307</v>
      </c>
      <c r="I16" s="5" t="n">
        <f aca="false">I8</f>
        <v>121673.15326</v>
      </c>
      <c r="J16" s="5" t="n">
        <f aca="false">J8</f>
        <v>156133.07848</v>
      </c>
      <c r="K16" s="5" t="n">
        <f aca="false">K8</f>
        <v>175393.13614</v>
      </c>
      <c r="L16" s="5" t="n">
        <f aca="false">L8</f>
        <v>202620.63913</v>
      </c>
    </row>
    <row r="17" customFormat="false" ht="15" hidden="false" customHeight="false" outlineLevel="0" collapsed="false">
      <c r="A17" s="4" t="s">
        <v>408</v>
      </c>
      <c r="B17" s="4" t="s">
        <v>85</v>
      </c>
      <c r="C17" s="5" t="n">
        <f aca="false">C8</f>
        <v>4178.736543</v>
      </c>
      <c r="D17" s="5" t="n">
        <f aca="false">D8</f>
        <v>5997.303977</v>
      </c>
      <c r="E17" s="5" t="n">
        <f aca="false">E8</f>
        <v>14514.147758</v>
      </c>
      <c r="F17" s="5" t="n">
        <f aca="false">F8</f>
        <v>35161.935549</v>
      </c>
      <c r="G17" s="5" t="n">
        <f aca="false">G8</f>
        <v>62115.43271</v>
      </c>
      <c r="H17" s="5" t="n">
        <f aca="false">H8</f>
        <v>87300.45307</v>
      </c>
      <c r="I17" s="5" t="n">
        <f aca="false">I8</f>
        <v>121673.15326</v>
      </c>
      <c r="J17" s="5" t="n">
        <f aca="false">J8</f>
        <v>156133.07848</v>
      </c>
      <c r="K17" s="5" t="n">
        <f aca="false">K8</f>
        <v>175393.13614</v>
      </c>
      <c r="L17" s="5" t="n">
        <f aca="false">L8</f>
        <v>202620.63913</v>
      </c>
    </row>
    <row r="18" customFormat="false" ht="15" hidden="false" customHeight="false" outlineLevel="0" collapsed="false">
      <c r="A18" s="4" t="s">
        <v>409</v>
      </c>
      <c r="B18" s="4" t="s">
        <v>85</v>
      </c>
      <c r="C18" s="5" t="n">
        <f aca="false">C9</f>
        <v>302.0303572</v>
      </c>
      <c r="D18" s="5" t="n">
        <f aca="false">D9</f>
        <v>727.2874503</v>
      </c>
      <c r="E18" s="5" t="n">
        <f aca="false">E9</f>
        <v>1317.3880576</v>
      </c>
      <c r="F18" s="5" t="n">
        <f aca="false">F9</f>
        <v>2592.678174</v>
      </c>
      <c r="G18" s="5" t="n">
        <f aca="false">G9</f>
        <v>4297.387726</v>
      </c>
      <c r="H18" s="5" t="n">
        <f aca="false">H9</f>
        <v>6113.149887</v>
      </c>
      <c r="I18" s="5" t="n">
        <f aca="false">I9</f>
        <v>8117.275524</v>
      </c>
      <c r="J18" s="5" t="n">
        <f aca="false">J9</f>
        <v>10270.226587</v>
      </c>
      <c r="K18" s="5" t="n">
        <f aca="false">K9</f>
        <v>11976.506243</v>
      </c>
      <c r="L18" s="5" t="n">
        <f aca="false">L9</f>
        <v>14135.378444</v>
      </c>
    </row>
    <row r="19" customFormat="false" ht="15" hidden="false" customHeight="false" outlineLevel="0" collapsed="false">
      <c r="A19" s="4" t="s">
        <v>410</v>
      </c>
      <c r="B19" s="4" t="s">
        <v>85</v>
      </c>
      <c r="C19" s="5" t="n">
        <f aca="false">C9</f>
        <v>302.0303572</v>
      </c>
      <c r="D19" s="5" t="n">
        <f aca="false">D9</f>
        <v>727.2874503</v>
      </c>
      <c r="E19" s="5" t="n">
        <f aca="false">E9</f>
        <v>1317.3880576</v>
      </c>
      <c r="F19" s="5" t="n">
        <f aca="false">F9</f>
        <v>2592.678174</v>
      </c>
      <c r="G19" s="5" t="n">
        <f aca="false">G9</f>
        <v>4297.387726</v>
      </c>
      <c r="H19" s="5" t="n">
        <f aca="false">H9</f>
        <v>6113.149887</v>
      </c>
      <c r="I19" s="5" t="n">
        <f aca="false">I9</f>
        <v>8117.275524</v>
      </c>
      <c r="J19" s="5" t="n">
        <f aca="false">J9</f>
        <v>10270.226587</v>
      </c>
      <c r="K19" s="5" t="n">
        <f aca="false">K9</f>
        <v>11976.506243</v>
      </c>
      <c r="L19" s="5" t="n">
        <f aca="false">L9</f>
        <v>14135.378444</v>
      </c>
    </row>
    <row r="20" customFormat="false" ht="15" hidden="false" customHeight="false" outlineLevel="0" collapsed="false">
      <c r="A20" s="4" t="s">
        <v>411</v>
      </c>
      <c r="B20" s="4" t="s">
        <v>85</v>
      </c>
      <c r="C20" s="5" t="n">
        <f aca="false">C10</f>
        <v>2286.773025</v>
      </c>
      <c r="D20" s="5" t="n">
        <f aca="false">D10</f>
        <v>3940.458881</v>
      </c>
      <c r="E20" s="5" t="n">
        <f aca="false">E10</f>
        <v>6733.097591</v>
      </c>
      <c r="F20" s="5" t="n">
        <f aca="false">F10</f>
        <v>12240.955313</v>
      </c>
      <c r="G20" s="5" t="n">
        <f aca="false">G10</f>
        <v>20628.46694</v>
      </c>
      <c r="H20" s="5" t="n">
        <f aca="false">H10</f>
        <v>28744.68411</v>
      </c>
      <c r="I20" s="5" t="n">
        <f aca="false">I10</f>
        <v>38699.47984</v>
      </c>
      <c r="J20" s="5" t="n">
        <f aca="false">J10</f>
        <v>48872.02637</v>
      </c>
      <c r="K20" s="5" t="n">
        <f aca="false">K10</f>
        <v>55509.52455</v>
      </c>
      <c r="L20" s="5" t="n">
        <f aca="false">L10</f>
        <v>63882.93872</v>
      </c>
    </row>
    <row r="21" customFormat="false" ht="15" hidden="false" customHeight="false" outlineLevel="0" collapsed="false">
      <c r="A21" s="4" t="s">
        <v>412</v>
      </c>
      <c r="B21" s="4" t="s">
        <v>85</v>
      </c>
      <c r="C21" s="5" t="n">
        <f aca="false">C10</f>
        <v>2286.773025</v>
      </c>
      <c r="D21" s="5" t="n">
        <f aca="false">D10</f>
        <v>3940.458881</v>
      </c>
      <c r="E21" s="5" t="n">
        <f aca="false">E10</f>
        <v>6733.097591</v>
      </c>
      <c r="F21" s="5" t="n">
        <f aca="false">F10</f>
        <v>12240.955313</v>
      </c>
      <c r="G21" s="5" t="n">
        <f aca="false">G10</f>
        <v>20628.46694</v>
      </c>
      <c r="H21" s="5" t="n">
        <f aca="false">H10</f>
        <v>28744.68411</v>
      </c>
      <c r="I21" s="5" t="n">
        <f aca="false">I10</f>
        <v>38699.47984</v>
      </c>
      <c r="J21" s="5" t="n">
        <f aca="false">J10</f>
        <v>48872.02637</v>
      </c>
      <c r="K21" s="5" t="n">
        <f aca="false">K10</f>
        <v>55509.52455</v>
      </c>
      <c r="L21" s="5" t="n">
        <f aca="false">L10</f>
        <v>63882.93872</v>
      </c>
    </row>
    <row r="22" customFormat="false" ht="15" hidden="false" customHeight="false" outlineLevel="0" collapsed="false">
      <c r="A22" s="4" t="s">
        <v>413</v>
      </c>
      <c r="B22" s="4" t="s">
        <v>85</v>
      </c>
      <c r="C22" s="5" t="n">
        <f aca="false">C11</f>
        <v>94.83318153</v>
      </c>
      <c r="D22" s="5" t="n">
        <f aca="false">D11</f>
        <v>184.4872967</v>
      </c>
      <c r="E22" s="5" t="n">
        <f aca="false">E11</f>
        <v>356.1787798</v>
      </c>
      <c r="F22" s="5" t="n">
        <f aca="false">F11</f>
        <v>693.7804941</v>
      </c>
      <c r="G22" s="5" t="n">
        <f aca="false">G11</f>
        <v>1206.3981519</v>
      </c>
      <c r="H22" s="5" t="n">
        <f aca="false">H11</f>
        <v>1743.045032</v>
      </c>
      <c r="I22" s="5" t="n">
        <f aca="false">I11</f>
        <v>2339.800545</v>
      </c>
      <c r="J22" s="5" t="n">
        <f aca="false">J11</f>
        <v>2957.564812</v>
      </c>
      <c r="K22" s="5" t="n">
        <f aca="false">K11</f>
        <v>3358.670054</v>
      </c>
      <c r="L22" s="5" t="n">
        <f aca="false">L11</f>
        <v>3868.328079</v>
      </c>
    </row>
    <row r="23" customFormat="false" ht="15" hidden="false" customHeight="false" outlineLevel="0" collapsed="false">
      <c r="A23" s="4" t="s">
        <v>414</v>
      </c>
      <c r="B23" s="4" t="s">
        <v>85</v>
      </c>
      <c r="C23" s="5" t="n">
        <f aca="false">C11</f>
        <v>94.83318153</v>
      </c>
      <c r="D23" s="5" t="n">
        <f aca="false">D11</f>
        <v>184.4872967</v>
      </c>
      <c r="E23" s="5" t="n">
        <f aca="false">E11</f>
        <v>356.1787798</v>
      </c>
      <c r="F23" s="5" t="n">
        <f aca="false">F11</f>
        <v>693.7804941</v>
      </c>
      <c r="G23" s="5" t="n">
        <f aca="false">G11</f>
        <v>1206.3981519</v>
      </c>
      <c r="H23" s="5" t="n">
        <f aca="false">H11</f>
        <v>1743.045032</v>
      </c>
      <c r="I23" s="5" t="n">
        <f aca="false">I11</f>
        <v>2339.800545</v>
      </c>
      <c r="J23" s="5" t="n">
        <f aca="false">J11</f>
        <v>2957.564812</v>
      </c>
      <c r="K23" s="5" t="n">
        <f aca="false">K11</f>
        <v>3358.670054</v>
      </c>
      <c r="L23" s="5" t="n">
        <f aca="false">L11</f>
        <v>3868.328079</v>
      </c>
    </row>
    <row r="25" customFormat="false" ht="15" hidden="false" customHeight="false" outlineLevel="0" collapsed="false">
      <c r="A25" s="7" t="s">
        <v>467</v>
      </c>
      <c r="B25" s="4" t="s">
        <v>125</v>
      </c>
      <c r="C25" s="33" t="n">
        <f aca="false">(SUMPRODUCT(C$8:C$15,Piezas!$H$6:$H$13)+SUMPRODUCT(C$16:C$23,Piezas!$S$18:$S$25))/1000</f>
        <v>11.9634730682401</v>
      </c>
      <c r="D25" s="33" t="n">
        <f aca="false">(SUMPRODUCT(D$8:D$15,Piezas!$H$6:$H$13)+SUMPRODUCT(D$16:D$23,Piezas!$S$18:$S$25))/1000</f>
        <v>20.018287462186</v>
      </c>
      <c r="E25" s="33" t="n">
        <f aca="false">(SUMPRODUCT(E$8:E$15,Piezas!$H$6:$H$13)+SUMPRODUCT(E$16:E$23,Piezas!$S$18:$S$25))/1000</f>
        <v>36.1789056910757</v>
      </c>
      <c r="F25" s="33" t="n">
        <f aca="false">(SUMPRODUCT(F$8:F$15,Piezas!$H$6:$H$13)+SUMPRODUCT(F$16:F$23,Piezas!$S$18:$S$25))/1000</f>
        <v>70.2519659947985</v>
      </c>
      <c r="G25" s="33" t="n">
        <f aca="false">(SUMPRODUCT(G$8:G$15,Piezas!$H$6:$H$13)+SUMPRODUCT(G$16:G$23,Piezas!$S$18:$S$25))/1000</f>
        <v>119.68468846272</v>
      </c>
      <c r="H25" s="33" t="n">
        <f aca="false">(SUMPRODUCT(H$8:H$15,Piezas!$H$6:$H$13)+SUMPRODUCT(H$16:H$23,Piezas!$S$18:$S$25))/1000</f>
        <v>167.546739287584</v>
      </c>
      <c r="I25" s="33" t="n">
        <f aca="false">(SUMPRODUCT(I$8:I$15,Piezas!$H$6:$H$13)+SUMPRODUCT(I$16:I$23,Piezas!$S$18:$S$25))/1000</f>
        <v>227.324226565904</v>
      </c>
      <c r="J25" s="33" t="n">
        <f aca="false">(SUMPRODUCT(J$8:J$15,Piezas!$H$6:$H$13)+SUMPRODUCT(J$16:J$23,Piezas!$S$18:$S$25))/1000</f>
        <v>288.346816763556</v>
      </c>
      <c r="K25" s="33" t="n">
        <f aca="false">(SUMPRODUCT(K$8:K$15,Piezas!$H$6:$H$13)+SUMPRODUCT(K$16:K$23,Piezas!$S$18:$S$25))/1000</f>
        <v>327.292236133152</v>
      </c>
      <c r="L25" s="33" t="n">
        <f aca="false">(SUMPRODUCT(L$8:L$15,Piezas!$H$6:$H$13)+SUMPRODUCT(L$16:L$23,Piezas!$S$18:$S$25))/1000</f>
        <v>377.830440297784</v>
      </c>
    </row>
    <row r="27" customFormat="false" ht="15" hidden="false" customHeight="false" outlineLevel="0" collapsed="false">
      <c r="A27" s="11" t="s">
        <v>468</v>
      </c>
    </row>
    <row r="28" customFormat="false" ht="15" hidden="false" customHeight="false" outlineLevel="0" collapsed="false">
      <c r="A28" s="4" t="s">
        <v>469</v>
      </c>
      <c r="B28" s="4" t="s">
        <v>125</v>
      </c>
      <c r="C28" s="32" t="n">
        <f aca="false">SUMPRODUCT(C$8:C$15,Corte!$F$19:$F$26)/1000</f>
        <v>10.2189564320188</v>
      </c>
      <c r="D28" s="32" t="n">
        <f aca="false">SUMPRODUCT(D$8:D$15,Corte!$F$19:$F$26)/1000</f>
        <v>17.0353980978299</v>
      </c>
      <c r="E28" s="32" t="n">
        <f aca="false">SUMPRODUCT(E$8:E$15,Corte!$F$19:$F$26)/1000</f>
        <v>30.5378330085562</v>
      </c>
      <c r="F28" s="32" t="n">
        <f aca="false">SUMPRODUCT(F$8:F$15,Corte!$F$19:$F$26)/1000</f>
        <v>58.9448083660154</v>
      </c>
      <c r="G28" s="32" t="n">
        <f aca="false">SUMPRODUCT(G$8:G$15,Corte!$F$19:$F$26)/1000</f>
        <v>100.294445441478</v>
      </c>
      <c r="H28" s="32" t="n">
        <f aca="false">SUMPRODUCT(H$8:H$15,Corte!$F$19:$F$26)/1000</f>
        <v>140.353555427362</v>
      </c>
      <c r="I28" s="32" t="n">
        <f aca="false">SUMPRODUCT(I$8:I$15,Corte!$F$19:$F$26)/1000</f>
        <v>190.307982153913</v>
      </c>
      <c r="J28" s="32" t="n">
        <f aca="false">SUMPRODUCT(J$8:J$15,Corte!$F$19:$F$26)/1000</f>
        <v>241.342613668821</v>
      </c>
      <c r="K28" s="32" t="n">
        <f aca="false">SUMPRODUCT(K$8:K$15,Corte!$F$19:$F$26)/1000</f>
        <v>274.04920971688</v>
      </c>
      <c r="L28" s="32" t="n">
        <f aca="false">SUMPRODUCT(L$8:L$15,Corte!$F$19:$F$26)/1000</f>
        <v>316.40197064345</v>
      </c>
    </row>
    <row r="29" customFormat="false" ht="15" hidden="false" customHeight="false" outlineLevel="0" collapsed="false">
      <c r="A29" s="4" t="s">
        <v>470</v>
      </c>
      <c r="B29" s="4" t="s">
        <v>154</v>
      </c>
      <c r="C29" s="5" t="n">
        <f aca="false">SUMPRODUCT(C$8:C$15,Corte!$G$19:$G$26)</f>
        <v>12401.5215124621</v>
      </c>
      <c r="D29" s="5" t="n">
        <f aca="false">SUMPRODUCT(D$8:D$15,Corte!$G$19:$G$26)</f>
        <v>20693.4106068345</v>
      </c>
      <c r="E29" s="5" t="n">
        <f aca="false">SUMPRODUCT(E$8:E$15,Corte!$G$19:$G$26)</f>
        <v>37280.27764195</v>
      </c>
      <c r="F29" s="5" t="n">
        <f aca="false">SUMPRODUCT(F$8:F$15,Corte!$G$19:$G$26)</f>
        <v>72251.1390310842</v>
      </c>
      <c r="G29" s="5" t="n">
        <f aca="false">SUMPRODUCT(G$8:G$15,Corte!$G$19:$G$26)</f>
        <v>123036.969262122</v>
      </c>
      <c r="H29" s="5" t="n">
        <f aca="false">SUMPRODUCT(H$8:H$15,Corte!$G$19:$G$26)</f>
        <v>172222.670651704</v>
      </c>
      <c r="I29" s="5" t="n">
        <f aca="false">SUMPRODUCT(I$8:I$15,Corte!$G$19:$G$26)</f>
        <v>233628.465299562</v>
      </c>
      <c r="J29" s="5" t="n">
        <f aca="false">SUMPRODUCT(J$8:J$15,Corte!$G$19:$G$26)</f>
        <v>296338.911247755</v>
      </c>
      <c r="K29" s="5" t="n">
        <f aca="false">SUMPRODUCT(K$8:K$15,Corte!$G$19:$G$26)</f>
        <v>336419.391102678</v>
      </c>
      <c r="L29" s="5" t="n">
        <f aca="false">SUMPRODUCT(L$8:L$15,Corte!$G$19:$G$26)</f>
        <v>388402.130208456</v>
      </c>
    </row>
    <row r="30" customFormat="false" ht="15" hidden="false" customHeight="false" outlineLevel="0" collapsed="false">
      <c r="A30" s="4" t="s">
        <v>471</v>
      </c>
      <c r="B30" s="4" t="s">
        <v>125</v>
      </c>
      <c r="C30" s="32" t="n">
        <f aca="false">SUMPRODUCT(C$16:C$23,Corte!$I$31:$I$38)/1000</f>
        <v>2.98226960100047</v>
      </c>
      <c r="D30" s="32" t="n">
        <f aca="false">SUMPRODUCT(D$16:D$23,Corte!$I$31:$I$38)/1000</f>
        <v>5.07446851111212</v>
      </c>
      <c r="E30" s="32" t="n">
        <f aca="false">SUMPRODUCT(E$16:E$23,Corte!$I$31:$I$38)/1000</f>
        <v>9.42698822961981</v>
      </c>
      <c r="F30" s="32" t="n">
        <f aca="false">SUMPRODUCT(F$16:F$23,Corte!$I$31:$I$38)/1000</f>
        <v>18.6626977711183</v>
      </c>
      <c r="G30" s="32" t="n">
        <f aca="false">SUMPRODUCT(G$16:G$23,Corte!$I$31:$I$38)/1000</f>
        <v>31.9146245086367</v>
      </c>
      <c r="H30" s="32" t="n">
        <f aca="false">SUMPRODUCT(H$16:H$23,Corte!$I$31:$I$38)/1000</f>
        <v>44.7291108547456</v>
      </c>
      <c r="I30" s="32" t="n">
        <f aca="false">SUMPRODUCT(I$16:I$23,Corte!$I$31:$I$38)/1000</f>
        <v>60.8049804466597</v>
      </c>
      <c r="J30" s="32" t="n">
        <f aca="false">SUMPRODUCT(J$16:J$23,Corte!$I$31:$I$38)/1000</f>
        <v>77.1876617778975</v>
      </c>
      <c r="K30" s="32" t="n">
        <f aca="false">SUMPRODUCT(K$16:K$23,Corte!$I$31:$I$38)/1000</f>
        <v>87.5093113982959</v>
      </c>
      <c r="L30" s="32" t="n">
        <f aca="false">SUMPRODUCT(L$16:L$23,Corte!$I$31:$I$38)/1000</f>
        <v>100.996041943413</v>
      </c>
    </row>
    <row r="31" customFormat="false" ht="15" hidden="false" customHeight="false" outlineLevel="0" collapsed="false">
      <c r="A31" s="4" t="s">
        <v>472</v>
      </c>
      <c r="B31" s="4" t="s">
        <v>154</v>
      </c>
      <c r="C31" s="5" t="n">
        <f aca="false">SUMPRODUCT(C$16:C$23,Corte!$J$31:$J$38)</f>
        <v>3556.9249996593</v>
      </c>
      <c r="D31" s="5" t="n">
        <f aca="false">SUMPRODUCT(D$16:D$23,Corte!$J$31:$J$38)</f>
        <v>6047.33115626532</v>
      </c>
      <c r="E31" s="5" t="n">
        <f aca="false">SUMPRODUCT(E$16:E$23,Corte!$J$31:$J$38)</f>
        <v>11249.9198274114</v>
      </c>
      <c r="F31" s="5" t="n">
        <f aca="false">SUMPRODUCT(F$16:F$23,Corte!$J$31:$J$38)</f>
        <v>22301.0491233122</v>
      </c>
      <c r="G31" s="5" t="n">
        <f aca="false">SUMPRODUCT(G$16:G$23,Corte!$J$31:$J$38)</f>
        <v>38145.7685878325</v>
      </c>
      <c r="H31" s="5" t="n">
        <f aca="false">SUMPRODUCT(H$16:H$23,Corte!$J$31:$J$38)</f>
        <v>53463.7362487711</v>
      </c>
      <c r="I31" s="5" t="n">
        <f aca="false">SUMPRODUCT(I$16:I$23,Corte!$J$31:$J$38)</f>
        <v>72692.4259287981</v>
      </c>
      <c r="J31" s="5" t="n">
        <f aca="false">SUMPRODUCT(J$16:J$23,Corte!$J$31:$J$38)</f>
        <v>92285.5581907436</v>
      </c>
      <c r="K31" s="5" t="n">
        <f aca="false">SUMPRODUCT(K$16:K$23,Corte!$J$31:$J$38)</f>
        <v>104618.721744208</v>
      </c>
      <c r="L31" s="5" t="n">
        <f aca="false">SUMPRODUCT(L$16:L$23,Corte!$J$31:$J$38)</f>
        <v>120743.155813304</v>
      </c>
    </row>
    <row r="32" customFormat="false" ht="15" hidden="false" customHeight="false" outlineLevel="0" collapsed="false">
      <c r="A32" s="4" t="s">
        <v>473</v>
      </c>
      <c r="B32" s="4" t="s">
        <v>125</v>
      </c>
      <c r="C32" s="32" t="n">
        <f aca="false">C28+C30</f>
        <v>13.2012260330193</v>
      </c>
      <c r="D32" s="32" t="n">
        <f aca="false">D28+D30</f>
        <v>22.109866608942</v>
      </c>
      <c r="E32" s="32" t="n">
        <f aca="false">E28+E30</f>
        <v>39.964821238176</v>
      </c>
      <c r="F32" s="32" t="n">
        <f aca="false">F28+F30</f>
        <v>77.6075061371337</v>
      </c>
      <c r="G32" s="32" t="n">
        <f aca="false">G28+G30</f>
        <v>132.209069950115</v>
      </c>
      <c r="H32" s="32" t="n">
        <f aca="false">H28+H30</f>
        <v>185.082666282108</v>
      </c>
      <c r="I32" s="32" t="n">
        <f aca="false">I28+I30</f>
        <v>251.112962600573</v>
      </c>
      <c r="J32" s="32" t="n">
        <f aca="false">J28+J30</f>
        <v>318.530275446719</v>
      </c>
      <c r="K32" s="32" t="n">
        <f aca="false">K28+K30</f>
        <v>361.558521115176</v>
      </c>
      <c r="L32" s="32" t="n">
        <f aca="false">L28+L30</f>
        <v>417.398012586863</v>
      </c>
    </row>
    <row r="33" customFormat="false" ht="15" hidden="false" customHeight="false" outlineLevel="0" collapsed="false">
      <c r="A33" s="4" t="s">
        <v>474</v>
      </c>
      <c r="B33" s="4" t="s">
        <v>154</v>
      </c>
      <c r="C33" s="5" t="n">
        <f aca="false">C29+C31</f>
        <v>15958.4465121214</v>
      </c>
      <c r="D33" s="5" t="n">
        <f aca="false">D29+D31</f>
        <v>26740.7417630998</v>
      </c>
      <c r="E33" s="5" t="n">
        <f aca="false">E29+E31</f>
        <v>48530.1974693613</v>
      </c>
      <c r="F33" s="5" t="n">
        <f aca="false">F29+F31</f>
        <v>94552.1881543964</v>
      </c>
      <c r="G33" s="5" t="n">
        <f aca="false">G29+G31</f>
        <v>161182.737849955</v>
      </c>
      <c r="H33" s="5" t="n">
        <f aca="false">H29+H31</f>
        <v>225686.406900475</v>
      </c>
      <c r="I33" s="5" t="n">
        <f aca="false">I29+I31</f>
        <v>306320.891228361</v>
      </c>
      <c r="J33" s="5" t="n">
        <f aca="false">J29+J31</f>
        <v>388624.469438498</v>
      </c>
      <c r="K33" s="5" t="n">
        <f aca="false">K29+K31</f>
        <v>441038.112846886</v>
      </c>
      <c r="L33" s="5" t="n">
        <f aca="false">L29+L31</f>
        <v>509145.28602176</v>
      </c>
    </row>
    <row r="34" customFormat="false" ht="15" hidden="false" customHeight="false" outlineLevel="0" collapsed="false">
      <c r="A34" s="4" t="s">
        <v>475</v>
      </c>
      <c r="B34" s="4" t="s">
        <v>125</v>
      </c>
      <c r="C34" s="32" t="n">
        <f aca="false">C32-C25</f>
        <v>1.23775296477918</v>
      </c>
      <c r="D34" s="32" t="n">
        <f aca="false">D32-D25</f>
        <v>2.09157914675599</v>
      </c>
      <c r="E34" s="32" t="n">
        <f aca="false">E32-E25</f>
        <v>3.78591554710032</v>
      </c>
      <c r="F34" s="32" t="n">
        <f aca="false">F32-F25</f>
        <v>7.35554014233526</v>
      </c>
      <c r="G34" s="32" t="n">
        <f aca="false">G32-G25</f>
        <v>12.5243814873953</v>
      </c>
      <c r="H34" s="32" t="n">
        <f aca="false">H32-H25</f>
        <v>17.5359269945234</v>
      </c>
      <c r="I34" s="32" t="n">
        <f aca="false">I32-I25</f>
        <v>23.7887360346685</v>
      </c>
      <c r="J34" s="32" t="n">
        <f aca="false">J32-J25</f>
        <v>30.183458683163</v>
      </c>
      <c r="K34" s="32" t="n">
        <f aca="false">K32-K25</f>
        <v>34.266284982024</v>
      </c>
      <c r="L34" s="32" t="n">
        <f aca="false">L32-L25</f>
        <v>39.5675722890794</v>
      </c>
    </row>
    <row r="35" customFormat="false" ht="15" hidden="false" customHeight="false" outlineLevel="0" collapsed="false">
      <c r="A35" s="4" t="s">
        <v>476</v>
      </c>
      <c r="B35" s="4" t="s">
        <v>154</v>
      </c>
      <c r="C35" s="5" t="n">
        <f aca="false">-C34*Datos!$B$9</f>
        <v>-309.438241194794</v>
      </c>
      <c r="D35" s="5" t="n">
        <f aca="false">-D34*Datos!$B$9</f>
        <v>-522.894786688998</v>
      </c>
      <c r="E35" s="5" t="n">
        <f aca="false">-E34*Datos!$B$9</f>
        <v>-946.478886775081</v>
      </c>
      <c r="F35" s="5" t="n">
        <f aca="false">-F34*Datos!$B$9</f>
        <v>-1838.88503558381</v>
      </c>
      <c r="G35" s="5" t="n">
        <f aca="false">-G34*Datos!$B$9</f>
        <v>-3131.09537184883</v>
      </c>
      <c r="H35" s="5" t="n">
        <f aca="false">-H34*Datos!$B$9</f>
        <v>-4383.98174863086</v>
      </c>
      <c r="I35" s="5" t="n">
        <f aca="false">-I34*Datos!$B$9</f>
        <v>-5947.18400866714</v>
      </c>
      <c r="J35" s="5" t="n">
        <f aca="false">-J34*Datos!$B$9</f>
        <v>-7545.86467079075</v>
      </c>
      <c r="K35" s="5" t="n">
        <f aca="false">-K34*Datos!$B$9</f>
        <v>-8566.571245506</v>
      </c>
      <c r="L35" s="5" t="n">
        <f aca="false">-L34*Datos!$B$9</f>
        <v>-9891.89307226985</v>
      </c>
    </row>
    <row r="36" customFormat="false" ht="15" hidden="false" customHeight="false" outlineLevel="0" collapsed="false">
      <c r="A36" s="4" t="s">
        <v>477</v>
      </c>
      <c r="B36" s="4" t="s">
        <v>125</v>
      </c>
      <c r="C36" s="32" t="n">
        <f aca="false">SUMPRODUCT((Corte!$H$19:$H$26+C$8:C$15*Corte!$F$19:$F$26/1000*Datos!$B$48/12-ABS(Corte!$H$19:$H$26-C$8:C$15*Corte!$F$19:$F$26/1000*Datos!$B$48/12))/4+C$8:C$15*Corte!$F$19:$F$26/1000*Datos!$B$45/52)</f>
        <v>1.67040633984923</v>
      </c>
      <c r="D36" s="32" t="n">
        <f aca="false">SUMPRODUCT((Corte!$H$19:$H$26+D$8:D$15*Corte!$F$19:$F$26/1000*Datos!$B$48/12-ABS(Corte!$H$19:$H$26-D$8:D$15*Corte!$F$19:$F$26/1000*Datos!$B$48/12))/4+D$8:D$15*Corte!$F$19:$F$26/1000*Datos!$B$45/52)</f>
        <v>2.78463238137603</v>
      </c>
      <c r="E36" s="32" t="n">
        <f aca="false">SUMPRODUCT((Corte!$H$19:$H$26+E$8:E$15*Corte!$F$19:$F$26/1000*Datos!$B$48/12-ABS(Corte!$H$19:$H$26-E$8:E$15*Corte!$F$19:$F$26/1000*Datos!$B$48/12))/4+E$8:E$15*Corte!$F$19:$F$26/1000*Datos!$B$45/52)</f>
        <v>4.99176116486015</v>
      </c>
      <c r="F36" s="32" t="n">
        <f aca="false">SUMPRODUCT((Corte!$H$19:$H$26+F$8:F$15*Corte!$F$19:$F$26/1000*Datos!$B$48/12-ABS(Corte!$H$19:$H$26-F$8:F$15*Corte!$F$19:$F$26/1000*Datos!$B$48/12))/4+F$8:F$15*Corte!$F$19:$F$26/1000*Datos!$B$45/52)</f>
        <v>9.63520905982944</v>
      </c>
      <c r="G36" s="32" t="n">
        <f aca="false">SUMPRODUCT((Corte!$H$19:$H$26+G$8:G$15*Corte!$F$19:$F$26/1000*Datos!$B$48/12-ABS(Corte!$H$19:$H$26-G$8:G$15*Corte!$F$19:$F$26/1000*Datos!$B$48/12))/4+G$8:G$15*Corte!$F$19:$F$26/1000*Datos!$B$45/52)</f>
        <v>16.2220538950066</v>
      </c>
      <c r="H36" s="32" t="n">
        <f aca="false">SUMPRODUCT((Corte!$H$19:$H$26+H$8:H$15*Corte!$F$19:$F$26/1000*Datos!$B$48/12-ABS(Corte!$H$19:$H$26-H$8:H$15*Corte!$F$19:$F$26/1000*Datos!$B$48/12))/4+H$8:H$15*Corte!$F$19:$F$26/1000*Datos!$B$45/52)</f>
        <v>18.8729600596383</v>
      </c>
      <c r="I36" s="32" t="n">
        <f aca="false">SUMPRODUCT((Corte!$H$19:$H$26+I$8:I$15*Corte!$F$19:$F$26/1000*Datos!$B$48/12-ABS(Corte!$H$19:$H$26-I$8:I$15*Corte!$F$19:$F$26/1000*Datos!$B$48/12))/4+I$8:I$15*Corte!$F$19:$F$26/1000*Datos!$B$45/52)</f>
        <v>20.8195377751505</v>
      </c>
      <c r="J36" s="32" t="n">
        <f aca="false">SUMPRODUCT((Corte!$H$19:$H$26+J$8:J$15*Corte!$F$19:$F$26/1000*Datos!$B$48/12-ABS(Corte!$H$19:$H$26-J$8:J$15*Corte!$F$19:$F$26/1000*Datos!$B$48/12))/4+J$8:J$15*Corte!$F$19:$F$26/1000*Datos!$B$45/52)</f>
        <v>22.7824082180316</v>
      </c>
      <c r="K36" s="32" t="n">
        <f aca="false">SUMPRODUCT((Corte!$H$19:$H$26+K$8:K$15*Corte!$F$19:$F$26/1000*Datos!$B$48/12-ABS(Corte!$H$19:$H$26-K$8:K$15*Corte!$F$19:$F$26/1000*Datos!$B$48/12))/4+K$8:K$15*Corte!$F$19:$F$26/1000*Datos!$B$45/52)</f>
        <v>24.04035421988</v>
      </c>
      <c r="L36" s="32" t="n">
        <f aca="false">SUMPRODUCT((Corte!$H$19:$H$26+L$8:L$15*Corte!$F$19:$F$26/1000*Datos!$B$48/12-ABS(Corte!$H$19:$H$26-L$8:L$15*Corte!$F$19:$F$26/1000*Datos!$B$48/12))/4+L$8:L$15*Corte!$F$19:$F$26/1000*Datos!$B$45/52)</f>
        <v>25.6693065632096</v>
      </c>
    </row>
    <row r="37" customFormat="false" ht="15" hidden="false" customHeight="false" outlineLevel="0" collapsed="false">
      <c r="A37" s="4" t="s">
        <v>478</v>
      </c>
      <c r="B37" s="4" t="s">
        <v>125</v>
      </c>
      <c r="C37" s="32" t="n">
        <f aca="false">SUMPRODUCT((Corte!$K$31:$K$38+C$16:C$23*Corte!$I$31:$I$38/1000*Datos!$B$48/12-ABS(Corte!$K$31:$K$38-C$16:C$23*Corte!$I$31:$I$38/1000*Datos!$B$48/12))/4+C$16:C$23*Corte!$I$31:$I$38/1000*Datos!$B$45/52)</f>
        <v>0.487486377086616</v>
      </c>
      <c r="D37" s="32" t="n">
        <f aca="false">SUMPRODUCT((Corte!$K$31:$K$38+D$16:D$23*Corte!$I$31:$I$38/1000*Datos!$B$48/12-ABS(Corte!$K$31:$K$38-D$16:D$23*Corte!$I$31:$I$38/1000*Datos!$B$48/12))/4+D$16:D$23*Corte!$I$31:$I$38/1000*Datos!$B$45/52)</f>
        <v>0.82948042970102</v>
      </c>
      <c r="E37" s="32" t="n">
        <f aca="false">SUMPRODUCT((Corte!$K$31:$K$38+E$16:E$23*Corte!$I$31:$I$38/1000*Datos!$B$48/12-ABS(Corte!$K$31:$K$38-E$16:E$23*Corte!$I$31:$I$38/1000*Datos!$B$48/12))/4+E$16:E$23*Corte!$I$31:$I$38/1000*Datos!$B$45/52)</f>
        <v>1.54094999907247</v>
      </c>
      <c r="F37" s="32" t="n">
        <f aca="false">SUMPRODUCT((Corte!$K$31:$K$38+F$16:F$23*Corte!$I$31:$I$38/1000*Datos!$B$48/12-ABS(Corte!$K$31:$K$38-F$16:F$23*Corte!$I$31:$I$38/1000*Datos!$B$48/12))/4+F$16:F$23*Corte!$I$31:$I$38/1000*Datos!$B$45/52)</f>
        <v>3.05063328950973</v>
      </c>
      <c r="G37" s="32" t="n">
        <f aca="false">SUMPRODUCT((Corte!$K$31:$K$38+G$16:G$23*Corte!$I$31:$I$38/1000*Datos!$B$48/12-ABS(Corte!$K$31:$K$38-G$16:G$23*Corte!$I$31:$I$38/1000*Datos!$B$48/12))/4+G$16:G$23*Corte!$I$31:$I$38/1000*Datos!$B$45/52)</f>
        <v>4.88978330073879</v>
      </c>
      <c r="H37" s="32" t="n">
        <f aca="false">SUMPRODUCT((Corte!$K$31:$K$38+H$16:H$23*Corte!$I$31:$I$38/1000*Datos!$B$48/12-ABS(Corte!$K$31:$K$38-H$16:H$23*Corte!$I$31:$I$38/1000*Datos!$B$48/12))/4+H$16:H$23*Corte!$I$31:$I$38/1000*Datos!$B$45/52)</f>
        <v>5.61607157815997</v>
      </c>
      <c r="I37" s="32" t="n">
        <f aca="false">SUMPRODUCT((Corte!$K$31:$K$38+I$16:I$23*Corte!$I$31:$I$38/1000*Datos!$B$48/12-ABS(Corte!$K$31:$K$38-I$16:I$23*Corte!$I$31:$I$38/1000*Datos!$B$48/12))/4+I$16:I$23*Corte!$I$31:$I$38/1000*Datos!$B$45/52)</f>
        <v>6.44276116925404</v>
      </c>
      <c r="J37" s="32" t="n">
        <f aca="false">SUMPRODUCT((Corte!$K$31:$K$38+J$16:J$23*Corte!$I$31:$I$38/1000*Datos!$B$48/12-ABS(Corte!$K$31:$K$38-J$16:J$23*Corte!$I$31:$I$38/1000*Datos!$B$48/12))/4+J$16:J$23*Corte!$I$31:$I$38/1000*Datos!$B$45/52)</f>
        <v>7.20733558169884</v>
      </c>
      <c r="K37" s="32" t="n">
        <f aca="false">SUMPRODUCT((Corte!$K$31:$K$38+K$16:K$23*Corte!$I$31:$I$38/1000*Datos!$B$48/12-ABS(Corte!$K$31:$K$38-K$16:K$23*Corte!$I$31:$I$38/1000*Datos!$B$48/12))/4+K$16:K$23*Corte!$I$31:$I$38/1000*Datos!$B$45/52)</f>
        <v>7.6157427460883</v>
      </c>
      <c r="L37" s="32" t="n">
        <f aca="false">SUMPRODUCT((Corte!$K$31:$K$38+L$16:L$23*Corte!$I$31:$I$38/1000*Datos!$B$48/12-ABS(Corte!$K$31:$K$38-L$16:L$23*Corte!$I$31:$I$38/1000*Datos!$B$48/12))/4+L$16:L$23*Corte!$I$31:$I$38/1000*Datos!$B$45/52)</f>
        <v>8.13446315166972</v>
      </c>
    </row>
    <row r="38" customFormat="false" ht="15" hidden="false" customHeight="false" outlineLevel="0" collapsed="false">
      <c r="A38" s="4" t="s">
        <v>479</v>
      </c>
      <c r="B38" s="4" t="s">
        <v>125</v>
      </c>
      <c r="C38" s="32" t="n">
        <f aca="false">C36+C37</f>
        <v>2.15789271693585</v>
      </c>
      <c r="D38" s="32" t="n">
        <f aca="false">D36+D37</f>
        <v>3.61411281107705</v>
      </c>
      <c r="E38" s="32" t="n">
        <f aca="false">E36+E37</f>
        <v>6.53271116393262</v>
      </c>
      <c r="F38" s="32" t="n">
        <f aca="false">F36+F37</f>
        <v>12.6858423493392</v>
      </c>
      <c r="G38" s="32" t="n">
        <f aca="false">G36+G37</f>
        <v>21.1118371957454</v>
      </c>
      <c r="H38" s="32" t="n">
        <f aca="false">H36+H37</f>
        <v>24.4890316377983</v>
      </c>
      <c r="I38" s="32" t="n">
        <f aca="false">I36+I37</f>
        <v>27.2622989444045</v>
      </c>
      <c r="J38" s="32" t="n">
        <f aca="false">J36+J37</f>
        <v>29.9897437997304</v>
      </c>
      <c r="K38" s="32" t="n">
        <f aca="false">K36+K37</f>
        <v>31.6560969659683</v>
      </c>
      <c r="L38" s="32" t="n">
        <f aca="false">L36+L37</f>
        <v>33.8037697148794</v>
      </c>
    </row>
    <row r="39" customFormat="false" ht="15" hidden="false" customHeight="false" outlineLevel="0" collapsed="false">
      <c r="A39" s="4" t="s">
        <v>480</v>
      </c>
      <c r="B39" s="4" t="s">
        <v>154</v>
      </c>
      <c r="C39" s="5" t="n">
        <f aca="false">IF(C32=0,0,C38*C33/C32*Datos!$B$7)</f>
        <v>313.031066199305</v>
      </c>
      <c r="D39" s="5" t="n">
        <f aca="false">IF(D32=0,0,D38*D33/D32*Datos!$B$7)</f>
        <v>524.529934583881</v>
      </c>
      <c r="E39" s="5" t="n">
        <f aca="false">IF(E32=0,0,E38*E33/E32*Datos!$B$7)</f>
        <v>951.938488822088</v>
      </c>
      <c r="F39" s="5" t="n">
        <f aca="false">IF(F32=0,0,F38*F33/F32*Datos!$B$7)</f>
        <v>1854.6775368747</v>
      </c>
      <c r="G39" s="5" t="n">
        <f aca="false">IF(G32=0,0,G38*G33/G32*Datos!$B$7)</f>
        <v>3088.6205203955</v>
      </c>
      <c r="H39" s="5" t="n">
        <f aca="false">IF(H32=0,0,H38*H33/H32*Datos!$B$7)</f>
        <v>3583.37709510793</v>
      </c>
      <c r="I39" s="5" t="n">
        <f aca="false">IF(I32=0,0,I38*I33/I32*Datos!$B$7)</f>
        <v>3990.7195342364</v>
      </c>
      <c r="J39" s="5" t="n">
        <f aca="false">IF(J32=0,0,J38*J33/J32*Datos!$B$7)</f>
        <v>4390.69658534217</v>
      </c>
      <c r="K39" s="5" t="n">
        <f aca="false">IF(K32=0,0,K38*K33/K32*Datos!$B$7)</f>
        <v>4633.78771090432</v>
      </c>
      <c r="L39" s="5" t="n">
        <f aca="false">IF(L32=0,0,L38*L33/L32*Datos!$B$7)</f>
        <v>4948.09160017672</v>
      </c>
    </row>
    <row r="40" customFormat="false" ht="15" hidden="false" customHeight="false" outlineLevel="0" collapsed="false">
      <c r="A40" s="4" t="s">
        <v>481</v>
      </c>
      <c r="B40" s="4" t="s">
        <v>482</v>
      </c>
      <c r="C40" s="32" t="n">
        <f aca="false">SUMPRODUCT(C$16:C$23*Corte!$I$31:$I$38/1000/Corte!$K$31:$K$38)</f>
        <v>2.10021884302814</v>
      </c>
      <c r="D40" s="32" t="n">
        <f aca="false">SUMPRODUCT(D$16:D$23*Corte!$I$31:$I$38/1000/Corte!$K$31:$K$38)</f>
        <v>3.67810814111204</v>
      </c>
      <c r="E40" s="32" t="n">
        <f aca="false">SUMPRODUCT(E$16:E$23*Corte!$I$31:$I$38/1000/Corte!$K$31:$K$38)</f>
        <v>7.13067970183033</v>
      </c>
      <c r="F40" s="32" t="n">
        <f aca="false">SUMPRODUCT(F$16:F$23*Corte!$I$31:$I$38/1000/Corte!$K$31:$K$38)</f>
        <v>14.6412776364786</v>
      </c>
      <c r="G40" s="32" t="n">
        <f aca="false">SUMPRODUCT(G$16:G$23*Corte!$I$31:$I$38/1000/Corte!$K$31:$K$38)</f>
        <v>25.1550737131839</v>
      </c>
      <c r="H40" s="32" t="n">
        <f aca="false">SUMPRODUCT(H$16:H$23*Corte!$I$31:$I$38/1000/Corte!$K$31:$K$38)</f>
        <v>35.4512694173555</v>
      </c>
      <c r="I40" s="32" t="n">
        <f aca="false">SUMPRODUCT(I$16:I$23*Corte!$I$31:$I$38/1000/Corte!$K$31:$K$38)</f>
        <v>48.2528254238431</v>
      </c>
      <c r="J40" s="32" t="n">
        <f aca="false">SUMPRODUCT(J$16:J$23*Corte!$I$31:$I$38/1000/Corte!$K$31:$K$38)</f>
        <v>61.3485733470001</v>
      </c>
      <c r="K40" s="32" t="n">
        <f aca="false">SUMPRODUCT(K$16:K$23*Corte!$I$31:$I$38/1000/Corte!$K$31:$K$38)</f>
        <v>69.6614049251538</v>
      </c>
      <c r="L40" s="32" t="n">
        <f aca="false">SUMPRODUCT(L$16:L$23*Corte!$I$31:$I$38/1000/Corte!$K$31:$K$38)</f>
        <v>80.621800298248</v>
      </c>
    </row>
    <row r="41" customFormat="false" ht="15" hidden="false" customHeight="false" outlineLevel="0" collapsed="false">
      <c r="A41" s="4" t="s">
        <v>483</v>
      </c>
      <c r="B41" s="4" t="s">
        <v>484</v>
      </c>
      <c r="C41" s="5" t="n">
        <f aca="false">SUMPRODUCT(C$8:C$15/Corte!$C$19:$C$26)/Datos!$B$36+SUM(C$8:C$15)/(Datos!$B$30*60)+C40*Datos!$B$41/60</f>
        <v>13.7258668539529</v>
      </c>
      <c r="D41" s="5" t="n">
        <f aca="false">SUMPRODUCT(D$8:D$15/Corte!$C$19:$C$26)/Datos!$B$36+SUM(D$8:D$15)/(Datos!$B$30*60)+D40*Datos!$B$41/60</f>
        <v>21.8771862628975</v>
      </c>
      <c r="E41" s="5" t="n">
        <f aca="false">SUMPRODUCT(E$8:E$15/Corte!$C$19:$C$26)/Datos!$B$36+SUM(E$8:E$15)/(Datos!$B$30*60)+E40*Datos!$B$41/60</f>
        <v>45.5642026391187</v>
      </c>
      <c r="F41" s="5" t="n">
        <f aca="false">SUMPRODUCT(F$8:F$15/Corte!$C$19:$C$26)/Datos!$B$36+SUM(F$8:F$15)/(Datos!$B$30*60)+F40*Datos!$B$41/60</f>
        <v>99.7182608600502</v>
      </c>
      <c r="G41" s="5" t="n">
        <f aca="false">SUMPRODUCT(G$8:G$15/Corte!$C$19:$C$26)/Datos!$B$36+SUM(G$8:G$15)/(Datos!$B$30*60)+G40*Datos!$B$41/60</f>
        <v>173.297512315688</v>
      </c>
      <c r="H41" s="5" t="n">
        <f aca="false">SUMPRODUCT(H$8:H$15/Corte!$C$19:$C$26)/Datos!$B$36+SUM(H$8:H$15)/(Datos!$B$30*60)+H40*Datos!$B$41/60</f>
        <v>243.306760298903</v>
      </c>
      <c r="I41" s="5" t="n">
        <f aca="false">SUMPRODUCT(I$8:I$15/Corte!$C$19:$C$26)/Datos!$B$36+SUM(I$8:I$15)/(Datos!$B$30*60)+I40*Datos!$B$41/60</f>
        <v>335.010594664083</v>
      </c>
      <c r="J41" s="5" t="n">
        <f aca="false">SUMPRODUCT(J$8:J$15/Corte!$C$19:$C$26)/Datos!$B$36+SUM(J$8:J$15)/(Datos!$B$30*60)+J40*Datos!$B$41/60</f>
        <v>427.74663193325</v>
      </c>
      <c r="K41" s="5" t="n">
        <f aca="false">SUMPRODUCT(K$8:K$15/Corte!$C$19:$C$26)/Datos!$B$36+SUM(K$8:K$15)/(Datos!$B$30*60)+K40*Datos!$B$41/60</f>
        <v>482.922601547663</v>
      </c>
      <c r="L41" s="5" t="n">
        <f aca="false">SUMPRODUCT(L$8:L$15/Corte!$C$19:$C$26)/Datos!$B$36+SUM(L$8:L$15)/(Datos!$B$30*60)+L40*Datos!$B$41/60</f>
        <v>558.01462351027</v>
      </c>
    </row>
    <row r="42" customFormat="false" ht="15" hidden="false" customHeight="false" outlineLevel="0" collapsed="false">
      <c r="A42" s="4" t="s">
        <v>485</v>
      </c>
      <c r="B42" s="4" t="s">
        <v>154</v>
      </c>
      <c r="C42" s="5" t="n">
        <f aca="false">C41*Datos!$B$15</f>
        <v>86.2166161172504</v>
      </c>
      <c r="D42" s="5" t="n">
        <f aca="false">D41*Datos!$B$15</f>
        <v>137.417693893091</v>
      </c>
      <c r="E42" s="5" t="n">
        <f aca="false">E41*Datos!$B$15</f>
        <v>286.203517010962</v>
      </c>
      <c r="F42" s="5" t="n">
        <f aca="false">F41*Datos!$B$15</f>
        <v>626.362699560564</v>
      </c>
      <c r="G42" s="5" t="n">
        <f aca="false">G41*Datos!$B$15</f>
        <v>1088.53781348558</v>
      </c>
      <c r="H42" s="5" t="n">
        <f aca="false">H41*Datos!$B$15</f>
        <v>1528.28857912032</v>
      </c>
      <c r="I42" s="5" t="n">
        <f aca="false">I41*Datos!$B$15</f>
        <v>2104.31006964394</v>
      </c>
      <c r="J42" s="5" t="n">
        <f aca="false">J41*Datos!$B$15</f>
        <v>2686.81516098309</v>
      </c>
      <c r="K42" s="5" t="n">
        <f aca="false">K41*Datos!$B$15</f>
        <v>3033.39330003687</v>
      </c>
      <c r="L42" s="5" t="n">
        <f aca="false">L41*Datos!$B$15</f>
        <v>3505.07061556858</v>
      </c>
    </row>
    <row r="43" customFormat="false" ht="15" hidden="false" customHeight="false" outlineLevel="0" collapsed="false">
      <c r="A43" s="4" t="s">
        <v>486</v>
      </c>
      <c r="B43" s="4" t="s">
        <v>154</v>
      </c>
      <c r="C43" s="5" t="n">
        <f aca="false">Datos!$C$112*Datos!$B$8</f>
        <v>5034</v>
      </c>
      <c r="D43" s="5" t="n">
        <f aca="false">Datos!$C$112*Datos!$B$8</f>
        <v>5034</v>
      </c>
      <c r="E43" s="5" t="n">
        <f aca="false">Datos!$C$112*Datos!$B$8</f>
        <v>5034</v>
      </c>
      <c r="F43" s="5" t="n">
        <f aca="false">Datos!$C$112*Datos!$B$8</f>
        <v>5034</v>
      </c>
      <c r="G43" s="5" t="n">
        <f aca="false">Datos!$C$112*Datos!$B$8</f>
        <v>5034</v>
      </c>
      <c r="H43" s="5" t="n">
        <f aca="false">Datos!$C$112*Datos!$B$8</f>
        <v>5034</v>
      </c>
      <c r="I43" s="5" t="n">
        <f aca="false">Datos!$C$112*Datos!$B$8</f>
        <v>5034</v>
      </c>
      <c r="J43" s="5" t="n">
        <f aca="false">Datos!$C$112*Datos!$B$8</f>
        <v>5034</v>
      </c>
      <c r="K43" s="5" t="n">
        <f aca="false">Datos!$C$112*Datos!$B$8</f>
        <v>5034</v>
      </c>
      <c r="L43" s="5" t="n">
        <f aca="false">Datos!$C$112*Datos!$B$8</f>
        <v>5034</v>
      </c>
    </row>
    <row r="44" customFormat="false" ht="15" hidden="false" customHeight="false" outlineLevel="0" collapsed="false">
      <c r="A44" s="7" t="s">
        <v>487</v>
      </c>
      <c r="B44" s="4" t="s">
        <v>154</v>
      </c>
      <c r="C44" s="8" t="n">
        <f aca="false">C33+C35+C39+C42+C43</f>
        <v>21082.2559532432</v>
      </c>
      <c r="D44" s="8" t="n">
        <f aca="false">D33+D35+D39+D42+D43</f>
        <v>31913.7946048878</v>
      </c>
      <c r="E44" s="8" t="n">
        <f aca="false">E33+E35+E39+E42+E43</f>
        <v>53855.8605884193</v>
      </c>
      <c r="F44" s="8" t="n">
        <f aca="false">F33+F35+F39+F42+F43</f>
        <v>100228.343355248</v>
      </c>
      <c r="G44" s="8" t="n">
        <f aca="false">G33+G35+G39+G42+G43</f>
        <v>167262.800811987</v>
      </c>
      <c r="H44" s="8" t="n">
        <f aca="false">H33+H35+H39+H42+H43</f>
        <v>231448.090826072</v>
      </c>
      <c r="I44" s="8" t="n">
        <f aca="false">I33+I35+I39+I42+I43</f>
        <v>311502.736823574</v>
      </c>
      <c r="J44" s="8" t="n">
        <f aca="false">J33+J35+J39+J42+J43</f>
        <v>393190.116514033</v>
      </c>
      <c r="K44" s="8" t="n">
        <f aca="false">K33+K35+K39+K42+K43</f>
        <v>445172.722612321</v>
      </c>
      <c r="L44" s="8" t="n">
        <f aca="false">L33+L35+L39+L42+L43</f>
        <v>512740.555165235</v>
      </c>
    </row>
    <row r="46" customFormat="false" ht="15" hidden="false" customHeight="false" outlineLevel="0" collapsed="false">
      <c r="A46" s="11" t="s">
        <v>488</v>
      </c>
    </row>
    <row r="47" customFormat="false" ht="15" hidden="false" customHeight="false" outlineLevel="0" collapsed="false">
      <c r="A47" s="4" t="s">
        <v>489</v>
      </c>
      <c r="B47" s="4" t="s">
        <v>490</v>
      </c>
      <c r="C47" s="32" t="n">
        <f aca="false">IF(Datos!$B$24="SI",MIN(C15/Datos!$B$25,C14/Datos!$B$26),0)</f>
        <v>6.11495328333333</v>
      </c>
      <c r="D47" s="32" t="n">
        <f aca="false">IF(Datos!$B$24="SI",MIN(D15/Datos!$B$25,D14/Datos!$B$26),0)</f>
        <v>9.40727692666667</v>
      </c>
      <c r="E47" s="32" t="n">
        <f aca="false">IF(Datos!$B$24="SI",MIN(E15/Datos!$B$25,E14/Datos!$B$26),0)</f>
        <v>14.4200330633333</v>
      </c>
      <c r="F47" s="32" t="n">
        <f aca="false">IF(Datos!$B$24="SI",MIN(F15/Datos!$B$25,F14/Datos!$B$26),0)</f>
        <v>24.60477647</v>
      </c>
      <c r="G47" s="32" t="n">
        <f aca="false">IF(Datos!$B$24="SI",MIN(G15/Datos!$B$25,G14/Datos!$B$26),0)</f>
        <v>40.75349389</v>
      </c>
      <c r="H47" s="32" t="n">
        <f aca="false">IF(Datos!$B$24="SI",MIN(H15/Datos!$B$25,H14/Datos!$B$26),0)</f>
        <v>55.8428505666667</v>
      </c>
      <c r="I47" s="32" t="n">
        <f aca="false">IF(Datos!$B$24="SI",MIN(I15/Datos!$B$25,I14/Datos!$B$26),0)</f>
        <v>74.8269173</v>
      </c>
      <c r="J47" s="32" t="n">
        <f aca="false">IF(Datos!$B$24="SI",MIN(J15/Datos!$B$25,J14/Datos!$B$26),0)</f>
        <v>93.8824539666667</v>
      </c>
      <c r="K47" s="32" t="n">
        <f aca="false">IF(Datos!$B$24="SI",MIN(K15/Datos!$B$25,K14/Datos!$B$26),0)</f>
        <v>107.9403865</v>
      </c>
      <c r="L47" s="32" t="n">
        <f aca="false">IF(Datos!$B$24="SI",MIN(L15/Datos!$B$25,L14/Datos!$B$26),0)</f>
        <v>124.709952</v>
      </c>
    </row>
    <row r="48" customFormat="false" ht="15" hidden="false" customHeight="false" outlineLevel="0" collapsed="false">
      <c r="A48" s="4" t="s">
        <v>491</v>
      </c>
      <c r="B48" s="4" t="s">
        <v>490</v>
      </c>
      <c r="C48" s="32" t="n">
        <f aca="false">(C14-Datos!$B$26*C47)/Corte!$D$12</f>
        <v>0</v>
      </c>
      <c r="D48" s="32" t="n">
        <f aca="false">(D14-Datos!$B$26*D47)/Corte!$D$12</f>
        <v>0</v>
      </c>
      <c r="E48" s="32" t="n">
        <f aca="false">(E14-Datos!$B$26*E47)/Corte!$D$12</f>
        <v>0</v>
      </c>
      <c r="F48" s="32" t="n">
        <f aca="false">(F14-Datos!$B$26*F47)/Corte!$D$12</f>
        <v>0</v>
      </c>
      <c r="G48" s="32" t="n">
        <f aca="false">(G14-Datos!$B$26*G47)/Corte!$D$12</f>
        <v>0</v>
      </c>
      <c r="H48" s="32" t="n">
        <f aca="false">(H14-Datos!$B$26*H47)/Corte!$D$12</f>
        <v>0</v>
      </c>
      <c r="I48" s="32" t="n">
        <f aca="false">(I14-Datos!$B$26*I47)/Corte!$D$12</f>
        <v>0</v>
      </c>
      <c r="J48" s="32" t="n">
        <f aca="false">(J14-Datos!$B$26*J47)/Corte!$D$12</f>
        <v>0</v>
      </c>
      <c r="K48" s="32" t="n">
        <f aca="false">(K14-Datos!$B$26*K47)/Corte!$D$12</f>
        <v>0</v>
      </c>
      <c r="L48" s="32" t="n">
        <f aca="false">(L14-Datos!$B$26*L47)/Corte!$D$12</f>
        <v>0</v>
      </c>
    </row>
    <row r="49" customFormat="false" ht="15" hidden="false" customHeight="false" outlineLevel="0" collapsed="false">
      <c r="A49" s="4" t="s">
        <v>492</v>
      </c>
      <c r="B49" s="4" t="s">
        <v>490</v>
      </c>
      <c r="C49" s="32" t="n">
        <f aca="false">(C15-Datos!$B$25*C47)/Corte!$D$13</f>
        <v>2.26053998555556</v>
      </c>
      <c r="D49" s="32" t="n">
        <f aca="false">(D15-Datos!$B$25*D47)/Corte!$D$13</f>
        <v>3.15353675444444</v>
      </c>
      <c r="E49" s="32" t="n">
        <f aca="false">(E15-Datos!$B$25*E47)/Corte!$D$13</f>
        <v>4.80223324222222</v>
      </c>
      <c r="F49" s="32" t="n">
        <f aca="false">(F15-Datos!$B$25*F47)/Corte!$D$13</f>
        <v>7.90825882333333</v>
      </c>
      <c r="G49" s="32" t="n">
        <f aca="false">(G15-Datos!$B$25*G47)/Corte!$D$13</f>
        <v>13.2956090766667</v>
      </c>
      <c r="H49" s="32" t="n">
        <f aca="false">(H15-Datos!$B$25*H47)/Corte!$D$13</f>
        <v>18.6720613011111</v>
      </c>
      <c r="I49" s="32" t="n">
        <f aca="false">(I15-Datos!$B$25*I47)/Corte!$D$13</f>
        <v>24.7156391033333</v>
      </c>
      <c r="J49" s="32" t="n">
        <f aca="false">(J15-Datos!$B$25*J47)/Corte!$D$13</f>
        <v>30.8763735444444</v>
      </c>
      <c r="K49" s="32" t="n">
        <f aca="false">(K15-Datos!$B$25*K47)/Corte!$D$13</f>
        <v>35.3401288333333</v>
      </c>
      <c r="L49" s="32" t="n">
        <f aca="false">(L15-Datos!$B$25*L47)/Corte!$D$13</f>
        <v>40.9122062</v>
      </c>
    </row>
    <row r="50" customFormat="false" ht="15" hidden="false" customHeight="false" outlineLevel="0" collapsed="false">
      <c r="A50" s="4" t="s">
        <v>493</v>
      </c>
      <c r="B50" s="4" t="s">
        <v>490</v>
      </c>
      <c r="C50" s="5" t="n">
        <f aca="false">SUMPRODUCT(C$8:C$13/Corte!$D$6:$D$11)+C48+C49+C47</f>
        <v>326.133990475704</v>
      </c>
      <c r="D50" s="5" t="n">
        <f aca="false">SUMPRODUCT(D$8:D$13/Corte!$D$6:$D$11)+D48+D49+D47</f>
        <v>541.584560161111</v>
      </c>
      <c r="E50" s="5" t="n">
        <f aca="false">SUMPRODUCT(E$8:E$13/Corte!$D$6:$D$11)+E48+E49+E47</f>
        <v>1019.05627599926</v>
      </c>
      <c r="F50" s="5" t="n">
        <f aca="false">SUMPRODUCT(F$8:F$13/Corte!$D$6:$D$11)+F48+F49+F47</f>
        <v>2049.44151492222</v>
      </c>
      <c r="G50" s="5" t="n">
        <f aca="false">SUMPRODUCT(G$8:G$13/Corte!$D$6:$D$11)+G48+G49+G47</f>
        <v>3513.28299502481</v>
      </c>
      <c r="H50" s="5" t="n">
        <f aca="false">SUMPRODUCT(H$8:H$13/Corte!$D$6:$D$11)+H48+H49+H47</f>
        <v>4919.72886969</v>
      </c>
      <c r="I50" s="5" t="n">
        <f aca="false">SUMPRODUCT(I$8:I$13/Corte!$D$6:$D$11)+I48+I49+I47</f>
        <v>6707.41730857556</v>
      </c>
      <c r="J50" s="5" t="n">
        <f aca="false">SUMPRODUCT(J$8:J$13/Corte!$D$6:$D$11)+J48+J49+J47</f>
        <v>8525.25577274815</v>
      </c>
      <c r="K50" s="5" t="n">
        <f aca="false">SUMPRODUCT(K$8:K$13/Corte!$D$6:$D$11)+K48+K49+K47</f>
        <v>9655.4248828463</v>
      </c>
      <c r="L50" s="5" t="n">
        <f aca="false">SUMPRODUCT(L$8:L$13/Corte!$D$6:$D$11)+L48+L49+L47</f>
        <v>11144.5760271907</v>
      </c>
    </row>
    <row r="51" customFormat="false" ht="15" hidden="false" customHeight="false" outlineLevel="0" collapsed="false">
      <c r="A51" s="4" t="s">
        <v>494</v>
      </c>
      <c r="B51" s="4" t="s">
        <v>125</v>
      </c>
      <c r="C51" s="32" t="n">
        <f aca="false">(SUMPRODUCT(C$8:C$13/Corte!$D$6:$D$11*Corte!$P$6:$P$11)+C48*Corte!$P$12+C49*Corte!$P$13+C47*Corte!$P$14)/1000</f>
        <v>10.8481501218629</v>
      </c>
      <c r="D51" s="32" t="n">
        <f aca="false">(SUMPRODUCT(D$8:D$13/Corte!$D$6:$D$11*Corte!$P$6:$P$11)+D48*Corte!$P$12+D49*Corte!$P$13+D47*Corte!$P$14)/1000</f>
        <v>18.0420919066621</v>
      </c>
      <c r="E51" s="32" t="n">
        <f aca="false">(SUMPRODUCT(E$8:E$13/Corte!$D$6:$D$11*Corte!$P$6:$P$11)+E48*Corte!$P$12+E49*Corte!$P$13+E47*Corte!$P$14)/1000</f>
        <v>32.2242859557527</v>
      </c>
      <c r="F51" s="32" t="n">
        <f aca="false">(SUMPRODUCT(F$8:F$13/Corte!$D$6:$D$11*Corte!$P$6:$P$11)+F48*Corte!$P$12+F49*Corte!$P$13+F47*Corte!$P$14)/1000</f>
        <v>62.0172764791878</v>
      </c>
      <c r="G51" s="32" t="n">
        <f aca="false">(SUMPRODUCT(G$8:G$13/Corte!$D$6:$D$11*Corte!$P$6:$P$11)+G48*Corte!$P$12+G49*Corte!$P$13+G47*Corte!$P$14)/1000</f>
        <v>105.475298133565</v>
      </c>
      <c r="H51" s="32" t="n">
        <f aca="false">(SUMPRODUCT(H$8:H$13/Corte!$D$6:$D$11*Corte!$P$6:$P$11)+H48*Corte!$P$12+H49*Corte!$P$13+H47*Corte!$P$14)/1000</f>
        <v>147.574147529811</v>
      </c>
      <c r="I51" s="32" t="n">
        <f aca="false">(SUMPRODUCT(I$8:I$13/Corte!$D$6:$D$11*Corte!$P$6:$P$11)+I48*Corte!$P$12+I49*Corte!$P$13+I47*Corte!$P$14)/1000</f>
        <v>200.033890349505</v>
      </c>
      <c r="J51" s="32" t="n">
        <f aca="false">(SUMPRODUCT(J$8:J$13/Corte!$D$6:$D$11*Corte!$P$6:$P$11)+J48*Corte!$P$12+J49*Corte!$P$13+J47*Corte!$P$14)/1000</f>
        <v>253.619803496284</v>
      </c>
      <c r="K51" s="32" t="n">
        <f aca="false">(SUMPRODUCT(K$8:K$13/Corte!$D$6:$D$11*Corte!$P$6:$P$11)+K48*Corte!$P$12+K49*Corte!$P$13+K47*Corte!$P$14)/1000</f>
        <v>288.033825353627</v>
      </c>
      <c r="L51" s="32" t="n">
        <f aca="false">(SUMPRODUCT(L$8:L$13/Corte!$D$6:$D$11*Corte!$P$6:$P$11)+L48*Corte!$P$12+L49*Corte!$P$13+L47*Corte!$P$14)/1000</f>
        <v>332.540939682408</v>
      </c>
    </row>
    <row r="52" customFormat="false" ht="15" hidden="false" customHeight="false" outlineLevel="0" collapsed="false">
      <c r="A52" s="4" t="s">
        <v>495</v>
      </c>
      <c r="B52" s="4" t="s">
        <v>154</v>
      </c>
      <c r="C52" s="5" t="n">
        <f aca="false">SUMPRODUCT(C$8:C$13/Corte!$D$6:$D$11*Corte!$Q$6:$Q$11)+C48*Corte!$Q$12+C49*Corte!$Q$13+C47*Corte!$Q$14</f>
        <v>13660.4067495987</v>
      </c>
      <c r="D52" s="5" t="n">
        <f aca="false">SUMPRODUCT(D$8:D$13/Corte!$D$6:$D$11*Corte!$Q$6:$Q$11)+D48*Corte!$Q$12+D49*Corte!$Q$13+D47*Corte!$Q$14</f>
        <v>22741.8560360933</v>
      </c>
      <c r="E52" s="5" t="n">
        <f aca="false">SUMPRODUCT(E$8:E$13/Corte!$D$6:$D$11*Corte!$Q$6:$Q$11)+E48*Corte!$Q$12+E49*Corte!$Q$13+E47*Corte!$Q$14</f>
        <v>40959.0551758708</v>
      </c>
      <c r="F52" s="5" t="n">
        <f aca="false">SUMPRODUCT(F$8:F$13/Corte!$D$6:$D$11*Corte!$Q$6:$Q$11)+F48*Corte!$Q$12+F49*Corte!$Q$13+F47*Corte!$Q$14</f>
        <v>79376.0395127997</v>
      </c>
      <c r="G52" s="5" t="n">
        <f aca="false">SUMPRODUCT(G$8:G$13/Corte!$D$6:$D$11*Corte!$Q$6:$Q$11)+G48*Corte!$Q$12+G49*Corte!$Q$13+G47*Corte!$Q$14</f>
        <v>135185.272967453</v>
      </c>
      <c r="H52" s="5" t="n">
        <f aca="false">SUMPRODUCT(H$8:H$13/Corte!$D$6:$D$11*Corte!$Q$6:$Q$11)+H48*Corte!$Q$12+H49*Corte!$Q$13+H47*Corte!$Q$14</f>
        <v>189202.653210306</v>
      </c>
      <c r="I52" s="5" t="n">
        <f aca="false">SUMPRODUCT(I$8:I$13/Corte!$D$6:$D$11*Corte!$Q$6:$Q$11)+I48*Corte!$Q$12+I49*Corte!$Q$13+I47*Corte!$Q$14</f>
        <v>256682.378791863</v>
      </c>
      <c r="J52" s="5" t="n">
        <f aca="false">SUMPRODUCT(J$8:J$13/Corte!$D$6:$D$11*Corte!$Q$6:$Q$11)+J48*Corte!$Q$12+J49*Corte!$Q$13+J47*Corte!$Q$14</f>
        <v>325564.309805687</v>
      </c>
      <c r="K52" s="5" t="n">
        <f aca="false">SUMPRODUCT(K$8:K$13/Corte!$D$6:$D$11*Corte!$Q$6:$Q$11)+K48*Corte!$Q$12+K49*Corte!$Q$13+K47*Corte!$Q$14</f>
        <v>369574.837352833</v>
      </c>
      <c r="L52" s="5" t="n">
        <f aca="false">SUMPRODUCT(L$8:L$13/Corte!$D$6:$D$11*Corte!$Q$6:$Q$11)+L48*Corte!$Q$12+L49*Corte!$Q$13+L47*Corte!$Q$14</f>
        <v>426654.865427805</v>
      </c>
    </row>
    <row r="53" customFormat="false" ht="15" hidden="false" customHeight="false" outlineLevel="0" collapsed="false">
      <c r="A53" s="4" t="s">
        <v>496</v>
      </c>
      <c r="B53" s="4" t="s">
        <v>484</v>
      </c>
      <c r="C53" s="32" t="n">
        <f aca="false">(SUMPRODUCT(C$8:C$13/Corte!$D$6:$D$11*Corte!$M$6:$M$11)+C48*Corte!$M$12+C49*Corte!$M$13+C47*Corte!$M$14)/Datos!$B$30/60</f>
        <v>1.95260959249056</v>
      </c>
      <c r="D53" s="32" t="n">
        <f aca="false">(SUMPRODUCT(D$8:D$13/Corte!$D$6:$D$11*Corte!$M$6:$M$11)+D48*Corte!$M$12+D49*Corte!$M$13+D47*Corte!$M$14)/Datos!$B$30/60</f>
        <v>3.17303334041667</v>
      </c>
      <c r="E53" s="32" t="n">
        <f aca="false">(SUMPRODUCT(E$8:E$13/Corte!$D$6:$D$11*Corte!$M$6:$M$11)+E48*Corte!$M$12+E49*Corte!$M$13+E47*Corte!$M$14)/Datos!$B$30/60</f>
        <v>6.20280943554815</v>
      </c>
      <c r="F53" s="32" t="n">
        <f aca="false">(SUMPRODUCT(F$8:F$13/Corte!$D$6:$D$11*Corte!$M$6:$M$11)+F48*Corte!$M$12+F49*Corte!$M$13+F47*Corte!$M$14)/Datos!$B$30/60</f>
        <v>12.9066704518694</v>
      </c>
      <c r="G53" s="32" t="n">
        <f aca="false">(SUMPRODUCT(G$8:G$13/Corte!$D$6:$D$11*Corte!$M$6:$M$11)+G48*Corte!$M$12+G49*Corte!$M$13+G47*Corte!$M$14)/Datos!$B$30/60</f>
        <v>22.2570777548861</v>
      </c>
      <c r="H53" s="32" t="n">
        <f aca="false">(SUMPRODUCT(H$8:H$13/Corte!$D$6:$D$11*Corte!$M$6:$M$11)+H48*Corte!$M$12+H49*Corte!$M$13+H47*Corte!$M$14)/Datos!$B$30/60</f>
        <v>31.189673873412</v>
      </c>
      <c r="I53" s="32" t="n">
        <f aca="false">(SUMPRODUCT(I$8:I$13/Corte!$D$6:$D$11*Corte!$M$6:$M$11)+I48*Corte!$M$12+I49*Corte!$M$13+I47*Corte!$M$14)/Datos!$B$30/60</f>
        <v>42.7155214154157</v>
      </c>
      <c r="J53" s="32" t="n">
        <f aca="false">(SUMPRODUCT(J$8:J$13/Corte!$D$6:$D$11*Corte!$M$6:$M$11)+J48*Corte!$M$12+J49*Corte!$M$13+J47*Corte!$M$14)/Datos!$B$30/60</f>
        <v>54.4010034637</v>
      </c>
      <c r="K53" s="32" t="n">
        <f aca="false">(SUMPRODUCT(K$8:K$13/Corte!$D$6:$D$11*Corte!$M$6:$M$11)+K48*Corte!$M$12+K49*Corte!$M$13+K47*Corte!$M$14)/Datos!$B$30/60</f>
        <v>61.5085360982944</v>
      </c>
      <c r="L53" s="32" t="n">
        <f aca="false">(SUMPRODUCT(L$8:L$13/Corte!$D$6:$D$11*Corte!$M$6:$M$11)+L48*Corte!$M$12+L49*Corte!$M$13+L47*Corte!$M$14)/Datos!$B$30/60</f>
        <v>71.0086110759222</v>
      </c>
    </row>
    <row r="54" customFormat="false" ht="15" hidden="false" customHeight="false" outlineLevel="0" collapsed="false">
      <c r="A54" s="4" t="s">
        <v>497</v>
      </c>
      <c r="B54" s="4" t="s">
        <v>484</v>
      </c>
      <c r="C54" s="32" t="n">
        <f aca="false">(SUMPRODUCT(C$8:C$13/Corte!$D$6:$D$11*Corte!$N$6:$N$11)+C48*Corte!$N$12+C49*Corte!$N$13+C47*Corte!$N$14)/Datos!$B$33/60</f>
        <v>0.678217120155794</v>
      </c>
      <c r="D54" s="32" t="n">
        <f aca="false">(SUMPRODUCT(D$8:D$13/Corte!$D$6:$D$11*Corte!$N$6:$N$11)+D48*Corte!$N$12+D49*Corte!$N$13+D47*Corte!$N$14)/Datos!$B$33/60</f>
        <v>1.1006376078131</v>
      </c>
      <c r="E54" s="32" t="n">
        <f aca="false">(SUMPRODUCT(E$8:E$13/Corte!$D$6:$D$11*Corte!$N$6:$N$11)+E48*Corte!$N$12+E49*Corte!$N$13+E47*Corte!$N$14)/Datos!$B$33/60</f>
        <v>2.2534052437127</v>
      </c>
      <c r="F54" s="32" t="n">
        <f aca="false">(SUMPRODUCT(F$8:F$13/Corte!$D$6:$D$11*Corte!$N$6:$N$11)+F48*Corte!$N$12+F49*Corte!$N$13+F47*Corte!$N$14)/Datos!$B$33/60</f>
        <v>4.86314215381429</v>
      </c>
      <c r="G54" s="32" t="n">
        <f aca="false">(SUMPRODUCT(G$8:G$13/Corte!$D$6:$D$11*Corte!$N$6:$N$11)+G48*Corte!$N$12+G49*Corte!$N$13+G47*Corte!$N$14)/Datos!$B$33/60</f>
        <v>8.42998169801508</v>
      </c>
      <c r="H54" s="32" t="n">
        <f aca="false">(SUMPRODUCT(H$8:H$13/Corte!$D$6:$D$11*Corte!$N$6:$N$11)+H48*Corte!$N$12+H49*Corte!$N$13+H47*Corte!$N$14)/Datos!$B$33/60</f>
        <v>11.8365800601548</v>
      </c>
      <c r="I54" s="32" t="n">
        <f aca="false">(SUMPRODUCT(I$8:I$13/Corte!$D$6:$D$11*Corte!$N$6:$N$11)+I48*Corte!$N$12+I49*Corte!$N$13+I47*Corte!$N$14)/Datos!$B$33/60</f>
        <v>16.2638765075</v>
      </c>
      <c r="J54" s="32" t="n">
        <f aca="false">(SUMPRODUCT(J$8:J$13/Corte!$D$6:$D$11*Corte!$N$6:$N$11)+J48*Corte!$N$12+J49*Corte!$N$13+J47*Corte!$N$14)/Datos!$B$33/60</f>
        <v>20.7485360786865</v>
      </c>
      <c r="K54" s="32" t="n">
        <f aca="false">(SUMPRODUCT(K$8:K$13/Corte!$D$6:$D$11*Corte!$N$6:$N$11)+K48*Corte!$N$12+K49*Corte!$N$13+K47*Corte!$N$14)/Datos!$B$33/60</f>
        <v>23.4475533976706</v>
      </c>
      <c r="L54" s="32" t="n">
        <f aca="false">(SUMPRODUCT(L$8:L$13/Corte!$D$6:$D$11*Corte!$N$6:$N$11)+L48*Corte!$N$12+L49*Corte!$N$13+L47*Corte!$N$14)/Datos!$B$33/60</f>
        <v>27.0981333658254</v>
      </c>
    </row>
    <row r="55" customFormat="false" ht="15" hidden="false" customHeight="false" outlineLevel="0" collapsed="false">
      <c r="A55" s="4" t="s">
        <v>498</v>
      </c>
      <c r="B55" s="4" t="s">
        <v>125</v>
      </c>
      <c r="C55" s="32" t="n">
        <f aca="false">SUMPRODUCT(C$8:C$11,Corte!$E$42:$E$45)/1000</f>
        <v>3.30228897167025</v>
      </c>
      <c r="D55" s="32" t="n">
        <f aca="false">SUMPRODUCT(D$8:D$11,Corte!$E$42:$E$45)/1000</f>
        <v>5.63085609786055</v>
      </c>
      <c r="E55" s="32" t="n">
        <f aca="false">SUMPRODUCT(E$8:E$11,Corte!$E$42:$E$45)/1000</f>
        <v>10.4008564726803</v>
      </c>
      <c r="F55" s="32" t="n">
        <f aca="false">SUMPRODUCT(F$8:F$11,Corte!$E$42:$E$45)/1000</f>
        <v>20.4782210499362</v>
      </c>
      <c r="G55" s="32" t="n">
        <f aca="false">SUMPRODUCT(G$8:G$11,Corte!$E$42:$E$45)/1000</f>
        <v>34.9865249139028</v>
      </c>
      <c r="H55" s="32" t="n">
        <f aca="false">SUMPRODUCT(H$8:H$11,Corte!$E$42:$E$45)/1000</f>
        <v>49.0235851532709</v>
      </c>
      <c r="I55" s="32" t="n">
        <f aca="false">SUMPRODUCT(I$8:I$11,Corte!$E$42:$E$45)/1000</f>
        <v>66.597640095791</v>
      </c>
      <c r="J55" s="32" t="n">
        <f aca="false">SUMPRODUCT(J$8:J$11,Corte!$E$42:$E$45)/1000</f>
        <v>84.5132843176964</v>
      </c>
      <c r="K55" s="32" t="n">
        <f aca="false">SUMPRODUCT(K$8:K$11,Corte!$E$42:$E$45)/1000</f>
        <v>95.8332562518467</v>
      </c>
      <c r="L55" s="32" t="n">
        <f aca="false">SUMPRODUCT(L$8:L$11,Corte!$E$42:$E$45)/1000</f>
        <v>110.591070147885</v>
      </c>
    </row>
    <row r="56" customFormat="false" ht="15" hidden="false" customHeight="false" outlineLevel="0" collapsed="false">
      <c r="A56" s="4" t="s">
        <v>499</v>
      </c>
      <c r="B56" s="4" t="s">
        <v>154</v>
      </c>
      <c r="C56" s="5" t="n">
        <f aca="false">SUMPRODUCT(C$8:C$11,Corte!$F$42:$F$45)</f>
        <v>4367.5536143799</v>
      </c>
      <c r="D56" s="5" t="n">
        <f aca="false">SUMPRODUCT(D$8:D$11,Corte!$F$42:$F$45)</f>
        <v>7444.73673921097</v>
      </c>
      <c r="E56" s="5" t="n">
        <f aca="false">SUMPRODUCT(E$8:E$11,Corte!$F$42:$F$45)</f>
        <v>13744.9368610062</v>
      </c>
      <c r="F56" s="5" t="n">
        <f aca="false">SUMPRODUCT(F$8:F$11,Corte!$F$42:$F$45)</f>
        <v>27050.4445454376</v>
      </c>
      <c r="G56" s="5" t="n">
        <f aca="false">SUMPRODUCT(G$8:G$11,Corte!$F$42:$F$45)</f>
        <v>46212.9841992033</v>
      </c>
      <c r="H56" s="5" t="n">
        <f aca="false">SUMPRODUCT(H$8:H$11,Corte!$F$42:$F$45)</f>
        <v>64750.4042569393</v>
      </c>
      <c r="I56" s="5" t="n">
        <f aca="false">SUMPRODUCT(I$8:I$11,Corte!$F$42:$F$45)</f>
        <v>87960.8792596746</v>
      </c>
      <c r="J56" s="5" t="n">
        <f aca="false">SUMPRODUCT(J$8:J$11,Corte!$F$42:$F$45)</f>
        <v>111621.254122907</v>
      </c>
      <c r="K56" s="5" t="n">
        <f aca="false">SUMPRODUCT(K$8:K$11,Corte!$F$42:$F$45)</f>
        <v>126568.970299866</v>
      </c>
      <c r="L56" s="5" t="n">
        <f aca="false">SUMPRODUCT(L$8:L$11,Corte!$F$42:$F$45)</f>
        <v>146053.971668474</v>
      </c>
    </row>
    <row r="57" customFormat="false" ht="15" hidden="false" customHeight="false" outlineLevel="0" collapsed="false">
      <c r="A57" s="4" t="s">
        <v>500</v>
      </c>
      <c r="B57" s="4" t="s">
        <v>501</v>
      </c>
      <c r="C57" s="5" t="n">
        <f aca="false">SUMPRODUCT(C$8:C$11,Corte!$G$42:$G$45)</f>
        <v>972.965600847329</v>
      </c>
      <c r="D57" s="5" t="n">
        <f aca="false">SUMPRODUCT(D$8:D$11,Corte!$G$42:$G$45)</f>
        <v>1612.15188807098</v>
      </c>
      <c r="E57" s="5" t="n">
        <f aca="false">SUMPRODUCT(E$8:E$11,Corte!$G$42:$G$45)</f>
        <v>3106.67196050538</v>
      </c>
      <c r="F57" s="5" t="n">
        <f aca="false">SUMPRODUCT(F$8:F$11,Corte!$G$42:$G$45)</f>
        <v>6370.163183783</v>
      </c>
      <c r="G57" s="5" t="n">
        <f aca="false">SUMPRODUCT(G$8:G$11,Corte!$G$42:$G$45)</f>
        <v>10957.571753136</v>
      </c>
      <c r="H57" s="5" t="n">
        <f aca="false">SUMPRODUCT(H$8:H$11,Corte!$G$42:$G$45)</f>
        <v>15354.8856512804</v>
      </c>
      <c r="I57" s="5" t="n">
        <f aca="false">SUMPRODUCT(I$8:I$11,Corte!$G$42:$G$45)</f>
        <v>20981.8109000763</v>
      </c>
      <c r="J57" s="5" t="n">
        <f aca="false">SUMPRODUCT(J$8:J$11,Corte!$G$42:$G$45)</f>
        <v>26694.3700959313</v>
      </c>
      <c r="K57" s="5" t="n">
        <f aca="false">SUMPRODUCT(K$8:K$11,Corte!$G$42:$G$45)</f>
        <v>30206.2023462268</v>
      </c>
      <c r="L57" s="5" t="n">
        <f aca="false">SUMPRODUCT(L$8:L$11,Corte!$G$42:$G$45)</f>
        <v>34867.9043682251</v>
      </c>
    </row>
    <row r="58" customFormat="false" ht="15" hidden="false" customHeight="false" outlineLevel="0" collapsed="false">
      <c r="A58" s="4" t="s">
        <v>473</v>
      </c>
      <c r="B58" s="4" t="s">
        <v>125</v>
      </c>
      <c r="C58" s="32" t="n">
        <f aca="false">C51+C55</f>
        <v>14.1504390935332</v>
      </c>
      <c r="D58" s="32" t="n">
        <f aca="false">D51+D55</f>
        <v>23.6729480045226</v>
      </c>
      <c r="E58" s="32" t="n">
        <f aca="false">E51+E55</f>
        <v>42.625142428433</v>
      </c>
      <c r="F58" s="32" t="n">
        <f aca="false">F51+F55</f>
        <v>82.4954975291241</v>
      </c>
      <c r="G58" s="32" t="n">
        <f aca="false">G51+G55</f>
        <v>140.461823047468</v>
      </c>
      <c r="H58" s="32" t="n">
        <f aca="false">H51+H55</f>
        <v>196.597732683081</v>
      </c>
      <c r="I58" s="32" t="n">
        <f aca="false">I51+I55</f>
        <v>266.631530445296</v>
      </c>
      <c r="J58" s="32" t="n">
        <f aca="false">J51+J55</f>
        <v>338.13308781398</v>
      </c>
      <c r="K58" s="32" t="n">
        <f aca="false">K51+K55</f>
        <v>383.867081605473</v>
      </c>
      <c r="L58" s="32" t="n">
        <f aca="false">L51+L55</f>
        <v>443.132009830293</v>
      </c>
    </row>
    <row r="59" customFormat="false" ht="15" hidden="false" customHeight="false" outlineLevel="0" collapsed="false">
      <c r="A59" s="4" t="s">
        <v>474</v>
      </c>
      <c r="B59" s="4" t="s">
        <v>154</v>
      </c>
      <c r="C59" s="5" t="n">
        <f aca="false">C52+C56</f>
        <v>18027.9603639786</v>
      </c>
      <c r="D59" s="5" t="n">
        <f aca="false">D52+D56</f>
        <v>30186.5927753043</v>
      </c>
      <c r="E59" s="5" t="n">
        <f aca="false">E52+E56</f>
        <v>54703.9920368769</v>
      </c>
      <c r="F59" s="5" t="n">
        <f aca="false">F52+F56</f>
        <v>106426.484058237</v>
      </c>
      <c r="G59" s="5" t="n">
        <f aca="false">G52+G56</f>
        <v>181398.257166656</v>
      </c>
      <c r="H59" s="5" t="n">
        <f aca="false">H52+H56</f>
        <v>253953.057467245</v>
      </c>
      <c r="I59" s="5" t="n">
        <f aca="false">I52+I56</f>
        <v>344643.258051538</v>
      </c>
      <c r="J59" s="5" t="n">
        <f aca="false">J52+J56</f>
        <v>437185.563928594</v>
      </c>
      <c r="K59" s="5" t="n">
        <f aca="false">K52+K56</f>
        <v>496143.807652699</v>
      </c>
      <c r="L59" s="5" t="n">
        <f aca="false">L52+L56</f>
        <v>572708.837096279</v>
      </c>
    </row>
    <row r="60" customFormat="false" ht="15" hidden="false" customHeight="false" outlineLevel="0" collapsed="false">
      <c r="A60" s="4" t="s">
        <v>475</v>
      </c>
      <c r="B60" s="4" t="s">
        <v>125</v>
      </c>
      <c r="C60" s="32" t="n">
        <f aca="false">C58-C25</f>
        <v>2.18696602529302</v>
      </c>
      <c r="D60" s="32" t="n">
        <f aca="false">D58-D25</f>
        <v>3.65466054233661</v>
      </c>
      <c r="E60" s="32" t="n">
        <f aca="false">E58-E25</f>
        <v>6.44623673735726</v>
      </c>
      <c r="F60" s="32" t="n">
        <f aca="false">F58-F25</f>
        <v>12.2435315343256</v>
      </c>
      <c r="G60" s="32" t="n">
        <f aca="false">G58-G25</f>
        <v>20.7771345847481</v>
      </c>
      <c r="H60" s="32" t="n">
        <f aca="false">H58-H25</f>
        <v>29.0509933954971</v>
      </c>
      <c r="I60" s="32" t="n">
        <f aca="false">I58-I25</f>
        <v>39.3073038793916</v>
      </c>
      <c r="J60" s="32" t="n">
        <f aca="false">J58-J25</f>
        <v>49.7862710504244</v>
      </c>
      <c r="K60" s="32" t="n">
        <f aca="false">K58-K25</f>
        <v>56.5748454723213</v>
      </c>
      <c r="L60" s="32" t="n">
        <f aca="false">L58-L25</f>
        <v>65.3015695325094</v>
      </c>
    </row>
    <row r="61" customFormat="false" ht="15" hidden="false" customHeight="false" outlineLevel="0" collapsed="false">
      <c r="A61" s="4" t="s">
        <v>476</v>
      </c>
      <c r="B61" s="4" t="s">
        <v>154</v>
      </c>
      <c r="C61" s="5" t="n">
        <f aca="false">-C60*Datos!$B$9</f>
        <v>-546.741506323254</v>
      </c>
      <c r="D61" s="5" t="n">
        <f aca="false">-D60*Datos!$B$9</f>
        <v>-913.665135584154</v>
      </c>
      <c r="E61" s="5" t="n">
        <f aca="false">-E60*Datos!$B$9</f>
        <v>-1611.55918433932</v>
      </c>
      <c r="F61" s="5" t="n">
        <f aca="false">-F60*Datos!$B$9</f>
        <v>-3060.8828835814</v>
      </c>
      <c r="G61" s="5" t="n">
        <f aca="false">-G60*Datos!$B$9</f>
        <v>-5194.28364618703</v>
      </c>
      <c r="H61" s="5" t="n">
        <f aca="false">-H60*Datos!$B$9</f>
        <v>-7262.74834887428</v>
      </c>
      <c r="I61" s="5" t="n">
        <f aca="false">-I60*Datos!$B$9</f>
        <v>-9826.82596984791</v>
      </c>
      <c r="J61" s="5" t="n">
        <f aca="false">-J60*Datos!$B$9</f>
        <v>-12446.5677626061</v>
      </c>
      <c r="K61" s="5" t="n">
        <f aca="false">-K60*Datos!$B$9</f>
        <v>-14143.7113680803</v>
      </c>
      <c r="L61" s="5" t="n">
        <f aca="false">-L60*Datos!$B$9</f>
        <v>-16325.3923831273</v>
      </c>
    </row>
    <row r="62" customFormat="false" ht="15" hidden="false" customHeight="false" outlineLevel="0" collapsed="false">
      <c r="A62" s="4" t="s">
        <v>502</v>
      </c>
      <c r="B62" s="4" t="s">
        <v>125</v>
      </c>
      <c r="C62" s="32" t="n">
        <f aca="false">C58*(Datos!$B$46/2/12+Datos!$B$45/52)</f>
        <v>1.1338492863408</v>
      </c>
      <c r="D62" s="32" t="n">
        <f aca="false">D58*(Datos!$B$46/2/12+Datos!$B$45/52)</f>
        <v>1.89687083369572</v>
      </c>
      <c r="E62" s="32" t="n">
        <f aca="false">E58*(Datos!$B$46/2/12+Datos!$B$45/52)</f>
        <v>3.41547615612444</v>
      </c>
      <c r="F62" s="32" t="n">
        <f aca="false">F58*(Datos!$B$46/2/12+Datos!$B$45/52)</f>
        <v>6.61021614816699</v>
      </c>
      <c r="G62" s="32" t="n">
        <f aca="false">G58*(Datos!$B$46/2/12+Datos!$B$45/52)</f>
        <v>11.2549537698291</v>
      </c>
      <c r="H62" s="32" t="n">
        <f aca="false">H58*(Datos!$B$46/2/12+Datos!$B$45/52)</f>
        <v>15.75302345217</v>
      </c>
      <c r="I62" s="32" t="n">
        <f aca="false">I58*(Datos!$B$46/2/12+Datos!$B$45/52)</f>
        <v>21.3647059651679</v>
      </c>
      <c r="J62" s="32" t="n">
        <f aca="false">J58*(Datos!$B$46/2/12+Datos!$B$45/52)</f>
        <v>27.093997420992</v>
      </c>
      <c r="K62" s="32" t="n">
        <f aca="false">K58*(Datos!$B$46/2/12+Datos!$B$45/52)</f>
        <v>30.7585802568488</v>
      </c>
      <c r="L62" s="32" t="n">
        <f aca="false">L58*(Datos!$B$46/2/12+Datos!$B$45/52)</f>
        <v>35.5073725825555</v>
      </c>
    </row>
    <row r="63" customFormat="false" ht="15" hidden="false" customHeight="false" outlineLevel="0" collapsed="false">
      <c r="A63" s="4" t="s">
        <v>480</v>
      </c>
      <c r="B63" s="4" t="s">
        <v>154</v>
      </c>
      <c r="C63" s="5" t="n">
        <f aca="false">IF(C58=0,0,C62*C59/C58*Datos!$B$7)</f>
        <v>173.345772730563</v>
      </c>
      <c r="D63" s="5" t="n">
        <f aca="false">IF(D58=0,0,D62*D59/D58*Datos!$B$7)</f>
        <v>290.255699762541</v>
      </c>
      <c r="E63" s="5" t="n">
        <f aca="false">IF(E58=0,0,E62*E59/E58*Datos!$B$7)</f>
        <v>525.999923431509</v>
      </c>
      <c r="F63" s="5" t="n">
        <f aca="false">IF(F58=0,0,F62*F59/F58*Datos!$B$7)</f>
        <v>1023.33157748305</v>
      </c>
      <c r="G63" s="5" t="n">
        <f aca="false">IF(G58=0,0,G62*G59/G58*Datos!$B$7)</f>
        <v>1744.21401121785</v>
      </c>
      <c r="H63" s="5" t="n">
        <f aca="false">IF(H58=0,0,H62*H59/H58*Datos!$B$7)</f>
        <v>2441.85632180043</v>
      </c>
      <c r="I63" s="5" t="n">
        <f aca="false">IF(I58=0,0,I62*I59/I58*Datos!$B$7)</f>
        <v>3313.87748126478</v>
      </c>
      <c r="J63" s="5" t="n">
        <f aca="false">IF(J58=0,0,J62*J59/J58*Datos!$B$7)</f>
        <v>4203.70734546725</v>
      </c>
      <c r="K63" s="5" t="n">
        <f aca="false">IF(K58=0,0,K62*K59/K58*Datos!$B$7)</f>
        <v>4770.6135351221</v>
      </c>
      <c r="L63" s="5" t="n">
        <f aca="false">IF(L58=0,0,L62*L59/L58*Datos!$B$7)</f>
        <v>5506.81574131037</v>
      </c>
    </row>
    <row r="64" customFormat="false" ht="15" hidden="false" customHeight="false" outlineLevel="0" collapsed="false">
      <c r="A64" s="4" t="s">
        <v>503</v>
      </c>
      <c r="B64" s="4" t="s">
        <v>484</v>
      </c>
      <c r="C64" s="5" t="n">
        <f aca="false">C53+C54+C57/Datos!$B$30/60+C57*Datos!$B$40/3600</f>
        <v>8.30645938425577</v>
      </c>
      <c r="D64" s="5" t="n">
        <f aca="false">D53+D54+D57/Datos!$B$30/60+D57*Datos!$B$40/3600</f>
        <v>13.6778902953105</v>
      </c>
      <c r="E64" s="5" t="n">
        <f aca="false">E53+E54+E57/Datos!$B$30/60+E57*Datos!$B$40/3600</f>
        <v>26.5784677822089</v>
      </c>
      <c r="F64" s="5" t="n">
        <f aca="false">F53+F54+F57/Datos!$B$30/60+F57*Datos!$B$40/3600</f>
        <v>54.9290978444179</v>
      </c>
      <c r="G64" s="5" t="n">
        <f aca="false">G53+G54+G57/Datos!$B$30/60+G57*Datos!$B$40/3600</f>
        <v>94.6062280128613</v>
      </c>
      <c r="H64" s="5" t="n">
        <f aca="false">H53+H54+H57/Datos!$B$30/60+H57*Datos!$B$40/3600</f>
        <v>132.596420232703</v>
      </c>
      <c r="I64" s="5" t="n">
        <f aca="false">I53+I54+I57/Datos!$B$30/60+I57*Datos!$B$40/3600</f>
        <v>181.373294840028</v>
      </c>
      <c r="J64" s="5" t="n">
        <f aca="false">J53+J54+J57/Datos!$B$30/60+J57*Datos!$B$40/3600</f>
        <v>230.866698435319</v>
      </c>
      <c r="K64" s="5" t="n">
        <f aca="false">K53+K54+K57/Datos!$B$30/60+K57*Datos!$B$40/3600</f>
        <v>261.158936515621</v>
      </c>
      <c r="L64" s="5" t="n">
        <f aca="false">L53+L54+L57/Datos!$B$30/60+L57*Datos!$B$40/3600</f>
        <v>301.502853256394</v>
      </c>
    </row>
    <row r="65" customFormat="false" ht="15" hidden="false" customHeight="false" outlineLevel="0" collapsed="false">
      <c r="A65" s="4" t="s">
        <v>485</v>
      </c>
      <c r="B65" s="4" t="s">
        <v>154</v>
      </c>
      <c r="C65" s="5" t="n">
        <f aca="false">C64*Datos!$B$15</f>
        <v>52.1755622173815</v>
      </c>
      <c r="D65" s="5" t="n">
        <f aca="false">D64*Datos!$B$15</f>
        <v>85.9152598107155</v>
      </c>
      <c r="E65" s="5" t="n">
        <f aca="false">E64*Datos!$B$15</f>
        <v>166.947966066237</v>
      </c>
      <c r="F65" s="5" t="n">
        <f aca="false">F64*Datos!$B$15</f>
        <v>345.027457493893</v>
      </c>
      <c r="G65" s="5" t="n">
        <f aca="false">G64*Datos!$B$15</f>
        <v>594.25236523673</v>
      </c>
      <c r="H65" s="5" t="n">
        <f aca="false">H64*Datos!$B$15</f>
        <v>832.88106925154</v>
      </c>
      <c r="I65" s="5" t="n">
        <f aca="false">I64*Datos!$B$15</f>
        <v>1139.26441961953</v>
      </c>
      <c r="J65" s="5" t="n">
        <f aca="false">J64*Datos!$B$15</f>
        <v>1450.14852067596</v>
      </c>
      <c r="K65" s="5" t="n">
        <f aca="false">K64*Datos!$B$15</f>
        <v>1640.42388103687</v>
      </c>
      <c r="L65" s="5" t="n">
        <f aca="false">L64*Datos!$B$15</f>
        <v>1893.83709124179</v>
      </c>
    </row>
    <row r="66" customFormat="false" ht="15" hidden="false" customHeight="false" outlineLevel="0" collapsed="false">
      <c r="A66" s="4" t="s">
        <v>486</v>
      </c>
      <c r="B66" s="4" t="s">
        <v>154</v>
      </c>
      <c r="C66" s="5" t="n">
        <f aca="false">Datos!$D$112*Datos!$B$8</f>
        <v>2385</v>
      </c>
      <c r="D66" s="5" t="n">
        <f aca="false">Datos!$D$112*Datos!$B$8</f>
        <v>2385</v>
      </c>
      <c r="E66" s="5" t="n">
        <f aca="false">Datos!$D$112*Datos!$B$8</f>
        <v>2385</v>
      </c>
      <c r="F66" s="5" t="n">
        <f aca="false">Datos!$D$112*Datos!$B$8</f>
        <v>2385</v>
      </c>
      <c r="G66" s="5" t="n">
        <f aca="false">Datos!$D$112*Datos!$B$8</f>
        <v>2385</v>
      </c>
      <c r="H66" s="5" t="n">
        <f aca="false">Datos!$D$112*Datos!$B$8</f>
        <v>2385</v>
      </c>
      <c r="I66" s="5" t="n">
        <f aca="false">Datos!$D$112*Datos!$B$8</f>
        <v>2385</v>
      </c>
      <c r="J66" s="5" t="n">
        <f aca="false">Datos!$D$112*Datos!$B$8</f>
        <v>2385</v>
      </c>
      <c r="K66" s="5" t="n">
        <f aca="false">Datos!$D$112*Datos!$B$8</f>
        <v>2385</v>
      </c>
      <c r="L66" s="5" t="n">
        <f aca="false">Datos!$D$112*Datos!$B$8</f>
        <v>2385</v>
      </c>
    </row>
    <row r="67" customFormat="false" ht="15" hidden="false" customHeight="false" outlineLevel="0" collapsed="false">
      <c r="A67" s="7" t="s">
        <v>504</v>
      </c>
      <c r="B67" s="4" t="s">
        <v>154</v>
      </c>
      <c r="C67" s="8" t="n">
        <f aca="false">C59+C61+C63+C65+C66</f>
        <v>20091.7401926033</v>
      </c>
      <c r="D67" s="8" t="n">
        <f aca="false">D59+D61+D63+D65+D66</f>
        <v>32034.0985992934</v>
      </c>
      <c r="E67" s="8" t="n">
        <f aca="false">E59+E61+E63+E65+E66</f>
        <v>56170.3807420354</v>
      </c>
      <c r="F67" s="8" t="n">
        <f aca="false">F59+F61+F63+F65+F66</f>
        <v>107118.960209633</v>
      </c>
      <c r="G67" s="8" t="n">
        <f aca="false">G59+G61+G63+G65+G66</f>
        <v>180927.439896924</v>
      </c>
      <c r="H67" s="8" t="n">
        <f aca="false">H59+H61+H63+H65+H66</f>
        <v>252350.046509423</v>
      </c>
      <c r="I67" s="8" t="n">
        <f aca="false">I59+I61+I63+I65+I66</f>
        <v>341654.573982574</v>
      </c>
      <c r="J67" s="8" t="n">
        <f aca="false">J59+J61+J63+J65+J66</f>
        <v>432777.852032131</v>
      </c>
      <c r="K67" s="8" t="n">
        <f aca="false">K59+K61+K63+K65+K66</f>
        <v>490796.133700777</v>
      </c>
      <c r="L67" s="8" t="n">
        <f aca="false">L59+L61+L63+L65+L66</f>
        <v>566169.097545704</v>
      </c>
    </row>
    <row r="69" customFormat="false" ht="15" hidden="false" customHeight="false" outlineLevel="0" collapsed="false">
      <c r="A69" s="11" t="s">
        <v>505</v>
      </c>
    </row>
    <row r="70" customFormat="false" ht="15" hidden="false" customHeight="false" outlineLevel="0" collapsed="false">
      <c r="A70" s="4" t="s">
        <v>506</v>
      </c>
      <c r="B70" s="4" t="s">
        <v>507</v>
      </c>
      <c r="C70" s="5" t="n">
        <f aca="false">MAX(IF(Corte!$H$60=0,IF(C8&gt;0,1000000000000,0),C8*Corte!$D$60/1000/Corte!$H$60),IF(Corte!$H$61=0,IF(C8&gt;0,1000000000000,0),C8*Corte!$D$61/1000/Corte!$H$61))</f>
        <v>249.289433251931</v>
      </c>
      <c r="D70" s="5" t="n">
        <f aca="false">MAX(IF(Corte!$H$60=0,IF(D8&gt;0,1000000000000,0),D8*Corte!$D$60/1000/Corte!$H$60),IF(Corte!$H$61=0,IF(D8&gt;0,1000000000000,0),D8*Corte!$D$61/1000/Corte!$H$61))</f>
        <v>357.779078456223</v>
      </c>
      <c r="E70" s="5" t="n">
        <f aca="false">MAX(IF(Corte!$H$60=0,IF(E8&gt;0,1000000000000,0),E8*Corte!$D$60/1000/Corte!$H$60),IF(Corte!$H$61=0,IF(E8&gt;0,1000000000000,0),E8*Corte!$D$61/1000/Corte!$H$61))</f>
        <v>865.865467108154</v>
      </c>
      <c r="F70" s="5" t="n">
        <f aca="false">MAX(IF(Corte!$H$60=0,IF(F8&gt;0,1000000000000,0),F8*Corte!$D$60/1000/Corte!$H$60),IF(Corte!$H$61=0,IF(F8&gt;0,1000000000000,0),F8*Corte!$D$61/1000/Corte!$H$61))</f>
        <v>2097.64336536953</v>
      </c>
      <c r="G70" s="5" t="n">
        <f aca="false">MAX(IF(Corte!$H$60=0,IF(G8&gt;0,1000000000000,0),G8*Corte!$D$60/1000/Corte!$H$60),IF(Corte!$H$61=0,IF(G8&gt;0,1000000000000,0),G8*Corte!$D$61/1000/Corte!$H$61))</f>
        <v>3705.59877540343</v>
      </c>
      <c r="H70" s="5" t="n">
        <f aca="false">MAX(IF(Corte!$H$60=0,IF(H8&gt;0,1000000000000,0),H8*Corte!$D$60/1000/Corte!$H$60),IF(Corte!$H$61=0,IF(H8&gt;0,1000000000000,0),H8*Corte!$D$61/1000/Corte!$H$61))</f>
        <v>5208.05277971245</v>
      </c>
      <c r="I70" s="5" t="n">
        <f aca="false">MAX(IF(Corte!$H$60=0,IF(I8&gt;0,1000000000000,0),I8*Corte!$D$60/1000/Corte!$H$60),IF(Corte!$H$61=0,IF(I8&gt;0,1000000000000,0),I8*Corte!$D$61/1000/Corte!$H$61))</f>
        <v>7258.61300563948</v>
      </c>
      <c r="J70" s="5" t="n">
        <f aca="false">MAX(IF(Corte!$H$60=0,IF(J8&gt;0,1000000000000,0),J8*Corte!$D$60/1000/Corte!$H$60),IF(Corte!$H$61=0,IF(J8&gt;0,1000000000000,0),J8*Corte!$D$61/1000/Corte!$H$61))</f>
        <v>9314.37678485837</v>
      </c>
      <c r="K70" s="5" t="n">
        <f aca="false">MAX(IF(Corte!$H$60=0,IF(K8&gt;0,1000000000000,0),K8*Corte!$D$60/1000/Corte!$H$60),IF(Corte!$H$61=0,IF(K8&gt;0,1000000000000,0),K8*Corte!$D$61/1000/Corte!$H$61))</f>
        <v>10463.3673491245</v>
      </c>
      <c r="L70" s="5" t="n">
        <f aca="false">MAX(IF(Corte!$H$60=0,IF(L8&gt;0,1000000000000,0),L8*Corte!$D$60/1000/Corte!$H$60),IF(Corte!$H$61=0,IF(L8&gt;0,1000000000000,0),L8*Corte!$D$61/1000/Corte!$H$61))</f>
        <v>12087.6690296438</v>
      </c>
    </row>
    <row r="71" customFormat="false" ht="15" hidden="false" customHeight="false" outlineLevel="0" collapsed="false">
      <c r="A71" s="4" t="s">
        <v>508</v>
      </c>
      <c r="B71" s="4" t="s">
        <v>507</v>
      </c>
      <c r="C71" s="5" t="n">
        <f aca="false">MAX(IF(Corte!$H$68=0,IF(C9&gt;0,1000000000000,0),C9*Corte!$D$68/1000/Corte!$H$68),IF(Corte!$H$69=0,IF(C9&gt;0,1000000000000,0),C9*Corte!$D$69/1000/Corte!$H$69),IF(Corte!$H$70=0,IF(C9&gt;0,1000000000000,0),C9*Corte!$D$70/1000/Corte!$H$70),IF(Corte!$H$71=0,IF(C8&gt;0,1000000000000,0),C8*Corte!$D$71/1000/Corte!$H$71))</f>
        <v>89.1362759830097</v>
      </c>
      <c r="D71" s="5" t="n">
        <f aca="false">MAX(IF(Corte!$H$68=0,IF(D9&gt;0,1000000000000,0),D9*Corte!$D$68/1000/Corte!$H$68),IF(Corte!$H$69=0,IF(D9&gt;0,1000000000000,0),D9*Corte!$D$69/1000/Corte!$H$69),IF(Corte!$H$70=0,IF(D9&gt;0,1000000000000,0),D9*Corte!$D$70/1000/Corte!$H$70),IF(Corte!$H$71=0,IF(D8&gt;0,1000000000000,0),D8*Corte!$D$71/1000/Corte!$H$71))</f>
        <v>214.639665661132</v>
      </c>
      <c r="E71" s="5" t="n">
        <f aca="false">MAX(IF(Corte!$H$68=0,IF(E9&gt;0,1000000000000,0),E9*Corte!$D$68/1000/Corte!$H$68),IF(Corte!$H$69=0,IF(E9&gt;0,1000000000000,0),E9*Corte!$D$69/1000/Corte!$H$69),IF(Corte!$H$70=0,IF(E9&gt;0,1000000000000,0),E9*Corte!$D$70/1000/Corte!$H$70),IF(Corte!$H$71=0,IF(E8&gt;0,1000000000000,0),E8*Corte!$D$71/1000/Corte!$H$71))</f>
        <v>388.792261041483</v>
      </c>
      <c r="F71" s="5" t="n">
        <f aca="false">MAX(IF(Corte!$H$68=0,IF(F9&gt;0,1000000000000,0),F9*Corte!$D$68/1000/Corte!$H$68),IF(Corte!$H$69=0,IF(F9&gt;0,1000000000000,0),F9*Corte!$D$69/1000/Corte!$H$69),IF(Corte!$H$70=0,IF(F9&gt;0,1000000000000,0),F9*Corte!$D$70/1000/Corte!$H$70),IF(Corte!$H$71=0,IF(F8&gt;0,1000000000000,0),F8*Corte!$D$71/1000/Corte!$H$71))</f>
        <v>765.160427565093</v>
      </c>
      <c r="G71" s="5" t="n">
        <f aca="false">MAX(IF(Corte!$H$68=0,IF(G9&gt;0,1000000000000,0),G9*Corte!$D$68/1000/Corte!$H$68),IF(Corte!$H$69=0,IF(G9&gt;0,1000000000000,0),G9*Corte!$D$69/1000/Corte!$H$69),IF(Corte!$H$70=0,IF(G9&gt;0,1000000000000,0),G9*Corte!$D$70/1000/Corte!$H$70),IF(Corte!$H$71=0,IF(G8&gt;0,1000000000000,0),G8*Corte!$D$71/1000/Corte!$H$71))</f>
        <v>1268.26038912732</v>
      </c>
      <c r="H71" s="5" t="n">
        <f aca="false">MAX(IF(Corte!$H$68=0,IF(H9&gt;0,1000000000000,0),H9*Corte!$D$68/1000/Corte!$H$68),IF(Corte!$H$69=0,IF(H9&gt;0,1000000000000,0),H9*Corte!$D$69/1000/Corte!$H$69),IF(Corte!$H$70=0,IF(H9&gt;0,1000000000000,0),H9*Corte!$D$70/1000/Corte!$H$70),IF(Corte!$H$71=0,IF(H8&gt;0,1000000000000,0),H8*Corte!$D$71/1000/Corte!$H$71))</f>
        <v>1804.13459264398</v>
      </c>
      <c r="I71" s="5" t="n">
        <f aca="false">MAX(IF(Corte!$H$68=0,IF(I9&gt;0,1000000000000,0),I9*Corte!$D$68/1000/Corte!$H$68),IF(Corte!$H$69=0,IF(I9&gt;0,1000000000000,0),I9*Corte!$D$69/1000/Corte!$H$69),IF(Corte!$H$70=0,IF(I9&gt;0,1000000000000,0),I9*Corte!$D$70/1000/Corte!$H$70),IF(Corte!$H$71=0,IF(I8&gt;0,1000000000000,0),I8*Corte!$D$71/1000/Corte!$H$71))</f>
        <v>2484.21149933875</v>
      </c>
      <c r="J71" s="5" t="n">
        <f aca="false">MAX(IF(Corte!$H$68=0,IF(J9&gt;0,1000000000000,0),J9*Corte!$D$68/1000/Corte!$H$68),IF(Corte!$H$69=0,IF(J9&gt;0,1000000000000,0),J9*Corte!$D$69/1000/Corte!$H$69),IF(Corte!$H$70=0,IF(J9&gt;0,1000000000000,0),J9*Corte!$D$70/1000/Corte!$H$70),IF(Corte!$H$71=0,IF(J8&gt;0,1000000000000,0),J8*Corte!$D$71/1000/Corte!$H$71))</f>
        <v>3187.78283125738</v>
      </c>
      <c r="K71" s="5" t="n">
        <f aca="false">MAX(IF(Corte!$H$68=0,IF(K9&gt;0,1000000000000,0),K9*Corte!$D$68/1000/Corte!$H$68),IF(Corte!$H$69=0,IF(K9&gt;0,1000000000000,0),K9*Corte!$D$69/1000/Corte!$H$69),IF(Corte!$H$70=0,IF(K9&gt;0,1000000000000,0),K9*Corte!$D$70/1000/Corte!$H$70),IF(Corte!$H$71=0,IF(K8&gt;0,1000000000000,0),K8*Corte!$D$71/1000/Corte!$H$71))</f>
        <v>3581.01712686783</v>
      </c>
      <c r="L71" s="5" t="n">
        <f aca="false">MAX(IF(Corte!$H$68=0,IF(L9&gt;0,1000000000000,0),L9*Corte!$D$68/1000/Corte!$H$68),IF(Corte!$H$69=0,IF(L9&gt;0,1000000000000,0),L9*Corte!$D$69/1000/Corte!$H$69),IF(Corte!$H$70=0,IF(L9&gt;0,1000000000000,0),L9*Corte!$D$70/1000/Corte!$H$70),IF(Corte!$H$71=0,IF(L8&gt;0,1000000000000,0),L8*Corte!$D$71/1000/Corte!$H$71))</f>
        <v>4171.68328968447</v>
      </c>
    </row>
    <row r="72" customFormat="false" ht="15" hidden="false" customHeight="false" outlineLevel="0" collapsed="false">
      <c r="A72" s="4" t="s">
        <v>509</v>
      </c>
      <c r="B72" s="4" t="s">
        <v>507</v>
      </c>
      <c r="C72" s="5" t="n">
        <f aca="false">MAX(IF(Corte!$H$78=0,IF(C10&gt;0,1000000000000,0),C10*Corte!$D$78/1000/Corte!$H$78),IF(Corte!$H$79=0,IF(C10&gt;0,1000000000000,0),C10*Corte!$D$79/1000/Corte!$H$79),IF(Corte!$H$80=0,IF(C10&gt;0,1000000000000,0),C10*Corte!$D$80/1000/Corte!$H$80),IF(Corte!$H$81=0,IF(C11&gt;0,1000000000000,0),C11*Corte!$D$81/1000/Corte!$H$81))</f>
        <v>540.249701091817</v>
      </c>
      <c r="D72" s="5" t="n">
        <f aca="false">MAX(IF(Corte!$H$78=0,IF(D10&gt;0,1000000000000,0),D10*Corte!$D$78/1000/Corte!$H$78),IF(Corte!$H$79=0,IF(D10&gt;0,1000000000000,0),D10*Corte!$D$79/1000/Corte!$H$79),IF(Corte!$H$80=0,IF(D10&gt;0,1000000000000,0),D10*Corte!$D$80/1000/Corte!$H$80),IF(Corte!$H$81=0,IF(D11&gt;0,1000000000000,0),D11*Corte!$D$81/1000/Corte!$H$81))</f>
        <v>930.932676462215</v>
      </c>
      <c r="E72" s="5" t="n">
        <f aca="false">MAX(IF(Corte!$H$78=0,IF(E10&gt;0,1000000000000,0),E10*Corte!$D$78/1000/Corte!$H$78),IF(Corte!$H$79=0,IF(E10&gt;0,1000000000000,0),E10*Corte!$D$79/1000/Corte!$H$79),IF(Corte!$H$80=0,IF(E10&gt;0,1000000000000,0),E10*Corte!$D$80/1000/Corte!$H$80),IF(Corte!$H$81=0,IF(E11&gt;0,1000000000000,0),E11*Corte!$D$81/1000/Corte!$H$81))</f>
        <v>1590.69305138396</v>
      </c>
      <c r="F72" s="5" t="n">
        <f aca="false">MAX(IF(Corte!$H$78=0,IF(F10&gt;0,1000000000000,0),F10*Corte!$D$78/1000/Corte!$H$78),IF(Corte!$H$79=0,IF(F10&gt;0,1000000000000,0),F10*Corte!$D$79/1000/Corte!$H$79),IF(Corte!$H$80=0,IF(F10&gt;0,1000000000000,0),F10*Corte!$D$80/1000/Corte!$H$80),IF(Corte!$H$81=0,IF(F11&gt;0,1000000000000,0),F11*Corte!$D$81/1000/Corte!$H$81))</f>
        <v>2891.92341199955</v>
      </c>
      <c r="G72" s="5" t="n">
        <f aca="false">MAX(IF(Corte!$H$78=0,IF(G10&gt;0,1000000000000,0),G10*Corte!$D$78/1000/Corte!$H$78),IF(Corte!$H$79=0,IF(G10&gt;0,1000000000000,0),G10*Corte!$D$79/1000/Corte!$H$79),IF(Corte!$H$80=0,IF(G10&gt;0,1000000000000,0),G10*Corte!$D$80/1000/Corte!$H$80),IF(Corte!$H$81=0,IF(G11&gt;0,1000000000000,0),G11*Corte!$D$81/1000/Corte!$H$81))</f>
        <v>4873.47147114324</v>
      </c>
      <c r="H72" s="5" t="n">
        <f aca="false">MAX(IF(Corte!$H$78=0,IF(H10&gt;0,1000000000000,0),H10*Corte!$D$78/1000/Corte!$H$78),IF(Corte!$H$79=0,IF(H10&gt;0,1000000000000,0),H10*Corte!$D$79/1000/Corte!$H$79),IF(Corte!$H$80=0,IF(H10&gt;0,1000000000000,0),H10*Corte!$D$80/1000/Corte!$H$80),IF(Corte!$H$81=0,IF(H11&gt;0,1000000000000,0),H11*Corte!$D$81/1000/Corte!$H$81))</f>
        <v>6790.92626536742</v>
      </c>
      <c r="I72" s="5" t="n">
        <f aca="false">MAX(IF(Corte!$H$78=0,IF(I10&gt;0,1000000000000,0),I10*Corte!$D$78/1000/Corte!$H$78),IF(Corte!$H$79=0,IF(I10&gt;0,1000000000000,0),I10*Corte!$D$79/1000/Corte!$H$79),IF(Corte!$H$80=0,IF(I10&gt;0,1000000000000,0),I10*Corte!$D$80/1000/Corte!$H$80),IF(Corte!$H$81=0,IF(I11&gt;0,1000000000000,0),I11*Corte!$D$81/1000/Corte!$H$81))</f>
        <v>9142.74490183336</v>
      </c>
      <c r="J72" s="5" t="n">
        <f aca="false">MAX(IF(Corte!$H$78=0,IF(J10&gt;0,1000000000000,0),J10*Corte!$D$78/1000/Corte!$H$78),IF(Corte!$H$79=0,IF(J10&gt;0,1000000000000,0),J10*Corte!$D$79/1000/Corte!$H$79),IF(Corte!$H$80=0,IF(J10&gt;0,1000000000000,0),J10*Corte!$D$80/1000/Corte!$H$80),IF(Corte!$H$81=0,IF(J11&gt;0,1000000000000,0),J11*Corte!$D$81/1000/Corte!$H$81))</f>
        <v>11546.0071242286</v>
      </c>
      <c r="K72" s="5" t="n">
        <f aca="false">MAX(IF(Corte!$H$78=0,IF(K10&gt;0,1000000000000,0),K10*Corte!$D$78/1000/Corte!$H$78),IF(Corte!$H$79=0,IF(K10&gt;0,1000000000000,0),K10*Corte!$D$79/1000/Corte!$H$79),IF(Corte!$H$80=0,IF(K10&gt;0,1000000000000,0),K10*Corte!$D$80/1000/Corte!$H$80),IF(Corte!$H$81=0,IF(K11&gt;0,1000000000000,0),K11*Corte!$D$81/1000/Corte!$H$81))</f>
        <v>13114.1148325756</v>
      </c>
      <c r="L72" s="5" t="n">
        <f aca="false">MAX(IF(Corte!$H$78=0,IF(L10&gt;0,1000000000000,0),L10*Corte!$D$78/1000/Corte!$H$78),IF(Corte!$H$79=0,IF(L10&gt;0,1000000000000,0),L10*Corte!$D$79/1000/Corte!$H$79),IF(Corte!$H$80=0,IF(L10&gt;0,1000000000000,0),L10*Corte!$D$80/1000/Corte!$H$80),IF(Corte!$H$81=0,IF(L11&gt;0,1000000000000,0),L11*Corte!$D$81/1000/Corte!$H$81))</f>
        <v>15092.3323701297</v>
      </c>
    </row>
    <row r="73" customFormat="false" ht="15" hidden="false" customHeight="false" outlineLevel="0" collapsed="false">
      <c r="A73" s="4" t="s">
        <v>510</v>
      </c>
      <c r="B73" s="4" t="s">
        <v>507</v>
      </c>
      <c r="C73" s="5" t="n">
        <f aca="false">MAX(IF(Corte!$H$88=0,IF(C11&gt;0,1000000000000,0),C11*Corte!$D$88/1000/Corte!$H$88),IF(Corte!$H$89=0,IF(C11&gt;0,1000000000000,0),C11*Corte!$D$89/1000/Corte!$H$89))</f>
        <v>31.4634930384628</v>
      </c>
      <c r="D73" s="5" t="n">
        <f aca="false">MAX(IF(Corte!$H$88=0,IF(D11&gt;0,1000000000000,0),D11*Corte!$D$88/1000/Corte!$H$88),IF(Corte!$H$89=0,IF(D11&gt;0,1000000000000,0),D11*Corte!$D$89/1000/Corte!$H$89))</f>
        <v>61.2086896353785</v>
      </c>
      <c r="E73" s="5" t="n">
        <f aca="false">MAX(IF(Corte!$H$88=0,IF(E11&gt;0,1000000000000,0),E11*Corte!$D$88/1000/Corte!$H$88),IF(Corte!$H$89=0,IF(E11&gt;0,1000000000000,0),E11*Corte!$D$89/1000/Corte!$H$89))</f>
        <v>118.172019306769</v>
      </c>
      <c r="F73" s="5" t="n">
        <f aca="false">MAX(IF(Corte!$H$88=0,IF(F11&gt;0,1000000000000,0),F11*Corte!$D$88/1000/Corte!$H$88),IF(Corte!$H$89=0,IF(F11&gt;0,1000000000000,0),F11*Corte!$D$89/1000/Corte!$H$89))</f>
        <v>230.18059074008</v>
      </c>
      <c r="G73" s="5" t="n">
        <f aca="false">MAX(IF(Corte!$H$88=0,IF(G11&gt;0,1000000000000,0),G11*Corte!$D$88/1000/Corte!$H$88),IF(Corte!$H$89=0,IF(G11&gt;0,1000000000000,0),G11*Corte!$D$89/1000/Corte!$H$89))</f>
        <v>400.255472204235</v>
      </c>
      <c r="H73" s="5" t="n">
        <f aca="false">MAX(IF(Corte!$H$88=0,IF(H11&gt;0,1000000000000,0),H11*Corte!$D$88/1000/Corte!$H$88),IF(Corte!$H$89=0,IF(H11&gt;0,1000000000000,0),H11*Corte!$D$89/1000/Corte!$H$89))</f>
        <v>578.30270318106</v>
      </c>
      <c r="I73" s="5" t="n">
        <f aca="false">MAX(IF(Corte!$H$88=0,IF(I11&gt;0,1000000000000,0),I11*Corte!$D$88/1000/Corte!$H$88),IF(Corte!$H$89=0,IF(I11&gt;0,1000000000000,0),I11*Corte!$D$89/1000/Corte!$H$89))</f>
        <v>776.292611628876</v>
      </c>
      <c r="J73" s="5" t="n">
        <f aca="false">MAX(IF(Corte!$H$88=0,IF(J11&gt;0,1000000000000,0),J11*Corte!$D$88/1000/Corte!$H$88),IF(Corte!$H$89=0,IF(J11&gt;0,1000000000000,0),J11*Corte!$D$89/1000/Corte!$H$89))</f>
        <v>981.252746895632</v>
      </c>
      <c r="K73" s="5" t="n">
        <f aca="false">MAX(IF(Corte!$H$88=0,IF(K11&gt;0,1000000000000,0),K11*Corte!$D$88/1000/Corte!$H$88),IF(Corte!$H$89=0,IF(K11&gt;0,1000000000000,0),K11*Corte!$D$89/1000/Corte!$H$89))</f>
        <v>1114.33034469156</v>
      </c>
      <c r="L73" s="5" t="n">
        <f aca="false">MAX(IF(Corte!$H$88=0,IF(L11&gt;0,1000000000000,0),L11*Corte!$D$88/1000/Corte!$H$88),IF(Corte!$H$89=0,IF(L11&gt;0,1000000000000,0),L11*Corte!$D$89/1000/Corte!$H$89))</f>
        <v>1283.42328729743</v>
      </c>
    </row>
    <row r="74" customFormat="false" ht="15" hidden="false" customHeight="false" outlineLevel="0" collapsed="false">
      <c r="A74" s="4" t="s">
        <v>511</v>
      </c>
      <c r="B74" s="4" t="s">
        <v>507</v>
      </c>
      <c r="C74" s="5" t="n">
        <f aca="false">MAX(IF(Corte!$H$96=0,IF(C12&gt;0,1000000000000,0),C12*Corte!$D$96/1000/Corte!$H$96),IF(Corte!$H$97=0,IF(C13&gt;0,1000000000000,0),C13*Corte!$D$97/1000/Corte!$H$97))</f>
        <v>49.7916069539254</v>
      </c>
      <c r="D74" s="5" t="n">
        <f aca="false">MAX(IF(Corte!$H$96=0,IF(D12&gt;0,1000000000000,0),D12*Corte!$D$96/1000/Corte!$H$96),IF(Corte!$H$97=0,IF(D13&gt;0,1000000000000,0),D13*Corte!$D$97/1000/Corte!$H$97))</f>
        <v>81.4787645939708</v>
      </c>
      <c r="E74" s="5" t="n">
        <f aca="false">MAX(IF(Corte!$H$96=0,IF(E12&gt;0,1000000000000,0),E12*Corte!$D$96/1000/Corte!$H$96),IF(Corte!$H$97=0,IF(E13&gt;0,1000000000000,0),E13*Corte!$D$97/1000/Corte!$H$97))</f>
        <v>126.508604600151</v>
      </c>
      <c r="F74" s="5" t="n">
        <f aca="false">MAX(IF(Corte!$H$96=0,IF(F12&gt;0,1000000000000,0),F12*Corte!$D$96/1000/Corte!$H$96),IF(Corte!$H$97=0,IF(F13&gt;0,1000000000000,0),F13*Corte!$D$97/1000/Corte!$H$97))</f>
        <v>212.649804881998</v>
      </c>
      <c r="G74" s="5" t="n">
        <f aca="false">MAX(IF(Corte!$H$96=0,IF(G12&gt;0,1000000000000,0),G12*Corte!$D$96/1000/Corte!$H$96),IF(Corte!$H$97=0,IF(G13&gt;0,1000000000000,0),G13*Corte!$D$97/1000/Corte!$H$97))</f>
        <v>347.826800747572</v>
      </c>
      <c r="H74" s="5" t="n">
        <f aca="false">MAX(IF(Corte!$H$96=0,IF(H12&gt;0,1000000000000,0),H12*Corte!$D$96/1000/Corte!$H$96),IF(Corte!$H$97=0,IF(H13&gt;0,1000000000000,0),H13*Corte!$D$97/1000/Corte!$H$97))</f>
        <v>483.520591965817</v>
      </c>
      <c r="I74" s="5" t="n">
        <f aca="false">MAX(IF(Corte!$H$96=0,IF(I12&gt;0,1000000000000,0),I12*Corte!$D$96/1000/Corte!$H$96),IF(Corte!$H$97=0,IF(I13&gt;0,1000000000000,0),I13*Corte!$D$97/1000/Corte!$H$97))</f>
        <v>643.125969596336</v>
      </c>
      <c r="J74" s="5" t="n">
        <f aca="false">MAX(IF(Corte!$H$96=0,IF(J12&gt;0,1000000000000,0),J12*Corte!$D$96/1000/Corte!$H$96),IF(Corte!$H$97=0,IF(J13&gt;0,1000000000000,0),J13*Corte!$D$97/1000/Corte!$H$97))</f>
        <v>811.719858101593</v>
      </c>
      <c r="K74" s="5" t="n">
        <f aca="false">MAX(IF(Corte!$H$96=0,IF(K12&gt;0,1000000000000,0),K12*Corte!$D$96/1000/Corte!$H$96),IF(Corte!$H$97=0,IF(K13&gt;0,1000000000000,0),K13*Corte!$D$97/1000/Corte!$H$97))</f>
        <v>928.987035119608</v>
      </c>
      <c r="L74" s="5" t="n">
        <f aca="false">MAX(IF(Corte!$H$96=0,IF(L12&gt;0,1000000000000,0),L12*Corte!$D$96/1000/Corte!$H$96),IF(Corte!$H$97=0,IF(L13&gt;0,1000000000000,0),L13*Corte!$D$97/1000/Corte!$H$97))</f>
        <v>1073.55388151898</v>
      </c>
    </row>
    <row r="75" customFormat="false" ht="15" hidden="false" customHeight="false" outlineLevel="0" collapsed="false">
      <c r="A75" s="4" t="s">
        <v>512</v>
      </c>
      <c r="B75" s="4" t="s">
        <v>507</v>
      </c>
      <c r="C75" s="5" t="n">
        <f aca="false">(C14*Piezas!$F$12+C15*Piezas!$F$13)/1000/Corte!$H$104</f>
        <v>24.081420614</v>
      </c>
      <c r="D75" s="5" t="n">
        <f aca="false">(D14*Piezas!$F$12+D15*Piezas!$F$13)/1000/Corte!$H$104</f>
        <v>36.1719434014</v>
      </c>
      <c r="E75" s="5" t="n">
        <f aca="false">(E14*Piezas!$F$12+E15*Piezas!$F$13)/1000/Corte!$H$104</f>
        <v>55.3609269602</v>
      </c>
      <c r="F75" s="5" t="n">
        <f aca="false">(F14*Piezas!$F$12+F15*Piezas!$F$13)/1000/Corte!$H$104</f>
        <v>93.6903416448</v>
      </c>
      <c r="G75" s="5" t="n">
        <f aca="false">(G14*Piezas!$F$12+G15*Piezas!$F$13)/1000/Corte!$H$104</f>
        <v>155.7134165436</v>
      </c>
      <c r="H75" s="5" t="n">
        <f aca="false">(H14*Piezas!$F$12+H15*Piezas!$F$13)/1000/Corte!$H$104</f>
        <v>214.592546179</v>
      </c>
      <c r="I75" s="5" t="n">
        <f aca="false">(I14*Piezas!$F$12+I15*Piezas!$F$13)/1000/Corte!$H$104</f>
        <v>286.723362441</v>
      </c>
      <c r="J75" s="5" t="n">
        <f aca="false">(J14*Piezas!$F$12+J15*Piezas!$F$13)/1000/Corte!$H$104</f>
        <v>359.380623232</v>
      </c>
      <c r="K75" s="5" t="n">
        <f aca="false">(K14*Piezas!$F$12+K15*Piezas!$F$13)/1000/Corte!$H$104</f>
        <v>412.76308416</v>
      </c>
      <c r="L75" s="5" t="n">
        <f aca="false">(L14*Piezas!$F$12+L15*Piezas!$F$13)/1000/Corte!$H$104</f>
        <v>477.11021562</v>
      </c>
    </row>
    <row r="76" customFormat="false" ht="15" hidden="false" customHeight="false" outlineLevel="0" collapsed="false">
      <c r="A76" s="4" t="s">
        <v>513</v>
      </c>
      <c r="B76" s="4" t="s">
        <v>125</v>
      </c>
      <c r="C76" s="32" t="n">
        <f aca="false">C70*Corte!$D$50/1000/(1-Datos!$B$20)</f>
        <v>2.16499980701767</v>
      </c>
      <c r="D76" s="32" t="n">
        <f aca="false">D70*Corte!$D$50/1000/(1-Datos!$B$20)</f>
        <v>3.10719802964887</v>
      </c>
      <c r="E76" s="32" t="n">
        <f aca="false">E70*Corte!$D$50/1000/(1-Datos!$B$20)</f>
        <v>7.51976746362112</v>
      </c>
      <c r="F76" s="32" t="n">
        <f aca="false">F70*Corte!$D$50/1000/(1-Datos!$B$20)</f>
        <v>18.217368550184</v>
      </c>
      <c r="G76" s="32" t="n">
        <f aca="false">G70*Corte!$D$50/1000/(1-Datos!$B$20)</f>
        <v>32.1819522351183</v>
      </c>
      <c r="H76" s="32" t="n">
        <f aca="false">H70*Corte!$D$50/1000/(1-Datos!$B$20)</f>
        <v>45.2302896112743</v>
      </c>
      <c r="I76" s="32" t="n">
        <f aca="false">I70*Corte!$D$50/1000/(1-Datos!$B$20)</f>
        <v>63.0387560011178</v>
      </c>
      <c r="J76" s="32" t="n">
        <f aca="false">J70*Corte!$D$50/1000/(1-Datos!$B$20)</f>
        <v>80.892413603945</v>
      </c>
      <c r="K76" s="32" t="n">
        <f aca="false">K70*Corte!$D$50/1000/(1-Datos!$B$20)</f>
        <v>90.8710329038143</v>
      </c>
      <c r="L76" s="32" t="n">
        <f aca="false">L70*Corte!$D$50/1000/(1-Datos!$B$20)</f>
        <v>104.977578772964</v>
      </c>
    </row>
    <row r="77" customFormat="false" ht="15" hidden="false" customHeight="false" outlineLevel="0" collapsed="false">
      <c r="A77" s="4" t="s">
        <v>514</v>
      </c>
      <c r="B77" s="4" t="s">
        <v>125</v>
      </c>
      <c r="C77" s="32" t="n">
        <f aca="false">C71*Corte!$D$51/1000/(1-Datos!$B$20)</f>
        <v>0.881284537671214</v>
      </c>
      <c r="D77" s="32" t="n">
        <f aca="false">D71*Corte!$D$51/1000/(1-Datos!$B$20)</f>
        <v>2.12212835270491</v>
      </c>
      <c r="E77" s="32" t="n">
        <f aca="false">E71*Corte!$D$51/1000/(1-Datos!$B$20)</f>
        <v>3.84396368642773</v>
      </c>
      <c r="F77" s="32" t="n">
        <f aca="false">F71*Corte!$D$51/1000/(1-Datos!$B$20)</f>
        <v>7.56509116198151</v>
      </c>
      <c r="G77" s="32" t="n">
        <f aca="false">G71*Corte!$D$51/1000/(1-Datos!$B$20)</f>
        <v>12.5392076161206</v>
      </c>
      <c r="H77" s="32" t="n">
        <f aca="false">H71*Corte!$D$51/1000/(1-Datos!$B$20)</f>
        <v>17.8373608594323</v>
      </c>
      <c r="I77" s="32" t="n">
        <f aca="false">I71*Corte!$D$51/1000/(1-Datos!$B$20)</f>
        <v>24.5612368087889</v>
      </c>
      <c r="J77" s="32" t="n">
        <f aca="false">J71*Corte!$D$51/1000/(1-Datos!$B$20)</f>
        <v>31.5174006055221</v>
      </c>
      <c r="K77" s="32" t="n">
        <f aca="false">K71*Corte!$D$51/1000/(1-Datos!$B$20)</f>
        <v>35.4052823975501</v>
      </c>
      <c r="L77" s="32" t="n">
        <f aca="false">L71*Corte!$D$51/1000/(1-Datos!$B$20)</f>
        <v>41.2451601630864</v>
      </c>
    </row>
    <row r="78" customFormat="false" ht="15" hidden="false" customHeight="false" outlineLevel="0" collapsed="false">
      <c r="A78" s="4" t="s">
        <v>515</v>
      </c>
      <c r="B78" s="4" t="s">
        <v>125</v>
      </c>
      <c r="C78" s="32" t="n">
        <f aca="false">C72*Corte!$D$52/1000/(1-Datos!$B$20)</f>
        <v>6.83700928256096</v>
      </c>
      <c r="D78" s="32" t="n">
        <f aca="false">D72*Corte!$D$52/1000/(1-Datos!$B$20)</f>
        <v>11.7812103135801</v>
      </c>
      <c r="E78" s="32" t="n">
        <f aca="false">E72*Corte!$D$52/1000/(1-Datos!$B$20)</f>
        <v>20.1306602040471</v>
      </c>
      <c r="F78" s="32" t="n">
        <f aca="false">F72*Corte!$D$52/1000/(1-Datos!$B$20)</f>
        <v>36.5980900541692</v>
      </c>
      <c r="G78" s="32" t="n">
        <f aca="false">G72*Corte!$D$52/1000/(1-Datos!$B$20)</f>
        <v>61.675128406669</v>
      </c>
      <c r="H78" s="32" t="n">
        <f aca="false">H72*Corte!$D$52/1000/(1-Datos!$B$20)</f>
        <v>85.9410487773935</v>
      </c>
      <c r="I78" s="32" t="n">
        <f aca="false">I72*Corte!$D$52/1000/(1-Datos!$B$20)</f>
        <v>115.703963621996</v>
      </c>
      <c r="J78" s="32" t="n">
        <f aca="false">J72*Corte!$D$52/1000/(1-Datos!$B$20)</f>
        <v>146.11791126461</v>
      </c>
      <c r="K78" s="32" t="n">
        <f aca="false">K72*Corte!$D$52/1000/(1-Datos!$B$20)</f>
        <v>165.962747710344</v>
      </c>
      <c r="L78" s="32" t="n">
        <f aca="false">L72*Corte!$D$52/1000/(1-Datos!$B$20)</f>
        <v>190.997637391631</v>
      </c>
    </row>
    <row r="79" customFormat="false" ht="15" hidden="false" customHeight="false" outlineLevel="0" collapsed="false">
      <c r="A79" s="4" t="s">
        <v>516</v>
      </c>
      <c r="B79" s="4" t="s">
        <v>125</v>
      </c>
      <c r="C79" s="32" t="n">
        <f aca="false">C73*Corte!$D$53/1000/(1-Datos!$B$20)</f>
        <v>0.497724000427542</v>
      </c>
      <c r="D79" s="32" t="n">
        <f aca="false">D73*Corte!$D$53/1000/(1-Datos!$B$20)</f>
        <v>0.968266105387796</v>
      </c>
      <c r="E79" s="32" t="n">
        <f aca="false">E73*Corte!$D$53/1000/(1-Datos!$B$20)</f>
        <v>1.86937445616939</v>
      </c>
      <c r="F79" s="32" t="n">
        <f aca="false">F73*Corte!$D$53/1000/(1-Datos!$B$20)</f>
        <v>3.64124874195865</v>
      </c>
      <c r="G79" s="32" t="n">
        <f aca="false">G73*Corte!$D$53/1000/(1-Datos!$B$20)</f>
        <v>6.33167953014538</v>
      </c>
      <c r="H79" s="32" t="n">
        <f aca="false">H73*Corte!$D$53/1000/(1-Datos!$B$20)</f>
        <v>9.14822567645215</v>
      </c>
      <c r="I79" s="32" t="n">
        <f aca="false">I73*Corte!$D$53/1000/(1-Datos!$B$20)</f>
        <v>12.2802469417472</v>
      </c>
      <c r="J79" s="32" t="n">
        <f aca="false">J73*Corte!$D$53/1000/(1-Datos!$B$20)</f>
        <v>15.5225308905902</v>
      </c>
      <c r="K79" s="32" t="n">
        <f aca="false">K73*Corte!$D$53/1000/(1-Datos!$B$20)</f>
        <v>17.6276981160253</v>
      </c>
      <c r="L79" s="32" t="n">
        <f aca="false">L73*Corte!$D$53/1000/(1-Datos!$B$20)</f>
        <v>20.3025955196599</v>
      </c>
    </row>
    <row r="80" customFormat="false" ht="15" hidden="false" customHeight="false" outlineLevel="0" collapsed="false">
      <c r="A80" s="4" t="s">
        <v>517</v>
      </c>
      <c r="B80" s="4" t="s">
        <v>125</v>
      </c>
      <c r="C80" s="32" t="n">
        <f aca="false">C74*Corte!$D$54/1000/(1-Datos!$B$20)</f>
        <v>1.890379642504</v>
      </c>
      <c r="D80" s="32" t="n">
        <f aca="false">D74*Corte!$D$54/1000/(1-Datos!$B$20)</f>
        <v>3.09340885557974</v>
      </c>
      <c r="E80" s="32" t="n">
        <f aca="false">E74*Corte!$D$54/1000/(1-Datos!$B$20)</f>
        <v>4.80300406771389</v>
      </c>
      <c r="F80" s="32" t="n">
        <f aca="false">F74*Corte!$D$54/1000/(1-Datos!$B$20)</f>
        <v>8.07342616002248</v>
      </c>
      <c r="G80" s="32" t="n">
        <f aca="false">G74*Corte!$D$54/1000/(1-Datos!$B$20)</f>
        <v>13.2055328894877</v>
      </c>
      <c r="H80" s="32" t="n">
        <f aca="false">H74*Corte!$D$54/1000/(1-Datos!$B$20)</f>
        <v>18.3572601830158</v>
      </c>
      <c r="I80" s="32" t="n">
        <f aca="false">I74*Corte!$D$54/1000/(1-Datos!$B$20)</f>
        <v>24.4168106808756</v>
      </c>
      <c r="J80" s="32" t="n">
        <f aca="false">J74*Corte!$D$54/1000/(1-Datos!$B$20)</f>
        <v>30.8176174468802</v>
      </c>
      <c r="K80" s="32" t="n">
        <f aca="false">K74*Corte!$D$54/1000/(1-Datos!$B$20)</f>
        <v>35.2697630539481</v>
      </c>
      <c r="L80" s="32" t="n">
        <f aca="false">L74*Corte!$D$54/1000/(1-Datos!$B$20)</f>
        <v>40.7583632444835</v>
      </c>
    </row>
    <row r="81" customFormat="false" ht="15" hidden="false" customHeight="false" outlineLevel="0" collapsed="false">
      <c r="A81" s="4" t="s">
        <v>518</v>
      </c>
      <c r="B81" s="4" t="s">
        <v>125</v>
      </c>
      <c r="C81" s="32" t="n">
        <f aca="false">C75*Corte!$D$55/1000/(1-Datos!$B$20)</f>
        <v>1.12641056693272</v>
      </c>
      <c r="D81" s="32" t="n">
        <f aca="false">D75*Corte!$D$55/1000/(1-Datos!$B$20)</f>
        <v>1.69194583355028</v>
      </c>
      <c r="E81" s="32" t="n">
        <f aca="false">E75*Corte!$D$55/1000/(1-Datos!$B$20)</f>
        <v>2.58951222698658</v>
      </c>
      <c r="F81" s="32" t="n">
        <f aca="false">F75*Corte!$D$55/1000/(1-Datos!$B$20)</f>
        <v>4.38237396953592</v>
      </c>
      <c r="G81" s="32" t="n">
        <f aca="false">G75*Corte!$D$55/1000/(1-Datos!$B$20)</f>
        <v>7.28350875221779</v>
      </c>
      <c r="H81" s="32" t="n">
        <f aca="false">H75*Corte!$D$55/1000/(1-Datos!$B$20)</f>
        <v>10.0375852187265</v>
      </c>
      <c r="I81" s="32" t="n">
        <f aca="false">I75*Corte!$D$55/1000/(1-Datos!$B$20)</f>
        <v>13.4115104925438</v>
      </c>
      <c r="J81" s="32" t="n">
        <f aca="false">J75*Corte!$D$55/1000/(1-Datos!$B$20)</f>
        <v>16.8100602555005</v>
      </c>
      <c r="K81" s="32" t="n">
        <f aca="false">K75*Corte!$D$55/1000/(1-Datos!$B$20)</f>
        <v>19.3070295598452</v>
      </c>
      <c r="L81" s="32" t="n">
        <f aca="false">L75*Corte!$D$55/1000/(1-Datos!$B$20)</f>
        <v>22.316872292554</v>
      </c>
    </row>
    <row r="82" customFormat="false" ht="15" hidden="false" customHeight="false" outlineLevel="0" collapsed="false">
      <c r="A82" s="4" t="s">
        <v>473</v>
      </c>
      <c r="B82" s="4" t="s">
        <v>125</v>
      </c>
      <c r="C82" s="32" t="n">
        <f aca="false">SUM(C76:C81)</f>
        <v>13.3978078371141</v>
      </c>
      <c r="D82" s="32" t="n">
        <f aca="false">SUM(D76:D81)</f>
        <v>22.7641574904517</v>
      </c>
      <c r="E82" s="32" t="n">
        <f aca="false">SUM(E76:E81)</f>
        <v>40.7562821049658</v>
      </c>
      <c r="F82" s="32" t="n">
        <f aca="false">SUM(F76:F81)</f>
        <v>78.4775986378518</v>
      </c>
      <c r="G82" s="32" t="n">
        <f aca="false">SUM(G76:G81)</f>
        <v>133.217009429759</v>
      </c>
      <c r="H82" s="32" t="n">
        <f aca="false">SUM(H76:H81)</f>
        <v>186.551770326295</v>
      </c>
      <c r="I82" s="32" t="n">
        <f aca="false">SUM(I76:I81)</f>
        <v>253.412524547069</v>
      </c>
      <c r="J82" s="32" t="n">
        <f aca="false">SUM(J76:J81)</f>
        <v>321.677934067048</v>
      </c>
      <c r="K82" s="32" t="n">
        <f aca="false">SUM(K76:K81)</f>
        <v>364.443553741527</v>
      </c>
      <c r="L82" s="32" t="n">
        <f aca="false">SUM(L76:L81)</f>
        <v>420.598207384379</v>
      </c>
    </row>
    <row r="83" customFormat="false" ht="15" hidden="false" customHeight="false" outlineLevel="0" collapsed="false">
      <c r="A83" s="4" t="s">
        <v>474</v>
      </c>
      <c r="B83" s="4" t="s">
        <v>154</v>
      </c>
      <c r="C83" s="5" t="n">
        <f aca="false">SUMPRODUCT(C76:C81,Corte!$E$50:$E$55)*1000</f>
        <v>16374.7000400177</v>
      </c>
      <c r="D83" s="5" t="n">
        <f aca="false">SUMPRODUCT(D76:D81,Corte!$E$50:$E$55)*1000</f>
        <v>27863.2521633652</v>
      </c>
      <c r="E83" s="5" t="n">
        <f aca="false">SUMPRODUCT(E76:E81,Corte!$E$50:$E$55)*1000</f>
        <v>50072.0506987764</v>
      </c>
      <c r="F83" s="5" t="n">
        <f aca="false">SUMPRODUCT(F76:F81,Corte!$E$50:$E$55)*1000</f>
        <v>96705.2610273449</v>
      </c>
      <c r="G83" s="5" t="n">
        <f aca="false">SUMPRODUCT(G76:G81,Corte!$E$50:$E$55)*1000</f>
        <v>164265.68027904</v>
      </c>
      <c r="H83" s="5" t="n">
        <f aca="false">SUMPRODUCT(H76:H81,Corte!$E$50:$E$55)*1000</f>
        <v>230077.227155817</v>
      </c>
      <c r="I83" s="5" t="n">
        <f aca="false">SUMPRODUCT(I76:I81,Corte!$E$50:$E$55)*1000</f>
        <v>312657.188057591</v>
      </c>
      <c r="J83" s="5" t="n">
        <f aca="false">SUMPRODUCT(J76:J81,Corte!$E$50:$E$55)*1000</f>
        <v>396945.601754709</v>
      </c>
      <c r="K83" s="5" t="n">
        <f aca="false">SUMPRODUCT(K76:K81,Corte!$E$50:$E$55)*1000</f>
        <v>449624.237437893</v>
      </c>
      <c r="L83" s="5" t="n">
        <f aca="false">SUMPRODUCT(L76:L81,Corte!$E$50:$E$55)*1000</f>
        <v>518892.403090133</v>
      </c>
    </row>
    <row r="84" customFormat="false" ht="15" hidden="false" customHeight="false" outlineLevel="0" collapsed="false">
      <c r="A84" s="4" t="s">
        <v>475</v>
      </c>
      <c r="B84" s="4" t="s">
        <v>125</v>
      </c>
      <c r="C84" s="32" t="n">
        <f aca="false">C82-C25</f>
        <v>1.43433476887398</v>
      </c>
      <c r="D84" s="32" t="n">
        <f aca="false">D82-D25</f>
        <v>2.74587002826572</v>
      </c>
      <c r="E84" s="32" t="n">
        <f aca="false">E82-E25</f>
        <v>4.57737641389006</v>
      </c>
      <c r="F84" s="32" t="n">
        <f aca="false">F82-F25</f>
        <v>8.22563264305329</v>
      </c>
      <c r="G84" s="32" t="n">
        <f aca="false">G82-G25</f>
        <v>13.5323209670392</v>
      </c>
      <c r="H84" s="32" t="n">
        <f aca="false">H82-H25</f>
        <v>19.0050310387103</v>
      </c>
      <c r="I84" s="32" t="n">
        <f aca="false">I82-I25</f>
        <v>26.0882979811649</v>
      </c>
      <c r="J84" s="32" t="n">
        <f aca="false">J82-J25</f>
        <v>33.3311173034924</v>
      </c>
      <c r="K84" s="32" t="n">
        <f aca="false">K82-K25</f>
        <v>37.1513176083752</v>
      </c>
      <c r="L84" s="32" t="n">
        <f aca="false">L82-L25</f>
        <v>42.7677670865956</v>
      </c>
    </row>
    <row r="85" customFormat="false" ht="15" hidden="false" customHeight="false" outlineLevel="0" collapsed="false">
      <c r="A85" s="4" t="s">
        <v>476</v>
      </c>
      <c r="B85" s="4" t="s">
        <v>154</v>
      </c>
      <c r="C85" s="5" t="n">
        <f aca="false">-C84*Datos!$B$9</f>
        <v>-358.583692218495</v>
      </c>
      <c r="D85" s="5" t="n">
        <f aca="false">-D84*Datos!$B$9</f>
        <v>-686.467507066429</v>
      </c>
      <c r="E85" s="5" t="n">
        <f aca="false">-E84*Datos!$B$9</f>
        <v>-1144.34410347252</v>
      </c>
      <c r="F85" s="5" t="n">
        <f aca="false">-F84*Datos!$B$9</f>
        <v>-2056.40816076332</v>
      </c>
      <c r="G85" s="5" t="n">
        <f aca="false">-G84*Datos!$B$9</f>
        <v>-3383.08024175981</v>
      </c>
      <c r="H85" s="5" t="n">
        <f aca="false">-H84*Datos!$B$9</f>
        <v>-4751.25775967758</v>
      </c>
      <c r="I85" s="5" t="n">
        <f aca="false">-I84*Datos!$B$9</f>
        <v>-6522.07449529122</v>
      </c>
      <c r="J85" s="5" t="n">
        <f aca="false">-J84*Datos!$B$9</f>
        <v>-8332.77932587309</v>
      </c>
      <c r="K85" s="5" t="n">
        <f aca="false">-K84*Datos!$B$9</f>
        <v>-9287.82940209379</v>
      </c>
      <c r="L85" s="5" t="n">
        <f aca="false">-L84*Datos!$B$9</f>
        <v>-10691.9417716489</v>
      </c>
    </row>
    <row r="86" customFormat="false" ht="15" hidden="false" customHeight="false" outlineLevel="0" collapsed="false">
      <c r="A86" s="4" t="s">
        <v>519</v>
      </c>
      <c r="B86" s="4" t="s">
        <v>125</v>
      </c>
      <c r="C86" s="32" t="n">
        <f aca="false">SUMPRODUCT((Corte!$G$50:$G$55+C76:C81*Datos!$B$48/12-ABS(Corte!$G$50:$G$55-C76:C81*Datos!$B$48/12))/2+C76:C81*Datos!$B$45/52)</f>
        <v>3.86475226070599</v>
      </c>
      <c r="D86" s="32" t="n">
        <f aca="false">SUMPRODUCT((Corte!$G$50:$G$55+D76:D81*Datos!$B$48/12-ABS(Corte!$G$50:$G$55-D76:D81*Datos!$B$48/12))/2+D76:D81*Datos!$B$45/52)</f>
        <v>6.56658389147646</v>
      </c>
      <c r="E86" s="32" t="n">
        <f aca="false">SUMPRODUCT((Corte!$G$50:$G$55+E76:E81*Datos!$B$48/12-ABS(Corte!$G$50:$G$55-E76:E81*Datos!$B$48/12))/2+E76:E81*Datos!$B$45/52)</f>
        <v>11.7566198379709</v>
      </c>
      <c r="F86" s="32" t="n">
        <f aca="false">SUMPRODUCT((Corte!$G$50:$G$55+F76:F81*Datos!$B$48/12-ABS(Corte!$G$50:$G$55-F76:F81*Datos!$B$48/12))/2+F76:F81*Datos!$B$45/52)</f>
        <v>22.6377688378419</v>
      </c>
      <c r="G86" s="32" t="n">
        <f aca="false">SUMPRODUCT((Corte!$G$50:$G$55+G76:G81*Datos!$B$48/12-ABS(Corte!$G$50:$G$55-G76:G81*Datos!$B$48/12))/2+G76:G81*Datos!$B$45/52)</f>
        <v>35.0092013876862</v>
      </c>
      <c r="H86" s="32" t="n">
        <f aca="false">SUMPRODUCT((Corte!$G$50:$G$55+H76:H81*Datos!$B$48/12-ABS(Corte!$G$50:$G$55-H76:H81*Datos!$B$48/12))/2+H76:H81*Datos!$B$45/52)</f>
        <v>39.1750680894729</v>
      </c>
      <c r="I86" s="32" t="n">
        <f aca="false">SUMPRODUCT((Corte!$G$50:$G$55+I76:I81*Datos!$B$48/12-ABS(Corte!$G$50:$G$55-I76:I81*Datos!$B$48/12))/2+I76:I81*Datos!$B$45/52)</f>
        <v>41.7466355595027</v>
      </c>
      <c r="J86" s="32" t="n">
        <f aca="false">SUMPRODUCT((Corte!$G$50:$G$55+J76:J81*Datos!$B$48/12-ABS(Corte!$G$50:$G$55-J76:J81*Datos!$B$48/12))/2+J76:J81*Datos!$B$45/52)</f>
        <v>44.372228233348</v>
      </c>
      <c r="K86" s="32" t="n">
        <f aca="false">SUMPRODUCT((Corte!$G$50:$G$55+K76:K81*Datos!$B$48/12-ABS(Corte!$G$50:$G$55-K76:K81*Datos!$B$48/12))/2+K76:K81*Datos!$B$45/52)</f>
        <v>46.0170597592895</v>
      </c>
      <c r="L86" s="32" t="n">
        <f aca="false">SUMPRODUCT((Corte!$G$50:$G$55+L76:L81*Datos!$B$48/12-ABS(Corte!$G$50:$G$55-L76:L81*Datos!$B$48/12))/2+L76:L81*Datos!$B$45/52)</f>
        <v>48.1768541301684</v>
      </c>
    </row>
    <row r="87" customFormat="false" ht="15" hidden="false" customHeight="false" outlineLevel="0" collapsed="false">
      <c r="A87" s="4" t="s">
        <v>480</v>
      </c>
      <c r="B87" s="4" t="s">
        <v>154</v>
      </c>
      <c r="C87" s="5" t="n">
        <f aca="false">IF(C82=0,0,C86*C83/C82*Datos!$B$7)</f>
        <v>566.816539846767</v>
      </c>
      <c r="D87" s="5" t="n">
        <f aca="false">IF(D82=0,0,D86*D83/D82*Datos!$B$7)</f>
        <v>964.497190270335</v>
      </c>
      <c r="E87" s="5" t="n">
        <f aca="false">IF(E82=0,0,E86*E83/E82*Datos!$B$7)</f>
        <v>1733.26329341918</v>
      </c>
      <c r="F87" s="5" t="n">
        <f aca="false">IF(F82=0,0,F86*F83/F82*Datos!$B$7)</f>
        <v>3347.48980479271</v>
      </c>
      <c r="G87" s="5" t="n">
        <f aca="false">IF(G82=0,0,G86*G83/G82*Datos!$B$7)</f>
        <v>5180.24865436398</v>
      </c>
      <c r="H87" s="5" t="n">
        <f aca="false">IF(H82=0,0,H86*H83/H82*Datos!$B$7)</f>
        <v>5797.82718152794</v>
      </c>
      <c r="I87" s="5" t="n">
        <f aca="false">IF(I82=0,0,I86*I83/I82*Datos!$B$7)</f>
        <v>6180.77691695532</v>
      </c>
      <c r="J87" s="5" t="n">
        <f aca="false">IF(J82=0,0,J86*J83/J82*Datos!$B$7)</f>
        <v>6570.5573078988</v>
      </c>
      <c r="K87" s="5" t="n">
        <f aca="false">IF(K82=0,0,K86*K83/K82*Datos!$B$7)</f>
        <v>6812.7045269936</v>
      </c>
      <c r="L87" s="5" t="n">
        <f aca="false">IF(L82=0,0,L86*L83/L82*Datos!$B$7)</f>
        <v>7132.29961726774</v>
      </c>
    </row>
    <row r="88" customFormat="false" ht="15" hidden="false" customHeight="false" outlineLevel="0" collapsed="false">
      <c r="A88" s="4" t="s">
        <v>520</v>
      </c>
      <c r="B88" s="4" t="s">
        <v>484</v>
      </c>
      <c r="C88" s="32" t="n">
        <f aca="false">SUM(C70:C75)/(Datos!$B$37*60)+SUMPRODUCT(C76:C81/Corte!$G$50:$G$55)*Datos!$B$38/60</f>
        <v>2.22071320333608</v>
      </c>
      <c r="D88" s="32" t="n">
        <f aca="false">SUM(D70:D75)/(Datos!$B$37*60)+SUMPRODUCT(D76:D81/Corte!$G$50:$G$55)*Datos!$B$38/60</f>
        <v>3.81137458115324</v>
      </c>
      <c r="E88" s="32" t="n">
        <f aca="false">SUM(E70:E75)/(Datos!$B$37*60)+SUMPRODUCT(E76:E81/Corte!$G$50:$G$55)*Datos!$B$38/60</f>
        <v>6.72039785684027</v>
      </c>
      <c r="F88" s="32" t="n">
        <f aca="false">SUM(F70:F75)/(Datos!$B$37*60)+SUMPRODUCT(F76:F81/Corte!$G$50:$G$55)*Datos!$B$38/60</f>
        <v>12.7868173550103</v>
      </c>
      <c r="G88" s="32" t="n">
        <f aca="false">SUM(G70:G75)/(Datos!$B$37*60)+SUMPRODUCT(G76:G81/Corte!$G$50:$G$55)*Datos!$B$38/60</f>
        <v>21.6385865613947</v>
      </c>
      <c r="H88" s="32" t="n">
        <f aca="false">SUM(H70:H75)/(Datos!$B$37*60)+SUMPRODUCT(H76:H81/Corte!$G$50:$G$55)*Datos!$B$38/60</f>
        <v>30.3743129415377</v>
      </c>
      <c r="I88" s="32" t="n">
        <f aca="false">SUM(I70:I75)/(Datos!$B$37*60)+SUMPRODUCT(I76:I81/Corte!$G$50:$G$55)*Datos!$B$38/60</f>
        <v>41.1943120510018</v>
      </c>
      <c r="J88" s="32" t="n">
        <f aca="false">SUM(J70:J75)/(Datos!$B$37*60)+SUMPRODUCT(J76:J81/Corte!$G$50:$G$55)*Datos!$B$38/60</f>
        <v>52.2725127894285</v>
      </c>
      <c r="K88" s="32" t="n">
        <f aca="false">SUM(K70:K75)/(Datos!$B$37*60)+SUMPRODUCT(K76:K81/Corte!$G$50:$G$55)*Datos!$B$38/60</f>
        <v>59.2798415209734</v>
      </c>
      <c r="L88" s="32" t="n">
        <f aca="false">SUM(L70:L75)/(Datos!$B$37*60)+SUMPRODUCT(L76:L81/Corte!$G$50:$G$55)*Datos!$B$38/60</f>
        <v>68.4840396157632</v>
      </c>
    </row>
    <row r="89" customFormat="false" ht="15" hidden="false" customHeight="false" outlineLevel="0" collapsed="false">
      <c r="A89" s="4" t="s">
        <v>521</v>
      </c>
      <c r="B89" s="4" t="s">
        <v>522</v>
      </c>
      <c r="C89" s="32" t="n">
        <f aca="false">SUMPRODUCT(C76:C81/Corte!$G$50:$G$55*Corte!$F$50:$F$55)</f>
        <v>2.90367203656156</v>
      </c>
      <c r="D89" s="32" t="n">
        <f aca="false">SUMPRODUCT(D76:D81/Corte!$G$50:$G$55*Corte!$F$50:$F$55)</f>
        <v>5.92650643196716</v>
      </c>
      <c r="E89" s="32" t="n">
        <f aca="false">SUMPRODUCT(E76:E81/Corte!$G$50:$G$55*Corte!$F$50:$F$55)</f>
        <v>10.922182713573</v>
      </c>
      <c r="F89" s="32" t="n">
        <f aca="false">SUMPRODUCT(F76:F81/Corte!$G$50:$G$55*Corte!$F$50:$F$55)</f>
        <v>21.6451012916148</v>
      </c>
      <c r="G89" s="32" t="n">
        <f aca="false">SUMPRODUCT(G76:G81/Corte!$G$50:$G$55*Corte!$F$50:$F$55)</f>
        <v>36.4390603364961</v>
      </c>
      <c r="H89" s="32" t="n">
        <f aca="false">SUMPRODUCT(H76:H81/Corte!$G$50:$G$55*Corte!$F$50:$F$55)</f>
        <v>51.5395196253966</v>
      </c>
      <c r="I89" s="32" t="n">
        <f aca="false">SUMPRODUCT(I76:I81/Corte!$G$50:$G$55*Corte!$F$50:$F$55)</f>
        <v>70.6393061011088</v>
      </c>
      <c r="J89" s="32" t="n">
        <f aca="false">SUMPRODUCT(J76:J81/Corte!$G$50:$G$55*Corte!$F$50:$F$55)</f>
        <v>90.251901371782</v>
      </c>
      <c r="K89" s="32" t="n">
        <f aca="false">SUMPRODUCT(K76:K81/Corte!$G$50:$G$55*Corte!$F$50:$F$55)</f>
        <v>101.691761953341</v>
      </c>
      <c r="L89" s="32" t="n">
        <f aca="false">SUMPRODUCT(L76:L81/Corte!$G$50:$G$55*Corte!$F$50:$F$55)</f>
        <v>117.926144510026</v>
      </c>
    </row>
    <row r="90" customFormat="false" ht="15" hidden="false" customHeight="false" outlineLevel="0" collapsed="false">
      <c r="A90" s="4" t="s">
        <v>523</v>
      </c>
      <c r="B90" s="4" t="s">
        <v>484</v>
      </c>
      <c r="C90" s="5" t="n">
        <f aca="false">C88*Datos!$B$39+SUM(C$8:C$15)/Datos!$B$36+C89*Datos!$B$41/60</f>
        <v>11.0061613092959</v>
      </c>
      <c r="D90" s="5" t="n">
        <f aca="false">D88*Datos!$B$39+SUM(D$8:D$15)/Datos!$B$36+D89*Datos!$B$41/60</f>
        <v>18.3418975993149</v>
      </c>
      <c r="E90" s="5" t="n">
        <f aca="false">E88*Datos!$B$39+SUM(E$8:E$15)/Datos!$B$36+E89*Datos!$B$41/60</f>
        <v>35.5756466807071</v>
      </c>
      <c r="F90" s="5" t="n">
        <f aca="false">F88*Datos!$B$39+SUM(F$8:F$15)/Datos!$B$36+F89*Datos!$B$41/60</f>
        <v>73.7365674844659</v>
      </c>
      <c r="G90" s="5" t="n">
        <f aca="false">G88*Datos!$B$39+SUM(G$8:G$15)/Datos!$B$36+G89*Datos!$B$41/60</f>
        <v>126.766896158489</v>
      </c>
      <c r="H90" s="5" t="n">
        <f aca="false">H88*Datos!$B$39+SUM(H$8:H$15)/Datos!$B$36+H89*Datos!$B$41/60</f>
        <v>178.050530814316</v>
      </c>
      <c r="I90" s="5" t="n">
        <f aca="false">I88*Datos!$B$39+SUM(I$8:I$15)/Datos!$B$36+I89*Datos!$B$41/60</f>
        <v>243.959269045289</v>
      </c>
      <c r="J90" s="5" t="n">
        <f aca="false">J88*Datos!$B$39+SUM(J$8:J$15)/Datos!$B$36+J89*Datos!$B$41/60</f>
        <v>310.925410031636</v>
      </c>
      <c r="K90" s="5" t="n">
        <f aca="false">K88*Datos!$B$39+SUM(K$8:K$15)/Datos!$B$36+K89*Datos!$B$41/60</f>
        <v>351.421745738115</v>
      </c>
      <c r="L90" s="5" t="n">
        <f aca="false">L88*Datos!$B$39+SUM(L$8:L$15)/Datos!$B$36+L89*Datos!$B$41/60</f>
        <v>406.129287447283</v>
      </c>
    </row>
    <row r="91" customFormat="false" ht="15" hidden="false" customHeight="false" outlineLevel="0" collapsed="false">
      <c r="A91" s="4" t="s">
        <v>485</v>
      </c>
      <c r="B91" s="4" t="s">
        <v>154</v>
      </c>
      <c r="C91" s="5" t="n">
        <f aca="false">C90*Datos!$B$15</f>
        <v>69.1332645598863</v>
      </c>
      <c r="D91" s="5" t="n">
        <f aca="false">D90*Datos!$B$15</f>
        <v>115.211400562773</v>
      </c>
      <c r="E91" s="5" t="n">
        <f aca="false">E90*Datos!$B$15</f>
        <v>223.462161306784</v>
      </c>
      <c r="F91" s="5" t="n">
        <f aca="false">F90*Datos!$B$15</f>
        <v>463.163266863623</v>
      </c>
      <c r="G91" s="5" t="n">
        <f aca="false">G90*Datos!$B$15</f>
        <v>796.263940104025</v>
      </c>
      <c r="H91" s="5" t="n">
        <f aca="false">H90*Datos!$B$15</f>
        <v>1118.39306238569</v>
      </c>
      <c r="I91" s="5" t="n">
        <f aca="false">I90*Datos!$B$15</f>
        <v>1532.38719793245</v>
      </c>
      <c r="J91" s="5" t="n">
        <f aca="false">J90*Datos!$B$15</f>
        <v>1953.02322272463</v>
      </c>
      <c r="K91" s="5" t="n">
        <f aca="false">K90*Datos!$B$15</f>
        <v>2207.39382582831</v>
      </c>
      <c r="L91" s="5" t="n">
        <f aca="false">L90*Datos!$B$15</f>
        <v>2551.02961746499</v>
      </c>
    </row>
    <row r="92" customFormat="false" ht="15" hidden="false" customHeight="false" outlineLevel="0" collapsed="false">
      <c r="A92" s="4" t="s">
        <v>486</v>
      </c>
      <c r="B92" s="4" t="s">
        <v>154</v>
      </c>
      <c r="C92" s="5" t="n">
        <f aca="false">Datos!$E$112*Datos!$B$8</f>
        <v>5730</v>
      </c>
      <c r="D92" s="5" t="n">
        <f aca="false">Datos!$E$112*Datos!$B$8</f>
        <v>5730</v>
      </c>
      <c r="E92" s="5" t="n">
        <f aca="false">Datos!$E$112*Datos!$B$8</f>
        <v>5730</v>
      </c>
      <c r="F92" s="5" t="n">
        <f aca="false">Datos!$E$112*Datos!$B$8</f>
        <v>5730</v>
      </c>
      <c r="G92" s="5" t="n">
        <f aca="false">Datos!$E$112*Datos!$B$8</f>
        <v>5730</v>
      </c>
      <c r="H92" s="5" t="n">
        <f aca="false">Datos!$E$112*Datos!$B$8</f>
        <v>5730</v>
      </c>
      <c r="I92" s="5" t="n">
        <f aca="false">Datos!$E$112*Datos!$B$8</f>
        <v>5730</v>
      </c>
      <c r="J92" s="5" t="n">
        <f aca="false">Datos!$E$112*Datos!$B$8</f>
        <v>5730</v>
      </c>
      <c r="K92" s="5" t="n">
        <f aca="false">Datos!$E$112*Datos!$B$8</f>
        <v>5730</v>
      </c>
      <c r="L92" s="5" t="n">
        <f aca="false">Datos!$E$112*Datos!$B$8</f>
        <v>5730</v>
      </c>
    </row>
    <row r="93" customFormat="false" ht="15" hidden="false" customHeight="false" outlineLevel="0" collapsed="false">
      <c r="A93" s="7" t="s">
        <v>524</v>
      </c>
      <c r="B93" s="4" t="s">
        <v>154</v>
      </c>
      <c r="C93" s="8" t="n">
        <f aca="false">C83+C85+C87+C91+C92</f>
        <v>22382.0661522059</v>
      </c>
      <c r="D93" s="8" t="n">
        <f aca="false">D83+D85+D87+D91+D92</f>
        <v>33986.4932471319</v>
      </c>
      <c r="E93" s="8" t="n">
        <f aca="false">E83+E85+E87+E91+E92</f>
        <v>56614.4320500298</v>
      </c>
      <c r="F93" s="8" t="n">
        <f aca="false">F83+F85+F87+F91+F92</f>
        <v>104189.505938238</v>
      </c>
      <c r="G93" s="8" t="n">
        <f aca="false">G83+G85+G87+G91+G92</f>
        <v>172589.112631748</v>
      </c>
      <c r="H93" s="8" t="n">
        <f aca="false">H83+H85+H87+H91+H92</f>
        <v>237972.189640053</v>
      </c>
      <c r="I93" s="8" t="n">
        <f aca="false">I83+I85+I87+I91+I92</f>
        <v>319578.277677188</v>
      </c>
      <c r="J93" s="8" t="n">
        <f aca="false">J83+J85+J87+J91+J92</f>
        <v>402866.402959459</v>
      </c>
      <c r="K93" s="8" t="n">
        <f aca="false">K83+K85+K87+K91+K92</f>
        <v>455086.506388621</v>
      </c>
      <c r="L93" s="8" t="n">
        <f aca="false">L83+L85+L87+L91+L92</f>
        <v>523613.790553217</v>
      </c>
    </row>
    <row r="95" customFormat="false" ht="15" hidden="false" customHeight="false" outlineLevel="0" collapsed="false">
      <c r="A95" s="11" t="s">
        <v>525</v>
      </c>
    </row>
    <row r="96" customFormat="false" ht="15" hidden="false" customHeight="false" outlineLevel="0" collapsed="false">
      <c r="A96" s="4" t="s">
        <v>526</v>
      </c>
      <c r="B96" s="4" t="s">
        <v>125</v>
      </c>
      <c r="C96" s="32" t="n">
        <f aca="false">C51+C30</f>
        <v>13.8304197228634</v>
      </c>
      <c r="D96" s="32" t="n">
        <f aca="false">D51+D30</f>
        <v>23.1165604177742</v>
      </c>
      <c r="E96" s="32" t="n">
        <f aca="false">E51+E30</f>
        <v>41.6512741853725</v>
      </c>
      <c r="F96" s="32" t="n">
        <f aca="false">F51+F30</f>
        <v>80.6799742503062</v>
      </c>
      <c r="G96" s="32" t="n">
        <f aca="false">G51+G30</f>
        <v>137.389922642202</v>
      </c>
      <c r="H96" s="32" t="n">
        <f aca="false">H51+H30</f>
        <v>192.303258384556</v>
      </c>
      <c r="I96" s="32" t="n">
        <f aca="false">I51+I30</f>
        <v>260.838870796164</v>
      </c>
      <c r="J96" s="32" t="n">
        <f aca="false">J51+J30</f>
        <v>330.807465274181</v>
      </c>
      <c r="K96" s="32" t="n">
        <f aca="false">K51+K30</f>
        <v>375.543136751923</v>
      </c>
      <c r="L96" s="32" t="n">
        <f aca="false">L51+L30</f>
        <v>433.536981625821</v>
      </c>
    </row>
    <row r="97" customFormat="false" ht="15" hidden="false" customHeight="false" outlineLevel="0" collapsed="false">
      <c r="A97" s="4" t="s">
        <v>474</v>
      </c>
      <c r="B97" s="4" t="s">
        <v>154</v>
      </c>
      <c r="C97" s="5" t="n">
        <f aca="false">C52+C31</f>
        <v>17217.331749258</v>
      </c>
      <c r="D97" s="5" t="n">
        <f aca="false">D52+D31</f>
        <v>28789.1871923586</v>
      </c>
      <c r="E97" s="5" t="n">
        <f aca="false">E52+E31</f>
        <v>52208.9750032822</v>
      </c>
      <c r="F97" s="5" t="n">
        <f aca="false">F52+F31</f>
        <v>101677.088636112</v>
      </c>
      <c r="G97" s="5" t="n">
        <f aca="false">G52+G31</f>
        <v>173331.041555286</v>
      </c>
      <c r="H97" s="5" t="n">
        <f aca="false">H52+H31</f>
        <v>242666.389459077</v>
      </c>
      <c r="I97" s="5" t="n">
        <f aca="false">I52+I31</f>
        <v>329374.804720661</v>
      </c>
      <c r="J97" s="5" t="n">
        <f aca="false">J52+J31</f>
        <v>417849.867996431</v>
      </c>
      <c r="K97" s="5" t="n">
        <f aca="false">K52+K31</f>
        <v>474193.559097041</v>
      </c>
      <c r="L97" s="5" t="n">
        <f aca="false">L52+L31</f>
        <v>547398.021241109</v>
      </c>
    </row>
    <row r="98" customFormat="false" ht="15" hidden="false" customHeight="false" outlineLevel="0" collapsed="false">
      <c r="A98" s="4" t="s">
        <v>475</v>
      </c>
      <c r="B98" s="4" t="s">
        <v>125</v>
      </c>
      <c r="C98" s="32" t="n">
        <f aca="false">C96-C25</f>
        <v>1.86694665462324</v>
      </c>
      <c r="D98" s="32" t="n">
        <f aca="false">D96-D25</f>
        <v>3.09827295558818</v>
      </c>
      <c r="E98" s="32" t="n">
        <f aca="false">E96-E25</f>
        <v>5.47236849429677</v>
      </c>
      <c r="F98" s="32" t="n">
        <f aca="false">F96-F25</f>
        <v>10.4280082555077</v>
      </c>
      <c r="G98" s="32" t="n">
        <f aca="false">G96-G25</f>
        <v>17.705234179482</v>
      </c>
      <c r="H98" s="32" t="n">
        <f aca="false">H96-H25</f>
        <v>24.7565190969718</v>
      </c>
      <c r="I98" s="32" t="n">
        <f aca="false">I96-I25</f>
        <v>33.5146442302603</v>
      </c>
      <c r="J98" s="32" t="n">
        <f aca="false">J96-J25</f>
        <v>42.4606485106256</v>
      </c>
      <c r="K98" s="32" t="n">
        <f aca="false">K96-K25</f>
        <v>48.2509006187705</v>
      </c>
      <c r="L98" s="32" t="n">
        <f aca="false">L96-L25</f>
        <v>55.7065413280369</v>
      </c>
    </row>
    <row r="99" customFormat="false" ht="15" hidden="false" customHeight="false" outlineLevel="0" collapsed="false">
      <c r="A99" s="4" t="s">
        <v>476</v>
      </c>
      <c r="B99" s="4" t="s">
        <v>154</v>
      </c>
      <c r="C99" s="5" t="n">
        <f aca="false">-C98*Datos!$B$9</f>
        <v>-466.736663655809</v>
      </c>
      <c r="D99" s="5" t="n">
        <f aca="false">-D98*Datos!$B$9</f>
        <v>-774.568238897046</v>
      </c>
      <c r="E99" s="5" t="n">
        <f aca="false">-E98*Datos!$B$9</f>
        <v>-1368.09212357419</v>
      </c>
      <c r="F99" s="5" t="n">
        <f aca="false">-F98*Datos!$B$9</f>
        <v>-2607.00206387693</v>
      </c>
      <c r="G99" s="5" t="n">
        <f aca="false">-G98*Datos!$B$9</f>
        <v>-4426.3085448705</v>
      </c>
      <c r="H99" s="5" t="n">
        <f aca="false">-H98*Datos!$B$9</f>
        <v>-6189.12977424296</v>
      </c>
      <c r="I99" s="5" t="n">
        <f aca="false">-I98*Datos!$B$9</f>
        <v>-8378.66105756508</v>
      </c>
      <c r="J99" s="5" t="n">
        <f aca="false">-J98*Datos!$B$9</f>
        <v>-10615.1621276564</v>
      </c>
      <c r="K99" s="5" t="n">
        <f aca="false">-K98*Datos!$B$9</f>
        <v>-12062.7251546926</v>
      </c>
      <c r="L99" s="5" t="n">
        <f aca="false">-L98*Datos!$B$9</f>
        <v>-13926.6353320092</v>
      </c>
    </row>
    <row r="100" customFormat="false" ht="15" hidden="false" customHeight="false" outlineLevel="0" collapsed="false">
      <c r="A100" s="4" t="s">
        <v>527</v>
      </c>
      <c r="B100" s="4" t="s">
        <v>125</v>
      </c>
      <c r="C100" s="32" t="n">
        <f aca="false">C51*(Datos!$B$46/2/12+Datos!$B$45/52)+C37</f>
        <v>1.35672917531281</v>
      </c>
      <c r="D100" s="32" t="n">
        <f aca="false">D51*(Datos!$B$46/2/12+Datos!$B$45/52)+D37</f>
        <v>2.27516087093997</v>
      </c>
      <c r="E100" s="32" t="n">
        <f aca="false">E51*(Datos!$B$46/2/12+Datos!$B$45/52)+E37</f>
        <v>4.12302419424496</v>
      </c>
      <c r="F100" s="32" t="n">
        <f aca="false">F51*(Datos!$B$46/2/12+Datos!$B$45/52)+F37</f>
        <v>8.0199663407267</v>
      </c>
      <c r="G100" s="32" t="n">
        <f aca="false">G51*(Datos!$B$46/2/12+Datos!$B$45/52)+G37</f>
        <v>13.3413296255437</v>
      </c>
      <c r="H100" s="32" t="n">
        <f aca="false">H51*(Datos!$B$46/2/12+Datos!$B$45/52)+H37</f>
        <v>17.4409231430486</v>
      </c>
      <c r="I100" s="32" t="n">
        <f aca="false">I51*(Datos!$B$46/2/12+Datos!$B$45/52)+I37</f>
        <v>22.4711177677721</v>
      </c>
      <c r="J100" s="32" t="n">
        <f aca="false">J51*(Datos!$B$46/2/12+Datos!$B$45/52)+J37</f>
        <v>27.5294352208241</v>
      </c>
      <c r="K100" s="32" t="n">
        <f aca="false">K51*(Datos!$B$46/2/12+Datos!$B$45/52)+K37</f>
        <v>30.6953761878853</v>
      </c>
      <c r="L100" s="32" t="n">
        <f aca="false">L51*(Datos!$B$46/2/12+Datos!$B$45/52)+L37</f>
        <v>34.7803717800678</v>
      </c>
    </row>
    <row r="101" customFormat="false" ht="15" hidden="false" customHeight="false" outlineLevel="0" collapsed="false">
      <c r="A101" s="4" t="s">
        <v>480</v>
      </c>
      <c r="B101" s="4" t="s">
        <v>154</v>
      </c>
      <c r="C101" s="5" t="n">
        <f aca="false">IF(C96=0,0,C100*C97/C96*Datos!$B$7)</f>
        <v>202.677200894855</v>
      </c>
      <c r="D101" s="5" t="n">
        <f aca="false">IF(D96=0,0,D100*D97/D96*Datos!$B$7)</f>
        <v>340.016149578332</v>
      </c>
      <c r="E101" s="5" t="n">
        <f aca="false">IF(E96=0,0,E100*E97/E96*Datos!$B$7)</f>
        <v>620.174641872136</v>
      </c>
      <c r="F101" s="5" t="n">
        <f aca="false">IF(F96=0,0,F100*F97/F96*Datos!$B$7)</f>
        <v>1212.86131196048</v>
      </c>
      <c r="G101" s="5" t="n">
        <f aca="false">IF(G96=0,0,G100*G97/G96*Datos!$B$7)</f>
        <v>2019.76958593983</v>
      </c>
      <c r="H101" s="5" t="n">
        <f aca="false">IF(H96=0,0,H100*H97/H96*Datos!$B$7)</f>
        <v>2641.03222182122</v>
      </c>
      <c r="I101" s="5" t="n">
        <f aca="false">IF(I96=0,0,I100*I97/I96*Datos!$B$7)</f>
        <v>3405.05385751289</v>
      </c>
      <c r="J101" s="5" t="n">
        <f aca="false">IF(J96=0,0,J100*J97/J96*Datos!$B$7)</f>
        <v>4172.76104582593</v>
      </c>
      <c r="K101" s="5" t="n">
        <f aca="false">IF(K96=0,0,K100*K97/K96*Datos!$B$7)</f>
        <v>4651.03949705923</v>
      </c>
      <c r="L101" s="5" t="n">
        <f aca="false">IF(L96=0,0,L100*L97/L96*Datos!$B$7)</f>
        <v>5269.78066388936</v>
      </c>
    </row>
    <row r="102" customFormat="false" ht="15" hidden="false" customHeight="false" outlineLevel="0" collapsed="false">
      <c r="A102" s="4" t="s">
        <v>528</v>
      </c>
      <c r="B102" s="4" t="s">
        <v>484</v>
      </c>
      <c r="C102" s="5" t="n">
        <f aca="false">C53+C54+C40*Datos!$B$41/60</f>
        <v>3.15588142340339</v>
      </c>
      <c r="D102" s="5" t="n">
        <f aca="false">D53+D54+D40*Datos!$B$41/60</f>
        <v>5.19319798350777</v>
      </c>
      <c r="E102" s="5" t="n">
        <f aca="false">E53+E54+E40*Datos!$B$41/60</f>
        <v>10.2388846047184</v>
      </c>
      <c r="F102" s="5" t="n">
        <f aca="false">F53+F54+F40*Datos!$B$41/60</f>
        <v>21.4301320148034</v>
      </c>
      <c r="G102" s="5" t="n">
        <f aca="false">G53+G54+G40*Datos!$B$41/60</f>
        <v>36.9758278811972</v>
      </c>
      <c r="H102" s="5" t="n">
        <f aca="false">H53+H54+H40*Datos!$B$41/60</f>
        <v>51.8890712879057</v>
      </c>
      <c r="I102" s="5" t="n">
        <f aca="false">I53+I54+I40*Datos!$B$41/60</f>
        <v>71.0426042788765</v>
      </c>
      <c r="J102" s="5" t="n">
        <f aca="false">J53+J54+J40*Datos!$B$41/60</f>
        <v>90.4866828791365</v>
      </c>
      <c r="K102" s="5" t="n">
        <f aca="false">K53+K54+K40*Datos!$B$41/60</f>
        <v>102.371440727254</v>
      </c>
      <c r="L102" s="5" t="n">
        <f aca="false">L53+L54+L40*Datos!$B$41/60</f>
        <v>118.26219451631</v>
      </c>
    </row>
    <row r="103" customFormat="false" ht="15" hidden="false" customHeight="false" outlineLevel="0" collapsed="false">
      <c r="A103" s="4" t="s">
        <v>485</v>
      </c>
      <c r="B103" s="4" t="s">
        <v>154</v>
      </c>
      <c r="C103" s="5" t="n">
        <f aca="false">C102*Datos!$B$15</f>
        <v>19.8231135481817</v>
      </c>
      <c r="D103" s="5" t="n">
        <f aca="false">D102*Datos!$B$15</f>
        <v>32.6201588379844</v>
      </c>
      <c r="E103" s="5" t="n">
        <f aca="false">E102*Datos!$B$15</f>
        <v>64.3137510240098</v>
      </c>
      <c r="F103" s="5" t="n">
        <f aca="false">F102*Datos!$B$15</f>
        <v>134.609601340422</v>
      </c>
      <c r="G103" s="5" t="n">
        <f aca="false">G102*Datos!$B$15</f>
        <v>232.257153006888</v>
      </c>
      <c r="H103" s="5" t="n">
        <f aca="false">H102*Datos!$B$15</f>
        <v>325.932065895105</v>
      </c>
      <c r="I103" s="5" t="n">
        <f aca="false">I102*Datos!$B$15</f>
        <v>446.241611277009</v>
      </c>
      <c r="J103" s="5" t="n">
        <f aca="false">J102*Datos!$B$15</f>
        <v>568.376167751268</v>
      </c>
      <c r="K103" s="5" t="n">
        <f aca="false">K102*Datos!$B$15</f>
        <v>643.02818178727</v>
      </c>
      <c r="L103" s="5" t="n">
        <f aca="false">L102*Datos!$B$15</f>
        <v>742.843154045305</v>
      </c>
    </row>
    <row r="104" customFormat="false" ht="15" hidden="false" customHeight="false" outlineLevel="0" collapsed="false">
      <c r="A104" s="4" t="s">
        <v>486</v>
      </c>
      <c r="B104" s="4" t="s">
        <v>154</v>
      </c>
      <c r="C104" s="5" t="n">
        <f aca="false">Datos!$F$112*Datos!$B$8</f>
        <v>2790</v>
      </c>
      <c r="D104" s="5" t="n">
        <f aca="false">Datos!$F$112*Datos!$B$8</f>
        <v>2790</v>
      </c>
      <c r="E104" s="5" t="n">
        <f aca="false">Datos!$F$112*Datos!$B$8</f>
        <v>2790</v>
      </c>
      <c r="F104" s="5" t="n">
        <f aca="false">Datos!$F$112*Datos!$B$8</f>
        <v>2790</v>
      </c>
      <c r="G104" s="5" t="n">
        <f aca="false">Datos!$F$112*Datos!$B$8</f>
        <v>2790</v>
      </c>
      <c r="H104" s="5" t="n">
        <f aca="false">Datos!$F$112*Datos!$B$8</f>
        <v>2790</v>
      </c>
      <c r="I104" s="5" t="n">
        <f aca="false">Datos!$F$112*Datos!$B$8</f>
        <v>2790</v>
      </c>
      <c r="J104" s="5" t="n">
        <f aca="false">Datos!$F$112*Datos!$B$8</f>
        <v>2790</v>
      </c>
      <c r="K104" s="5" t="n">
        <f aca="false">Datos!$F$112*Datos!$B$8</f>
        <v>2790</v>
      </c>
      <c r="L104" s="5" t="n">
        <f aca="false">Datos!$F$112*Datos!$B$8</f>
        <v>2790</v>
      </c>
    </row>
    <row r="105" customFormat="false" ht="15" hidden="false" customHeight="false" outlineLevel="0" collapsed="false">
      <c r="A105" s="7" t="s">
        <v>529</v>
      </c>
      <c r="B105" s="4" t="s">
        <v>154</v>
      </c>
      <c r="C105" s="8" t="n">
        <f aca="false">C97+C99+C101+C103+C104</f>
        <v>19763.0954000452</v>
      </c>
      <c r="D105" s="8" t="n">
        <f aca="false">D97+D99+D101+D103+D104</f>
        <v>31177.2552618779</v>
      </c>
      <c r="E105" s="8" t="n">
        <f aca="false">E97+E99+E101+E103+E104</f>
        <v>54315.3712726041</v>
      </c>
      <c r="F105" s="8" t="n">
        <f aca="false">F97+F99+F101+F103+F104</f>
        <v>103207.557485536</v>
      </c>
      <c r="G105" s="8" t="n">
        <f aca="false">G97+G99+G101+G103+G104</f>
        <v>173946.759749362</v>
      </c>
      <c r="H105" s="8" t="n">
        <f aca="false">H97+H99+H101+H103+H104</f>
        <v>242234.22397255</v>
      </c>
      <c r="I105" s="8" t="n">
        <f aca="false">I97+I99+I101+I103+I104</f>
        <v>327637.439131886</v>
      </c>
      <c r="J105" s="8" t="n">
        <f aca="false">J97+J99+J101+J103+J104</f>
        <v>414765.843082351</v>
      </c>
      <c r="K105" s="8" t="n">
        <f aca="false">K97+K99+K101+K103+K104</f>
        <v>470214.901621195</v>
      </c>
      <c r="L105" s="8" t="n">
        <f aca="false">L97+L99+L101+L103+L104</f>
        <v>542274.009727035</v>
      </c>
    </row>
    <row r="107" customFormat="false" ht="15" hidden="false" customHeight="false" outlineLevel="0" collapsed="false">
      <c r="A107" s="11" t="s">
        <v>530</v>
      </c>
    </row>
    <row r="108" customFormat="false" ht="15" hidden="false" customHeight="false" outlineLevel="0" collapsed="false">
      <c r="A108" s="4" t="s">
        <v>531</v>
      </c>
      <c r="B108" s="4" t="s">
        <v>125</v>
      </c>
      <c r="C108" s="32" t="n">
        <f aca="false">SUMPRODUCT(C$8:C$15,Piezas!$H$6:$H$13)/1000</f>
        <v>9.75815679409689</v>
      </c>
      <c r="D108" s="32" t="n">
        <f aca="false">SUMPRODUCT(D$8:D$15,Piezas!$H$6:$H$13)/1000</f>
        <v>16.2632510037798</v>
      </c>
      <c r="E108" s="32" t="n">
        <f aca="false">SUMPRODUCT(E$8:E$15,Piezas!$H$6:$H$13)/1000</f>
        <v>29.2104736361371</v>
      </c>
      <c r="F108" s="32" t="n">
        <f aca="false">SUMPRODUCT(F$8:F$15,Piezas!$H$6:$H$13)/1000</f>
        <v>56.470631955553</v>
      </c>
      <c r="G108" s="32" t="n">
        <f aca="false">SUMPRODUCT(G$8:G$15,Piezas!$H$6:$H$13)/1000</f>
        <v>96.1219776435812</v>
      </c>
      <c r="H108" s="32" t="n">
        <f aca="false">SUMPRODUCT(H$8:H$15,Piezas!$H$6:$H$13)/1000</f>
        <v>134.523459912545</v>
      </c>
      <c r="I108" s="32" t="n">
        <f aca="false">SUMPRODUCT(I$8:I$15,Piezas!$H$6:$H$13)/1000</f>
        <v>182.43893470904</v>
      </c>
      <c r="J108" s="32" t="n">
        <f aca="false">SUMPRODUCT(J$8:J$15,Piezas!$H$6:$H$13)/1000</f>
        <v>231.371801469011</v>
      </c>
      <c r="K108" s="32" t="n">
        <f aca="false">SUMPRODUCT(K$8:K$15,Piezas!$H$6:$H$13)/1000</f>
        <v>262.694691724471</v>
      </c>
      <c r="L108" s="32" t="n">
        <f aca="false">SUMPRODUCT(L$8:L$15,Piezas!$H$6:$H$13)/1000</f>
        <v>303.277540090901</v>
      </c>
    </row>
    <row r="109" customFormat="false" ht="15" hidden="false" customHeight="false" outlineLevel="0" collapsed="false">
      <c r="A109" s="4" t="s">
        <v>532</v>
      </c>
      <c r="B109" s="4" t="s">
        <v>154</v>
      </c>
      <c r="C109" s="5" t="n">
        <f aca="false">SUMPRODUCT(C$8:C$15,Corte!$I$19:$I$26)</f>
        <v>13426.3489312009</v>
      </c>
      <c r="D109" s="5" t="n">
        <f aca="false">SUMPRODUCT(D$8:D$15,Corte!$I$19:$I$26)</f>
        <v>22446.1917360546</v>
      </c>
      <c r="E109" s="5" t="n">
        <f aca="false">SUMPRODUCT(E$8:E$15,Corte!$I$19:$I$26)</f>
        <v>40377.3967056522</v>
      </c>
      <c r="F109" s="5" t="n">
        <f aca="false">SUMPRODUCT(F$8:F$15,Corte!$I$19:$I$26)</f>
        <v>78096.9853372748</v>
      </c>
      <c r="G109" s="5" t="n">
        <f aca="false">SUMPRODUCT(G$8:G$15,Corte!$I$19:$I$26)</f>
        <v>132956.045701458</v>
      </c>
      <c r="H109" s="5" t="n">
        <f aca="false">SUMPRODUCT(H$8:H$15,Corte!$I$19:$I$26)</f>
        <v>186102.529725481</v>
      </c>
      <c r="I109" s="5" t="n">
        <f aca="false">SUMPRODUCT(I$8:I$15,Corte!$I$19:$I$26)</f>
        <v>252380.77693027</v>
      </c>
      <c r="J109" s="5" t="n">
        <f aca="false">SUMPRODUCT(J$8:J$15,Corte!$I$19:$I$26)</f>
        <v>320065.935322803</v>
      </c>
      <c r="K109" s="5" t="n">
        <f aca="false">SUMPRODUCT(K$8:K$15,Corte!$I$19:$I$26)</f>
        <v>363372.163237751</v>
      </c>
      <c r="L109" s="5" t="n">
        <f aca="false">SUMPRODUCT(L$8:L$15,Corte!$I$19:$I$26)</f>
        <v>419481.831270372</v>
      </c>
    </row>
    <row r="110" customFormat="false" ht="15" hidden="false" customHeight="false" outlineLevel="0" collapsed="false">
      <c r="A110" s="4" t="s">
        <v>473</v>
      </c>
      <c r="B110" s="4" t="s">
        <v>125</v>
      </c>
      <c r="C110" s="32" t="n">
        <f aca="false">C108+C30</f>
        <v>12.7404263950974</v>
      </c>
      <c r="D110" s="32" t="n">
        <f aca="false">D108+D30</f>
        <v>21.3377195148919</v>
      </c>
      <c r="E110" s="32" t="n">
        <f aca="false">E108+E30</f>
        <v>38.6374618657569</v>
      </c>
      <c r="F110" s="32" t="n">
        <f aca="false">F108+F30</f>
        <v>75.1333297266714</v>
      </c>
      <c r="G110" s="32" t="n">
        <f aca="false">G108+G30</f>
        <v>128.036602152218</v>
      </c>
      <c r="H110" s="32" t="n">
        <f aca="false">H108+H30</f>
        <v>179.25257076729</v>
      </c>
      <c r="I110" s="32" t="n">
        <f aca="false">I108+I30</f>
        <v>243.2439151557</v>
      </c>
      <c r="J110" s="32" t="n">
        <f aca="false">J108+J30</f>
        <v>308.559463246909</v>
      </c>
      <c r="K110" s="32" t="n">
        <f aca="false">K108+K30</f>
        <v>350.204003122767</v>
      </c>
      <c r="L110" s="32" t="n">
        <f aca="false">L108+L30</f>
        <v>404.273582034313</v>
      </c>
    </row>
    <row r="111" customFormat="false" ht="15" hidden="false" customHeight="false" outlineLevel="0" collapsed="false">
      <c r="A111" s="4" t="s">
        <v>474</v>
      </c>
      <c r="B111" s="4" t="s">
        <v>154</v>
      </c>
      <c r="C111" s="5" t="n">
        <f aca="false">C109+C31</f>
        <v>16983.2739308602</v>
      </c>
      <c r="D111" s="5" t="n">
        <f aca="false">D109+D31</f>
        <v>28493.5228923199</v>
      </c>
      <c r="E111" s="5" t="n">
        <f aca="false">E109+E31</f>
        <v>51627.3165330636</v>
      </c>
      <c r="F111" s="5" t="n">
        <f aca="false">F109+F31</f>
        <v>100398.034460587</v>
      </c>
      <c r="G111" s="5" t="n">
        <f aca="false">G109+G31</f>
        <v>171101.81428929</v>
      </c>
      <c r="H111" s="5" t="n">
        <f aca="false">H109+H31</f>
        <v>239566.265974252</v>
      </c>
      <c r="I111" s="5" t="n">
        <f aca="false">I109+I31</f>
        <v>325073.202859069</v>
      </c>
      <c r="J111" s="5" t="n">
        <f aca="false">J109+J31</f>
        <v>412351.493513547</v>
      </c>
      <c r="K111" s="5" t="n">
        <f aca="false">K109+K31</f>
        <v>467990.884981959</v>
      </c>
      <c r="L111" s="5" t="n">
        <f aca="false">L109+L31</f>
        <v>540224.987083676</v>
      </c>
    </row>
    <row r="112" customFormat="false" ht="15" hidden="false" customHeight="false" outlineLevel="0" collapsed="false">
      <c r="A112" s="4" t="s">
        <v>533</v>
      </c>
      <c r="B112" s="4" t="s">
        <v>125</v>
      </c>
      <c r="C112" s="32" t="n">
        <f aca="false">C110-C25</f>
        <v>0.776953326857221</v>
      </c>
      <c r="D112" s="32" t="n">
        <f aca="false">D110-D25</f>
        <v>1.31943205270595</v>
      </c>
      <c r="E112" s="32" t="n">
        <f aca="false">E110-E25</f>
        <v>2.45855617468116</v>
      </c>
      <c r="F112" s="32" t="n">
        <f aca="false">F110-F25</f>
        <v>4.88136373187288</v>
      </c>
      <c r="G112" s="32" t="n">
        <f aca="false">G110-G25</f>
        <v>8.35191368949839</v>
      </c>
      <c r="H112" s="32" t="n">
        <f aca="false">H110-H25</f>
        <v>11.705831479706</v>
      </c>
      <c r="I112" s="32" t="n">
        <f aca="false">I110-I25</f>
        <v>15.9196885897956</v>
      </c>
      <c r="J112" s="32" t="n">
        <f aca="false">J110-J25</f>
        <v>20.212646483353</v>
      </c>
      <c r="K112" s="32" t="n">
        <f aca="false">K110-K25</f>
        <v>22.9117669896149</v>
      </c>
      <c r="L112" s="32" t="n">
        <f aca="false">L110-L25</f>
        <v>26.4431417365297</v>
      </c>
    </row>
    <row r="113" customFormat="false" ht="15" hidden="false" customHeight="false" outlineLevel="0" collapsed="false">
      <c r="A113" s="4" t="s">
        <v>476</v>
      </c>
      <c r="B113" s="4" t="s">
        <v>154</v>
      </c>
      <c r="C113" s="5" t="n">
        <f aca="false">-C112*Datos!$B$9</f>
        <v>-194.238331714305</v>
      </c>
      <c r="D113" s="5" t="n">
        <f aca="false">-D112*Datos!$B$9</f>
        <v>-329.858013176487</v>
      </c>
      <c r="E113" s="5" t="n">
        <f aca="false">-E112*Datos!$B$9</f>
        <v>-614.639043670289</v>
      </c>
      <c r="F113" s="5" t="n">
        <f aca="false">-F112*Datos!$B$9</f>
        <v>-1220.34093296822</v>
      </c>
      <c r="G113" s="5" t="n">
        <f aca="false">-G112*Datos!$B$9</f>
        <v>-2087.9784223746</v>
      </c>
      <c r="H113" s="5" t="n">
        <f aca="false">-H112*Datos!$B$9</f>
        <v>-2926.45786992651</v>
      </c>
      <c r="I113" s="5" t="n">
        <f aca="false">-I112*Datos!$B$9</f>
        <v>-3979.9221474489</v>
      </c>
      <c r="J113" s="5" t="n">
        <f aca="false">-J112*Datos!$B$9</f>
        <v>-5053.16162083825</v>
      </c>
      <c r="K113" s="5" t="n">
        <f aca="false">-K112*Datos!$B$9</f>
        <v>-5727.94174740373</v>
      </c>
      <c r="L113" s="5" t="n">
        <f aca="false">-L112*Datos!$B$9</f>
        <v>-6610.78543413242</v>
      </c>
    </row>
    <row r="114" customFormat="false" ht="15" hidden="false" customHeight="false" outlineLevel="0" collapsed="false">
      <c r="A114" s="4" t="s">
        <v>534</v>
      </c>
      <c r="B114" s="4" t="s">
        <v>125</v>
      </c>
      <c r="C114" s="32" t="n">
        <f aca="false">C108*(Datos!$B$46/2/12+Datos!$B$45/52)+C37</f>
        <v>1.2693899663572</v>
      </c>
      <c r="D114" s="32" t="n">
        <f aca="false">D108*(Datos!$B$46/2/12+Datos!$B$45/52)+D37</f>
        <v>2.13262554218338</v>
      </c>
      <c r="E114" s="32" t="n">
        <f aca="false">E108*(Datos!$B$46/2/12+Datos!$B$45/52)+E37</f>
        <v>3.88153282248089</v>
      </c>
      <c r="F114" s="32" t="n">
        <f aca="false">F108*(Datos!$B$46/2/12+Datos!$B$45/52)+F37</f>
        <v>7.57552367056366</v>
      </c>
      <c r="G114" s="32" t="n">
        <f aca="false">G108*(Datos!$B$46/2/12+Datos!$B$45/52)+G37</f>
        <v>12.5918648426924</v>
      </c>
      <c r="H114" s="32" t="n">
        <f aca="false">H108*(Datos!$B$46/2/12+Datos!$B$45/52)+H37</f>
        <v>16.3951949685882</v>
      </c>
      <c r="I114" s="32" t="n">
        <f aca="false">I108*(Datos!$B$46/2/12+Datos!$B$45/52)+I37</f>
        <v>21.0612655529912</v>
      </c>
      <c r="J114" s="32" t="n">
        <f aca="false">J108*(Datos!$B$46/2/12+Datos!$B$45/52)+J37</f>
        <v>25.7467427506901</v>
      </c>
      <c r="K114" s="32" t="n">
        <f aca="false">K108*(Datos!$B$46/2/12+Datos!$B$45/52)+K37</f>
        <v>28.6649968906773</v>
      </c>
      <c r="L114" s="32" t="n">
        <f aca="false">L108*(Datos!$B$46/2/12+Datos!$B$45/52)+L37</f>
        <v>32.4355480948509</v>
      </c>
    </row>
    <row r="115" customFormat="false" ht="15" hidden="false" customHeight="false" outlineLevel="0" collapsed="false">
      <c r="A115" s="4" t="s">
        <v>480</v>
      </c>
      <c r="B115" s="4" t="s">
        <v>154</v>
      </c>
      <c r="C115" s="5" t="n">
        <f aca="false">IF(C110=0,0,C114*C111/C110*Datos!$B$7)</f>
        <v>203.055033059418</v>
      </c>
      <c r="D115" s="5" t="n">
        <f aca="false">IF(D110=0,0,D114*D111/D110*Datos!$B$7)</f>
        <v>341.738570503967</v>
      </c>
      <c r="E115" s="5" t="n">
        <f aca="false">IF(E110=0,0,E114*E111/E110*Datos!$B$7)</f>
        <v>622.379775429188</v>
      </c>
      <c r="F115" s="5" t="n">
        <f aca="false">IF(F110=0,0,F114*F111/F110*Datos!$B$7)</f>
        <v>1214.74880344229</v>
      </c>
      <c r="G115" s="5" t="n">
        <f aca="false">IF(G110=0,0,G114*G111/G110*Datos!$B$7)</f>
        <v>2019.25782189266</v>
      </c>
      <c r="H115" s="5" t="n">
        <f aca="false">IF(H110=0,0,H114*H111/H110*Datos!$B$7)</f>
        <v>2629.40874213308</v>
      </c>
      <c r="I115" s="5" t="n">
        <f aca="false">IF(I110=0,0,I114*I111/I110*Datos!$B$7)</f>
        <v>3377.57417456161</v>
      </c>
      <c r="J115" s="5" t="n">
        <f aca="false">IF(J110=0,0,J114*J111/J110*Datos!$B$7)</f>
        <v>4128.8798138182</v>
      </c>
      <c r="K115" s="5" t="n">
        <f aca="false">IF(K110=0,0,K114*K111/K110*Datos!$B$7)</f>
        <v>4596.73463806881</v>
      </c>
      <c r="L115" s="5" t="n">
        <f aca="false">IF(L110=0,0,L114*L111/L110*Datos!$B$7)</f>
        <v>5201.17890338098</v>
      </c>
    </row>
    <row r="116" customFormat="false" ht="15" hidden="false" customHeight="false" outlineLevel="0" collapsed="false">
      <c r="A116" s="4" t="s">
        <v>535</v>
      </c>
      <c r="B116" s="4" t="s">
        <v>484</v>
      </c>
      <c r="C116" s="5" t="n">
        <f aca="false">C40*Datos!$B$41/60</f>
        <v>0.525054710757036</v>
      </c>
      <c r="D116" s="5" t="n">
        <f aca="false">D40*Datos!$B$41/60</f>
        <v>0.91952703527801</v>
      </c>
      <c r="E116" s="5" t="n">
        <f aca="false">E40*Datos!$B$41/60</f>
        <v>1.78266992545758</v>
      </c>
      <c r="F116" s="5" t="n">
        <f aca="false">F40*Datos!$B$41/60</f>
        <v>3.66031940911966</v>
      </c>
      <c r="G116" s="5" t="n">
        <f aca="false">G40*Datos!$B$41/60</f>
        <v>6.28876842829598</v>
      </c>
      <c r="H116" s="5" t="n">
        <f aca="false">H40*Datos!$B$41/60</f>
        <v>8.86281735433888</v>
      </c>
      <c r="I116" s="5" t="n">
        <f aca="false">I40*Datos!$B$41/60</f>
        <v>12.0632063559608</v>
      </c>
      <c r="J116" s="5" t="n">
        <f aca="false">J40*Datos!$B$41/60</f>
        <v>15.33714333675</v>
      </c>
      <c r="K116" s="5" t="n">
        <f aca="false">K40*Datos!$B$41/60</f>
        <v>17.4153512312884</v>
      </c>
      <c r="L116" s="5" t="n">
        <f aca="false">L40*Datos!$B$41/60</f>
        <v>20.155450074562</v>
      </c>
    </row>
    <row r="117" customFormat="false" ht="15" hidden="false" customHeight="false" outlineLevel="0" collapsed="false">
      <c r="A117" s="4" t="s">
        <v>536</v>
      </c>
      <c r="B117" s="4" t="s">
        <v>154</v>
      </c>
      <c r="C117" s="5" t="n">
        <f aca="false">C116*Datos!$B$15</f>
        <v>3.29803872641068</v>
      </c>
      <c r="D117" s="5" t="n">
        <f aca="false">D116*Datos!$B$15</f>
        <v>5.77584718353627</v>
      </c>
      <c r="E117" s="5" t="n">
        <f aca="false">E116*Datos!$B$15</f>
        <v>11.1975272864228</v>
      </c>
      <c r="F117" s="5" t="n">
        <f aca="false">F116*Datos!$B$15</f>
        <v>22.991651945954</v>
      </c>
      <c r="G117" s="5" t="n">
        <f aca="false">G116*Datos!$B$15</f>
        <v>39.501791704801</v>
      </c>
      <c r="H117" s="5" t="n">
        <f aca="false">H116*Datos!$B$15</f>
        <v>55.6702268561117</v>
      </c>
      <c r="I117" s="5" t="n">
        <f aca="false">I116*Datos!$B$15</f>
        <v>75.7729069210317</v>
      </c>
      <c r="J117" s="5" t="n">
        <f aca="false">J116*Datos!$B$15</f>
        <v>96.3375656685035</v>
      </c>
      <c r="K117" s="5" t="n">
        <f aca="false">K116*Datos!$B$15</f>
        <v>109.391462676375</v>
      </c>
      <c r="L117" s="5" t="n">
        <f aca="false">L116*Datos!$B$15</f>
        <v>126.60291114863</v>
      </c>
    </row>
    <row r="118" customFormat="false" ht="15" hidden="false" customHeight="false" outlineLevel="0" collapsed="false">
      <c r="A118" s="4" t="s">
        <v>486</v>
      </c>
      <c r="B118" s="4" t="s">
        <v>154</v>
      </c>
      <c r="C118" s="5" t="n">
        <f aca="false">Datos!$G$112*Datos!$B$8</f>
        <v>450</v>
      </c>
      <c r="D118" s="5" t="n">
        <f aca="false">Datos!$G$112*Datos!$B$8</f>
        <v>450</v>
      </c>
      <c r="E118" s="5" t="n">
        <f aca="false">Datos!$G$112*Datos!$B$8</f>
        <v>450</v>
      </c>
      <c r="F118" s="5" t="n">
        <f aca="false">Datos!$G$112*Datos!$B$8</f>
        <v>450</v>
      </c>
      <c r="G118" s="5" t="n">
        <f aca="false">Datos!$G$112*Datos!$B$8</f>
        <v>450</v>
      </c>
      <c r="H118" s="5" t="n">
        <f aca="false">Datos!$G$112*Datos!$B$8</f>
        <v>450</v>
      </c>
      <c r="I118" s="5" t="n">
        <f aca="false">Datos!$G$112*Datos!$B$8</f>
        <v>450</v>
      </c>
      <c r="J118" s="5" t="n">
        <f aca="false">Datos!$G$112*Datos!$B$8</f>
        <v>450</v>
      </c>
      <c r="K118" s="5" t="n">
        <f aca="false">Datos!$G$112*Datos!$B$8</f>
        <v>450</v>
      </c>
      <c r="L118" s="5" t="n">
        <f aca="false">Datos!$G$112*Datos!$B$8</f>
        <v>450</v>
      </c>
    </row>
    <row r="119" customFormat="false" ht="15" hidden="false" customHeight="false" outlineLevel="0" collapsed="false">
      <c r="A119" s="7" t="s">
        <v>537</v>
      </c>
      <c r="B119" s="4" t="s">
        <v>154</v>
      </c>
      <c r="C119" s="8" t="n">
        <f aca="false">C111+C113+C115+C117+C118</f>
        <v>17445.3886709318</v>
      </c>
      <c r="D119" s="8" t="n">
        <f aca="false">D111+D113+D115+D117+D118</f>
        <v>28961.1792968309</v>
      </c>
      <c r="E119" s="8" t="n">
        <f aca="false">E111+E113+E115+E117+E118</f>
        <v>52096.2547921089</v>
      </c>
      <c r="F119" s="8" t="n">
        <f aca="false">F111+F113+F115+F117+F118</f>
        <v>100865.433983007</v>
      </c>
      <c r="G119" s="8" t="n">
        <f aca="false">G111+G113+G115+G117+G118</f>
        <v>171522.595480513</v>
      </c>
      <c r="H119" s="8" t="n">
        <f aca="false">H111+H113+H115+H117+H118</f>
        <v>239774.887073314</v>
      </c>
      <c r="I119" s="8" t="n">
        <f aca="false">I111+I113+I115+I117+I118</f>
        <v>324996.627793102</v>
      </c>
      <c r="J119" s="8" t="n">
        <f aca="false">J111+J113+J115+J117+J118</f>
        <v>411973.549272195</v>
      </c>
      <c r="K119" s="8" t="n">
        <f aca="false">K111+K113+K115+K117+K118</f>
        <v>467419.0693353</v>
      </c>
      <c r="L119" s="8" t="n">
        <f aca="false">L111+L113+L115+L117+L118</f>
        <v>539391.983464073</v>
      </c>
    </row>
    <row r="121" customFormat="false" ht="15" hidden="false" customHeight="false" outlineLevel="0" collapsed="false">
      <c r="A121" s="11" t="s">
        <v>538</v>
      </c>
    </row>
    <row r="122" customFormat="false" ht="15" hidden="false" customHeight="false" outlineLevel="0" collapsed="false">
      <c r="A122" s="4" t="s">
        <v>539</v>
      </c>
      <c r="B122" s="4" t="s">
        <v>490</v>
      </c>
      <c r="C122" s="5" t="n">
        <f aca="false">C8/Corte!$D$6</f>
        <v>92.8608120666667</v>
      </c>
      <c r="D122" s="5" t="n">
        <f aca="false">D8/Corte!$D$6</f>
        <v>133.273421711111</v>
      </c>
      <c r="E122" s="5" t="n">
        <f aca="false">E8/Corte!$D$6</f>
        <v>322.536616844444</v>
      </c>
      <c r="F122" s="5" t="n">
        <f aca="false">F8/Corte!$D$6</f>
        <v>781.376345533333</v>
      </c>
      <c r="G122" s="5" t="n">
        <f aca="false">G8/Corte!$D$6</f>
        <v>1380.34294911111</v>
      </c>
      <c r="H122" s="5" t="n">
        <f aca="false">H8/Corte!$D$6</f>
        <v>1940.01006822222</v>
      </c>
      <c r="I122" s="5" t="n">
        <f aca="false">I8/Corte!$D$6</f>
        <v>2703.84785022222</v>
      </c>
      <c r="J122" s="5" t="n">
        <f aca="false">J8/Corte!$D$6</f>
        <v>3469.62396622222</v>
      </c>
      <c r="K122" s="5" t="n">
        <f aca="false">K8/Corte!$D$6</f>
        <v>3897.62524755556</v>
      </c>
      <c r="L122" s="5" t="n">
        <f aca="false">L8/Corte!$D$6</f>
        <v>4502.68086955556</v>
      </c>
    </row>
    <row r="123" customFormat="false" ht="15" hidden="false" customHeight="false" outlineLevel="0" collapsed="false">
      <c r="A123" s="4" t="s">
        <v>540</v>
      </c>
      <c r="B123" s="4" t="s">
        <v>490</v>
      </c>
      <c r="C123" s="5" t="n">
        <f aca="false">C9/Corte!$D$7</f>
        <v>11.1863095259259</v>
      </c>
      <c r="D123" s="5" t="n">
        <f aca="false">D9/Corte!$D$7</f>
        <v>26.9365722333333</v>
      </c>
      <c r="E123" s="5" t="n">
        <f aca="false">E9/Corte!$D$7</f>
        <v>48.7921502814815</v>
      </c>
      <c r="F123" s="5" t="n">
        <f aca="false">F9/Corte!$D$7</f>
        <v>96.0251175555555</v>
      </c>
      <c r="G123" s="5" t="n">
        <f aca="false">G9/Corte!$D$7</f>
        <v>159.16250837037</v>
      </c>
      <c r="H123" s="5" t="n">
        <f aca="false">H9/Corte!$D$7</f>
        <v>226.412958777778</v>
      </c>
      <c r="I123" s="5" t="n">
        <f aca="false">I9/Corte!$D$7</f>
        <v>300.639834222222</v>
      </c>
      <c r="J123" s="5" t="n">
        <f aca="false">J9/Corte!$D$7</f>
        <v>380.378762481481</v>
      </c>
      <c r="K123" s="5" t="n">
        <f aca="false">K9/Corte!$D$7</f>
        <v>443.574305296296</v>
      </c>
      <c r="L123" s="5" t="n">
        <f aca="false">L9/Corte!$D$7</f>
        <v>523.532534962963</v>
      </c>
    </row>
    <row r="124" customFormat="false" ht="15" hidden="false" customHeight="false" outlineLevel="0" collapsed="false">
      <c r="A124" s="4" t="s">
        <v>541</v>
      </c>
      <c r="B124" s="4" t="s">
        <v>490</v>
      </c>
      <c r="C124" s="5" t="n">
        <f aca="false">C10/Corte!$D$8</f>
        <v>190.56441875</v>
      </c>
      <c r="D124" s="5" t="n">
        <f aca="false">D10/Corte!$D$8</f>
        <v>328.371573416667</v>
      </c>
      <c r="E124" s="5" t="n">
        <f aca="false">E10/Corte!$D$8</f>
        <v>561.091465916667</v>
      </c>
      <c r="F124" s="5" t="n">
        <f aca="false">F10/Corte!$D$8</f>
        <v>1020.07960941667</v>
      </c>
      <c r="G124" s="5" t="n">
        <f aca="false">G10/Corte!$D$8</f>
        <v>1719.03891166667</v>
      </c>
      <c r="H124" s="5" t="n">
        <f aca="false">H10/Corte!$D$8</f>
        <v>2395.3903425</v>
      </c>
      <c r="I124" s="5" t="n">
        <f aca="false">I10/Corte!$D$8</f>
        <v>3224.95665333333</v>
      </c>
      <c r="J124" s="5" t="n">
        <f aca="false">J10/Corte!$D$8</f>
        <v>4072.66886416667</v>
      </c>
      <c r="K124" s="5" t="n">
        <f aca="false">K10/Corte!$D$8</f>
        <v>4625.7937125</v>
      </c>
      <c r="L124" s="5" t="n">
        <f aca="false">L10/Corte!$D$8</f>
        <v>5323.57822666667</v>
      </c>
    </row>
    <row r="125" customFormat="false" ht="15" hidden="false" customHeight="false" outlineLevel="0" collapsed="false">
      <c r="A125" s="4" t="s">
        <v>542</v>
      </c>
      <c r="B125" s="4" t="s">
        <v>490</v>
      </c>
      <c r="C125" s="5" t="n">
        <f aca="false">C11/Corte!$D$9</f>
        <v>6.322212102</v>
      </c>
      <c r="D125" s="5" t="n">
        <f aca="false">D11/Corte!$D$9</f>
        <v>12.2991531133333</v>
      </c>
      <c r="E125" s="5" t="n">
        <f aca="false">E11/Corte!$D$9</f>
        <v>23.7452519866667</v>
      </c>
      <c r="F125" s="5" t="n">
        <f aca="false">F11/Corte!$D$9</f>
        <v>46.25203294</v>
      </c>
      <c r="G125" s="5" t="n">
        <f aca="false">G11/Corte!$D$9</f>
        <v>80.42654346</v>
      </c>
      <c r="H125" s="5" t="n">
        <f aca="false">H11/Corte!$D$9</f>
        <v>116.203002133333</v>
      </c>
      <c r="I125" s="5" t="n">
        <f aca="false">I11/Corte!$D$9</f>
        <v>155.986703</v>
      </c>
      <c r="J125" s="5" t="n">
        <f aca="false">J11/Corte!$D$9</f>
        <v>197.170987466667</v>
      </c>
      <c r="K125" s="5" t="n">
        <f aca="false">K11/Corte!$D$9</f>
        <v>223.911336933333</v>
      </c>
      <c r="L125" s="5" t="n">
        <f aca="false">L11/Corte!$D$9</f>
        <v>257.8885386</v>
      </c>
    </row>
    <row r="126" customFormat="false" ht="15" hidden="false" customHeight="false" outlineLevel="0" collapsed="false">
      <c r="A126" s="4" t="s">
        <v>543</v>
      </c>
      <c r="B126" s="4" t="s">
        <v>490</v>
      </c>
      <c r="C126" s="5" t="n">
        <f aca="false">C12/Corte!$D$10</f>
        <v>4.00575459555556</v>
      </c>
      <c r="D126" s="5" t="n">
        <f aca="false">D12/Corte!$D$10</f>
        <v>6.51357193888889</v>
      </c>
      <c r="E126" s="5" t="n">
        <f aca="false">E12/Corte!$D$10</f>
        <v>10.0853933311111</v>
      </c>
      <c r="F126" s="5" t="n">
        <f aca="false">F12/Corte!$D$10</f>
        <v>17.1077614333333</v>
      </c>
      <c r="G126" s="5" t="n">
        <f aca="false">G12/Corte!$D$10</f>
        <v>27.9284448333333</v>
      </c>
      <c r="H126" s="5" t="n">
        <f aca="false">H12/Corte!$D$10</f>
        <v>38.8416091888889</v>
      </c>
      <c r="I126" s="5" t="n">
        <f aca="false">I12/Corte!$D$10</f>
        <v>51.7186925777778</v>
      </c>
      <c r="J126" s="5" t="n">
        <f aca="false">J12/Corte!$D$10</f>
        <v>65.3031856333333</v>
      </c>
      <c r="K126" s="5" t="n">
        <f aca="false">K12/Corte!$D$10</f>
        <v>74.6297128444444</v>
      </c>
      <c r="L126" s="5" t="n">
        <f aca="false">L12/Corte!$D$10</f>
        <v>86.3678370222222</v>
      </c>
    </row>
    <row r="127" customFormat="false" ht="15" hidden="false" customHeight="false" outlineLevel="0" collapsed="false">
      <c r="A127" s="4" t="s">
        <v>544</v>
      </c>
      <c r="B127" s="4" t="s">
        <v>490</v>
      </c>
      <c r="C127" s="5" t="n">
        <f aca="false">C13/Corte!$D$11</f>
        <v>12.8189901666667</v>
      </c>
      <c r="D127" s="5" t="n">
        <f aca="false">D13/Corte!$D$11</f>
        <v>21.6294540666667</v>
      </c>
      <c r="E127" s="5" t="n">
        <f aca="false">E13/Corte!$D$11</f>
        <v>33.5831313333333</v>
      </c>
      <c r="F127" s="5" t="n">
        <f aca="false">F13/Corte!$D$11</f>
        <v>56.08761275</v>
      </c>
      <c r="G127" s="5" t="n">
        <f aca="false">G13/Corte!$D$11</f>
        <v>92.3345346166667</v>
      </c>
      <c r="H127" s="5" t="n">
        <f aca="false">H13/Corte!$D$11</f>
        <v>128.355977</v>
      </c>
      <c r="I127" s="5" t="n">
        <f aca="false">I13/Corte!$D$11</f>
        <v>170.725018816667</v>
      </c>
      <c r="J127" s="5" t="n">
        <f aca="false">J13/Corte!$D$11</f>
        <v>215.351179266667</v>
      </c>
      <c r="K127" s="5" t="n">
        <f aca="false">K13/Corte!$D$11</f>
        <v>246.610052383333</v>
      </c>
      <c r="L127" s="5" t="n">
        <f aca="false">L13/Corte!$D$11</f>
        <v>284.905862183333</v>
      </c>
    </row>
    <row r="128" customFormat="false" ht="15" hidden="false" customHeight="false" outlineLevel="0" collapsed="false">
      <c r="A128" s="4" t="s">
        <v>545</v>
      </c>
      <c r="B128" s="4" t="s">
        <v>490</v>
      </c>
      <c r="C128" s="5" t="n">
        <f aca="false">C48</f>
        <v>0</v>
      </c>
      <c r="D128" s="5" t="n">
        <f aca="false">D48</f>
        <v>0</v>
      </c>
      <c r="E128" s="5" t="n">
        <f aca="false">E48</f>
        <v>0</v>
      </c>
      <c r="F128" s="5" t="n">
        <f aca="false">F48</f>
        <v>0</v>
      </c>
      <c r="G128" s="5" t="n">
        <f aca="false">G48</f>
        <v>0</v>
      </c>
      <c r="H128" s="5" t="n">
        <f aca="false">H48</f>
        <v>0</v>
      </c>
      <c r="I128" s="5" t="n">
        <f aca="false">I48</f>
        <v>0</v>
      </c>
      <c r="J128" s="5" t="n">
        <f aca="false">J48</f>
        <v>0</v>
      </c>
      <c r="K128" s="5" t="n">
        <f aca="false">K48</f>
        <v>0</v>
      </c>
      <c r="L128" s="5" t="n">
        <f aca="false">L48</f>
        <v>0</v>
      </c>
    </row>
    <row r="129" customFormat="false" ht="15" hidden="false" customHeight="false" outlineLevel="0" collapsed="false">
      <c r="A129" s="4" t="s">
        <v>546</v>
      </c>
      <c r="B129" s="4" t="s">
        <v>490</v>
      </c>
      <c r="C129" s="5" t="n">
        <f aca="false">C49</f>
        <v>2.26053998555556</v>
      </c>
      <c r="D129" s="5" t="n">
        <f aca="false">D49</f>
        <v>3.15353675444444</v>
      </c>
      <c r="E129" s="5" t="n">
        <f aca="false">E49</f>
        <v>4.80223324222222</v>
      </c>
      <c r="F129" s="5" t="n">
        <f aca="false">F49</f>
        <v>7.90825882333333</v>
      </c>
      <c r="G129" s="5" t="n">
        <f aca="false">G49</f>
        <v>13.2956090766667</v>
      </c>
      <c r="H129" s="5" t="n">
        <f aca="false">H49</f>
        <v>18.6720613011111</v>
      </c>
      <c r="I129" s="5" t="n">
        <f aca="false">I49</f>
        <v>24.7156391033333</v>
      </c>
      <c r="J129" s="5" t="n">
        <f aca="false">J49</f>
        <v>30.8763735444444</v>
      </c>
      <c r="K129" s="5" t="n">
        <f aca="false">K49</f>
        <v>35.3401288333333</v>
      </c>
      <c r="L129" s="5" t="n">
        <f aca="false">L49</f>
        <v>40.9122062</v>
      </c>
    </row>
    <row r="130" customFormat="false" ht="15" hidden="false" customHeight="false" outlineLevel="0" collapsed="false">
      <c r="A130" s="4" t="s">
        <v>489</v>
      </c>
      <c r="B130" s="4" t="s">
        <v>490</v>
      </c>
      <c r="C130" s="5" t="n">
        <f aca="false">C47</f>
        <v>6.11495328333333</v>
      </c>
      <c r="D130" s="5" t="n">
        <f aca="false">D47</f>
        <v>9.40727692666667</v>
      </c>
      <c r="E130" s="5" t="n">
        <f aca="false">E47</f>
        <v>14.4200330633333</v>
      </c>
      <c r="F130" s="5" t="n">
        <f aca="false">F47</f>
        <v>24.60477647</v>
      </c>
      <c r="G130" s="5" t="n">
        <f aca="false">G47</f>
        <v>40.75349389</v>
      </c>
      <c r="H130" s="5" t="n">
        <f aca="false">H47</f>
        <v>55.8428505666667</v>
      </c>
      <c r="I130" s="5" t="n">
        <f aca="false">I47</f>
        <v>74.8269173</v>
      </c>
      <c r="J130" s="5" t="n">
        <f aca="false">J47</f>
        <v>93.8824539666667</v>
      </c>
      <c r="K130" s="5" t="n">
        <f aca="false">K47</f>
        <v>107.9403865</v>
      </c>
      <c r="L130" s="5" t="n">
        <f aca="false">L47</f>
        <v>124.709952</v>
      </c>
    </row>
    <row r="131" customFormat="false" ht="15" hidden="false" customHeight="false" outlineLevel="0" collapsed="false">
      <c r="A131" s="4" t="s">
        <v>547</v>
      </c>
      <c r="B131" s="4" t="s">
        <v>482</v>
      </c>
      <c r="C131" s="32" t="n">
        <f aca="false">C16*Corte!$I$31/1000/Corte!$K$31</f>
        <v>0.250082721253373</v>
      </c>
      <c r="D131" s="32" t="n">
        <f aca="false">D16*Corte!$I$31/1000/Corte!$K$31</f>
        <v>0.358917601844093</v>
      </c>
      <c r="E131" s="32" t="n">
        <f aca="false">E16*Corte!$I$31/1000/Corte!$K$31</f>
        <v>0.868620821304116</v>
      </c>
      <c r="F131" s="32" t="n">
        <f aca="false">F16*Corte!$I$31/1000/Corte!$K$31</f>
        <v>2.10431847907709</v>
      </c>
      <c r="G131" s="32" t="n">
        <f aca="false">G16*Corte!$I$31/1000/Corte!$K$31</f>
        <v>3.71739071944349</v>
      </c>
      <c r="H131" s="32" t="n">
        <f aca="false">H16*Corte!$I$31/1000/Corte!$K$31</f>
        <v>5.22462582786425</v>
      </c>
      <c r="I131" s="32" t="n">
        <f aca="false">I16*Corte!$I$31/1000/Corte!$K$31</f>
        <v>7.28171133968986</v>
      </c>
      <c r="J131" s="32" t="n">
        <f aca="false">J16*Corte!$I$31/1000/Corte!$K$31</f>
        <v>9.34401696353721</v>
      </c>
      <c r="K131" s="32" t="n">
        <f aca="false">K16*Corte!$I$31/1000/Corte!$K$31</f>
        <v>10.4966638417373</v>
      </c>
      <c r="L131" s="32" t="n">
        <f aca="false">L16*Corte!$I$31/1000/Corte!$K$31</f>
        <v>12.1261343696364</v>
      </c>
    </row>
    <row r="132" customFormat="false" ht="15" hidden="false" customHeight="false" outlineLevel="0" collapsed="false">
      <c r="A132" s="4" t="s">
        <v>548</v>
      </c>
      <c r="B132" s="4" t="s">
        <v>482</v>
      </c>
      <c r="C132" s="32" t="n">
        <f aca="false">C17*Corte!$I$32/1000/Corte!$K$32</f>
        <v>0.402739535219332</v>
      </c>
      <c r="D132" s="32" t="n">
        <f aca="false">D17*Corte!$I$32/1000/Corte!$K$32</f>
        <v>0.578009977755622</v>
      </c>
      <c r="E132" s="32" t="n">
        <f aca="false">E17*Corte!$I$32/1000/Corte!$K$32</f>
        <v>1.39884892526991</v>
      </c>
      <c r="F132" s="32" t="n">
        <f aca="false">F17*Corte!$I$32/1000/Corte!$K$32</f>
        <v>3.38884766596217</v>
      </c>
      <c r="G132" s="32" t="n">
        <f aca="false">G17*Corte!$I$32/1000/Corte!$K$32</f>
        <v>5.98657997271428</v>
      </c>
      <c r="H132" s="32" t="n">
        <f aca="false">H17*Corte!$I$32/1000/Corte!$K$32</f>
        <v>8.41386948711711</v>
      </c>
      <c r="I132" s="32" t="n">
        <f aca="false">I17*Corte!$I$32/1000/Corte!$K$32</f>
        <v>11.7266519887906</v>
      </c>
      <c r="J132" s="32" t="n">
        <f aca="false">J17*Corte!$I$32/1000/Corte!$K$32</f>
        <v>15.0478410908038</v>
      </c>
      <c r="K132" s="32" t="n">
        <f aca="false">K17*Corte!$I$32/1000/Corte!$K$32</f>
        <v>16.9040927569395</v>
      </c>
      <c r="L132" s="32" t="n">
        <f aca="false">L17*Corte!$I$32/1000/Corte!$K$32</f>
        <v>19.5282332804058</v>
      </c>
    </row>
    <row r="133" customFormat="false" ht="15" hidden="false" customHeight="false" outlineLevel="0" collapsed="false">
      <c r="A133" s="4" t="s">
        <v>549</v>
      </c>
      <c r="B133" s="4" t="s">
        <v>482</v>
      </c>
      <c r="C133" s="32" t="n">
        <f aca="false">C18*Corte!$I$33/1000/Corte!$K$33</f>
        <v>0.153348267420575</v>
      </c>
      <c r="D133" s="32" t="n">
        <f aca="false">D18*Corte!$I$33/1000/Corte!$K$33</f>
        <v>0.369261790285472</v>
      </c>
      <c r="E133" s="32" t="n">
        <f aca="false">E18*Corte!$I$33/1000/Corte!$K$33</f>
        <v>0.668870434172095</v>
      </c>
      <c r="F133" s="32" t="n">
        <f aca="false">F18*Corte!$I$33/1000/Corte!$K$33</f>
        <v>1.31636670448582</v>
      </c>
      <c r="G133" s="32" t="n">
        <f aca="false">G18*Corte!$I$33/1000/Corte!$K$33</f>
        <v>2.18188982169156</v>
      </c>
      <c r="H133" s="32" t="n">
        <f aca="false">H18*Corte!$I$33/1000/Corte!$K$33</f>
        <v>3.1037970896183</v>
      </c>
      <c r="I133" s="32" t="n">
        <f aca="false">I18*Corte!$I$33/1000/Corte!$K$33</f>
        <v>4.12134114372011</v>
      </c>
      <c r="J133" s="32" t="n">
        <f aca="false">J18*Corte!$I$33/1000/Corte!$K$33</f>
        <v>5.21444754008713</v>
      </c>
      <c r="K133" s="32" t="n">
        <f aca="false">K18*Corte!$I$33/1000/Corte!$K$33</f>
        <v>6.08076783784882</v>
      </c>
      <c r="L133" s="32" t="n">
        <f aca="false">L18*Corte!$I$33/1000/Corte!$K$33</f>
        <v>7.17688054213097</v>
      </c>
    </row>
    <row r="134" customFormat="false" ht="15" hidden="false" customHeight="false" outlineLevel="0" collapsed="false">
      <c r="A134" s="4" t="s">
        <v>550</v>
      </c>
      <c r="B134" s="4" t="s">
        <v>482</v>
      </c>
      <c r="C134" s="32" t="n">
        <f aca="false">C19*Corte!$I$34/1000/Corte!$K$34</f>
        <v>0.124251178839693</v>
      </c>
      <c r="D134" s="32" t="n">
        <f aca="false">D19*Corte!$I$34/1000/Corte!$K$34</f>
        <v>0.299196159925244</v>
      </c>
      <c r="E134" s="32" t="n">
        <f aca="false">E19*Corte!$I$34/1000/Corte!$K$34</f>
        <v>0.541955519516678</v>
      </c>
      <c r="F134" s="32" t="n">
        <f aca="false">F19*Corte!$I$34/1000/Corte!$K$34</f>
        <v>1.06659251890407</v>
      </c>
      <c r="G134" s="32" t="n">
        <f aca="false">G19*Corte!$I$34/1000/Corte!$K$34</f>
        <v>1.7678868304392</v>
      </c>
      <c r="H134" s="32" t="n">
        <f aca="false">H19*Corte!$I$34/1000/Corte!$K$34</f>
        <v>2.51486667408241</v>
      </c>
      <c r="I134" s="32" t="n">
        <f aca="false">I19*Corte!$I$34/1000/Corte!$K$34</f>
        <v>3.3393366884499</v>
      </c>
      <c r="J134" s="32" t="n">
        <f aca="false">J19*Corte!$I$34/1000/Corte!$K$34</f>
        <v>4.22503145781635</v>
      </c>
      <c r="K134" s="32" t="n">
        <f aca="false">K19*Corte!$I$34/1000/Corte!$K$34</f>
        <v>4.92697168877068</v>
      </c>
      <c r="L134" s="32" t="n">
        <f aca="false">L19*Corte!$I$34/1000/Corte!$K$34</f>
        <v>5.81510233373385</v>
      </c>
    </row>
    <row r="135" customFormat="false" ht="15" hidden="false" customHeight="false" outlineLevel="0" collapsed="false">
      <c r="A135" s="4" t="s">
        <v>551</v>
      </c>
      <c r="B135" s="4" t="s">
        <v>482</v>
      </c>
      <c r="C135" s="32" t="n">
        <f aca="false">C20*Corte!$I$35/1000/Corte!$K$35</f>
        <v>0.471341389662887</v>
      </c>
      <c r="D135" s="32" t="n">
        <f aca="false">D20*Corte!$I$35/1000/Corte!$K$35</f>
        <v>0.812193140541355</v>
      </c>
      <c r="E135" s="32" t="n">
        <f aca="false">E20*Corte!$I$35/1000/Corte!$K$35</f>
        <v>1.38780173658808</v>
      </c>
      <c r="F135" s="32" t="n">
        <f aca="false">F20*Corte!$I$35/1000/Corte!$K$35</f>
        <v>2.52306146038727</v>
      </c>
      <c r="G135" s="32" t="n">
        <f aca="false">G20*Corte!$I$35/1000/Corte!$K$35</f>
        <v>4.25186503768318</v>
      </c>
      <c r="H135" s="32" t="n">
        <f aca="false">H20*Corte!$I$35/1000/Corte!$K$35</f>
        <v>5.92475038218019</v>
      </c>
      <c r="I135" s="32" t="n">
        <f aca="false">I20*Corte!$I$35/1000/Corte!$K$35</f>
        <v>7.97659689335214</v>
      </c>
      <c r="J135" s="32" t="n">
        <f aca="false">J20*Corte!$I$35/1000/Corte!$K$35</f>
        <v>10.0733254122923</v>
      </c>
      <c r="K135" s="32" t="n">
        <f aca="false">K20*Corte!$I$35/1000/Corte!$K$35</f>
        <v>11.4414225438588</v>
      </c>
      <c r="L135" s="32" t="n">
        <f aca="false">L20*Corte!$I$35/1000/Corte!$K$35</f>
        <v>13.1673204042775</v>
      </c>
    </row>
    <row r="136" customFormat="false" ht="15" hidden="false" customHeight="false" outlineLevel="0" collapsed="false">
      <c r="A136" s="4" t="s">
        <v>552</v>
      </c>
      <c r="B136" s="4" t="s">
        <v>482</v>
      </c>
      <c r="C136" s="32" t="n">
        <f aca="false">C21*Corte!$I$36/1000/Corte!$K$36</f>
        <v>0.442044181282849</v>
      </c>
      <c r="D136" s="32" t="n">
        <f aca="false">D21*Corte!$I$36/1000/Corte!$K$36</f>
        <v>0.761709579782356</v>
      </c>
      <c r="E136" s="32" t="n">
        <f aca="false">E21*Corte!$I$36/1000/Corte!$K$36</f>
        <v>1.30154002149431</v>
      </c>
      <c r="F136" s="32" t="n">
        <f aca="false">F21*Corte!$I$36/1000/Corte!$K$36</f>
        <v>2.3662353063899</v>
      </c>
      <c r="G136" s="32" t="n">
        <f aca="false">G21*Corte!$I$36/1000/Corte!$K$36</f>
        <v>3.98758148706631</v>
      </c>
      <c r="H136" s="32" t="n">
        <f aca="false">H21*Corte!$I$36/1000/Corte!$K$36</f>
        <v>5.55648514947786</v>
      </c>
      <c r="I136" s="32" t="n">
        <f aca="false">I21*Corte!$I$36/1000/Corte!$K$36</f>
        <v>7.48079485586241</v>
      </c>
      <c r="J136" s="32" t="n">
        <f aca="false">J21*Corte!$I$36/1000/Corte!$K$36</f>
        <v>9.44719683509493</v>
      </c>
      <c r="K136" s="32" t="n">
        <f aca="false">K21*Corte!$I$36/1000/Corte!$K$36</f>
        <v>10.730257032442</v>
      </c>
      <c r="L136" s="32" t="n">
        <f aca="false">L21*Corte!$I$36/1000/Corte!$K$36</f>
        <v>12.3488781071418</v>
      </c>
    </row>
    <row r="137" customFormat="false" ht="15" hidden="false" customHeight="false" outlineLevel="0" collapsed="false">
      <c r="A137" s="4" t="s">
        <v>553</v>
      </c>
      <c r="B137" s="4" t="s">
        <v>482</v>
      </c>
      <c r="C137" s="32" t="n">
        <f aca="false">C22*Corte!$I$37/1000/Corte!$K$37</f>
        <v>0.134012278612294</v>
      </c>
      <c r="D137" s="32" t="n">
        <f aca="false">D22*Corte!$I$37/1000/Corte!$K$37</f>
        <v>0.260705826873141</v>
      </c>
      <c r="E137" s="32" t="n">
        <f aca="false">E22*Corte!$I$37/1000/Corte!$K$37</f>
        <v>0.503329415972875</v>
      </c>
      <c r="F137" s="32" t="n">
        <f aca="false">F22*Corte!$I$37/1000/Corte!$K$37</f>
        <v>0.980406893147332</v>
      </c>
      <c r="G137" s="32" t="n">
        <f aca="false">G22*Corte!$I$37/1000/Corte!$K$37</f>
        <v>1.70480587745161</v>
      </c>
      <c r="H137" s="32" t="n">
        <f aca="false">H22*Corte!$I$37/1000/Corte!$K$37</f>
        <v>2.46316144511364</v>
      </c>
      <c r="I137" s="32" t="n">
        <f aca="false">I22*Corte!$I$37/1000/Corte!$K$37</f>
        <v>3.30645874655744</v>
      </c>
      <c r="J137" s="32" t="n">
        <f aca="false">J22*Corte!$I$37/1000/Corte!$K$37</f>
        <v>4.1794442958162</v>
      </c>
      <c r="K137" s="32" t="n">
        <f aca="false">K22*Corte!$I$37/1000/Corte!$K$37</f>
        <v>4.74626095825994</v>
      </c>
      <c r="L137" s="32" t="n">
        <f aca="false">L22*Corte!$I$37/1000/Corte!$K$37</f>
        <v>5.46647757591802</v>
      </c>
    </row>
    <row r="138" customFormat="false" ht="15" hidden="false" customHeight="false" outlineLevel="0" collapsed="false">
      <c r="A138" s="4" t="s">
        <v>554</v>
      </c>
      <c r="B138" s="4" t="s">
        <v>482</v>
      </c>
      <c r="C138" s="32" t="n">
        <f aca="false">C23*Corte!$I$38/1000/Corte!$K$38</f>
        <v>0.12239929073714</v>
      </c>
      <c r="D138" s="32" t="n">
        <f aca="false">D23*Corte!$I$38/1000/Corte!$K$38</f>
        <v>0.238114064104756</v>
      </c>
      <c r="E138" s="32" t="n">
        <f aca="false">E23*Corte!$I$38/1000/Corte!$K$38</f>
        <v>0.459712827512264</v>
      </c>
      <c r="F138" s="32" t="n">
        <f aca="false">F23*Corte!$I$38/1000/Corte!$K$38</f>
        <v>0.895448608124988</v>
      </c>
      <c r="G138" s="32" t="n">
        <f aca="false">G23*Corte!$I$38/1000/Corte!$K$38</f>
        <v>1.55707396669429</v>
      </c>
      <c r="H138" s="32" t="n">
        <f aca="false">H23*Corte!$I$38/1000/Corte!$K$38</f>
        <v>2.24971336190176</v>
      </c>
      <c r="I138" s="32" t="n">
        <f aca="false">I23*Corte!$I$38/1000/Corte!$K$38</f>
        <v>3.0199337674206</v>
      </c>
      <c r="J138" s="32" t="n">
        <f aca="false">J23*Corte!$I$38/1000/Corte!$K$38</f>
        <v>3.81726975155216</v>
      </c>
      <c r="K138" s="32" t="n">
        <f aca="false">K23*Corte!$I$38/1000/Corte!$K$38</f>
        <v>4.33496826529672</v>
      </c>
      <c r="L138" s="32" t="n">
        <f aca="false">L23*Corte!$I$38/1000/Corte!$K$38</f>
        <v>4.99277368500372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2026-10-20T11:49:28Z</dcterms:created>
  <dc:creator>openpyxl</dc:creator>
  <dc:description/>
  <dc:language>en-US</dc:language>
  <cp:lastModifiedBy/>
  <dcterms:modified xsi:type="dcterms:W3CDTF">2026-10-20T11:49:32Z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