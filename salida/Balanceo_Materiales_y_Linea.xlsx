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inks" sheetId="1" state="visible" r:id="rId3"/>
    <sheet name="Resumen" sheetId="2" state="visible" r:id="rId4"/>
    <sheet name="Esquema materiales" sheetId="3" state="visible" r:id="rId5"/>
    <sheet name="Esquema linea" sheetId="4" state="visible" r:id="rId6"/>
    <sheet name="Materiales" sheetId="5" state="visible" r:id="rId7"/>
    <sheet name="MP_detalle" sheetId="6" state="visible" r:id="rId8"/>
    <sheet name="Line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<sst xmlns="http://schemas.openxmlformats.org/spreadsheetml/2006/main" count="1221" uniqueCount="411">
  <si>
    <t xml:space="preserve">Links e IMPORTRANGE</t>
  </si>
  <si>
    <t xml:space="preserve">Pegar en B el link de cada Google Sheet. La primera vez, tocar la primera celda de cada bloque y «Permitir acceso». Todos los IMPORTRANGE del libro están en esta hoja; las demás la leen.</t>
  </si>
  <si>
    <t xml:space="preserve">Archivo</t>
  </si>
  <si>
    <t xml:space="preserve">Link</t>
  </si>
  <si>
    <t xml:space="preserve">Qué se importa</t>
  </si>
  <si>
    <t xml:space="preserve">Estado</t>
  </si>
  <si>
    <t xml:space="preserve">MRP (FLAMA_MRP)</t>
  </si>
  <si>
    <t xml:space="preserve">PEGAR ACÁ EL LINK DEL GOOGLE SHEET</t>
  </si>
  <si>
    <t xml:space="preserve">DEMANDA, MANUALES, RODANTES, RECARGAS, REVENDIDOS y POLITICA_STOCK</t>
  </si>
  <si>
    <t xml:space="preserve">Aprovechamiento Manuales</t>
  </si>
  <si>
    <t xml:space="preserve">datos_base, parametros, Plan mensual, Demanda puesto y Resumen cap. con sobrestock</t>
  </si>
  <si>
    <t xml:space="preserve">Aprovechamiento Carros</t>
  </si>
  <si>
    <t xml:space="preserve">datos_base, parametros, Plan mensual, Demanda por puesto y Resumen Capacidad</t>
  </si>
  <si>
    <t xml:space="preserve">Aprovechamiento Recargas Planta Industrial</t>
  </si>
  <si>
    <t xml:space="preserve">Análisis alternativas corte chapa</t>
  </si>
  <si>
    <t xml:space="preserve">Corte (hojas y piezas por hoja) y Piezas (masas y discos)</t>
  </si>
  <si>
    <t xml:space="preserve">MRP (FLAMA_MRP) · DEMANDA!C4:M50: demanda por producto (D01 a D47)</t>
  </si>
  <si>
    <t xml:space="preserve">MRP (FLAMA_MRP) · MANUALES!B16:W75: consumo por unidad y compra por año</t>
  </si>
  <si>
    <t xml:space="preserve">MRP (FLAMA_MRP) · RODANTES!B16:W72: consumo por unidad y compra por año</t>
  </si>
  <si>
    <t xml:space="preserve">MRP (FLAMA_MRP) · RECARGAS!B16:AG37: consumo por unidad y compra por año</t>
  </si>
  <si>
    <t xml:space="preserve">MRP (FLAMA_MRP) · REVENDIDOS!B16:X25: consumo por unidad y compra por año</t>
  </si>
  <si>
    <t xml:space="preserve">MRP (FLAMA_MRP) · POLITICA_STOCK!B5:B129: código</t>
  </si>
  <si>
    <t xml:space="preserve">MRP (FLAMA_MRP) · POLITICA_STOCK!O5:P129: unidad de compra y contenido</t>
  </si>
  <si>
    <t xml:space="preserve">Aprovechamiento Manuales · datos_base!B2:K29: producción y proyecciones</t>
  </si>
  <si>
    <t xml:space="preserve">Aprovechamiento Manuales · Plan mensual!D1:P109: plan mensual por año (11 filas por año)</t>
  </si>
  <si>
    <t xml:space="preserve">Aprovechamiento Manuales · parametros_manuales!K19:K44: tiempo tipo (s/u)</t>
  </si>
  <si>
    <t xml:space="preserve">Aprovechamiento Manuales · parametros_manuales!B7:B7: horas productivas por mes (1 turno)</t>
  </si>
  <si>
    <t xml:space="preserve">Aprovechamiento Manuales · Demanda puesto con sobrestock!N1:N279: unidades por puesto y año (28 filas por año)</t>
  </si>
  <si>
    <t xml:space="preserve">Aprovechamiento Manuales · Resumen cap. con sobrestock!B2:K85: aprovechamiento, máquinas y turnos</t>
  </si>
  <si>
    <t xml:space="preserve">Aprovechamiento Carros · datos_base!B2:K12: proyección de carros y cilindros</t>
  </si>
  <si>
    <t xml:space="preserve">Aprovechamiento Carros · Plan mensual!D1:P109: plan mensual por año (11 filas por año)</t>
  </si>
  <si>
    <t xml:space="preserve">Aprovechamiento Carros · parametros_carros!I19:I36: tiempo ponderado (min/u)</t>
  </si>
  <si>
    <t xml:space="preserve">Aprovechamiento Carros · parametros_carros!B7:B7: horas productivas por mes (1 turno)</t>
  </si>
  <si>
    <t xml:space="preserve">Aprovechamiento Carros · Demanda por puesto!N1:N199: horas por puesto y año (20 filas)</t>
  </si>
  <si>
    <t xml:space="preserve">Aprovechamiento Carros · Resumen Capacidad!B2:K61: aprovechamiento, máquinas y turnos</t>
  </si>
  <si>
    <t xml:space="preserve">Aprovechamiento Recargas Planta Industrial · datos_base!B2:K18: recargas por tipo</t>
  </si>
  <si>
    <t xml:space="preserve">Aprovechamiento Recargas Planta Industrial · Plan mensual!D1:P318: plan mensual por año (32 filas por año)</t>
  </si>
  <si>
    <t xml:space="preserve">Aprovechamiento Recargas Planta Industrial · parametros_recargas!N76:N98: tiempo tipo (s/u)</t>
  </si>
  <si>
    <t xml:space="preserve">Aprovechamiento Recargas Planta Industrial · parametros_recargas!B6:B6: horas productivas por mes (1 turno)</t>
  </si>
  <si>
    <t xml:space="preserve">Aprovechamiento Recargas Planta Industrial · Demanda por puesto!N1:N312: unidades por puesto y año (32 filas)</t>
  </si>
  <si>
    <t xml:space="preserve">Aprovechamiento Recargas Planta Industrial · Resumen Capacidad!B2:K88: aprovechamiento, máquinas y turnos</t>
  </si>
  <si>
    <t xml:space="preserve">Análisis alternativas corte chapa · Corte!B6:J14: hojas, franjas, piezas por hoja, aprovech.</t>
  </si>
  <si>
    <t xml:space="preserve">Análisis alternativas corte chapa · Piezas!D6:H13: cuerpos: Ø, espesor, alto, desarrollo, masa</t>
  </si>
  <si>
    <t xml:space="preserve">Análisis alternativas corte chapa · Piezas!D18:L25: discos: espesor ... D0 adoptado</t>
  </si>
  <si>
    <t xml:space="preserve">BALANCEO DE MATERIALES Y DE LÍNEA — planta industrial FLAMA</t>
  </si>
  <si>
    <t xml:space="preserve">Elegí el año en C3. Todo sale de las hojas que llegan por IMPORTRANGE (hoja Links).</t>
  </si>
  <si>
    <t xml:space="preserve">Año</t>
  </si>
  <si>
    <t xml:space="preserve">1) Producción contra demanda y contra lo que compra el MRP (año elegido)</t>
  </si>
  <si>
    <t xml:space="preserve">Línea</t>
  </si>
  <si>
    <t xml:space="preserve">Producto</t>
  </si>
  <si>
    <t xml:space="preserve">Demanda (Proyecciones)</t>
  </si>
  <si>
    <t xml:space="preserve">Producción (Aprovechamiento)</t>
  </si>
  <si>
    <t xml:space="preserve">Sobrestock (u)</t>
  </si>
  <si>
    <t xml:space="preserve">Sobrestock (%)</t>
  </si>
  <si>
    <t xml:space="preserve">¿Producción ≥ demanda?</t>
  </si>
  <si>
    <t xml:space="preserve">El MRP compra para (u)</t>
  </si>
  <si>
    <t xml:space="preserve">¿El MRP cubre la producción?</t>
  </si>
  <si>
    <t xml:space="preserve">MRP − producción (u)</t>
  </si>
  <si>
    <t xml:space="preserve">MANUALES</t>
  </si>
  <si>
    <t xml:space="preserve">Matafuego ABC 1 kg</t>
  </si>
  <si>
    <t xml:space="preserve">Matafuego ABC 2,5 kg</t>
  </si>
  <si>
    <t xml:space="preserve">Matafuego ABC 5 kg</t>
  </si>
  <si>
    <t xml:space="preserve">Matafuego ABC 10 kg</t>
  </si>
  <si>
    <t xml:space="preserve">Cilindro ABC 1 kg vacío</t>
  </si>
  <si>
    <t xml:space="preserve">Cilindro ABC 2,5 kg vacío</t>
  </si>
  <si>
    <t xml:space="preserve">Cilindro ABC 5 kg vacío</t>
  </si>
  <si>
    <t xml:space="preserve">Cilindro ABC 10 kg vacío</t>
  </si>
  <si>
    <t xml:space="preserve">RODANTES</t>
  </si>
  <si>
    <t xml:space="preserve">Carro ABC 25 kg</t>
  </si>
  <si>
    <t xml:space="preserve">Carro ABC 50 kg</t>
  </si>
  <si>
    <t xml:space="preserve">Carro ABC 70 kg</t>
  </si>
  <si>
    <t xml:space="preserve">Carro ABC 100 kg</t>
  </si>
  <si>
    <t xml:space="preserve">Cilindro ABC 25 kg vacío</t>
  </si>
  <si>
    <t xml:space="preserve">Cilindro ABC 50 kg vacío</t>
  </si>
  <si>
    <t xml:space="preserve">Cilindro ABC 70 kg vacío</t>
  </si>
  <si>
    <t xml:space="preserve">Cilindro ABC 100 kg vacío</t>
  </si>
  <si>
    <t xml:space="preserve">RECARGAS</t>
  </si>
  <si>
    <t xml:space="preserve">Recarga ABC 1 kg</t>
  </si>
  <si>
    <t xml:space="preserve">Recarga ABC 2,5 kg</t>
  </si>
  <si>
    <t xml:space="preserve">Recarga ABC 5 kg</t>
  </si>
  <si>
    <t xml:space="preserve">Recarga ABC 10 kg</t>
  </si>
  <si>
    <t xml:space="preserve">Recarga Agua 10 l</t>
  </si>
  <si>
    <t xml:space="preserve">Recarga AFFF 10 l</t>
  </si>
  <si>
    <t xml:space="preserve">Recarga AFFF 50 l s/ruedas</t>
  </si>
  <si>
    <t xml:space="preserve">Recarga BC 5 kg</t>
  </si>
  <si>
    <t xml:space="preserve">Recarga Sales K 6 l</t>
  </si>
  <si>
    <t xml:space="preserve">Recarga CO₂ 2 kg</t>
  </si>
  <si>
    <t xml:space="preserve">Recarga CO₂ 5 kg</t>
  </si>
  <si>
    <t xml:space="preserve">Recarga HCFC/HFC 5 kg</t>
  </si>
  <si>
    <t xml:space="preserve">Recarga Clase D 9 l</t>
  </si>
  <si>
    <t xml:space="preserve">Recarga ABC 25 kg s/ruedas</t>
  </si>
  <si>
    <t xml:space="preserve">Recarga ABC 50 kg s/ruedas</t>
  </si>
  <si>
    <t xml:space="preserve">Recarga ABC 70 kg s/ruedas</t>
  </si>
  <si>
    <t xml:space="preserve">Recarga ABC 100 kg s/ruedas</t>
  </si>
  <si>
    <t xml:space="preserve">Totales por línea (año elegido)</t>
  </si>
  <si>
    <t xml:space="preserve">Demanda</t>
  </si>
  <si>
    <t xml:space="preserve">Producción</t>
  </si>
  <si>
    <t xml:space="preserve">Productos con producción &lt; demanda</t>
  </si>
  <si>
    <t xml:space="preserve">MRP compra para</t>
  </si>
  <si>
    <t xml:space="preserve">Productos que el MRP no cubre</t>
  </si>
  <si>
    <t xml:space="preserve">MRP − producción</t>
  </si>
  <si>
    <t xml:space="preserve">2) Todos los años: sobrestock y checks por línea</t>
  </si>
  <si>
    <t xml:space="preserve">Indicador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</si>
  <si>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</si>
  <si>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</si>
  <si>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</si>
  <si>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</si>
  <si>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</si>
  <si>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</si>
  <si>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</si>
  <si>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</si>
  <si>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</si>
  <si>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</si>
  <si>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Producción (u)</t>
  </si>
  <si>
    <t xml:space="preserve">Demanda (u)</t>
  </si>
  <si>
    <t xml:space="preserve">Demanda = Proyecciones (manuales y carros: datos_base de cada Aprovechamiento; recargas: Proyecciones × parte de la planta industrial). Producción = Plan mensual de cada Aprovechamiento (incluye sustitutos). MRP = DEMANDA del MRP, con la que compra la materia prima.</t>
  </si>
  <si>
    <t xml:space="preserve">Revendidos no se fabrican: la compra del MRP es el producto terminado (hoja Materiales).</t>
  </si>
  <si>
    <t xml:space="preserve">ESQUEMA DEL BALANCE DE MATERIALES (año elegido en Resumen) — los números salen de la hoja Materiales</t>
  </si>
  <si>
    <t xml:space="preserve">Azul: materia prima · amarillo: semielaborados · verde: producto terminado · rojo: scrap, desechos y mermas · gris: checks. Editable: los textos son fórmulas.</t>
  </si>
  <si>
    <t xml:space="preserve">LÍNEA DE MANUALES</t>
  </si>
  <si>
    <t xml:space="preserve">➜</t>
  </si>
  <si>
    <t xml:space="preserve">▼</t>
  </si>
  <si>
    <t xml:space="preserve">LÍNEA DE CARROS</t>
  </si>
  <si>
    <t xml:space="preserve">LÍNEA DE RECARGAS</t>
  </si>
  <si>
    <t xml:space="preserve">REVENDIDOS</t>
  </si>
  <si>
    <t xml:space="preserve">ESQUEMA DEL BALANCEO DE LÍNEA (año elegido en Resumen) — cada caja es un puesto, en orden de proceso</t>
  </si>
  <si>
    <t xml:space="preserve">Color por aprovechamiento: verde &lt; 75 % · amarillo 75 a 90 % · rojo ≥ 90 % (umbral). El borde grueso marca el cuello de botella. Los números salen de la hoja Linea.</t>
  </si>
  <si>
    <t xml:space="preserve">⬇</t>
  </si>
  <si>
    <t xml:space="preserve">⬅</t>
  </si>
  <si>
    <t xml:space="preserve">BALANCE DE MATERIALES (año elegido en Resumen)</t>
  </si>
  <si>
    <t xml:space="preserve">1) materia prima que entra · 2) semielaborados en proceso · 3) scrap, desechos y mermas · 4) producto terminado. Cantidades = lo que pide la producción del año (MP_detalle).</t>
  </si>
  <si>
    <t xml:space="preserve">LÍNEA DE MANUALES (1 a 10 kg)</t>
  </si>
  <si>
    <t xml:space="preserve">1) Materia prima que entra</t>
  </si>
  <si>
    <t xml:space="preserve">Familia</t>
  </si>
  <si>
    <t xml:space="preserve">Formato de compra</t>
  </si>
  <si>
    <t xml:space="preserve">Cantidad</t>
  </si>
  <si>
    <t xml:space="preserve">UM</t>
  </si>
  <si>
    <t xml:space="preserve">Unidades de compra</t>
  </si>
  <si>
    <t xml:space="preserve">kg</t>
  </si>
  <si>
    <t xml:space="preserve">Chapa en hojas</t>
  </si>
  <si>
    <t xml:space="preserve">hojas</t>
  </si>
  <si>
    <t xml:space="preserve">Fleje en rollos</t>
  </si>
  <si>
    <t xml:space="preserve">Asientos de válvula</t>
  </si>
  <si>
    <t xml:space="preserve">u</t>
  </si>
  <si>
    <t xml:space="preserve">Soldadura: alambre</t>
  </si>
  <si>
    <t xml:space="preserve">Soldadura: gases</t>
  </si>
  <si>
    <t xml:space="preserve">m³</t>
  </si>
  <si>
    <t xml:space="preserve">Soldadura: electrodo TIG</t>
  </si>
  <si>
    <t xml:space="preserve">Granalla</t>
  </si>
  <si>
    <t xml:space="preserve">Pintura</t>
  </si>
  <si>
    <t xml:space="preserve">Agente: polvo</t>
  </si>
  <si>
    <t xml:space="preserve">Nitrógeno</t>
  </si>
  <si>
    <t xml:space="preserve">Componentes comprados</t>
  </si>
  <si>
    <t xml:space="preserve">Identificación y embalaje</t>
  </si>
  <si>
    <t xml:space="preserve">2) Semielaborados en proceso</t>
  </si>
  <si>
    <t xml:space="preserve">Etapa</t>
  </si>
  <si>
    <t xml:space="preserve">Formato</t>
  </si>
  <si>
    <t xml:space="preserve">ABC 1 kg</t>
  </si>
  <si>
    <t xml:space="preserve">ABC 2,5 kg</t>
  </si>
  <si>
    <t xml:space="preserve">ABC 5 kg</t>
  </si>
  <si>
    <t xml:space="preserve">ABC 10 kg</t>
  </si>
  <si>
    <t xml:space="preserve">Total (u)</t>
  </si>
  <si>
    <t xml:space="preserve">kg de acero</t>
  </si>
  <si>
    <t xml:space="preserve">Planchuela de cuerpo cortada</t>
  </si>
  <si>
    <t xml:space="preserve">Rectángulo de chapa: desarrollo × alto (Piezas)</t>
  </si>
  <si>
    <t xml:space="preserve">Discos de cúpula y fondo</t>
  </si>
  <si>
    <t xml:space="preserve">Disco plano Ø D0 desde fleje (2 por recipiente)</t>
  </si>
  <si>
    <t xml:space="preserve">Casquetes embutidos (cúpula numerada con cuello, fondo)</t>
  </si>
  <si>
    <t xml:space="preserve">Casquete embutido</t>
  </si>
  <si>
    <t xml:space="preserve">Virola cilindrada y soldada</t>
  </si>
  <si>
    <t xml:space="preserve">Tubo con costura longitudinal</t>
  </si>
  <si>
    <t xml:space="preserve">Recipiente soldado (PH, secado, granallado)</t>
  </si>
  <si>
    <t xml:space="preserve">Recipiente cerrado sin pintar</t>
  </si>
  <si>
    <t xml:space="preserve">Recipiente pintado</t>
  </si>
  <si>
    <t xml:space="preserve">Cilindro pintado rojo</t>
  </si>
  <si>
    <t xml:space="preserve">Matafuego cargado y presurizado (antes de etiquetar)</t>
  </si>
  <si>
    <t xml:space="preserve">Recipiente + válvula + polvo + N₂</t>
  </si>
  <si>
    <t xml:space="preserve">3) Scrap, desechos no recuperables y mermas</t>
  </si>
  <si>
    <t xml:space="preserve">Qué</t>
  </si>
  <si>
    <t xml:space="preserve">De dónde sale</t>
  </si>
  <si>
    <t xml:space="preserve">¿Se recupera?</t>
  </si>
  <si>
    <t xml:space="preserve">Destino / formato</t>
  </si>
  <si>
    <t xml:space="preserve">Recortes de hoja</t>
  </si>
  <si>
    <t xml:space="preserve">Corte en guillotinas</t>
  </si>
  <si>
    <t xml:space="preserve">Sí: chatarra</t>
  </si>
  <si>
    <t xml:space="preserve">Contenedor de chatarra (playa de scrap)</t>
  </si>
  <si>
    <t xml:space="preserve">Esqueleto de fleje y despunte</t>
  </si>
  <si>
    <t xml:space="preserve">Corte de disco y embutido</t>
  </si>
  <si>
    <t xml:space="preserve">Contenedor de chatarra</t>
  </si>
  <si>
    <t xml:space="preserve">Salpicadura de soldadura</t>
  </si>
  <si>
    <t xml:space="preserve">Soldaduras MAG</t>
  </si>
  <si>
    <t xml:space="preserve">No</t>
  </si>
  <si>
    <t xml:space="preserve">Residuo (5% del alambre: BOM, rendimiento ESAB)</t>
  </si>
  <si>
    <t xml:space="preserve">Gas de protección y argón</t>
  </si>
  <si>
    <t xml:space="preserve">Soldaduras MAG y TIG</t>
  </si>
  <si>
    <t xml:space="preserve">No (se consume)</t>
  </si>
  <si>
    <t xml:space="preserve">Merma: queda en el ambiente de soldadura</t>
  </si>
  <si>
    <t xml:space="preserve">Electrodo de tungsteno gastado</t>
  </si>
  <si>
    <t xml:space="preserve">Soldadura TIG del 1 kg</t>
  </si>
  <si>
    <t xml:space="preserve">Residuo (criterio a medir: MRP)</t>
  </si>
  <si>
    <t xml:space="preserve">Granalla gastada y óxido</t>
  </si>
  <si>
    <t xml:space="preserve">Granallado</t>
  </si>
  <si>
    <t xml:space="preserve">Residuo del colector de la granalladora</t>
  </si>
  <si>
    <t xml:space="preserve">Polvo de pintura no recuperado</t>
  </si>
  <si>
    <t xml:space="preserve">Cabina de pintura</t>
  </si>
  <si>
    <t xml:space="preserve">Residuo (5%: el resto se recupera en la cabina)</t>
  </si>
  <si>
    <t xml:space="preserve">Polvo ABC de carga</t>
  </si>
  <si>
    <t xml:space="preserve">Carga de polvo</t>
  </si>
  <si>
    <t xml:space="preserve">—</t>
  </si>
  <si>
    <t xml:space="preserve">El proceso de manuales no agrega merma (MRP)</t>
  </si>
  <si>
    <t xml:space="preserve">4) Producto terminado</t>
  </si>
  <si>
    <t xml:space="preserve">Unidades</t>
  </si>
  <si>
    <t xml:space="preserve">Embalado en caja, en pallet</t>
  </si>
  <si>
    <t xml:space="preserve">Cilindro pintado, en pallet</t>
  </si>
  <si>
    <t xml:space="preserve">Total producto terminado</t>
  </si>
  <si>
    <t xml:space="preserve">Balance de acero (kg)</t>
  </si>
  <si>
    <t xml:space="preserve">Entra (MP)</t>
  </si>
  <si>
    <t xml:space="preserve">Queda en el producto</t>
  </si>
  <si>
    <t xml:space="preserve">Chatarra</t>
  </si>
  <si>
    <t xml:space="preserve">Cierre (entra − producto − chatarra)</t>
  </si>
  <si>
    <t xml:space="preserve">Aprovechamiento real</t>
  </si>
  <si>
    <t xml:space="preserve">¿Cierra?</t>
  </si>
  <si>
    <t xml:space="preserve">Chapa de cuerpos y fleje de cúpulas y fondos. Producto = planchuelas y discos de la producción del año (Piezas del Excel de corte).</t>
  </si>
  <si>
    <t xml:space="preserve">LÍNEA DE CARROS (25 a 100 kg)</t>
  </si>
  <si>
    <t xml:space="preserve">Casquetes y cuplas</t>
  </si>
  <si>
    <t xml:space="preserve">Caños y barras</t>
  </si>
  <si>
    <t xml:space="preserve">barras</t>
  </si>
  <si>
    <t xml:space="preserve">Abrasivos y corte</t>
  </si>
  <si>
    <t xml:space="preserve">Pintura (servicio)</t>
  </si>
  <si>
    <t xml:space="preserve">servicio</t>
  </si>
  <si>
    <t xml:space="preserve">ABC 25 kg</t>
  </si>
  <si>
    <t xml:space="preserve">ABC 50 kg</t>
  </si>
  <si>
    <t xml:space="preserve">ABC 70 kg</t>
  </si>
  <si>
    <t xml:space="preserve">ABC 100 kg</t>
  </si>
  <si>
    <t xml:space="preserve">Rectángulo de chapa LAC: desarrollo × alto (Piezas)</t>
  </si>
  <si>
    <t xml:space="preserve">Virola rolada, punteada y soldada</t>
  </si>
  <si>
    <t xml:space="preserve">Recipiente armado (cuerpo + 2 casquetes + cupla)</t>
  </si>
  <si>
    <t xml:space="preserve">Recipiente probado y secado</t>
  </si>
  <si>
    <t xml:space="preserve">Recipiente probado (PH)</t>
  </si>
  <si>
    <t xml:space="preserve">Recipiente pintado (tercerizado: sale y vuelve)</t>
  </si>
  <si>
    <t xml:space="preserve">Carro armado y cargado</t>
  </si>
  <si>
    <t xml:space="preserve">Recipiente + carro + manga + polvo + N₂</t>
  </si>
  <si>
    <t xml:space="preserve">Recortes de caño y barra</t>
  </si>
  <si>
    <t xml:space="preserve">Fabricación de accesorios (sensitiva)</t>
  </si>
  <si>
    <t xml:space="preserve">m</t>
  </si>
  <si>
    <t xml:space="preserve">Residuo (5% del alambre: BOM)</t>
  </si>
  <si>
    <t xml:space="preserve">Gas de protección</t>
  </si>
  <si>
    <t xml:space="preserve">Merma</t>
  </si>
  <si>
    <t xml:space="preserve">Discos de corte y flap, mechas, aerosoles gastados</t>
  </si>
  <si>
    <t xml:space="preserve">Corte y terminación de accesorios</t>
  </si>
  <si>
    <t xml:space="preserve">Residuo</t>
  </si>
  <si>
    <t xml:space="preserve">Tercerizada</t>
  </si>
  <si>
    <t xml:space="preserve">La merma queda en el pintor de carros</t>
  </si>
  <si>
    <t xml:space="preserve">Carro armado, film, en pallet</t>
  </si>
  <si>
    <t xml:space="preserve">Solo la chapa del cuerpo: los casquetes y la cupla se compran terminados. Producto = planchuelas y discos de la producción del año (Piezas del Excel de corte).</t>
  </si>
  <si>
    <t xml:space="preserve">LÍNEA DE RECARGAS (planta industrial)</t>
  </si>
  <si>
    <t xml:space="preserve">Agente: CO₂ y limpio</t>
  </si>
  <si>
    <t xml:space="preserve">Agente: líquidos</t>
  </si>
  <si>
    <t xml:space="preserve">L</t>
  </si>
  <si>
    <t xml:space="preserve">2) Semielaborados en proceso: equipos del cliente por etapa</t>
  </si>
  <si>
    <t xml:space="preserve">Equipos (u. equiv.)</t>
  </si>
  <si>
    <t xml:space="preserve">Recibidos e inspeccionados</t>
  </si>
  <si>
    <t xml:space="preserve">Equipo identificado, en jaula</t>
  </si>
  <si>
    <t xml:space="preserve">Descargados (polvo, líquidos, CO₂, limpio)</t>
  </si>
  <si>
    <t xml:space="preserve">Recipiente vacío</t>
  </si>
  <si>
    <t xml:space="preserve">Desarmados y limpios</t>
  </si>
  <si>
    <t xml:space="preserve">Recipiente sin válvula</t>
  </si>
  <si>
    <t xml:space="preserve">Con prueba hidráulica</t>
  </si>
  <si>
    <t xml:space="preserve">Recipiente probado</t>
  </si>
  <si>
    <t xml:space="preserve">Secados</t>
  </si>
  <si>
    <t xml:space="preserve">Recipiente seco</t>
  </si>
  <si>
    <t xml:space="preserve">Pintados</t>
  </si>
  <si>
    <t xml:space="preserve">Recipiente repintado</t>
  </si>
  <si>
    <t xml:space="preserve">Cargados y presurizados (polvo)</t>
  </si>
  <si>
    <t xml:space="preserve">Equipo armado</t>
  </si>
  <si>
    <t xml:space="preserve">Ensayados (pérdidas)</t>
  </si>
  <si>
    <t xml:space="preserve">Equipo listo</t>
  </si>
  <si>
    <t xml:space="preserve">Precintados, etiquetados y despachados</t>
  </si>
  <si>
    <t xml:space="preserve">Equipo en jaula</t>
  </si>
  <si>
    <t xml:space="preserve">Polvo retirado a descarte</t>
  </si>
  <si>
    <t xml:space="preserve">Descarga a descarte y reposición</t>
  </si>
  <si>
    <t xml:space="preserve">Residuo: igual al polvo nuevo que se carga (cota superior: incluye lo que se descargó en el uso)</t>
  </si>
  <si>
    <t xml:space="preserve">Agua, espuma AFFF y agente K retirados</t>
  </si>
  <si>
    <t xml:space="preserve">Descarga de líquidos</t>
  </si>
  <si>
    <t xml:space="preserve">Efluente: capacidad nominal de cada equipo</t>
  </si>
  <si>
    <t xml:space="preserve">Equipos inutilizados</t>
  </si>
  <si>
    <t xml:space="preserve">Inutilización y disposición final</t>
  </si>
  <si>
    <t xml:space="preserve">u. equiv.</t>
  </si>
  <si>
    <t xml:space="preserve">Recipiente perforado, a chatarra (IRAM 3517-2 9.12)</t>
  </si>
  <si>
    <t xml:space="preserve">CO₂ y agente limpio</t>
  </si>
  <si>
    <t xml:space="preserve">Recuperación en circuito cerrado</t>
  </si>
  <si>
    <t xml:space="preserve">Se recuperan; lo nuevo repone lo que se descargó en el uso</t>
  </si>
  <si>
    <t xml:space="preserve">Recargas ABC manuales (1 a 10 kg)</t>
  </si>
  <si>
    <t xml:space="preserve">Equipo recargado, precintado y etiquetado</t>
  </si>
  <si>
    <t xml:space="preserve">Recargas ABC rodantes (25 a 100 kg)</t>
  </si>
  <si>
    <t xml:space="preserve">Recargas de agua, AFFF y sales K</t>
  </si>
  <si>
    <t xml:space="preserve">Recargas de CO₂</t>
  </si>
  <si>
    <t xml:space="preserve">Recargas de HCFC/HFC</t>
  </si>
  <si>
    <t xml:space="preserve">Recargas de BC y clase D</t>
  </si>
  <si>
    <t xml:space="preserve">REVENDIDOS (no se fabrican: entran y salen iguales)</t>
  </si>
  <si>
    <t xml:space="preserve">Entra = sale (u)</t>
  </si>
  <si>
    <t xml:space="preserve">Matafuego Agua 10 l</t>
  </si>
  <si>
    <t xml:space="preserve">Matafuego AFFF 10 l</t>
  </si>
  <si>
    <t xml:space="preserve">Matafuego AFFF 50 l</t>
  </si>
  <si>
    <t xml:space="preserve">Matafuego BC 5 kg</t>
  </si>
  <si>
    <t xml:space="preserve">Matafuego Clase K 6 l</t>
  </si>
  <si>
    <t xml:space="preserve">Matafuego CO₂ 2 kg</t>
  </si>
  <si>
    <t xml:space="preserve">Matafuego CO₂ 5 kg</t>
  </si>
  <si>
    <t xml:space="preserve">Matafuego HCFC 5 kg</t>
  </si>
  <si>
    <t xml:space="preserve">Matafuego Clase D 9 l</t>
  </si>
  <si>
    <t xml:space="preserve">Total revendidos</t>
  </si>
  <si>
    <t xml:space="preserve">CASCADA DEL MRP: compra de cada material contra lo que pide la producción (año elegido)</t>
  </si>
  <si>
    <t xml:space="preserve">Necesario = consumo por unidad del MRP × producción de cada producto (Resumen). Si el MRP compra menos de lo necesario, el balance no cierra para esa producción.</t>
  </si>
  <si>
    <t xml:space="preserve">(mismo orden que el MRP) →</t>
  </si>
  <si>
    <t xml:space="preserve">Código</t>
  </si>
  <si>
    <t xml:space="preserve">Material</t>
  </si>
  <si>
    <t xml:space="preserve">Compra MRP</t>
  </si>
  <si>
    <t xml:space="preserve">Necesario para la producción</t>
  </si>
  <si>
    <t xml:space="preserve">Compra − necesario</t>
  </si>
  <si>
    <t xml:space="preserve">¿Cubre?</t>
  </si>
  <si>
    <t xml:space="preserve">Contenido de la unidad de compra</t>
  </si>
  <si>
    <t xml:space="preserve">Unidades de compra necesarias</t>
  </si>
  <si>
    <t xml:space="preserve">kg por UM</t>
  </si>
  <si>
    <t xml:space="preserve">kg necesarios</t>
  </si>
  <si>
    <t xml:space="preserve">Equipos comprados</t>
  </si>
  <si>
    <t xml:space="preserve">BALANCEO DE LÍNEA (año elegido en Resumen)</t>
  </si>
  <si>
    <t xml:space="preserve">Tiempos, unidades y recursos de cada Aprovechamiento. Eficiencia de balanceo = aprovechamiento medio / aprovechamiento del cuello de botella (100 % = línea perfectamente balanceada).</t>
  </si>
  <si>
    <t xml:space="preserve">Unidades del año (recipientes / recargas)</t>
  </si>
  <si>
    <t xml:space="preserve">Unidades del mes pico</t>
  </si>
  <si>
    <t xml:space="preserve">Horas productivas por mes (1 turno)</t>
  </si>
  <si>
    <t xml:space="preserve">Takt del mes pico, 1 turno (s/u)</t>
  </si>
  <si>
    <t xml:space="preserve">Contenido de trabajo por unidad (s/u)</t>
  </si>
  <si>
    <t xml:space="preserve">Recursos-turno mínimos teóricos (contenido / takt)</t>
  </si>
  <si>
    <t xml:space="preserve">Recursos-turno instalados (máquinas × turnos)</t>
  </si>
  <si>
    <t xml:space="preserve">Aprovechamiento medio (ponderado por recursos)</t>
  </si>
  <si>
    <t xml:space="preserve">Cuello de botella</t>
  </si>
  <si>
    <t xml:space="preserve">Aprovechamiento del cuello de botella</t>
  </si>
  <si>
    <t xml:space="preserve">Eficiencia de balanceo (medio / cuello)</t>
  </si>
  <si>
    <t xml:space="preserve">Tiempo ocioso del balanceo</t>
  </si>
  <si>
    <t xml:space="preserve">N°</t>
  </si>
  <si>
    <t xml:space="preserve">Puesto</t>
  </si>
  <si>
    <t xml:space="preserve">Recurso</t>
  </si>
  <si>
    <t xml:space="preserve">Tiempo (s/u)</t>
  </si>
  <si>
    <t xml:space="preserve">Unidades del año</t>
  </si>
  <si>
    <t xml:space="preserve">Horas de trabajo</t>
  </si>
  <si>
    <t xml:space="preserve">Máq.</t>
  </si>
  <si>
    <t xml:space="preserve">Turnos</t>
  </si>
  <si>
    <t xml:space="preserve">Recursos</t>
  </si>
  <si>
    <t xml:space="preserve">Aprovechamiento</t>
  </si>
  <si>
    <t xml:space="preserve">Cuello</t>
  </si>
  <si>
    <t xml:space="preserve">Recepción de materia prima</t>
  </si>
  <si>
    <t xml:space="preserve">Manual</t>
  </si>
  <si>
    <t xml:space="preserve">Corte de chapa — 1.er corte en franjas (guillotina 1, manuales + carros)</t>
  </si>
  <si>
    <t xml:space="preserve">Máquina</t>
  </si>
  <si>
    <t xml:space="preserve">Corte de chapa — 2.º corte en piezas (guillotina 2, manuales + carros)</t>
  </si>
  <si>
    <t xml:space="preserve">Corte de disco y embutido (cúpula y fondo)</t>
  </si>
  <si>
    <t xml:space="preserve">Preparación de cuello</t>
  </si>
  <si>
    <t xml:space="preserve">Numerado de cúpula</t>
  </si>
  <si>
    <t xml:space="preserve">Soldadura del cuello a la cúpula</t>
  </si>
  <si>
    <t xml:space="preserve">Cilindrado</t>
  </si>
  <si>
    <t xml:space="preserve">Soldadura longitudinal — 2,5 a 10 kg</t>
  </si>
  <si>
    <t xml:space="preserve">Soldadura longitudinal TIG — 1 kg</t>
  </si>
  <si>
    <t xml:space="preserve">Encastre de fondo</t>
  </si>
  <si>
    <t xml:space="preserve">Bordoneado</t>
  </si>
  <si>
    <t xml:space="preserve">Soldadura circunferencial de cúpula y fondo</t>
  </si>
  <si>
    <t xml:space="preserve">Control de calidad — Espesor</t>
  </si>
  <si>
    <t xml:space="preserve">Prueba hidráulica</t>
  </si>
  <si>
    <t xml:space="preserve">Secado</t>
  </si>
  <si>
    <t xml:space="preserve">Detección de defectos</t>
  </si>
  <si>
    <t xml:space="preserve">Corrección de defectos</t>
  </si>
  <si>
    <t xml:space="preserve">Pintura en polvo + horno</t>
  </si>
  <si>
    <t xml:space="preserve">Ensamblaje</t>
  </si>
  <si>
    <t xml:space="preserve">Presurización</t>
  </si>
  <si>
    <t xml:space="preserve">Control de calidad — Ensayo de pérdidas</t>
  </si>
  <si>
    <t xml:space="preserve">Etiquetado</t>
  </si>
  <si>
    <t xml:space="preserve">Embalaje y paletizado</t>
  </si>
  <si>
    <t xml:space="preserve">Total</t>
  </si>
  <si>
    <t xml:space="preserve">Tiempo (min/u)</t>
  </si>
  <si>
    <t xml:space="preserve">Corte de chapa (guillotina)</t>
  </si>
  <si>
    <t xml:space="preserve">Marcado del cuerpo</t>
  </si>
  <si>
    <t xml:space="preserve">Punteo del cuerpo</t>
  </si>
  <si>
    <t xml:space="preserve">Soldadura longitudinal</t>
  </si>
  <si>
    <t xml:space="preserve">Soldadura de cupla en la cúpula</t>
  </si>
  <si>
    <t xml:space="preserve">Armado y soldadura circunferencial</t>
  </si>
  <si>
    <t xml:space="preserve">Soldadura de accesorios</t>
  </si>
  <si>
    <t xml:space="preserve">Fabricación de accesorios</t>
  </si>
  <si>
    <t xml:space="preserve">Pulmón de despacho y carga a pintura</t>
  </si>
  <si>
    <t xml:space="preserve">Recepción de pintados y cambio de juego</t>
  </si>
  <si>
    <t xml:space="preserve">Carga de polvo y presurización</t>
  </si>
  <si>
    <t xml:space="preserve">Montaje, manga, precinto y etiquetado</t>
  </si>
  <si>
    <t xml:space="preserve">Calidad: pérdidas, inspección final, liberación y ensayos de lote</t>
  </si>
  <si>
    <t xml:space="preserve">Depósito de producto terminado y despacho</t>
  </si>
  <si>
    <t xml:space="preserve">Recepción y registro</t>
  </si>
  <si>
    <t xml:space="preserve">Inspección visual</t>
  </si>
  <si>
    <t xml:space="preserve">Descarga ABC — ruta recuperable</t>
  </si>
  <si>
    <t xml:space="preserve">Descarga a descarte (ABC, BC y Clase D)</t>
  </si>
  <si>
    <t xml:space="preserve">Descarga y carga de agua / AFFF / sales K</t>
  </si>
  <si>
    <t xml:space="preserve">Recuperación y carga de CO₂</t>
  </si>
  <si>
    <t xml:space="preserve">Recuperación y carga de halogenado</t>
  </si>
  <si>
    <t xml:space="preserve">Desarme y limpieza — recinto</t>
  </si>
  <si>
    <t xml:space="preserve">Desarme e inspección interior — zona general</t>
  </si>
  <si>
    <t xml:space="preserve">Laboratorio — Puffer y mufla</t>
  </si>
  <si>
    <t xml:space="preserve">Inspección interior con videoscopio</t>
  </si>
  <si>
    <t xml:space="preserve">Carga de polvo ABC, BC y Clase D</t>
  </si>
  <si>
    <t xml:space="preserve">Ensamblaje y marbete — recinto</t>
  </si>
  <si>
    <t xml:space="preserve">Presurización — recinto</t>
  </si>
  <si>
    <t xml:space="preserve">Ensamblaje y presurización — zona general</t>
  </si>
  <si>
    <t xml:space="preserve">Control de peso (CO₂ y halogenados sin recarga)</t>
  </si>
  <si>
    <t xml:space="preserve">Ensayo de pérdidas</t>
  </si>
  <si>
    <t xml:space="preserve">Precinto, etiqueta y despacho</t>
  </si>
  <si>
    <t xml:space="preserve">PH de mangueras (CO₂ y rodantes)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</si>
</sst>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"/>
    <numFmt numFmtId="166" formatCode="#,##0.0000"/>
    <numFmt numFmtId="167" formatCode="#,##0.0"/>
    <numFmt numFmtId="168" formatCode="#,##0"/>
    <numFmt numFmtId="169" formatCode="#,##0.000"/>
    <numFmt numFmtId="170" formatCode="0"/>
    <numFmt numFmtId="171" formatCode="0.0%"/>
    <numFmt numFmtId="172" formatCode="#,##0;\-#,##0;&quot;&quot;"/>
    <numFmt numFmtId="173" formatCode="#,##0.000;\-#,##0.000;&quot;&quot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6"/>
      <color rgb="FF404040"/>
      <name val="Arial"/>
      <family val="0"/>
      <charset val="1"/>
    </font>
    <font>
      <sz val="9"/>
      <name val="Arial"/>
      <family val="0"/>
      <charset val="1"/>
    </font>
    <font>
      <sz val="12"/>
      <color rgb="FFC00000"/>
      <name val="Arial"/>
      <family val="0"/>
      <charset val="1"/>
    </font>
    <font>
      <b val="true"/>
      <sz val="14"/>
      <color rgb="FF40404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2CC"/>
        <bgColor rgb="FFF2F2F2"/>
      </patternFill>
    </fill>
    <fill>
      <patternFill patternType="solid">
        <fgColor rgb="FFD9D9D9"/>
        <bgColor rgb="FFDDEBF7"/>
      </patternFill>
    </fill>
    <fill>
      <patternFill patternType="solid">
        <fgColor rgb="FFDDEBF7"/>
        <bgColor rgb="FFEDEDED"/>
      </patternFill>
    </fill>
    <fill>
      <patternFill patternType="solid">
        <fgColor rgb="FFC6EFCE"/>
        <bgColor rgb="FFDDEBF7"/>
      </patternFill>
    </fill>
    <fill>
      <patternFill patternType="solid">
        <fgColor rgb="FFEDEDED"/>
        <bgColor rgb="FFF2F2F2"/>
      </patternFill>
    </fill>
    <fill>
      <patternFill patternType="solid">
        <fgColor rgb="FFF8CBAD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DEDE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EDEDED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22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3" min="2" style="0" width="11"/>
    <col collapsed="false" customWidth="true" hidden="false" outlineLevel="0" max="14" min="14" style="0" width="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  <c r="B3" s="3" t="s">
        <v>3</v>
      </c>
      <c r="C3" s="3"/>
      <c r="D3" s="3"/>
      <c r="E3" s="3"/>
      <c r="F3" s="3"/>
      <c r="G3" s="3" t="s">
        <v>4</v>
      </c>
      <c r="H3" s="3"/>
      <c r="I3" s="3"/>
      <c r="J3" s="3"/>
      <c r="K3" s="3"/>
      <c r="L3" s="3"/>
      <c r="M3" s="3" t="s">
        <v>5</v>
      </c>
    </row>
    <row r="4" customFormat="false" ht="15" hidden="false" customHeight="true" outlineLevel="0" collapsed="false">
      <c r="A4" s="4" t="s">
        <v>6</v>
      </c>
      <c r="B4" s="5" t="s">
        <v>7</v>
      </c>
      <c r="C4" s="5"/>
      <c r="D4" s="5"/>
      <c r="E4" s="5"/>
      <c r="F4" s="5"/>
      <c r="G4" s="5" t="s">
        <v>8</v>
      </c>
      <c r="H4" s="5"/>
      <c r="I4" s="5"/>
      <c r="J4" s="5"/>
      <c r="K4" s="5"/>
      <c r="L4" s="5"/>
      <c r="M4" s="6" t="str">
        <f aca="false">IF(ISERROR(B12),"Falta el link o «Permitir acceso»","OK")</f>
        <v>OK</v>
      </c>
    </row>
    <row r="5" customFormat="false" ht="15" hidden="false" customHeight="true" outlineLevel="0" collapsed="false">
      <c r="A5" s="4" t="s">
        <v>9</v>
      </c>
      <c r="B5" s="5" t="s">
        <v>7</v>
      </c>
      <c r="C5" s="5"/>
      <c r="D5" s="5"/>
      <c r="E5" s="5"/>
      <c r="F5" s="5"/>
      <c r="G5" s="5" t="s">
        <v>10</v>
      </c>
      <c r="H5" s="5"/>
      <c r="I5" s="5"/>
      <c r="J5" s="5"/>
      <c r="K5" s="5"/>
      <c r="L5" s="5"/>
      <c r="M5" s="6" t="str">
        <f aca="false">IF(ISERROR(B472),"Falta el link o «Permitir acceso»","OK")</f>
        <v>OK</v>
      </c>
    </row>
    <row r="6" customFormat="false" ht="15" hidden="false" customHeight="true" outlineLevel="0" collapsed="false">
      <c r="A6" s="4" t="s">
        <v>11</v>
      </c>
      <c r="B6" s="5" t="s">
        <v>7</v>
      </c>
      <c r="C6" s="5"/>
      <c r="D6" s="5"/>
      <c r="E6" s="5"/>
      <c r="F6" s="5"/>
      <c r="G6" s="5" t="s">
        <v>12</v>
      </c>
      <c r="H6" s="5"/>
      <c r="I6" s="5"/>
      <c r="J6" s="5"/>
      <c r="K6" s="5"/>
      <c r="L6" s="5"/>
      <c r="M6" s="6" t="str">
        <f aca="false">IF(ISERROR(B1011),"Falta el link o «Permitir acceso»","OK")</f>
        <v>OK</v>
      </c>
    </row>
    <row r="7" customFormat="false" ht="15" hidden="false" customHeight="true" outlineLevel="0" collapsed="false">
      <c r="A7" s="4" t="s">
        <v>13</v>
      </c>
      <c r="B7" s="5" t="s">
        <v>7</v>
      </c>
      <c r="C7" s="5"/>
      <c r="D7" s="5"/>
      <c r="E7" s="5"/>
      <c r="F7" s="5"/>
      <c r="G7" s="5" t="s">
        <v>12</v>
      </c>
      <c r="H7" s="5"/>
      <c r="I7" s="5"/>
      <c r="J7" s="5"/>
      <c r="K7" s="5"/>
      <c r="L7" s="5"/>
      <c r="M7" s="6" t="str">
        <f aca="false">IF(ISERROR(B1421),"Falta el link o «Permitir acceso»","OK")</f>
        <v>OK</v>
      </c>
    </row>
    <row r="8" customFormat="false" ht="15" hidden="false" customHeight="true" outlineLevel="0" collapsed="false">
      <c r="A8" s="4" t="s">
        <v>14</v>
      </c>
      <c r="B8" s="5" t="s">
        <v>7</v>
      </c>
      <c r="C8" s="5"/>
      <c r="D8" s="5"/>
      <c r="E8" s="5"/>
      <c r="F8" s="5"/>
      <c r="G8" s="5" t="s">
        <v>15</v>
      </c>
      <c r="H8" s="5"/>
      <c r="I8" s="5"/>
      <c r="J8" s="5"/>
      <c r="K8" s="5"/>
      <c r="L8" s="5"/>
      <c r="M8" s="6" t="str">
        <f aca="false">IF(ISERROR(B2191),"Falta el link o «Permitir acceso»","OK")</f>
        <v>OK</v>
      </c>
    </row>
    <row r="11" customFormat="false" ht="15" hidden="false" customHeight="false" outlineLevel="0" collapsed="false">
      <c r="A11" s="7" t="s">
        <v>16</v>
      </c>
    </row>
    <row r="12" customFormat="false" ht="15" hidden="false" customHeight="false" outlineLevel="0" collapsed="false">
      <c r="B12" s="8" t="str">
        <f aca="false">IFERROR(__xludf.DUMMYFUNCTION("IMPORTRANGE(Links!$B$4,""DEMANDA!C4:M50"")"),"Parte de la planta industrial")</f>
        <v>Parte de la planta industrial</v>
      </c>
      <c r="C12" s="8"/>
      <c r="D12" s="8"/>
      <c r="E12" s="8"/>
      <c r="F12" s="8"/>
      <c r="G12" s="8"/>
      <c r="H12" s="8"/>
      <c r="I12" s="8"/>
      <c r="J12" s="8"/>
      <c r="K12" s="8"/>
      <c r="L12" s="8"/>
    </row>
    <row r="13" customFormat="false" ht="15" hidden="false" customHeight="false" outlineLevel="0" collapsed="false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customFormat="false" ht="15" hidden="false" customHeight="false" outlineLevel="0" collapsed="false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customFormat="false" ht="15" hidden="false" customHeight="false" outlineLevel="0" collapsed="false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customFormat="false" ht="15" hidden="false" customHeight="false" outlineLevel="0" collapsed="false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customFormat="false" ht="15" hidden="false" customHeight="false" outlineLevel="0" collapsed="false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customFormat="false" ht="15" hidden="false" customHeight="false" outlineLevel="0" collapsed="false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customFormat="false" ht="15" hidden="false" customHeight="false" outlineLevel="0" collapsed="false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customFormat="false" ht="15" hidden="false" customHeight="false" outlineLevel="0" collapsed="false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customFormat="false" ht="15" hidden="false" customHeight="false" outlineLevel="0" collapsed="false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customFormat="false" ht="15" hidden="false" customHeight="false" outlineLevel="0" collapsed="false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customFormat="false" ht="15" hidden="false" customHeight="false" outlineLevel="0" collapsed="false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customFormat="false" ht="15" hidden="false" customHeight="false" outlineLevel="0" collapsed="false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customFormat="false" ht="15" hidden="false" customHeight="false" outlineLevel="0" collapsed="false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customFormat="false" ht="15" hidden="false" customHeight="false" outlineLevel="0" collapsed="false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customFormat="false" ht="15" hidden="false" customHeight="false" outlineLevel="0" collapsed="false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customFormat="false" ht="15" hidden="false" customHeight="false" outlineLevel="0" collapsed="false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customFormat="false" ht="15" hidden="false" customHeight="false" outlineLevel="0" collapsed="false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customFormat="false" ht="15" hidden="false" customHeight="false" outlineLevel="0" collapsed="false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customFormat="false" ht="15" hidden="false" customHeight="false" outlineLevel="0" collapsed="false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customFormat="false" ht="15" hidden="false" customHeight="false" outlineLevel="0" collapsed="false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customFormat="false" ht="15" hidden="false" customHeight="false" outlineLevel="0" collapsed="false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customFormat="false" ht="15" hidden="false" customHeight="false" outlineLevel="0" collapsed="false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customFormat="false" ht="15" hidden="false" customHeight="false" outlineLevel="0" collapsed="false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customFormat="false" ht="15" hidden="false" customHeight="false" outlineLevel="0" collapsed="false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customFormat="false" ht="15" hidden="false" customHeight="false" outlineLevel="0" collapsed="false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customFormat="false" ht="15" hidden="false" customHeight="false" outlineLevel="0" collapsed="false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customFormat="false" ht="15" hidden="false" customHeight="false" outlineLevel="0" collapsed="false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customFormat="false" ht="15" hidden="false" customHeight="false" outlineLevel="0" collapsed="false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customFormat="false" ht="15" hidden="false" customHeight="false" outlineLevel="0" collapsed="false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customFormat="false" ht="15" hidden="false" customHeight="false" outlineLevel="0" collapsed="false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customFormat="false" ht="15" hidden="false" customHeight="false" outlineLevel="0" collapsed="false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customFormat="false" ht="15" hidden="false" customHeight="false" outlineLevel="0" collapsed="false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customFormat="false" ht="15" hidden="false" customHeight="false" outlineLevel="0" collapsed="false"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customFormat="false" ht="15" hidden="false" customHeight="false" outlineLevel="0" collapsed="false"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customFormat="false" ht="15" hidden="false" customHeight="false" outlineLevel="0" collapsed="false"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customFormat="false" ht="15" hidden="false" customHeight="false" outlineLevel="0" collapsed="false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customFormat="false" ht="15" hidden="false" customHeight="false" outlineLevel="0" collapsed="false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customFormat="false" ht="15" hidden="false" customHeight="false" outlineLevel="0" collapsed="false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  <row r="51" customFormat="false" ht="15" hidden="false" customHeight="false" outlineLevel="0" collapsed="false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</row>
    <row r="52" customFormat="false" ht="15" hidden="false" customHeight="false" outlineLevel="0" collapsed="false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</row>
    <row r="53" customFormat="false" ht="15" hidden="false" customHeight="false" outlineLevel="0" collapsed="false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</row>
    <row r="54" customFormat="false" ht="15" hidden="false" customHeight="false" outlineLevel="0" collapsed="false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customFormat="false" ht="15" hidden="false" customHeight="false" outlineLevel="0" collapsed="false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</row>
    <row r="56" customFormat="false" ht="15" hidden="false" customHeight="false" outlineLevel="0" collapsed="false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</row>
    <row r="57" customFormat="false" ht="15" hidden="false" customHeight="false" outlineLevel="0" collapsed="false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</row>
    <row r="58" customFormat="false" ht="15" hidden="false" customHeight="false" outlineLevel="0" collapsed="false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</row>
    <row r="60" customFormat="false" ht="15" hidden="false" customHeight="false" outlineLevel="0" collapsed="false">
      <c r="A60" s="7" t="s">
        <v>17</v>
      </c>
    </row>
    <row r="61" customFormat="false" ht="15" hidden="false" customHeight="false" outlineLevel="0" collapsed="false">
      <c r="B61" s="9" t="str">
        <f aca="false">IFERROR(__xludf.DUMMYFUNCTION("IMPORTRANGE(Links!$B$4,""MANUALES!B16:W75"")"),"MP-01")</f>
        <v>MP-01</v>
      </c>
      <c r="C61" s="9"/>
      <c r="D61" s="9"/>
      <c r="F61" s="9"/>
      <c r="J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 customFormat="false" ht="15" hidden="false" customHeight="false" outlineLevel="0" collapsed="false">
      <c r="B62" s="9"/>
      <c r="C62" s="9"/>
      <c r="D62" s="9"/>
      <c r="G62" s="9"/>
      <c r="K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 customFormat="false" ht="15" hidden="false" customHeight="false" outlineLevel="0" collapsed="false">
      <c r="B63" s="9"/>
      <c r="C63" s="9"/>
      <c r="D63" s="9"/>
      <c r="H63" s="9"/>
      <c r="L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 customFormat="false" ht="15" hidden="false" customHeight="false" outlineLevel="0" collapsed="false">
      <c r="B64" s="9"/>
      <c r="C64" s="9"/>
      <c r="D64" s="9"/>
      <c r="I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 customFormat="false" ht="15" hidden="false" customHeight="false" outlineLevel="0" collapsed="false">
      <c r="B65" s="9"/>
      <c r="C65" s="9"/>
      <c r="D65" s="9"/>
      <c r="F65" s="9"/>
      <c r="J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 customFormat="false" ht="15" hidden="false" customHeight="false" outlineLevel="0" collapsed="false">
      <c r="B66" s="9"/>
      <c r="C66" s="9"/>
      <c r="D66" s="9"/>
      <c r="F66" s="9"/>
      <c r="J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 customFormat="false" ht="15" hidden="false" customHeight="false" outlineLevel="0" collapsed="false">
      <c r="B67" s="9"/>
      <c r="C67" s="9"/>
      <c r="D67" s="9"/>
      <c r="G67" s="9"/>
      <c r="K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 customFormat="false" ht="15" hidden="false" customHeight="false" outlineLevel="0" collapsed="false">
      <c r="B68" s="9"/>
      <c r="C68" s="9"/>
      <c r="D68" s="9"/>
      <c r="G68" s="9"/>
      <c r="K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 customFormat="false" ht="15" hidden="false" customHeight="false" outlineLevel="0" collapsed="false">
      <c r="B69" s="9"/>
      <c r="C69" s="9"/>
      <c r="D69" s="9"/>
      <c r="H69" s="9"/>
      <c r="L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 customFormat="false" ht="15" hidden="false" customHeight="false" outlineLevel="0" collapsed="false">
      <c r="B70" s="9"/>
      <c r="C70" s="9"/>
      <c r="D70" s="9"/>
      <c r="H70" s="9"/>
      <c r="L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 customFormat="false" ht="15" hidden="false" customHeight="false" outlineLevel="0" collapsed="false">
      <c r="B71" s="9"/>
      <c r="C71" s="9"/>
      <c r="D71" s="9"/>
      <c r="I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 customFormat="false" ht="15" hidden="false" customHeight="false" outlineLevel="0" collapsed="false">
      <c r="B72" s="9"/>
      <c r="C72" s="9"/>
      <c r="D72" s="9"/>
      <c r="I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 customFormat="false" ht="15" hidden="false" customHeight="false" outlineLevel="0" collapsed="false">
      <c r="B73" s="9"/>
      <c r="C73" s="9"/>
      <c r="D73" s="9"/>
      <c r="F73" s="9"/>
      <c r="J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 customFormat="false" ht="15" hidden="false" customHeight="false" outlineLevel="0" collapsed="false">
      <c r="B74" s="9"/>
      <c r="C74" s="9"/>
      <c r="D74" s="9"/>
      <c r="G74" s="9"/>
      <c r="H74" s="9"/>
      <c r="I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 customFormat="false" ht="15" hidden="false" customHeight="false" outlineLevel="0" collapsed="false">
      <c r="B75" s="9"/>
      <c r="C75" s="9"/>
      <c r="D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 customFormat="false" ht="15" hidden="false" customHeight="false" outlineLevel="0" collapsed="false">
      <c r="B76" s="9"/>
      <c r="C76" s="9"/>
      <c r="D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 customFormat="false" ht="15" hidden="false" customHeight="false" outlineLevel="0" collapsed="false">
      <c r="B77" s="9"/>
      <c r="C77" s="9"/>
      <c r="D77" s="9"/>
      <c r="F77" s="9"/>
      <c r="J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 customFormat="false" ht="15" hidden="false" customHeight="false" outlineLevel="0" collapsed="false">
      <c r="B78" s="9"/>
      <c r="C78" s="9"/>
      <c r="D78" s="9"/>
      <c r="F78" s="9"/>
      <c r="J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 customFormat="false" ht="15" hidden="false" customHeight="false" outlineLevel="0" collapsed="false">
      <c r="B79" s="9"/>
      <c r="C79" s="9"/>
      <c r="D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 customFormat="false" ht="15" hidden="false" customHeight="false" outlineLevel="0" collapsed="false">
      <c r="B80" s="9"/>
      <c r="C80" s="9"/>
      <c r="D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 customFormat="false" ht="15" hidden="false" customHeight="false" outlineLevel="0" collapsed="false">
      <c r="B81" s="9"/>
      <c r="C81" s="9"/>
      <c r="D81" s="9"/>
      <c r="F81" s="9"/>
      <c r="G81" s="9"/>
      <c r="H81" s="9"/>
      <c r="I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 customFormat="false" ht="15" hidden="false" customHeight="false" outlineLevel="0" collapsed="false">
      <c r="B82" s="9"/>
      <c r="C82" s="9"/>
      <c r="D82" s="9"/>
      <c r="F82" s="9"/>
      <c r="G82" s="9"/>
      <c r="H82" s="9"/>
      <c r="I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 customFormat="false" ht="15" hidden="false" customHeight="false" outlineLevel="0" collapsed="false">
      <c r="B83" s="9"/>
      <c r="C83" s="9"/>
      <c r="D83" s="9"/>
      <c r="F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 customFormat="false" ht="15" hidden="false" customHeight="false" outlineLevel="0" collapsed="false">
      <c r="B84" s="9"/>
      <c r="C84" s="9"/>
      <c r="D84" s="9"/>
      <c r="G84" s="9"/>
      <c r="H84" s="9"/>
      <c r="I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 customFormat="false" ht="15" hidden="false" customHeight="false" outlineLevel="0" collapsed="false">
      <c r="B85" s="9"/>
      <c r="C85" s="9"/>
      <c r="D85" s="9"/>
      <c r="F85" s="9"/>
      <c r="G85" s="9"/>
      <c r="H85" s="9"/>
      <c r="I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 customFormat="false" ht="15" hidden="false" customHeight="false" outlineLevel="0" collapsed="false">
      <c r="B86" s="9"/>
      <c r="C86" s="9"/>
      <c r="D86" s="9"/>
      <c r="G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 customFormat="false" ht="15" hidden="false" customHeight="false" outlineLevel="0" collapsed="false">
      <c r="B87" s="9"/>
      <c r="C87" s="9"/>
      <c r="D87" s="9"/>
      <c r="H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 customFormat="false" ht="15" hidden="false" customHeight="false" outlineLevel="0" collapsed="false">
      <c r="B88" s="9"/>
      <c r="C88" s="9"/>
      <c r="D88" s="9"/>
      <c r="I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customFormat="false" ht="15" hidden="false" customHeight="false" outlineLevel="0" collapsed="false">
      <c r="B89" s="9"/>
      <c r="C89" s="9"/>
      <c r="D89" s="9"/>
      <c r="F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 customFormat="false" ht="15" hidden="false" customHeight="false" outlineLevel="0" collapsed="false">
      <c r="B90" s="9"/>
      <c r="C90" s="9"/>
      <c r="D90" s="9"/>
      <c r="G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 customFormat="false" ht="15" hidden="false" customHeight="false" outlineLevel="0" collapsed="false">
      <c r="B91" s="9"/>
      <c r="C91" s="9"/>
      <c r="D91" s="9"/>
      <c r="H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 customFormat="false" ht="15" hidden="false" customHeight="false" outlineLevel="0" collapsed="false">
      <c r="B92" s="9"/>
      <c r="C92" s="9"/>
      <c r="D92" s="9"/>
      <c r="I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 customFormat="false" ht="15" hidden="false" customHeight="false" outlineLevel="0" collapsed="false">
      <c r="B93" s="9"/>
      <c r="C93" s="9"/>
      <c r="D93" s="9"/>
      <c r="F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 customFormat="false" ht="15" hidden="false" customHeight="false" outlineLevel="0" collapsed="false">
      <c r="B94" s="9"/>
      <c r="C94" s="9"/>
      <c r="D94" s="9"/>
      <c r="G94" s="9"/>
      <c r="H94" s="9"/>
      <c r="I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 customFormat="false" ht="15" hidden="false" customHeight="false" outlineLevel="0" collapsed="false">
      <c r="B95" s="9"/>
      <c r="C95" s="9"/>
      <c r="D95" s="9"/>
      <c r="G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 customFormat="false" ht="15" hidden="false" customHeight="false" outlineLevel="0" collapsed="false">
      <c r="B96" s="9"/>
      <c r="C96" s="9"/>
      <c r="D96" s="9"/>
      <c r="H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 customFormat="false" ht="15" hidden="false" customHeight="false" outlineLevel="0" collapsed="false">
      <c r="B97" s="9"/>
      <c r="C97" s="9"/>
      <c r="D97" s="9"/>
      <c r="I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 customFormat="false" ht="15" hidden="false" customHeight="false" outlineLevel="0" collapsed="false">
      <c r="B98" s="9"/>
      <c r="C98" s="9"/>
      <c r="D98" s="9"/>
      <c r="F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 customFormat="false" ht="15" hidden="false" customHeight="false" outlineLevel="0" collapsed="false">
      <c r="B99" s="9"/>
      <c r="C99" s="9"/>
      <c r="D99" s="9"/>
      <c r="G99" s="9"/>
      <c r="H99" s="9"/>
      <c r="I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 customFormat="false" ht="15" hidden="false" customHeight="false" outlineLevel="0" collapsed="false">
      <c r="B100" s="9"/>
      <c r="C100" s="9"/>
      <c r="D100" s="9"/>
      <c r="F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 customFormat="false" ht="15" hidden="false" customHeight="false" outlineLevel="0" collapsed="false">
      <c r="B101" s="9"/>
      <c r="C101" s="9"/>
      <c r="D101" s="9"/>
      <c r="G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 customFormat="false" ht="15" hidden="false" customHeight="false" outlineLevel="0" collapsed="false">
      <c r="B102" s="9"/>
      <c r="C102" s="9"/>
      <c r="D102" s="9"/>
      <c r="H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 customFormat="false" ht="15" hidden="false" customHeight="false" outlineLevel="0" collapsed="false">
      <c r="B103" s="9"/>
      <c r="C103" s="9"/>
      <c r="D103" s="9"/>
      <c r="I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 customFormat="false" ht="15" hidden="false" customHeight="false" outlineLevel="0" collapsed="false">
      <c r="B104" s="9"/>
      <c r="C104" s="9"/>
      <c r="D104" s="9"/>
      <c r="E104" s="9"/>
      <c r="F104" s="9"/>
      <c r="G104" s="9"/>
      <c r="H104" s="9"/>
      <c r="I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 customFormat="false" ht="15" hidden="false" customHeight="false" outlineLevel="0" collapsed="false">
      <c r="B105" s="9"/>
      <c r="C105" s="9"/>
      <c r="D105" s="9"/>
      <c r="F105" s="9"/>
      <c r="G105" s="9"/>
      <c r="H105" s="9"/>
      <c r="I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 customFormat="false" ht="15" hidden="false" customHeight="false" outlineLevel="0" collapsed="false">
      <c r="B106" s="9"/>
      <c r="C106" s="9"/>
      <c r="D106" s="9"/>
      <c r="E106" s="9"/>
      <c r="G106" s="9"/>
      <c r="H106" s="9"/>
      <c r="I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 customFormat="false" ht="15" hidden="false" customHeight="false" outlineLevel="0" collapsed="false">
      <c r="B107" s="9"/>
      <c r="C107" s="9"/>
      <c r="D107" s="9"/>
      <c r="F107" s="9"/>
      <c r="G107" s="9"/>
      <c r="H107" s="9"/>
      <c r="I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 customFormat="false" ht="15" hidden="false" customHeight="false" outlineLevel="0" collapsed="false">
      <c r="B108" s="9"/>
      <c r="C108" s="9"/>
      <c r="D108" s="9"/>
      <c r="F108" s="9"/>
      <c r="G108" s="9"/>
      <c r="H108" s="9"/>
      <c r="I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 customFormat="false" ht="15" hidden="false" customHeight="false" outlineLevel="0" collapsed="false">
      <c r="B109" s="9"/>
      <c r="C109" s="9"/>
      <c r="D109" s="9"/>
      <c r="F109" s="9"/>
      <c r="G109" s="9"/>
      <c r="H109" s="9"/>
      <c r="I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 customFormat="false" ht="15" hidden="false" customHeight="false" outlineLevel="0" collapsed="false">
      <c r="B110" s="9"/>
      <c r="C110" s="9"/>
      <c r="D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 customFormat="false" ht="15" hidden="false" customHeight="false" outlineLevel="0" collapsed="false">
      <c r="B111" s="9"/>
      <c r="C111" s="9"/>
      <c r="D111" s="9"/>
      <c r="J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 customFormat="false" ht="15" hidden="false" customHeight="false" outlineLevel="0" collapsed="false">
      <c r="B112" s="9"/>
      <c r="C112" s="9"/>
      <c r="D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 customFormat="false" ht="15" hidden="false" customHeight="false" outlineLevel="0" collapsed="false">
      <c r="B113" s="9"/>
      <c r="C113" s="9"/>
      <c r="D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 customFormat="false" ht="15" hidden="false" customHeight="false" outlineLevel="0" collapsed="false">
      <c r="B114" s="9"/>
      <c r="C114" s="9"/>
      <c r="D114" s="9"/>
      <c r="F114" s="9"/>
      <c r="J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 customFormat="false" ht="15" hidden="false" customHeight="false" outlineLevel="0" collapsed="false">
      <c r="B115" s="9"/>
      <c r="C115" s="9"/>
      <c r="D115" s="9"/>
      <c r="G115" s="9"/>
      <c r="K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 customFormat="false" ht="15" hidden="false" customHeight="false" outlineLevel="0" collapsed="false">
      <c r="B116" s="9"/>
      <c r="C116" s="9"/>
      <c r="D116" s="9"/>
      <c r="H116" s="9"/>
      <c r="L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 customFormat="false" ht="15" hidden="false" customHeight="false" outlineLevel="0" collapsed="false">
      <c r="B117" s="9"/>
      <c r="C117" s="9"/>
      <c r="D117" s="9"/>
      <c r="I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 customFormat="false" ht="15" hidden="false" customHeight="false" outlineLevel="0" collapsed="false">
      <c r="B118" s="9"/>
      <c r="C118" s="9"/>
      <c r="D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 customFormat="false" ht="15" hidden="false" customHeight="false" outlineLevel="0" collapsed="false">
      <c r="B119" s="9"/>
      <c r="C119" s="9"/>
      <c r="D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 customFormat="false" ht="15" hidden="false" customHeight="false" outlineLevel="0" collapsed="false">
      <c r="B120" s="9"/>
      <c r="C120" s="9"/>
      <c r="D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2" customFormat="false" ht="15" hidden="false" customHeight="false" outlineLevel="0" collapsed="false">
      <c r="A122" s="7" t="s">
        <v>18</v>
      </c>
    </row>
    <row r="123" customFormat="false" ht="15" hidden="false" customHeight="false" outlineLevel="0" collapsed="false">
      <c r="B123" s="9" t="str">
        <f aca="false">IFERROR(__xludf.DUMMYFUNCTION("IMPORTRANGE(Links!$B$4,""RODANTES!B16:W72"")"),"MP-11")</f>
        <v>MP-11</v>
      </c>
      <c r="C123" s="9"/>
      <c r="D123" s="9"/>
      <c r="F123" s="9"/>
      <c r="G123" s="9"/>
      <c r="J123" s="9"/>
      <c r="K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 customFormat="false" ht="15" hidden="false" customHeight="false" outlineLevel="0" collapsed="false">
      <c r="B124" s="9"/>
      <c r="C124" s="9"/>
      <c r="D124" s="9"/>
      <c r="H124" s="9"/>
      <c r="I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 customFormat="false" ht="15" hidden="false" customHeight="false" outlineLevel="0" collapsed="false">
      <c r="B125" s="9"/>
      <c r="C125" s="9"/>
      <c r="D125" s="9"/>
      <c r="F125" s="9"/>
      <c r="J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 customFormat="false" ht="15" hidden="false" customHeight="false" outlineLevel="0" collapsed="false">
      <c r="B126" s="9"/>
      <c r="C126" s="9"/>
      <c r="D126" s="9"/>
      <c r="G126" s="9"/>
      <c r="K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 customFormat="false" ht="15" hidden="false" customHeight="false" outlineLevel="0" collapsed="false">
      <c r="B127" s="9"/>
      <c r="C127" s="9"/>
      <c r="D127" s="9"/>
      <c r="H127" s="9"/>
      <c r="I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 customFormat="false" ht="15" hidden="false" customHeight="false" outlineLevel="0" collapsed="false">
      <c r="B128" s="9"/>
      <c r="C128" s="9"/>
      <c r="D128" s="9"/>
      <c r="F128" s="9"/>
      <c r="G128" s="9"/>
      <c r="J128" s="9"/>
      <c r="K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 customFormat="false" ht="15" hidden="false" customHeight="false" outlineLevel="0" collapsed="false">
      <c r="B129" s="9"/>
      <c r="C129" s="9"/>
      <c r="D129" s="9"/>
      <c r="H129" s="9"/>
      <c r="I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 customFormat="false" ht="15" hidden="false" customHeight="false" outlineLevel="0" collapsed="false">
      <c r="B130" s="9"/>
      <c r="C130" s="9"/>
      <c r="D130" s="9"/>
      <c r="F130" s="9"/>
      <c r="G130" s="9"/>
      <c r="H130" s="9"/>
      <c r="I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 customFormat="false" ht="15" hidden="false" customHeight="false" outlineLevel="0" collapsed="false">
      <c r="B131" s="9"/>
      <c r="C131" s="9"/>
      <c r="D131" s="9"/>
      <c r="G131" s="9"/>
      <c r="H131" s="9"/>
      <c r="I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 customFormat="false" ht="15" hidden="false" customHeight="false" outlineLevel="0" collapsed="false">
      <c r="B132" s="9"/>
      <c r="C132" s="9"/>
      <c r="D132" s="9"/>
      <c r="F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 customFormat="false" ht="15" hidden="false" customHeight="false" outlineLevel="0" collapsed="false">
      <c r="B133" s="9"/>
      <c r="C133" s="9"/>
      <c r="D133" s="9"/>
      <c r="G133" s="9"/>
      <c r="H133" s="9"/>
      <c r="I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 customFormat="false" ht="15" hidden="false" customHeight="false" outlineLevel="0" collapsed="false">
      <c r="B134" s="9"/>
      <c r="C134" s="9"/>
      <c r="D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 customFormat="false" ht="15" hidden="false" customHeight="false" outlineLevel="0" collapsed="false">
      <c r="B135" s="9"/>
      <c r="C135" s="9"/>
      <c r="D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 customFormat="false" ht="15" hidden="false" customHeight="false" outlineLevel="0" collapsed="false">
      <c r="B136" s="9"/>
      <c r="C136" s="9"/>
      <c r="D136" s="9"/>
      <c r="F136" s="9"/>
      <c r="G136" s="9"/>
      <c r="H136" s="9"/>
      <c r="I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 customFormat="false" ht="15" hidden="false" customHeight="false" outlineLevel="0" collapsed="false">
      <c r="B137" s="9"/>
      <c r="C137" s="9"/>
      <c r="D137" s="9"/>
      <c r="F137" s="9"/>
      <c r="G137" s="9"/>
      <c r="H137" s="9"/>
      <c r="I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 customFormat="false" ht="15" hidden="false" customHeight="false" outlineLevel="0" collapsed="false">
      <c r="B138" s="9"/>
      <c r="C138" s="9"/>
      <c r="D138" s="9"/>
      <c r="F138" s="9"/>
      <c r="G138" s="9"/>
      <c r="H138" s="9"/>
      <c r="I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 customFormat="false" ht="15" hidden="false" customHeight="false" outlineLevel="0" collapsed="false">
      <c r="B139" s="9"/>
      <c r="C139" s="9"/>
      <c r="D139" s="9"/>
      <c r="F139" s="9"/>
      <c r="G139" s="9"/>
      <c r="H139" s="9"/>
      <c r="I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 customFormat="false" ht="15" hidden="false" customHeight="false" outlineLevel="0" collapsed="false">
      <c r="B140" s="9"/>
      <c r="C140" s="9"/>
      <c r="D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 customFormat="false" ht="15" hidden="false" customHeight="false" outlineLevel="0" collapsed="false">
      <c r="B141" s="9"/>
      <c r="C141" s="9"/>
      <c r="D141" s="9"/>
      <c r="F141" s="9"/>
      <c r="J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 customFormat="false" ht="15" hidden="false" customHeight="false" outlineLevel="0" collapsed="false">
      <c r="B142" s="9"/>
      <c r="C142" s="9"/>
      <c r="D142" s="9"/>
      <c r="G142" s="9"/>
      <c r="K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 customFormat="false" ht="15" hidden="false" customHeight="false" outlineLevel="0" collapsed="false">
      <c r="B143" s="9"/>
      <c r="C143" s="9"/>
      <c r="D143" s="9"/>
      <c r="H143" s="9"/>
      <c r="L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 customFormat="false" ht="15" hidden="false" customHeight="false" outlineLevel="0" collapsed="false">
      <c r="B144" s="9"/>
      <c r="C144" s="9"/>
      <c r="D144" s="9"/>
      <c r="I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 customFormat="false" ht="15" hidden="false" customHeight="false" outlineLevel="0" collapsed="false">
      <c r="B145" s="9"/>
      <c r="C145" s="9"/>
      <c r="D145" s="9"/>
      <c r="F145" s="9"/>
      <c r="G145" s="9"/>
      <c r="H145" s="9"/>
      <c r="I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 customFormat="false" ht="15" hidden="false" customHeight="false" outlineLevel="0" collapsed="false">
      <c r="B146" s="9"/>
      <c r="C146" s="9"/>
      <c r="D146" s="9"/>
      <c r="F146" s="9"/>
      <c r="G146" s="9"/>
      <c r="H146" s="9"/>
      <c r="I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 customFormat="false" ht="15" hidden="false" customHeight="false" outlineLevel="0" collapsed="false">
      <c r="B147" s="9"/>
      <c r="C147" s="9"/>
      <c r="D147" s="9"/>
      <c r="F147" s="9"/>
      <c r="G147" s="9"/>
      <c r="H147" s="9"/>
      <c r="I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 customFormat="false" ht="15" hidden="false" customHeight="false" outlineLevel="0" collapsed="false">
      <c r="B148" s="9"/>
      <c r="C148" s="9"/>
      <c r="D148" s="9"/>
      <c r="F148" s="9"/>
      <c r="G148" s="9"/>
      <c r="H148" s="9"/>
      <c r="I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 customFormat="false" ht="15" hidden="false" customHeight="false" outlineLevel="0" collapsed="false">
      <c r="B149" s="9"/>
      <c r="C149" s="9"/>
      <c r="D149" s="9"/>
      <c r="F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 customFormat="false" ht="15" hidden="false" customHeight="false" outlineLevel="0" collapsed="false">
      <c r="B150" s="9"/>
      <c r="C150" s="9"/>
      <c r="D150" s="9"/>
      <c r="G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 customFormat="false" ht="15" hidden="false" customHeight="false" outlineLevel="0" collapsed="false">
      <c r="B151" s="9"/>
      <c r="C151" s="9"/>
      <c r="D151" s="9"/>
      <c r="H151" s="9"/>
      <c r="I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 customFormat="false" ht="15" hidden="false" customHeight="false" outlineLevel="0" collapsed="false">
      <c r="B152" s="9"/>
      <c r="C152" s="9"/>
      <c r="D152" s="9"/>
      <c r="F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 customFormat="false" ht="15" hidden="false" customHeight="false" outlineLevel="0" collapsed="false">
      <c r="B153" s="9"/>
      <c r="C153" s="9"/>
      <c r="D153" s="9"/>
      <c r="G153" s="9"/>
      <c r="H153" s="9"/>
      <c r="I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 customFormat="false" ht="15" hidden="false" customHeight="false" outlineLevel="0" collapsed="false">
      <c r="B154" s="9"/>
      <c r="C154" s="9"/>
      <c r="D154" s="9"/>
      <c r="F154" s="9"/>
      <c r="G154" s="9"/>
      <c r="H154" s="9"/>
      <c r="I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 customFormat="false" ht="15" hidden="false" customHeight="false" outlineLevel="0" collapsed="false">
      <c r="B155" s="9"/>
      <c r="C155" s="9"/>
      <c r="D155" s="9"/>
      <c r="F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 customFormat="false" ht="15" hidden="false" customHeight="false" outlineLevel="0" collapsed="false">
      <c r="B156" s="9"/>
      <c r="C156" s="9"/>
      <c r="D156" s="9"/>
      <c r="G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 customFormat="false" ht="15" hidden="false" customHeight="false" outlineLevel="0" collapsed="false">
      <c r="B157" s="9"/>
      <c r="C157" s="9"/>
      <c r="D157" s="9"/>
      <c r="H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 customFormat="false" ht="15" hidden="false" customHeight="false" outlineLevel="0" collapsed="false">
      <c r="B158" s="9"/>
      <c r="C158" s="9"/>
      <c r="D158" s="9"/>
      <c r="I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 customFormat="false" ht="15" hidden="false" customHeight="false" outlineLevel="0" collapsed="false">
      <c r="B159" s="9"/>
      <c r="C159" s="9"/>
      <c r="D159" s="9"/>
      <c r="F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 customFormat="false" ht="15" hidden="false" customHeight="false" outlineLevel="0" collapsed="false">
      <c r="B160" s="9"/>
      <c r="C160" s="9"/>
      <c r="D160" s="9"/>
      <c r="G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 customFormat="false" ht="15" hidden="false" customHeight="false" outlineLevel="0" collapsed="false">
      <c r="B161" s="9"/>
      <c r="C161" s="9"/>
      <c r="D161" s="9"/>
      <c r="H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 customFormat="false" ht="15" hidden="false" customHeight="false" outlineLevel="0" collapsed="false">
      <c r="B162" s="9"/>
      <c r="C162" s="9"/>
      <c r="D162" s="9"/>
      <c r="I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 customFormat="false" ht="15" hidden="false" customHeight="false" outlineLevel="0" collapsed="false">
      <c r="B163" s="9"/>
      <c r="C163" s="9"/>
      <c r="D163" s="9"/>
      <c r="F163" s="9"/>
      <c r="G163" s="9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 customFormat="false" ht="15" hidden="false" customHeight="false" outlineLevel="0" collapsed="false">
      <c r="B164" s="9"/>
      <c r="C164" s="9"/>
      <c r="D164" s="9"/>
      <c r="H164" s="9"/>
      <c r="I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 customFormat="false" ht="15" hidden="false" customHeight="false" outlineLevel="0" collapsed="false">
      <c r="B165" s="9"/>
      <c r="C165" s="9"/>
      <c r="D165" s="9"/>
      <c r="F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 customFormat="false" ht="15" hidden="false" customHeight="false" outlineLevel="0" collapsed="false">
      <c r="B166" s="9"/>
      <c r="C166" s="9"/>
      <c r="D166" s="9"/>
      <c r="G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 customFormat="false" ht="15" hidden="false" customHeight="false" outlineLevel="0" collapsed="false">
      <c r="B167" s="9"/>
      <c r="C167" s="9"/>
      <c r="D167" s="9"/>
      <c r="H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 customFormat="false" ht="15" hidden="false" customHeight="false" outlineLevel="0" collapsed="false">
      <c r="B168" s="9"/>
      <c r="C168" s="9"/>
      <c r="D168" s="9"/>
      <c r="I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 customFormat="false" ht="15" hidden="false" customHeight="false" outlineLevel="0" collapsed="false">
      <c r="B169" s="9"/>
      <c r="C169" s="9"/>
      <c r="D169" s="9"/>
      <c r="E169" s="9"/>
      <c r="F169" s="9"/>
      <c r="G169" s="9"/>
      <c r="H169" s="9"/>
      <c r="I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 customFormat="false" ht="15" hidden="false" customHeight="false" outlineLevel="0" collapsed="false">
      <c r="B170" s="9"/>
      <c r="C170" s="9"/>
      <c r="D170" s="9"/>
      <c r="F170" s="9"/>
      <c r="G170" s="9"/>
      <c r="H170" s="9"/>
      <c r="I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 customFormat="false" ht="15" hidden="false" customHeight="false" outlineLevel="0" collapsed="false">
      <c r="B171" s="9"/>
      <c r="C171" s="9"/>
      <c r="D171" s="9"/>
      <c r="E171" s="9"/>
      <c r="F171" s="9"/>
      <c r="G171" s="9"/>
      <c r="H171" s="9"/>
      <c r="I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 customFormat="false" ht="15" hidden="false" customHeight="false" outlineLevel="0" collapsed="false">
      <c r="B172" s="9"/>
      <c r="C172" s="9"/>
      <c r="D172" s="9"/>
      <c r="F172" s="9"/>
      <c r="G172" s="9"/>
      <c r="H172" s="9"/>
      <c r="I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 customFormat="false" ht="15" hidden="false" customHeight="false" outlineLevel="0" collapsed="false">
      <c r="B173" s="9"/>
      <c r="C173" s="9"/>
      <c r="D173" s="9"/>
      <c r="F173" s="9"/>
      <c r="G173" s="9"/>
      <c r="H173" s="9"/>
      <c r="I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 customFormat="false" ht="15" hidden="false" customHeight="false" outlineLevel="0" collapsed="false">
      <c r="B174" s="9"/>
      <c r="C174" s="9"/>
      <c r="D174" s="9"/>
      <c r="F174" s="9"/>
      <c r="G174" s="9"/>
      <c r="H174" s="9"/>
      <c r="I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 customFormat="false" ht="15" hidden="false" customHeight="false" outlineLevel="0" collapsed="false">
      <c r="B175" s="9"/>
      <c r="C175" s="9"/>
      <c r="D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 customFormat="false" ht="15" hidden="false" customHeight="false" outlineLevel="0" collapsed="false">
      <c r="B176" s="9"/>
      <c r="C176" s="9"/>
      <c r="D176" s="9"/>
      <c r="J176" s="9"/>
      <c r="K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 customFormat="false" ht="15" hidden="false" customHeight="false" outlineLevel="0" collapsed="false">
      <c r="B177" s="9"/>
      <c r="C177" s="9"/>
      <c r="D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 customFormat="false" ht="15" hidden="false" customHeight="false" outlineLevel="0" collapsed="false">
      <c r="B178" s="9"/>
      <c r="C178" s="9"/>
      <c r="D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 customFormat="false" ht="15" hidden="false" customHeight="false" outlineLevel="0" collapsed="false">
      <c r="B179" s="9"/>
      <c r="C179" s="9"/>
      <c r="D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1" customFormat="false" ht="15" hidden="false" customHeight="false" outlineLevel="0" collapsed="false">
      <c r="A181" s="7" t="s">
        <v>19</v>
      </c>
    </row>
    <row r="182" customFormat="false" ht="15" hidden="false" customHeight="false" outlineLevel="0" collapsed="false">
      <c r="B182" s="9" t="str">
        <f aca="false">IFERROR(__xludf.DUMMYFUNCTION("IMPORTRANGE(Links!$B$4,""RECARGAS!B16:AG37"")"),"MP-33")</f>
        <v>MP-33</v>
      </c>
      <c r="C182" s="9"/>
      <c r="D182" s="9"/>
      <c r="F182" s="9"/>
      <c r="G182" s="9"/>
      <c r="H182" s="9"/>
      <c r="I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</row>
    <row r="183" customFormat="false" ht="15" hidden="false" customHeight="false" outlineLevel="0" collapsed="false">
      <c r="B183" s="9"/>
      <c r="C183" s="9"/>
      <c r="D183" s="9"/>
      <c r="S183" s="9"/>
      <c r="T183" s="9"/>
      <c r="U183" s="9"/>
      <c r="V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</row>
    <row r="184" customFormat="false" ht="15" hidden="false" customHeight="false" outlineLevel="0" collapsed="false">
      <c r="B184" s="9"/>
      <c r="C184" s="9"/>
      <c r="D184" s="9"/>
      <c r="M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</row>
    <row r="185" customFormat="false" ht="15" hidden="false" customHeight="false" outlineLevel="0" collapsed="false">
      <c r="B185" s="9"/>
      <c r="C185" s="9"/>
      <c r="D185" s="9"/>
      <c r="R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</row>
    <row r="186" customFormat="false" ht="15" hidden="false" customHeight="false" outlineLevel="0" collapsed="false">
      <c r="B186" s="9"/>
      <c r="C186" s="9"/>
      <c r="D186" s="9"/>
      <c r="O186" s="9"/>
      <c r="P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</row>
    <row r="187" customFormat="false" ht="15" hidden="false" customHeight="false" outlineLevel="0" collapsed="false">
      <c r="B187" s="9"/>
      <c r="C187" s="9"/>
      <c r="D187" s="9"/>
      <c r="Q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</row>
    <row r="188" customFormat="false" ht="15" hidden="false" customHeight="false" outlineLevel="0" collapsed="false">
      <c r="B188" s="9"/>
      <c r="C188" s="9"/>
      <c r="D188" s="9"/>
      <c r="K188" s="9"/>
      <c r="L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</row>
    <row r="189" customFormat="false" ht="15" hidden="false" customHeight="false" outlineLevel="0" collapsed="false">
      <c r="B189" s="9"/>
      <c r="C189" s="9"/>
      <c r="D189" s="9"/>
      <c r="N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</row>
    <row r="190" customFormat="false" ht="15" hidden="false" customHeight="false" outlineLevel="0" collapsed="false">
      <c r="B190" s="9"/>
      <c r="C190" s="9"/>
      <c r="D190" s="9"/>
      <c r="F190" s="9"/>
      <c r="G190" s="9"/>
      <c r="H190" s="9"/>
      <c r="I190" s="9"/>
      <c r="J190" s="9"/>
      <c r="K190" s="9"/>
      <c r="L190" s="9"/>
      <c r="M190" s="9"/>
      <c r="N190" s="9"/>
      <c r="Q190" s="9"/>
      <c r="R190" s="9"/>
      <c r="S190" s="9"/>
      <c r="T190" s="9"/>
      <c r="U190" s="9"/>
      <c r="V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</row>
    <row r="191" customFormat="false" ht="15" hidden="false" customHeight="false" outlineLevel="0" collapsed="false">
      <c r="B191" s="9"/>
      <c r="C191" s="9"/>
      <c r="D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</row>
    <row r="192" customFormat="false" ht="15" hidden="false" customHeight="false" outlineLevel="0" collapsed="false">
      <c r="B192" s="9"/>
      <c r="C192" s="9"/>
      <c r="D192" s="9"/>
      <c r="O192" s="9"/>
      <c r="P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</row>
    <row r="193" customFormat="false" ht="15" hidden="false" customHeight="false" outlineLevel="0" collapsed="false">
      <c r="B193" s="9"/>
      <c r="C193" s="9"/>
      <c r="D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</row>
    <row r="194" customFormat="false" ht="15" hidden="false" customHeight="false" outlineLevel="0" collapsed="false">
      <c r="B194" s="9"/>
      <c r="C194" s="9"/>
      <c r="D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</row>
    <row r="195" customFormat="false" ht="15" hidden="false" customHeight="false" outlineLevel="0" collapsed="false">
      <c r="B195" s="9"/>
      <c r="C195" s="9"/>
      <c r="D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</row>
    <row r="196" customFormat="false" ht="15" hidden="false" customHeight="false" outlineLevel="0" collapsed="false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</row>
    <row r="197" customFormat="false" ht="15" hidden="false" customHeight="false" outlineLevel="0" collapsed="false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</row>
    <row r="198" customFormat="false" ht="15" hidden="false" customHeight="false" outlineLevel="0" collapsed="false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</row>
    <row r="199" customFormat="false" ht="15" hidden="false" customHeight="false" outlineLevel="0" collapsed="false">
      <c r="B199" s="9"/>
      <c r="C199" s="9"/>
      <c r="D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</row>
    <row r="200" customFormat="false" ht="15" hidden="false" customHeight="false" outlineLevel="0" collapsed="false">
      <c r="B200" s="9"/>
      <c r="C200" s="9"/>
      <c r="D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</row>
    <row r="201" customFormat="false" ht="15" hidden="false" customHeight="false" outlineLevel="0" collapsed="false">
      <c r="B201" s="9"/>
      <c r="C201" s="9"/>
      <c r="D201" s="9"/>
      <c r="E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</row>
    <row r="202" customFormat="false" ht="15" hidden="false" customHeight="false" outlineLevel="0" collapsed="false">
      <c r="B202" s="9"/>
      <c r="C202" s="9"/>
      <c r="D202" s="9"/>
      <c r="E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</row>
    <row r="203" customFormat="false" ht="15" hidden="false" customHeight="false" outlineLevel="0" collapsed="false">
      <c r="B203" s="9"/>
      <c r="C203" s="9"/>
      <c r="D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</row>
    <row r="205" customFormat="false" ht="15" hidden="false" customHeight="false" outlineLevel="0" collapsed="false">
      <c r="A205" s="7" t="s">
        <v>20</v>
      </c>
    </row>
    <row r="206" customFormat="false" ht="15" hidden="false" customHeight="false" outlineLevel="0" collapsed="false">
      <c r="B206" s="9" t="str">
        <f aca="false">IFERROR(__xludf.DUMMYFUNCTION("IMPORTRANGE(Links!$B$4,""REVENDIDOS!B16:X25"")"),"RV-AGUA_10l")</f>
        <v>RV-AGUA_10l</v>
      </c>
      <c r="C206" s="9"/>
      <c r="D206" s="9"/>
      <c r="F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customFormat="false" ht="15" hidden="false" customHeight="false" outlineLevel="0" collapsed="false">
      <c r="B207" s="9"/>
      <c r="C207" s="9"/>
      <c r="D207" s="9"/>
      <c r="G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customFormat="false" ht="15" hidden="false" customHeight="false" outlineLevel="0" collapsed="false">
      <c r="B208" s="9"/>
      <c r="C208" s="9"/>
      <c r="D208" s="9"/>
      <c r="H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customFormat="false" ht="15" hidden="false" customHeight="false" outlineLevel="0" collapsed="false">
      <c r="B209" s="9"/>
      <c r="C209" s="9"/>
      <c r="D209" s="9"/>
      <c r="I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customFormat="false" ht="15" hidden="false" customHeight="false" outlineLevel="0" collapsed="false">
      <c r="B210" s="9"/>
      <c r="C210" s="9"/>
      <c r="D210" s="9"/>
      <c r="J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customFormat="false" ht="15" hidden="false" customHeight="false" outlineLevel="0" collapsed="false">
      <c r="B211" s="9"/>
      <c r="C211" s="9"/>
      <c r="D211" s="9"/>
      <c r="K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customFormat="false" ht="15" hidden="false" customHeight="false" outlineLevel="0" collapsed="false">
      <c r="B212" s="9"/>
      <c r="C212" s="9"/>
      <c r="D212" s="9"/>
      <c r="L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customFormat="false" ht="15" hidden="false" customHeight="false" outlineLevel="0" collapsed="false">
      <c r="B213" s="9"/>
      <c r="C213" s="9"/>
      <c r="D213" s="9"/>
      <c r="M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customFormat="false" ht="15" hidden="false" customHeight="false" outlineLevel="0" collapsed="false">
      <c r="B214" s="9"/>
      <c r="C214" s="9"/>
      <c r="D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customFormat="false" ht="15" hidden="false" customHeight="false" outlineLevel="0" collapsed="false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7" customFormat="false" ht="15" hidden="false" customHeight="false" outlineLevel="0" collapsed="false">
      <c r="A217" s="7" t="s">
        <v>21</v>
      </c>
    </row>
    <row r="218" customFormat="false" ht="15" hidden="false" customHeight="false" outlineLevel="0" collapsed="false">
      <c r="B218" s="10" t="str">
        <f aca="false">IFERROR(__xludf.DUMMYFUNCTION("IMPORTRANGE(Links!$B$4,""POLITICA_STOCK!B5:B129"")"),"MP-01")</f>
        <v>MP-01</v>
      </c>
    </row>
    <row r="219" customFormat="false" ht="15" hidden="false" customHeight="false" outlineLevel="0" collapsed="false">
      <c r="B219" s="10"/>
    </row>
    <row r="220" customFormat="false" ht="15" hidden="false" customHeight="false" outlineLevel="0" collapsed="false">
      <c r="B220" s="10"/>
    </row>
    <row r="221" customFormat="false" ht="15" hidden="false" customHeight="false" outlineLevel="0" collapsed="false">
      <c r="B221" s="10"/>
    </row>
    <row r="222" customFormat="false" ht="15" hidden="false" customHeight="false" outlineLevel="0" collapsed="false">
      <c r="B222" s="10"/>
    </row>
    <row r="223" customFormat="false" ht="15" hidden="false" customHeight="false" outlineLevel="0" collapsed="false">
      <c r="B223" s="10"/>
    </row>
    <row r="224" customFormat="false" ht="15" hidden="false" customHeight="false" outlineLevel="0" collapsed="false">
      <c r="B224" s="10"/>
    </row>
    <row r="225" customFormat="false" ht="15" hidden="false" customHeight="false" outlineLevel="0" collapsed="false">
      <c r="B225" s="10"/>
    </row>
    <row r="226" customFormat="false" ht="15" hidden="false" customHeight="false" outlineLevel="0" collapsed="false">
      <c r="B226" s="10"/>
    </row>
    <row r="227" customFormat="false" ht="15" hidden="false" customHeight="false" outlineLevel="0" collapsed="false">
      <c r="B227" s="10"/>
    </row>
    <row r="228" customFormat="false" ht="15" hidden="false" customHeight="false" outlineLevel="0" collapsed="false">
      <c r="B228" s="10"/>
    </row>
    <row r="229" customFormat="false" ht="15" hidden="false" customHeight="false" outlineLevel="0" collapsed="false">
      <c r="B229" s="10"/>
    </row>
    <row r="230" customFormat="false" ht="15" hidden="false" customHeight="false" outlineLevel="0" collapsed="false">
      <c r="B230" s="10"/>
    </row>
    <row r="231" customFormat="false" ht="15" hidden="false" customHeight="false" outlineLevel="0" collapsed="false">
      <c r="B231" s="10"/>
    </row>
    <row r="232" customFormat="false" ht="15" hidden="false" customHeight="false" outlineLevel="0" collapsed="false">
      <c r="B232" s="10"/>
    </row>
    <row r="233" customFormat="false" ht="15" hidden="false" customHeight="false" outlineLevel="0" collapsed="false">
      <c r="B233" s="10"/>
    </row>
    <row r="234" customFormat="false" ht="15" hidden="false" customHeight="false" outlineLevel="0" collapsed="false">
      <c r="B234" s="10"/>
    </row>
    <row r="235" customFormat="false" ht="15" hidden="false" customHeight="false" outlineLevel="0" collapsed="false">
      <c r="B235" s="10"/>
    </row>
    <row r="236" customFormat="false" ht="15" hidden="false" customHeight="false" outlineLevel="0" collapsed="false">
      <c r="B236" s="10"/>
    </row>
    <row r="237" customFormat="false" ht="15" hidden="false" customHeight="false" outlineLevel="0" collapsed="false">
      <c r="B237" s="10"/>
    </row>
    <row r="238" customFormat="false" ht="15" hidden="false" customHeight="false" outlineLevel="0" collapsed="false">
      <c r="B238" s="10"/>
    </row>
    <row r="239" customFormat="false" ht="15" hidden="false" customHeight="false" outlineLevel="0" collapsed="false">
      <c r="B239" s="10"/>
    </row>
    <row r="240" customFormat="false" ht="15" hidden="false" customHeight="false" outlineLevel="0" collapsed="false">
      <c r="B240" s="10"/>
    </row>
    <row r="241" customFormat="false" ht="15" hidden="false" customHeight="false" outlineLevel="0" collapsed="false">
      <c r="B241" s="10"/>
    </row>
    <row r="242" customFormat="false" ht="15" hidden="false" customHeight="false" outlineLevel="0" collapsed="false">
      <c r="B242" s="10"/>
    </row>
    <row r="243" customFormat="false" ht="15" hidden="false" customHeight="false" outlineLevel="0" collapsed="false">
      <c r="B243" s="10"/>
    </row>
    <row r="244" customFormat="false" ht="15" hidden="false" customHeight="false" outlineLevel="0" collapsed="false">
      <c r="B244" s="10"/>
    </row>
    <row r="245" customFormat="false" ht="15" hidden="false" customHeight="false" outlineLevel="0" collapsed="false">
      <c r="B245" s="10"/>
    </row>
    <row r="246" customFormat="false" ht="15" hidden="false" customHeight="false" outlineLevel="0" collapsed="false">
      <c r="B246" s="10"/>
    </row>
    <row r="247" customFormat="false" ht="15" hidden="false" customHeight="false" outlineLevel="0" collapsed="false">
      <c r="B247" s="10"/>
    </row>
    <row r="248" customFormat="false" ht="15" hidden="false" customHeight="false" outlineLevel="0" collapsed="false">
      <c r="B248" s="10"/>
    </row>
    <row r="249" customFormat="false" ht="15" hidden="false" customHeight="false" outlineLevel="0" collapsed="false">
      <c r="B249" s="10"/>
    </row>
    <row r="250" customFormat="false" ht="15" hidden="false" customHeight="false" outlineLevel="0" collapsed="false">
      <c r="B250" s="10"/>
    </row>
    <row r="251" customFormat="false" ht="15" hidden="false" customHeight="false" outlineLevel="0" collapsed="false">
      <c r="B251" s="10"/>
    </row>
    <row r="252" customFormat="false" ht="15" hidden="false" customHeight="false" outlineLevel="0" collapsed="false">
      <c r="B252" s="10"/>
    </row>
    <row r="253" customFormat="false" ht="15" hidden="false" customHeight="false" outlineLevel="0" collapsed="false">
      <c r="B253" s="10"/>
    </row>
    <row r="254" customFormat="false" ht="15" hidden="false" customHeight="false" outlineLevel="0" collapsed="false">
      <c r="B254" s="10"/>
    </row>
    <row r="255" customFormat="false" ht="15" hidden="false" customHeight="false" outlineLevel="0" collapsed="false">
      <c r="B255" s="10"/>
    </row>
    <row r="256" customFormat="false" ht="15" hidden="false" customHeight="false" outlineLevel="0" collapsed="false">
      <c r="B256" s="10"/>
    </row>
    <row r="257" customFormat="false" ht="15" hidden="false" customHeight="false" outlineLevel="0" collapsed="false">
      <c r="B257" s="10"/>
    </row>
    <row r="258" customFormat="false" ht="15" hidden="false" customHeight="false" outlineLevel="0" collapsed="false">
      <c r="B258" s="10"/>
    </row>
    <row r="259" customFormat="false" ht="15" hidden="false" customHeight="false" outlineLevel="0" collapsed="false">
      <c r="B259" s="10"/>
    </row>
    <row r="260" customFormat="false" ht="15" hidden="false" customHeight="false" outlineLevel="0" collapsed="false">
      <c r="B260" s="10"/>
    </row>
    <row r="261" customFormat="false" ht="15" hidden="false" customHeight="false" outlineLevel="0" collapsed="false">
      <c r="B261" s="10"/>
    </row>
    <row r="262" customFormat="false" ht="15" hidden="false" customHeight="false" outlineLevel="0" collapsed="false">
      <c r="B262" s="10"/>
    </row>
    <row r="263" customFormat="false" ht="15" hidden="false" customHeight="false" outlineLevel="0" collapsed="false">
      <c r="B263" s="10"/>
    </row>
    <row r="264" customFormat="false" ht="15" hidden="false" customHeight="false" outlineLevel="0" collapsed="false">
      <c r="B264" s="10"/>
    </row>
    <row r="265" customFormat="false" ht="15" hidden="false" customHeight="false" outlineLevel="0" collapsed="false">
      <c r="B265" s="10"/>
    </row>
    <row r="266" customFormat="false" ht="15" hidden="false" customHeight="false" outlineLevel="0" collapsed="false">
      <c r="B266" s="10"/>
    </row>
    <row r="267" customFormat="false" ht="15" hidden="false" customHeight="false" outlineLevel="0" collapsed="false">
      <c r="B267" s="10"/>
    </row>
    <row r="268" customFormat="false" ht="15" hidden="false" customHeight="false" outlineLevel="0" collapsed="false">
      <c r="B268" s="10"/>
    </row>
    <row r="269" customFormat="false" ht="15" hidden="false" customHeight="false" outlineLevel="0" collapsed="false">
      <c r="B269" s="10"/>
    </row>
    <row r="270" customFormat="false" ht="15" hidden="false" customHeight="false" outlineLevel="0" collapsed="false">
      <c r="B270" s="10"/>
    </row>
    <row r="271" customFormat="false" ht="15" hidden="false" customHeight="false" outlineLevel="0" collapsed="false">
      <c r="B271" s="10"/>
    </row>
    <row r="272" customFormat="false" ht="15" hidden="false" customHeight="false" outlineLevel="0" collapsed="false">
      <c r="B272" s="10"/>
    </row>
    <row r="273" customFormat="false" ht="15" hidden="false" customHeight="false" outlineLevel="0" collapsed="false">
      <c r="B273" s="10"/>
    </row>
    <row r="274" customFormat="false" ht="15" hidden="false" customHeight="false" outlineLevel="0" collapsed="false">
      <c r="B274" s="10"/>
    </row>
    <row r="275" customFormat="false" ht="15" hidden="false" customHeight="false" outlineLevel="0" collapsed="false">
      <c r="B275" s="10"/>
    </row>
    <row r="276" customFormat="false" ht="15" hidden="false" customHeight="false" outlineLevel="0" collapsed="false">
      <c r="B276" s="10"/>
    </row>
    <row r="277" customFormat="false" ht="15" hidden="false" customHeight="false" outlineLevel="0" collapsed="false">
      <c r="B277" s="10"/>
    </row>
    <row r="278" customFormat="false" ht="15" hidden="false" customHeight="false" outlineLevel="0" collapsed="false">
      <c r="B278" s="10"/>
    </row>
    <row r="279" customFormat="false" ht="15" hidden="false" customHeight="false" outlineLevel="0" collapsed="false">
      <c r="B279" s="10"/>
    </row>
    <row r="280" customFormat="false" ht="15" hidden="false" customHeight="false" outlineLevel="0" collapsed="false">
      <c r="B280" s="10"/>
    </row>
    <row r="281" customFormat="false" ht="15" hidden="false" customHeight="false" outlineLevel="0" collapsed="false">
      <c r="B281" s="10"/>
    </row>
    <row r="282" customFormat="false" ht="15" hidden="false" customHeight="false" outlineLevel="0" collapsed="false">
      <c r="B282" s="10"/>
    </row>
    <row r="283" customFormat="false" ht="15" hidden="false" customHeight="false" outlineLevel="0" collapsed="false">
      <c r="B283" s="10"/>
    </row>
    <row r="284" customFormat="false" ht="15" hidden="false" customHeight="false" outlineLevel="0" collapsed="false">
      <c r="B284" s="10"/>
    </row>
    <row r="285" customFormat="false" ht="15" hidden="false" customHeight="false" outlineLevel="0" collapsed="false">
      <c r="B285" s="10"/>
    </row>
    <row r="286" customFormat="false" ht="15" hidden="false" customHeight="false" outlineLevel="0" collapsed="false">
      <c r="B286" s="10"/>
    </row>
    <row r="287" customFormat="false" ht="15" hidden="false" customHeight="false" outlineLevel="0" collapsed="false">
      <c r="B287" s="10"/>
    </row>
    <row r="288" customFormat="false" ht="15" hidden="false" customHeight="false" outlineLevel="0" collapsed="false">
      <c r="B288" s="10"/>
    </row>
    <row r="289" customFormat="false" ht="15" hidden="false" customHeight="false" outlineLevel="0" collapsed="false">
      <c r="B289" s="10"/>
    </row>
    <row r="290" customFormat="false" ht="15" hidden="false" customHeight="false" outlineLevel="0" collapsed="false">
      <c r="B290" s="10"/>
    </row>
    <row r="291" customFormat="false" ht="15" hidden="false" customHeight="false" outlineLevel="0" collapsed="false">
      <c r="B291" s="10"/>
    </row>
    <row r="292" customFormat="false" ht="15" hidden="false" customHeight="false" outlineLevel="0" collapsed="false">
      <c r="B292" s="10"/>
    </row>
    <row r="293" customFormat="false" ht="15" hidden="false" customHeight="false" outlineLevel="0" collapsed="false">
      <c r="B293" s="10"/>
    </row>
    <row r="294" customFormat="false" ht="15" hidden="false" customHeight="false" outlineLevel="0" collapsed="false">
      <c r="B294" s="10"/>
    </row>
    <row r="295" customFormat="false" ht="15" hidden="false" customHeight="false" outlineLevel="0" collapsed="false">
      <c r="B295" s="10"/>
    </row>
    <row r="296" customFormat="false" ht="15" hidden="false" customHeight="false" outlineLevel="0" collapsed="false">
      <c r="B296" s="10"/>
    </row>
    <row r="297" customFormat="false" ht="15" hidden="false" customHeight="false" outlineLevel="0" collapsed="false">
      <c r="B297" s="10"/>
    </row>
    <row r="298" customFormat="false" ht="15" hidden="false" customHeight="false" outlineLevel="0" collapsed="false">
      <c r="B298" s="10"/>
    </row>
    <row r="299" customFormat="false" ht="15" hidden="false" customHeight="false" outlineLevel="0" collapsed="false">
      <c r="B299" s="10"/>
    </row>
    <row r="300" customFormat="false" ht="15" hidden="false" customHeight="false" outlineLevel="0" collapsed="false">
      <c r="B300" s="10"/>
    </row>
    <row r="301" customFormat="false" ht="15" hidden="false" customHeight="false" outlineLevel="0" collapsed="false">
      <c r="B301" s="10"/>
    </row>
    <row r="302" customFormat="false" ht="15" hidden="false" customHeight="false" outlineLevel="0" collapsed="false">
      <c r="B302" s="10"/>
    </row>
    <row r="303" customFormat="false" ht="15" hidden="false" customHeight="false" outlineLevel="0" collapsed="false">
      <c r="B303" s="10"/>
    </row>
    <row r="304" customFormat="false" ht="15" hidden="false" customHeight="false" outlineLevel="0" collapsed="false">
      <c r="B304" s="10"/>
    </row>
    <row r="305" customFormat="false" ht="15" hidden="false" customHeight="false" outlineLevel="0" collapsed="false">
      <c r="B305" s="10"/>
    </row>
    <row r="306" customFormat="false" ht="15" hidden="false" customHeight="false" outlineLevel="0" collapsed="false">
      <c r="B306" s="10"/>
    </row>
    <row r="307" customFormat="false" ht="15" hidden="false" customHeight="false" outlineLevel="0" collapsed="false">
      <c r="B307" s="10"/>
    </row>
    <row r="308" customFormat="false" ht="15" hidden="false" customHeight="false" outlineLevel="0" collapsed="false">
      <c r="B308" s="10"/>
    </row>
    <row r="309" customFormat="false" ht="15" hidden="false" customHeight="false" outlineLevel="0" collapsed="false">
      <c r="B309" s="10"/>
    </row>
    <row r="310" customFormat="false" ht="15" hidden="false" customHeight="false" outlineLevel="0" collapsed="false">
      <c r="B310" s="10"/>
    </row>
    <row r="311" customFormat="false" ht="15" hidden="false" customHeight="false" outlineLevel="0" collapsed="false">
      <c r="B311" s="10"/>
    </row>
    <row r="312" customFormat="false" ht="15" hidden="false" customHeight="false" outlineLevel="0" collapsed="false">
      <c r="B312" s="10"/>
    </row>
    <row r="313" customFormat="false" ht="15" hidden="false" customHeight="false" outlineLevel="0" collapsed="false">
      <c r="B313" s="10"/>
    </row>
    <row r="314" customFormat="false" ht="15" hidden="false" customHeight="false" outlineLevel="0" collapsed="false">
      <c r="B314" s="10"/>
    </row>
    <row r="315" customFormat="false" ht="15" hidden="false" customHeight="false" outlineLevel="0" collapsed="false">
      <c r="B315" s="10"/>
    </row>
    <row r="316" customFormat="false" ht="15" hidden="false" customHeight="false" outlineLevel="0" collapsed="false">
      <c r="B316" s="10"/>
    </row>
    <row r="317" customFormat="false" ht="15" hidden="false" customHeight="false" outlineLevel="0" collapsed="false">
      <c r="B317" s="10"/>
    </row>
    <row r="318" customFormat="false" ht="15" hidden="false" customHeight="false" outlineLevel="0" collapsed="false">
      <c r="B318" s="10"/>
    </row>
    <row r="319" customFormat="false" ht="15" hidden="false" customHeight="false" outlineLevel="0" collapsed="false">
      <c r="B319" s="10"/>
    </row>
    <row r="320" customFormat="false" ht="15" hidden="false" customHeight="false" outlineLevel="0" collapsed="false">
      <c r="B320" s="10"/>
    </row>
    <row r="321" customFormat="false" ht="15" hidden="false" customHeight="false" outlineLevel="0" collapsed="false">
      <c r="B321" s="10"/>
    </row>
    <row r="322" customFormat="false" ht="15" hidden="false" customHeight="false" outlineLevel="0" collapsed="false">
      <c r="B322" s="10"/>
    </row>
    <row r="323" customFormat="false" ht="15" hidden="false" customHeight="false" outlineLevel="0" collapsed="false">
      <c r="B323" s="10"/>
    </row>
    <row r="324" customFormat="false" ht="15" hidden="false" customHeight="false" outlineLevel="0" collapsed="false">
      <c r="B324" s="10"/>
    </row>
    <row r="325" customFormat="false" ht="15" hidden="false" customHeight="false" outlineLevel="0" collapsed="false">
      <c r="B325" s="10"/>
    </row>
    <row r="326" customFormat="false" ht="15" hidden="false" customHeight="false" outlineLevel="0" collapsed="false">
      <c r="B326" s="10"/>
    </row>
    <row r="327" customFormat="false" ht="15" hidden="false" customHeight="false" outlineLevel="0" collapsed="false">
      <c r="B327" s="10"/>
    </row>
    <row r="328" customFormat="false" ht="15" hidden="false" customHeight="false" outlineLevel="0" collapsed="false">
      <c r="B328" s="10"/>
    </row>
    <row r="329" customFormat="false" ht="15" hidden="false" customHeight="false" outlineLevel="0" collapsed="false">
      <c r="B329" s="10"/>
    </row>
    <row r="330" customFormat="false" ht="15" hidden="false" customHeight="false" outlineLevel="0" collapsed="false">
      <c r="B330" s="10"/>
    </row>
    <row r="331" customFormat="false" ht="15" hidden="false" customHeight="false" outlineLevel="0" collapsed="false">
      <c r="B331" s="10"/>
    </row>
    <row r="332" customFormat="false" ht="15" hidden="false" customHeight="false" outlineLevel="0" collapsed="false">
      <c r="B332" s="10"/>
    </row>
    <row r="333" customFormat="false" ht="15" hidden="false" customHeight="false" outlineLevel="0" collapsed="false">
      <c r="B333" s="10"/>
    </row>
    <row r="334" customFormat="false" ht="15" hidden="false" customHeight="false" outlineLevel="0" collapsed="false">
      <c r="B334" s="10"/>
    </row>
    <row r="335" customFormat="false" ht="15" hidden="false" customHeight="false" outlineLevel="0" collapsed="false">
      <c r="B335" s="10"/>
    </row>
    <row r="336" customFormat="false" ht="15" hidden="false" customHeight="false" outlineLevel="0" collapsed="false">
      <c r="B336" s="10"/>
    </row>
    <row r="337" customFormat="false" ht="15" hidden="false" customHeight="false" outlineLevel="0" collapsed="false">
      <c r="B337" s="10"/>
    </row>
    <row r="338" customFormat="false" ht="15" hidden="false" customHeight="false" outlineLevel="0" collapsed="false">
      <c r="B338" s="10"/>
    </row>
    <row r="339" customFormat="false" ht="15" hidden="false" customHeight="false" outlineLevel="0" collapsed="false">
      <c r="B339" s="10"/>
    </row>
    <row r="340" customFormat="false" ht="15" hidden="false" customHeight="false" outlineLevel="0" collapsed="false">
      <c r="B340" s="10"/>
    </row>
    <row r="341" customFormat="false" ht="15" hidden="false" customHeight="false" outlineLevel="0" collapsed="false">
      <c r="B341" s="10"/>
    </row>
    <row r="342" customFormat="false" ht="15" hidden="false" customHeight="false" outlineLevel="0" collapsed="false">
      <c r="B342" s="10"/>
    </row>
    <row r="344" customFormat="false" ht="15" hidden="false" customHeight="false" outlineLevel="0" collapsed="false">
      <c r="A344" s="7" t="s">
        <v>22</v>
      </c>
    </row>
    <row r="345" customFormat="false" ht="15" hidden="false" customHeight="false" outlineLevel="0" collapsed="false">
      <c r="B345" s="10" t="str">
        <f aca="false">IFERROR(__xludf.DUMMYFUNCTION("IMPORTRANGE(Links!$B$4,""POLITICA_STOCK!O5:P129"")"),"Paquete de 50 hojas")</f>
        <v>Paquete de 50 hojas</v>
      </c>
      <c r="C345" s="10"/>
    </row>
    <row r="346" customFormat="false" ht="15" hidden="false" customHeight="false" outlineLevel="0" collapsed="false">
      <c r="B346" s="10"/>
      <c r="C346" s="10"/>
    </row>
    <row r="347" customFormat="false" ht="15" hidden="false" customHeight="false" outlineLevel="0" collapsed="false">
      <c r="B347" s="10"/>
      <c r="C347" s="10"/>
    </row>
    <row r="348" customFormat="false" ht="15" hidden="false" customHeight="false" outlineLevel="0" collapsed="false">
      <c r="B348" s="10"/>
      <c r="C348" s="10"/>
    </row>
    <row r="349" customFormat="false" ht="15" hidden="false" customHeight="false" outlineLevel="0" collapsed="false">
      <c r="B349" s="10"/>
      <c r="C349" s="10"/>
    </row>
    <row r="350" customFormat="false" ht="15" hidden="false" customHeight="false" outlineLevel="0" collapsed="false">
      <c r="B350" s="10"/>
      <c r="C350" s="10"/>
    </row>
    <row r="351" customFormat="false" ht="15" hidden="false" customHeight="false" outlineLevel="0" collapsed="false">
      <c r="B351" s="10"/>
      <c r="C351" s="10"/>
    </row>
    <row r="352" customFormat="false" ht="15" hidden="false" customHeight="false" outlineLevel="0" collapsed="false">
      <c r="B352" s="10"/>
      <c r="C352" s="10"/>
    </row>
    <row r="353" customFormat="false" ht="15" hidden="false" customHeight="false" outlineLevel="0" collapsed="false">
      <c r="B353" s="10"/>
      <c r="C353" s="10"/>
    </row>
    <row r="354" customFormat="false" ht="15" hidden="false" customHeight="false" outlineLevel="0" collapsed="false">
      <c r="B354" s="10"/>
      <c r="C354" s="10"/>
    </row>
    <row r="355" customFormat="false" ht="15" hidden="false" customHeight="false" outlineLevel="0" collapsed="false">
      <c r="B355" s="10"/>
      <c r="C355" s="10"/>
    </row>
    <row r="356" customFormat="false" ht="15" hidden="false" customHeight="false" outlineLevel="0" collapsed="false">
      <c r="B356" s="10"/>
      <c r="C356" s="10"/>
    </row>
    <row r="357" customFormat="false" ht="15" hidden="false" customHeight="false" outlineLevel="0" collapsed="false">
      <c r="B357" s="10"/>
      <c r="C357" s="10"/>
    </row>
    <row r="358" customFormat="false" ht="15" hidden="false" customHeight="false" outlineLevel="0" collapsed="false">
      <c r="B358" s="10"/>
      <c r="C358" s="10"/>
    </row>
    <row r="359" customFormat="false" ht="15" hidden="false" customHeight="false" outlineLevel="0" collapsed="false">
      <c r="B359" s="10"/>
      <c r="C359" s="10"/>
    </row>
    <row r="360" customFormat="false" ht="15" hidden="false" customHeight="false" outlineLevel="0" collapsed="false">
      <c r="B360" s="10"/>
      <c r="C360" s="10"/>
    </row>
    <row r="361" customFormat="false" ht="15" hidden="false" customHeight="false" outlineLevel="0" collapsed="false">
      <c r="B361" s="10"/>
      <c r="C361" s="10"/>
    </row>
    <row r="362" customFormat="false" ht="15" hidden="false" customHeight="false" outlineLevel="0" collapsed="false">
      <c r="B362" s="10"/>
      <c r="C362" s="10"/>
    </row>
    <row r="363" customFormat="false" ht="15" hidden="false" customHeight="false" outlineLevel="0" collapsed="false">
      <c r="B363" s="10"/>
      <c r="C363" s="10"/>
    </row>
    <row r="364" customFormat="false" ht="15" hidden="false" customHeight="false" outlineLevel="0" collapsed="false">
      <c r="B364" s="10"/>
      <c r="C364" s="10"/>
    </row>
    <row r="365" customFormat="false" ht="15" hidden="false" customHeight="false" outlineLevel="0" collapsed="false">
      <c r="B365" s="10"/>
      <c r="C365" s="10"/>
    </row>
    <row r="366" customFormat="false" ht="15" hidden="false" customHeight="false" outlineLevel="0" collapsed="false">
      <c r="B366" s="10"/>
      <c r="C366" s="10"/>
    </row>
    <row r="367" customFormat="false" ht="15" hidden="false" customHeight="false" outlineLevel="0" collapsed="false">
      <c r="B367" s="10"/>
      <c r="C367" s="10"/>
    </row>
    <row r="368" customFormat="false" ht="15" hidden="false" customHeight="false" outlineLevel="0" collapsed="false">
      <c r="B368" s="10"/>
      <c r="C368" s="10"/>
    </row>
    <row r="369" customFormat="false" ht="15" hidden="false" customHeight="false" outlineLevel="0" collapsed="false">
      <c r="B369" s="10"/>
      <c r="C369" s="10"/>
    </row>
    <row r="370" customFormat="false" ht="15" hidden="false" customHeight="false" outlineLevel="0" collapsed="false">
      <c r="B370" s="10"/>
      <c r="C370" s="10"/>
    </row>
    <row r="371" customFormat="false" ht="15" hidden="false" customHeight="false" outlineLevel="0" collapsed="false">
      <c r="B371" s="10"/>
      <c r="C371" s="10"/>
    </row>
    <row r="372" customFormat="false" ht="15" hidden="false" customHeight="false" outlineLevel="0" collapsed="false">
      <c r="B372" s="10"/>
      <c r="C372" s="10"/>
    </row>
    <row r="373" customFormat="false" ht="15" hidden="false" customHeight="false" outlineLevel="0" collapsed="false">
      <c r="B373" s="10"/>
      <c r="C373" s="10"/>
    </row>
    <row r="374" customFormat="false" ht="15" hidden="false" customHeight="false" outlineLevel="0" collapsed="false">
      <c r="B374" s="10"/>
      <c r="C374" s="10"/>
    </row>
    <row r="375" customFormat="false" ht="15" hidden="false" customHeight="false" outlineLevel="0" collapsed="false">
      <c r="B375" s="10"/>
      <c r="C375" s="10"/>
    </row>
    <row r="376" customFormat="false" ht="15" hidden="false" customHeight="false" outlineLevel="0" collapsed="false">
      <c r="B376" s="10"/>
      <c r="C376" s="10"/>
    </row>
    <row r="377" customFormat="false" ht="15" hidden="false" customHeight="false" outlineLevel="0" collapsed="false">
      <c r="B377" s="10"/>
      <c r="C377" s="10"/>
    </row>
    <row r="378" customFormat="false" ht="15" hidden="false" customHeight="false" outlineLevel="0" collapsed="false">
      <c r="B378" s="10"/>
      <c r="C378" s="10"/>
    </row>
    <row r="379" customFormat="false" ht="15" hidden="false" customHeight="false" outlineLevel="0" collapsed="false">
      <c r="B379" s="10"/>
      <c r="C379" s="10"/>
    </row>
    <row r="380" customFormat="false" ht="15" hidden="false" customHeight="false" outlineLevel="0" collapsed="false">
      <c r="B380" s="10"/>
      <c r="C380" s="10"/>
    </row>
    <row r="381" customFormat="false" ht="15" hidden="false" customHeight="false" outlineLevel="0" collapsed="false">
      <c r="B381" s="10"/>
      <c r="C381" s="10"/>
    </row>
    <row r="382" customFormat="false" ht="15" hidden="false" customHeight="false" outlineLevel="0" collapsed="false">
      <c r="B382" s="10"/>
      <c r="C382" s="10"/>
    </row>
    <row r="383" customFormat="false" ht="15" hidden="false" customHeight="false" outlineLevel="0" collapsed="false">
      <c r="B383" s="10"/>
      <c r="C383" s="10"/>
    </row>
    <row r="384" customFormat="false" ht="15" hidden="false" customHeight="false" outlineLevel="0" collapsed="false">
      <c r="B384" s="10"/>
      <c r="C384" s="10"/>
    </row>
    <row r="385" customFormat="false" ht="15" hidden="false" customHeight="false" outlineLevel="0" collapsed="false">
      <c r="B385" s="10"/>
      <c r="C385" s="10"/>
    </row>
    <row r="386" customFormat="false" ht="15" hidden="false" customHeight="false" outlineLevel="0" collapsed="false">
      <c r="B386" s="10"/>
      <c r="C386" s="10"/>
    </row>
    <row r="387" customFormat="false" ht="15" hidden="false" customHeight="false" outlineLevel="0" collapsed="false">
      <c r="B387" s="10"/>
      <c r="C387" s="10"/>
    </row>
    <row r="388" customFormat="false" ht="15" hidden="false" customHeight="false" outlineLevel="0" collapsed="false">
      <c r="B388" s="10"/>
      <c r="C388" s="10"/>
    </row>
    <row r="389" customFormat="false" ht="15" hidden="false" customHeight="false" outlineLevel="0" collapsed="false">
      <c r="B389" s="10"/>
      <c r="C389" s="10"/>
    </row>
    <row r="390" customFormat="false" ht="15" hidden="false" customHeight="false" outlineLevel="0" collapsed="false">
      <c r="B390" s="10"/>
      <c r="C390" s="10"/>
    </row>
    <row r="391" customFormat="false" ht="15" hidden="false" customHeight="false" outlineLevel="0" collapsed="false">
      <c r="B391" s="10"/>
      <c r="C391" s="10"/>
    </row>
    <row r="392" customFormat="false" ht="15" hidden="false" customHeight="false" outlineLevel="0" collapsed="false">
      <c r="B392" s="10"/>
      <c r="C392" s="10"/>
    </row>
    <row r="393" customFormat="false" ht="15" hidden="false" customHeight="false" outlineLevel="0" collapsed="false">
      <c r="B393" s="10"/>
      <c r="C393" s="10"/>
    </row>
    <row r="394" customFormat="false" ht="15" hidden="false" customHeight="false" outlineLevel="0" collapsed="false">
      <c r="B394" s="10"/>
      <c r="C394" s="10"/>
    </row>
    <row r="395" customFormat="false" ht="15" hidden="false" customHeight="false" outlineLevel="0" collapsed="false">
      <c r="B395" s="10"/>
      <c r="C395" s="10"/>
    </row>
    <row r="396" customFormat="false" ht="15" hidden="false" customHeight="false" outlineLevel="0" collapsed="false">
      <c r="B396" s="10"/>
      <c r="C396" s="10"/>
    </row>
    <row r="397" customFormat="false" ht="15" hidden="false" customHeight="false" outlineLevel="0" collapsed="false">
      <c r="B397" s="10"/>
      <c r="C397" s="10"/>
    </row>
    <row r="398" customFormat="false" ht="15" hidden="false" customHeight="false" outlineLevel="0" collapsed="false">
      <c r="B398" s="10"/>
      <c r="C398" s="10"/>
    </row>
    <row r="399" customFormat="false" ht="15" hidden="false" customHeight="false" outlineLevel="0" collapsed="false">
      <c r="B399" s="10"/>
      <c r="C399" s="10"/>
    </row>
    <row r="400" customFormat="false" ht="15" hidden="false" customHeight="false" outlineLevel="0" collapsed="false">
      <c r="B400" s="10"/>
      <c r="C400" s="10"/>
    </row>
    <row r="401" customFormat="false" ht="15" hidden="false" customHeight="false" outlineLevel="0" collapsed="false">
      <c r="B401" s="10"/>
      <c r="C401" s="10"/>
    </row>
    <row r="402" customFormat="false" ht="15" hidden="false" customHeight="false" outlineLevel="0" collapsed="false">
      <c r="B402" s="10"/>
      <c r="C402" s="10"/>
    </row>
    <row r="403" customFormat="false" ht="15" hidden="false" customHeight="false" outlineLevel="0" collapsed="false">
      <c r="B403" s="10"/>
      <c r="C403" s="10"/>
    </row>
    <row r="404" customFormat="false" ht="15" hidden="false" customHeight="false" outlineLevel="0" collapsed="false">
      <c r="B404" s="10"/>
      <c r="C404" s="10"/>
    </row>
    <row r="405" customFormat="false" ht="15" hidden="false" customHeight="false" outlineLevel="0" collapsed="false">
      <c r="B405" s="10"/>
      <c r="C405" s="10"/>
    </row>
    <row r="406" customFormat="false" ht="15" hidden="false" customHeight="false" outlineLevel="0" collapsed="false">
      <c r="B406" s="10"/>
      <c r="C406" s="10"/>
    </row>
    <row r="407" customFormat="false" ht="15" hidden="false" customHeight="false" outlineLevel="0" collapsed="false">
      <c r="B407" s="10"/>
      <c r="C407" s="10"/>
    </row>
    <row r="408" customFormat="false" ht="15" hidden="false" customHeight="false" outlineLevel="0" collapsed="false">
      <c r="B408" s="10"/>
      <c r="C408" s="10"/>
    </row>
    <row r="409" customFormat="false" ht="15" hidden="false" customHeight="false" outlineLevel="0" collapsed="false">
      <c r="B409" s="10"/>
      <c r="C409" s="10"/>
    </row>
    <row r="410" customFormat="false" ht="15" hidden="false" customHeight="false" outlineLevel="0" collapsed="false">
      <c r="B410" s="10"/>
      <c r="C410" s="10"/>
    </row>
    <row r="411" customFormat="false" ht="15" hidden="false" customHeight="false" outlineLevel="0" collapsed="false">
      <c r="B411" s="10"/>
      <c r="C411" s="10"/>
    </row>
    <row r="412" customFormat="false" ht="15" hidden="false" customHeight="false" outlineLevel="0" collapsed="false">
      <c r="B412" s="10"/>
      <c r="C412" s="10"/>
    </row>
    <row r="413" customFormat="false" ht="15" hidden="false" customHeight="false" outlineLevel="0" collapsed="false">
      <c r="B413" s="10"/>
      <c r="C413" s="10"/>
    </row>
    <row r="414" customFormat="false" ht="15" hidden="false" customHeight="false" outlineLevel="0" collapsed="false">
      <c r="B414" s="10"/>
      <c r="C414" s="10"/>
    </row>
    <row r="415" customFormat="false" ht="15" hidden="false" customHeight="false" outlineLevel="0" collapsed="false">
      <c r="B415" s="10"/>
      <c r="C415" s="10"/>
    </row>
    <row r="416" customFormat="false" ht="15" hidden="false" customHeight="false" outlineLevel="0" collapsed="false">
      <c r="B416" s="10"/>
      <c r="C416" s="10"/>
    </row>
    <row r="417" customFormat="false" ht="15" hidden="false" customHeight="false" outlineLevel="0" collapsed="false">
      <c r="B417" s="10"/>
      <c r="C417" s="10"/>
    </row>
    <row r="418" customFormat="false" ht="15" hidden="false" customHeight="false" outlineLevel="0" collapsed="false">
      <c r="B418" s="10"/>
      <c r="C418" s="10"/>
    </row>
    <row r="419" customFormat="false" ht="15" hidden="false" customHeight="false" outlineLevel="0" collapsed="false">
      <c r="B419" s="10"/>
      <c r="C419" s="10"/>
    </row>
    <row r="420" customFormat="false" ht="15" hidden="false" customHeight="false" outlineLevel="0" collapsed="false">
      <c r="B420" s="10"/>
      <c r="C420" s="10"/>
    </row>
    <row r="421" customFormat="false" ht="15" hidden="false" customHeight="false" outlineLevel="0" collapsed="false">
      <c r="B421" s="10"/>
      <c r="C421" s="10"/>
    </row>
    <row r="422" customFormat="false" ht="15" hidden="false" customHeight="false" outlineLevel="0" collapsed="false">
      <c r="B422" s="10"/>
      <c r="C422" s="10"/>
    </row>
    <row r="423" customFormat="false" ht="15" hidden="false" customHeight="false" outlineLevel="0" collapsed="false">
      <c r="B423" s="10"/>
      <c r="C423" s="10"/>
    </row>
    <row r="424" customFormat="false" ht="15" hidden="false" customHeight="false" outlineLevel="0" collapsed="false">
      <c r="B424" s="10"/>
      <c r="C424" s="10"/>
    </row>
    <row r="425" customFormat="false" ht="15" hidden="false" customHeight="false" outlineLevel="0" collapsed="false">
      <c r="B425" s="10"/>
      <c r="C425" s="10"/>
    </row>
    <row r="426" customFormat="false" ht="15" hidden="false" customHeight="false" outlineLevel="0" collapsed="false">
      <c r="B426" s="10"/>
      <c r="C426" s="10"/>
    </row>
    <row r="427" customFormat="false" ht="15" hidden="false" customHeight="false" outlineLevel="0" collapsed="false">
      <c r="B427" s="10"/>
      <c r="C427" s="10"/>
    </row>
    <row r="428" customFormat="false" ht="15" hidden="false" customHeight="false" outlineLevel="0" collapsed="false">
      <c r="B428" s="10"/>
      <c r="C428" s="10"/>
    </row>
    <row r="429" customFormat="false" ht="15" hidden="false" customHeight="false" outlineLevel="0" collapsed="false">
      <c r="B429" s="10"/>
      <c r="C429" s="10"/>
    </row>
    <row r="430" customFormat="false" ht="15" hidden="false" customHeight="false" outlineLevel="0" collapsed="false">
      <c r="B430" s="10"/>
      <c r="C430" s="10"/>
    </row>
    <row r="431" customFormat="false" ht="15" hidden="false" customHeight="false" outlineLevel="0" collapsed="false">
      <c r="B431" s="10"/>
      <c r="C431" s="10"/>
    </row>
    <row r="432" customFormat="false" ht="15" hidden="false" customHeight="false" outlineLevel="0" collapsed="false">
      <c r="B432" s="10"/>
      <c r="C432" s="10"/>
    </row>
    <row r="433" customFormat="false" ht="15" hidden="false" customHeight="false" outlineLevel="0" collapsed="false">
      <c r="B433" s="10"/>
      <c r="C433" s="10"/>
    </row>
    <row r="434" customFormat="false" ht="15" hidden="false" customHeight="false" outlineLevel="0" collapsed="false">
      <c r="B434" s="10"/>
      <c r="C434" s="10"/>
    </row>
    <row r="435" customFormat="false" ht="15" hidden="false" customHeight="false" outlineLevel="0" collapsed="false">
      <c r="B435" s="10"/>
      <c r="C435" s="10"/>
    </row>
    <row r="436" customFormat="false" ht="15" hidden="false" customHeight="false" outlineLevel="0" collapsed="false">
      <c r="B436" s="10"/>
      <c r="C436" s="10"/>
    </row>
    <row r="437" customFormat="false" ht="15" hidden="false" customHeight="false" outlineLevel="0" collapsed="false">
      <c r="B437" s="10"/>
      <c r="C437" s="10"/>
    </row>
    <row r="438" customFormat="false" ht="15" hidden="false" customHeight="false" outlineLevel="0" collapsed="false">
      <c r="B438" s="10"/>
      <c r="C438" s="10"/>
    </row>
    <row r="439" customFormat="false" ht="15" hidden="false" customHeight="false" outlineLevel="0" collapsed="false">
      <c r="B439" s="10"/>
      <c r="C439" s="10"/>
    </row>
    <row r="440" customFormat="false" ht="15" hidden="false" customHeight="false" outlineLevel="0" collapsed="false">
      <c r="B440" s="10"/>
      <c r="C440" s="10"/>
    </row>
    <row r="441" customFormat="false" ht="15" hidden="false" customHeight="false" outlineLevel="0" collapsed="false">
      <c r="B441" s="10"/>
      <c r="C441" s="10"/>
    </row>
    <row r="442" customFormat="false" ht="15" hidden="false" customHeight="false" outlineLevel="0" collapsed="false">
      <c r="B442" s="10"/>
      <c r="C442" s="10"/>
    </row>
    <row r="443" customFormat="false" ht="15" hidden="false" customHeight="false" outlineLevel="0" collapsed="false">
      <c r="B443" s="10"/>
      <c r="C443" s="10"/>
    </row>
    <row r="444" customFormat="false" ht="15" hidden="false" customHeight="false" outlineLevel="0" collapsed="false">
      <c r="B444" s="10"/>
      <c r="C444" s="10"/>
    </row>
    <row r="445" customFormat="false" ht="15" hidden="false" customHeight="false" outlineLevel="0" collapsed="false">
      <c r="B445" s="10"/>
      <c r="C445" s="10"/>
    </row>
    <row r="446" customFormat="false" ht="15" hidden="false" customHeight="false" outlineLevel="0" collapsed="false">
      <c r="B446" s="10"/>
      <c r="C446" s="10"/>
    </row>
    <row r="447" customFormat="false" ht="15" hidden="false" customHeight="false" outlineLevel="0" collapsed="false">
      <c r="B447" s="10"/>
      <c r="C447" s="10"/>
    </row>
    <row r="448" customFormat="false" ht="15" hidden="false" customHeight="false" outlineLevel="0" collapsed="false">
      <c r="B448" s="10"/>
      <c r="C448" s="10"/>
    </row>
    <row r="449" customFormat="false" ht="15" hidden="false" customHeight="false" outlineLevel="0" collapsed="false">
      <c r="B449" s="10"/>
      <c r="C449" s="10"/>
    </row>
    <row r="450" customFormat="false" ht="15" hidden="false" customHeight="false" outlineLevel="0" collapsed="false">
      <c r="B450" s="10"/>
      <c r="C450" s="10"/>
    </row>
    <row r="451" customFormat="false" ht="15" hidden="false" customHeight="false" outlineLevel="0" collapsed="false">
      <c r="B451" s="10"/>
      <c r="C451" s="10"/>
    </row>
    <row r="452" customFormat="false" ht="15" hidden="false" customHeight="false" outlineLevel="0" collapsed="false">
      <c r="B452" s="10"/>
      <c r="C452" s="10"/>
    </row>
    <row r="453" customFormat="false" ht="15" hidden="false" customHeight="false" outlineLevel="0" collapsed="false">
      <c r="B453" s="10"/>
      <c r="C453" s="10"/>
    </row>
    <row r="454" customFormat="false" ht="15" hidden="false" customHeight="false" outlineLevel="0" collapsed="false">
      <c r="B454" s="10"/>
      <c r="C454" s="10"/>
    </row>
    <row r="455" customFormat="false" ht="15" hidden="false" customHeight="false" outlineLevel="0" collapsed="false">
      <c r="B455" s="10"/>
      <c r="C455" s="10"/>
    </row>
    <row r="456" customFormat="false" ht="15" hidden="false" customHeight="false" outlineLevel="0" collapsed="false">
      <c r="B456" s="10"/>
      <c r="C456" s="10"/>
    </row>
    <row r="457" customFormat="false" ht="15" hidden="false" customHeight="false" outlineLevel="0" collapsed="false">
      <c r="B457" s="10"/>
      <c r="C457" s="10"/>
    </row>
    <row r="458" customFormat="false" ht="15" hidden="false" customHeight="false" outlineLevel="0" collapsed="false">
      <c r="B458" s="10"/>
      <c r="C458" s="10"/>
    </row>
    <row r="459" customFormat="false" ht="15" hidden="false" customHeight="false" outlineLevel="0" collapsed="false">
      <c r="B459" s="10"/>
      <c r="C459" s="10"/>
    </row>
    <row r="460" customFormat="false" ht="15" hidden="false" customHeight="false" outlineLevel="0" collapsed="false">
      <c r="B460" s="10"/>
      <c r="C460" s="10"/>
    </row>
    <row r="461" customFormat="false" ht="15" hidden="false" customHeight="false" outlineLevel="0" collapsed="false">
      <c r="B461" s="10"/>
      <c r="C461" s="10"/>
    </row>
    <row r="462" customFormat="false" ht="15" hidden="false" customHeight="false" outlineLevel="0" collapsed="false">
      <c r="B462" s="10"/>
      <c r="C462" s="10"/>
    </row>
    <row r="463" customFormat="false" ht="15" hidden="false" customHeight="false" outlineLevel="0" collapsed="false">
      <c r="B463" s="10"/>
      <c r="C463" s="10"/>
    </row>
    <row r="464" customFormat="false" ht="15" hidden="false" customHeight="false" outlineLevel="0" collapsed="false">
      <c r="B464" s="10"/>
      <c r="C464" s="10"/>
    </row>
    <row r="465" customFormat="false" ht="15" hidden="false" customHeight="false" outlineLevel="0" collapsed="false">
      <c r="B465" s="10"/>
      <c r="C465" s="10"/>
    </row>
    <row r="466" customFormat="false" ht="15" hidden="false" customHeight="false" outlineLevel="0" collapsed="false">
      <c r="B466" s="10"/>
      <c r="C466" s="10"/>
    </row>
    <row r="467" customFormat="false" ht="15" hidden="false" customHeight="false" outlineLevel="0" collapsed="false">
      <c r="B467" s="10"/>
      <c r="C467" s="10"/>
    </row>
    <row r="468" customFormat="false" ht="15" hidden="false" customHeight="false" outlineLevel="0" collapsed="false">
      <c r="B468" s="10"/>
      <c r="C468" s="10"/>
    </row>
    <row r="469" customFormat="false" ht="15" hidden="false" customHeight="false" outlineLevel="0" collapsed="false">
      <c r="B469" s="10"/>
      <c r="C469" s="10"/>
    </row>
    <row r="471" customFormat="false" ht="15" hidden="false" customHeight="false" outlineLevel="0" collapsed="false">
      <c r="A471" s="7" t="s">
        <v>23</v>
      </c>
    </row>
    <row r="472" customFormat="false" ht="15" hidden="false" customHeight="false" outlineLevel="0" collapsed="false">
      <c r="B472" s="11" t="n">
        <f aca="false">IFERROR(__xludf.DUMMYFUNCTION("IMPORTRANGE(Links!$B$5,""datos_base!B2:K29"")"),4178.736543)</f>
        <v>4178.736543</v>
      </c>
      <c r="C472" s="11"/>
      <c r="D472" s="11"/>
      <c r="E472" s="11"/>
      <c r="F472" s="11"/>
      <c r="G472" s="11"/>
      <c r="H472" s="11"/>
      <c r="I472" s="11"/>
      <c r="J472" s="11"/>
      <c r="K472" s="11"/>
    </row>
    <row r="473" customFormat="false" ht="15" hidden="false" customHeight="false" outlineLevel="0" collapsed="false">
      <c r="B473" s="11"/>
      <c r="C473" s="11"/>
      <c r="D473" s="11"/>
      <c r="E473" s="11"/>
      <c r="F473" s="11"/>
      <c r="G473" s="11"/>
      <c r="H473" s="11"/>
      <c r="I473" s="11"/>
      <c r="J473" s="11"/>
      <c r="K473" s="11"/>
    </row>
    <row r="474" customFormat="false" ht="15" hidden="false" customHeight="false" outlineLevel="0" collapsed="false">
      <c r="B474" s="11"/>
      <c r="C474" s="11"/>
      <c r="D474" s="11"/>
      <c r="E474" s="11"/>
      <c r="F474" s="11"/>
      <c r="G474" s="11"/>
      <c r="H474" s="11"/>
      <c r="I474" s="11"/>
      <c r="J474" s="11"/>
      <c r="K474" s="11"/>
    </row>
    <row r="475" customFormat="false" ht="15" hidden="false" customHeight="false" outlineLevel="0" collapsed="false">
      <c r="B475" s="11"/>
      <c r="C475" s="11"/>
      <c r="D475" s="11"/>
      <c r="E475" s="11"/>
      <c r="F475" s="11"/>
      <c r="G475" s="11"/>
      <c r="H475" s="11"/>
      <c r="I475" s="11"/>
      <c r="J475" s="11"/>
      <c r="K475" s="11"/>
    </row>
    <row r="476" customFormat="false" ht="15" hidden="false" customHeight="false" outlineLevel="0" collapsed="false">
      <c r="B476" s="11"/>
      <c r="C476" s="11"/>
      <c r="D476" s="11"/>
      <c r="E476" s="11"/>
      <c r="F476" s="11"/>
      <c r="G476" s="11"/>
      <c r="H476" s="11"/>
      <c r="I476" s="11"/>
      <c r="J476" s="11"/>
      <c r="K476" s="11"/>
    </row>
    <row r="478" customFormat="false" ht="15" hidden="false" customHeight="false" outlineLevel="0" collapsed="false">
      <c r="B478" s="11"/>
      <c r="C478" s="11"/>
      <c r="D478" s="11"/>
      <c r="E478" s="11"/>
      <c r="F478" s="11"/>
      <c r="G478" s="11"/>
      <c r="H478" s="11"/>
      <c r="I478" s="11"/>
      <c r="J478" s="11"/>
      <c r="K478" s="11"/>
    </row>
    <row r="479" customFormat="false" ht="15" hidden="false" customHeight="false" outlineLevel="0" collapsed="false">
      <c r="B479" s="11"/>
      <c r="C479" s="11"/>
      <c r="D479" s="11"/>
      <c r="E479" s="11"/>
      <c r="F479" s="11"/>
      <c r="G479" s="11"/>
      <c r="H479" s="11"/>
      <c r="I479" s="11"/>
      <c r="J479" s="11"/>
      <c r="K479" s="11"/>
    </row>
    <row r="480" customFormat="false" ht="15" hidden="false" customHeight="false" outlineLevel="0" collapsed="false">
      <c r="B480" s="11"/>
      <c r="C480" s="11"/>
      <c r="D480" s="11"/>
      <c r="E480" s="11"/>
      <c r="F480" s="11"/>
      <c r="G480" s="11"/>
      <c r="H480" s="11"/>
      <c r="I480" s="11"/>
      <c r="J480" s="11"/>
      <c r="K480" s="11"/>
    </row>
    <row r="481" customFormat="false" ht="15" hidden="false" customHeight="false" outlineLevel="0" collapsed="false">
      <c r="B481" s="11"/>
      <c r="C481" s="11"/>
      <c r="D481" s="11"/>
      <c r="E481" s="11"/>
      <c r="F481" s="11"/>
      <c r="G481" s="11"/>
      <c r="H481" s="11"/>
      <c r="I481" s="11"/>
      <c r="J481" s="11"/>
      <c r="K481" s="11"/>
    </row>
    <row r="482" customFormat="false" ht="15" hidden="false" customHeight="false" outlineLevel="0" collapsed="false">
      <c r="B482" s="11"/>
      <c r="C482" s="11"/>
      <c r="D482" s="11"/>
      <c r="E482" s="11"/>
      <c r="F482" s="11"/>
      <c r="G482" s="11"/>
      <c r="H482" s="11"/>
      <c r="I482" s="11"/>
      <c r="J482" s="11"/>
      <c r="K482" s="11"/>
    </row>
    <row r="483" customFormat="false" ht="15" hidden="false" customHeight="false" outlineLevel="0" collapsed="false">
      <c r="B483" s="11"/>
      <c r="C483" s="11"/>
      <c r="D483" s="11"/>
      <c r="E483" s="11"/>
      <c r="F483" s="11"/>
      <c r="G483" s="11"/>
      <c r="H483" s="11"/>
      <c r="I483" s="11"/>
      <c r="J483" s="11"/>
      <c r="K483" s="11"/>
    </row>
    <row r="485" customFormat="false" ht="15" hidden="false" customHeight="false" outlineLevel="0" collapsed="false">
      <c r="B485" s="11"/>
      <c r="C485" s="11"/>
      <c r="D485" s="11"/>
      <c r="E485" s="11"/>
      <c r="F485" s="11"/>
      <c r="G485" s="11"/>
      <c r="H485" s="11"/>
      <c r="I485" s="11"/>
      <c r="J485" s="11"/>
      <c r="K485" s="11"/>
    </row>
    <row r="488" customFormat="false" ht="15" hidden="false" customHeight="false" outlineLevel="0" collapsed="false">
      <c r="B488" s="11"/>
      <c r="C488" s="11"/>
      <c r="D488" s="11"/>
      <c r="E488" s="11"/>
      <c r="F488" s="11"/>
      <c r="G488" s="11"/>
      <c r="H488" s="11"/>
      <c r="I488" s="11"/>
      <c r="J488" s="11"/>
      <c r="K488" s="11"/>
    </row>
    <row r="489" customFormat="false" ht="15" hidden="false" customHeight="false" outlineLevel="0" collapsed="false">
      <c r="B489" s="11"/>
      <c r="C489" s="11"/>
      <c r="D489" s="11"/>
      <c r="E489" s="11"/>
      <c r="F489" s="11"/>
      <c r="G489" s="11"/>
      <c r="H489" s="11"/>
      <c r="I489" s="11"/>
      <c r="J489" s="11"/>
      <c r="K489" s="11"/>
    </row>
    <row r="490" customFormat="false" ht="15" hidden="false" customHeight="false" outlineLevel="0" collapsed="false">
      <c r="B490" s="11"/>
      <c r="C490" s="11"/>
      <c r="D490" s="11"/>
      <c r="E490" s="11"/>
      <c r="F490" s="11"/>
      <c r="G490" s="11"/>
      <c r="H490" s="11"/>
      <c r="I490" s="11"/>
      <c r="J490" s="11"/>
      <c r="K490" s="11"/>
    </row>
    <row r="491" customFormat="false" ht="15" hidden="false" customHeight="false" outlineLevel="0" collapsed="false">
      <c r="B491" s="11"/>
      <c r="C491" s="11"/>
      <c r="D491" s="11"/>
      <c r="E491" s="11"/>
      <c r="F491" s="11"/>
      <c r="G491" s="11"/>
      <c r="H491" s="11"/>
      <c r="I491" s="11"/>
      <c r="J491" s="11"/>
      <c r="K491" s="11"/>
    </row>
    <row r="492" customFormat="false" ht="15" hidden="false" customHeight="false" outlineLevel="0" collapsed="false">
      <c r="B492" s="11"/>
      <c r="C492" s="11"/>
      <c r="D492" s="11"/>
      <c r="E492" s="11"/>
      <c r="F492" s="11"/>
      <c r="G492" s="11"/>
      <c r="H492" s="11"/>
      <c r="I492" s="11"/>
      <c r="J492" s="11"/>
      <c r="K492" s="11"/>
    </row>
    <row r="493" customFormat="false" ht="15" hidden="false" customHeight="false" outlineLevel="0" collapsed="false">
      <c r="B493" s="11"/>
      <c r="C493" s="11"/>
      <c r="D493" s="11"/>
      <c r="E493" s="11"/>
      <c r="F493" s="11"/>
      <c r="G493" s="11"/>
      <c r="H493" s="11"/>
      <c r="I493" s="11"/>
      <c r="J493" s="11"/>
      <c r="K493" s="11"/>
    </row>
    <row r="495" customFormat="false" ht="15" hidden="false" customHeight="false" outlineLevel="0" collapsed="false">
      <c r="B495" s="11"/>
      <c r="C495" s="11"/>
      <c r="D495" s="11"/>
      <c r="E495" s="11"/>
      <c r="F495" s="11"/>
      <c r="G495" s="11"/>
      <c r="H495" s="11"/>
      <c r="I495" s="11"/>
      <c r="J495" s="11"/>
      <c r="K495" s="11"/>
    </row>
    <row r="496" customFormat="false" ht="15" hidden="false" customHeight="false" outlineLevel="0" collapsed="false">
      <c r="B496" s="11"/>
      <c r="C496" s="11"/>
      <c r="D496" s="11"/>
      <c r="E496" s="11"/>
      <c r="F496" s="11"/>
      <c r="G496" s="11"/>
      <c r="H496" s="11"/>
      <c r="I496" s="11"/>
      <c r="J496" s="11"/>
      <c r="K496" s="11"/>
    </row>
    <row r="497" customFormat="false" ht="15" hidden="false" customHeight="false" outlineLevel="0" collapsed="false">
      <c r="B497" s="11"/>
      <c r="C497" s="11"/>
      <c r="D497" s="11"/>
      <c r="E497" s="11"/>
      <c r="F497" s="11"/>
      <c r="G497" s="11"/>
      <c r="H497" s="11"/>
      <c r="I497" s="11"/>
      <c r="J497" s="11"/>
      <c r="K497" s="11"/>
    </row>
    <row r="498" customFormat="false" ht="15" hidden="false" customHeight="false" outlineLevel="0" collapsed="false">
      <c r="B498" s="11"/>
      <c r="C498" s="11"/>
      <c r="D498" s="11"/>
      <c r="E498" s="11"/>
      <c r="F498" s="11"/>
      <c r="G498" s="11"/>
      <c r="H498" s="11"/>
      <c r="I498" s="11"/>
      <c r="J498" s="11"/>
      <c r="K498" s="11"/>
    </row>
    <row r="499" customFormat="false" ht="15" hidden="false" customHeight="false" outlineLevel="0" collapsed="false">
      <c r="B499" s="11"/>
      <c r="C499" s="11"/>
      <c r="D499" s="11"/>
      <c r="E499" s="11"/>
      <c r="F499" s="11"/>
      <c r="G499" s="11"/>
      <c r="H499" s="11"/>
      <c r="I499" s="11"/>
      <c r="J499" s="11"/>
      <c r="K499" s="11"/>
    </row>
    <row r="501" customFormat="false" ht="15" hidden="false" customHeight="false" outlineLevel="0" collapsed="false">
      <c r="A501" s="7" t="s">
        <v>24</v>
      </c>
    </row>
    <row r="502" customFormat="false" ht="15" hidden="false" customHeight="false" outlineLevel="0" collapsed="false">
      <c r="B502" s="11" t="str">
        <f aca="false">IFERROR(__xludf.DUMMYFUNCTION("IMPORTRANGE(Links!$B$5,""Plan mensual!D1:P109"")"),"Ene")</f>
        <v>Ene</v>
      </c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</row>
    <row r="503" customFormat="false" ht="15" hidden="false" customHeight="false" outlineLevel="0" collapsed="false"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</row>
    <row r="504" customFormat="false" ht="15" hidden="false" customHeight="false" outlineLevel="0" collapsed="false"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</row>
    <row r="505" customFormat="false" ht="15" hidden="false" customHeight="false" outlineLevel="0" collapsed="false"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</row>
    <row r="506" customFormat="false" ht="15" hidden="false" customHeight="false" outlineLevel="0" collapsed="false"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</row>
    <row r="507" customFormat="false" ht="15" hidden="false" customHeight="false" outlineLevel="0" collapsed="false"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</row>
    <row r="508" customFormat="false" ht="15" hidden="false" customHeight="false" outlineLevel="0" collapsed="false"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</row>
    <row r="509" customFormat="false" ht="15" hidden="false" customHeight="false" outlineLevel="0" collapsed="false"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</row>
    <row r="510" customFormat="false" ht="15" hidden="false" customHeight="false" outlineLevel="0" collapsed="false"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</row>
    <row r="511" customFormat="false" ht="15" hidden="false" customHeight="false" outlineLevel="0" collapsed="false"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</row>
    <row r="513" customFormat="false" ht="15" hidden="false" customHeight="false" outlineLevel="0" collapsed="false"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</row>
    <row r="514" customFormat="false" ht="15" hidden="false" customHeight="false" outlineLevel="0" collapsed="false"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</row>
    <row r="515" customFormat="false" ht="15" hidden="false" customHeight="false" outlineLevel="0" collapsed="false"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</row>
    <row r="516" customFormat="false" ht="15" hidden="false" customHeight="false" outlineLevel="0" collapsed="false"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</row>
    <row r="517" customFormat="false" ht="15" hidden="false" customHeight="false" outlineLevel="0" collapsed="false"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</row>
    <row r="518" customFormat="false" ht="15" hidden="false" customHeight="false" outlineLevel="0" collapsed="false"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</row>
    <row r="519" customFormat="false" ht="15" hidden="false" customHeight="false" outlineLevel="0" collapsed="false"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</row>
    <row r="520" customFormat="false" ht="15" hidden="false" customHeight="false" outlineLevel="0" collapsed="false"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</row>
    <row r="521" customFormat="false" ht="15" hidden="false" customHeight="false" outlineLevel="0" collapsed="false"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</row>
    <row r="522" customFormat="false" ht="15" hidden="false" customHeight="false" outlineLevel="0" collapsed="false"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</row>
    <row r="524" customFormat="false" ht="15" hidden="false" customHeight="false" outlineLevel="0" collapsed="false"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</row>
    <row r="525" customFormat="false" ht="15" hidden="false" customHeight="false" outlineLevel="0" collapsed="false"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</row>
    <row r="526" customFormat="false" ht="15" hidden="false" customHeight="false" outlineLevel="0" collapsed="false"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</row>
    <row r="527" customFormat="false" ht="15" hidden="false" customHeight="false" outlineLevel="0" collapsed="false"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</row>
    <row r="528" customFormat="false" ht="15" hidden="false" customHeight="false" outlineLevel="0" collapsed="false"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</row>
    <row r="529" customFormat="false" ht="15" hidden="false" customHeight="false" outlineLevel="0" collapsed="false"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</row>
    <row r="530" customFormat="false" ht="15" hidden="false" customHeight="false" outlineLevel="0" collapsed="false"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</row>
    <row r="531" customFormat="false" ht="15" hidden="false" customHeight="false" outlineLevel="0" collapsed="false"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</row>
    <row r="532" customFormat="false" ht="15" hidden="false" customHeight="false" outlineLevel="0" collapsed="false"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</row>
    <row r="533" customFormat="false" ht="15" hidden="false" customHeight="false" outlineLevel="0" collapsed="false"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</row>
    <row r="535" customFormat="false" ht="15" hidden="false" customHeight="false" outlineLevel="0" collapsed="false"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</row>
    <row r="536" customFormat="false" ht="15" hidden="false" customHeight="false" outlineLevel="0" collapsed="false"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</row>
    <row r="537" customFormat="false" ht="15" hidden="false" customHeight="false" outlineLevel="0" collapsed="false"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</row>
    <row r="538" customFormat="false" ht="15" hidden="false" customHeight="false" outlineLevel="0" collapsed="false"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</row>
    <row r="539" customFormat="false" ht="15" hidden="false" customHeight="false" outlineLevel="0" collapsed="false"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</row>
    <row r="540" customFormat="false" ht="15" hidden="false" customHeight="false" outlineLevel="0" collapsed="false"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</row>
    <row r="541" customFormat="false" ht="15" hidden="false" customHeight="false" outlineLevel="0" collapsed="false"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</row>
    <row r="542" customFormat="false" ht="15" hidden="false" customHeight="false" outlineLevel="0" collapsed="false"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</row>
    <row r="543" customFormat="false" ht="15" hidden="false" customHeight="false" outlineLevel="0" collapsed="false"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</row>
    <row r="544" customFormat="false" ht="15" hidden="false" customHeight="false" outlineLevel="0" collapsed="false"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</row>
    <row r="546" customFormat="false" ht="15" hidden="false" customHeight="false" outlineLevel="0" collapsed="false"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</row>
    <row r="547" customFormat="false" ht="15" hidden="false" customHeight="false" outlineLevel="0" collapsed="false"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</row>
    <row r="548" customFormat="false" ht="15" hidden="false" customHeight="false" outlineLevel="0" collapsed="false"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</row>
    <row r="549" customFormat="false" ht="15" hidden="false" customHeight="false" outlineLevel="0" collapsed="false"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</row>
    <row r="550" customFormat="false" ht="15" hidden="false" customHeight="false" outlineLevel="0" collapsed="false"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</row>
    <row r="551" customFormat="false" ht="15" hidden="false" customHeight="false" outlineLevel="0" collapsed="false"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</row>
    <row r="552" customFormat="false" ht="15" hidden="false" customHeight="false" outlineLevel="0" collapsed="false"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</row>
    <row r="553" customFormat="false" ht="15" hidden="false" customHeight="false" outlineLevel="0" collapsed="false"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</row>
    <row r="554" customFormat="false" ht="15" hidden="false" customHeight="false" outlineLevel="0" collapsed="false"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</row>
    <row r="555" customFormat="false" ht="15" hidden="false" customHeight="false" outlineLevel="0" collapsed="false"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</row>
    <row r="557" customFormat="false" ht="15" hidden="false" customHeight="false" outlineLevel="0" collapsed="false"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</row>
    <row r="558" customFormat="false" ht="15" hidden="false" customHeight="false" outlineLevel="0" collapsed="false"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</row>
    <row r="559" customFormat="false" ht="15" hidden="false" customHeight="false" outlineLevel="0" collapsed="false"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</row>
    <row r="560" customFormat="false" ht="15" hidden="false" customHeight="false" outlineLevel="0" collapsed="false"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</row>
    <row r="561" customFormat="false" ht="15" hidden="false" customHeight="false" outlineLevel="0" collapsed="false"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</row>
    <row r="562" customFormat="false" ht="15" hidden="false" customHeight="false" outlineLevel="0" collapsed="false"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</row>
    <row r="563" customFormat="false" ht="15" hidden="false" customHeight="false" outlineLevel="0" collapsed="false"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</row>
    <row r="564" customFormat="false" ht="15" hidden="false" customHeight="false" outlineLevel="0" collapsed="false"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</row>
    <row r="565" customFormat="false" ht="15" hidden="false" customHeight="false" outlineLevel="0" collapsed="false"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</row>
    <row r="566" customFormat="false" ht="15" hidden="false" customHeight="false" outlineLevel="0" collapsed="false"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</row>
    <row r="568" customFormat="false" ht="15" hidden="false" customHeight="false" outlineLevel="0" collapsed="false"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</row>
    <row r="569" customFormat="false" ht="15" hidden="false" customHeight="false" outlineLevel="0" collapsed="false"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</row>
    <row r="570" customFormat="false" ht="15" hidden="false" customHeight="false" outlineLevel="0" collapsed="false"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</row>
    <row r="571" customFormat="false" ht="15" hidden="false" customHeight="false" outlineLevel="0" collapsed="false"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</row>
    <row r="572" customFormat="false" ht="15" hidden="false" customHeight="false" outlineLevel="0" collapsed="false"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</row>
    <row r="573" customFormat="false" ht="15" hidden="false" customHeight="false" outlineLevel="0" collapsed="false"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</row>
    <row r="574" customFormat="false" ht="15" hidden="false" customHeight="false" outlineLevel="0" collapsed="false"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</row>
    <row r="575" customFormat="false" ht="15" hidden="false" customHeight="false" outlineLevel="0" collapsed="false"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</row>
    <row r="576" customFormat="false" ht="15" hidden="false" customHeight="false" outlineLevel="0" collapsed="false"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</row>
    <row r="577" customFormat="false" ht="15" hidden="false" customHeight="false" outlineLevel="0" collapsed="false"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</row>
    <row r="579" customFormat="false" ht="15" hidden="false" customHeight="false" outlineLevel="0" collapsed="false"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</row>
    <row r="580" customFormat="false" ht="15" hidden="false" customHeight="false" outlineLevel="0" collapsed="false"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</row>
    <row r="581" customFormat="false" ht="15" hidden="false" customHeight="false" outlineLevel="0" collapsed="false"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</row>
    <row r="582" customFormat="false" ht="15" hidden="false" customHeight="false" outlineLevel="0" collapsed="false"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</row>
    <row r="583" customFormat="false" ht="15" hidden="false" customHeight="false" outlineLevel="0" collapsed="false"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</row>
    <row r="584" customFormat="false" ht="15" hidden="false" customHeight="false" outlineLevel="0" collapsed="false"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</row>
    <row r="585" customFormat="false" ht="15" hidden="false" customHeight="false" outlineLevel="0" collapsed="false"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</row>
    <row r="586" customFormat="false" ht="15" hidden="false" customHeight="false" outlineLevel="0" collapsed="false"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</row>
    <row r="587" customFormat="false" ht="15" hidden="false" customHeight="false" outlineLevel="0" collapsed="false"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</row>
    <row r="588" customFormat="false" ht="15" hidden="false" customHeight="false" outlineLevel="0" collapsed="false"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</row>
    <row r="590" customFormat="false" ht="15" hidden="false" customHeight="false" outlineLevel="0" collapsed="false"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</row>
    <row r="591" customFormat="false" ht="15" hidden="false" customHeight="false" outlineLevel="0" collapsed="false"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</row>
    <row r="592" customFormat="false" ht="15" hidden="false" customHeight="false" outlineLevel="0" collapsed="false"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</row>
    <row r="593" customFormat="false" ht="15" hidden="false" customHeight="false" outlineLevel="0" collapsed="false"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</row>
    <row r="594" customFormat="false" ht="15" hidden="false" customHeight="false" outlineLevel="0" collapsed="false"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</row>
    <row r="595" customFormat="false" ht="15" hidden="false" customHeight="false" outlineLevel="0" collapsed="false"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</row>
    <row r="596" customFormat="false" ht="15" hidden="false" customHeight="false" outlineLevel="0" collapsed="false"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</row>
    <row r="597" customFormat="false" ht="15" hidden="false" customHeight="false" outlineLevel="0" collapsed="false"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</row>
    <row r="598" customFormat="false" ht="15" hidden="false" customHeight="false" outlineLevel="0" collapsed="false"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</row>
    <row r="599" customFormat="false" ht="15" hidden="false" customHeight="false" outlineLevel="0" collapsed="false"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</row>
    <row r="601" customFormat="false" ht="15" hidden="false" customHeight="false" outlineLevel="0" collapsed="false"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</row>
    <row r="602" customFormat="false" ht="15" hidden="false" customHeight="false" outlineLevel="0" collapsed="false"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</row>
    <row r="603" customFormat="false" ht="15" hidden="false" customHeight="false" outlineLevel="0" collapsed="false"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</row>
    <row r="604" customFormat="false" ht="15" hidden="false" customHeight="false" outlineLevel="0" collapsed="false"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</row>
    <row r="605" customFormat="false" ht="15" hidden="false" customHeight="false" outlineLevel="0" collapsed="false"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</row>
    <row r="606" customFormat="false" ht="15" hidden="false" customHeight="false" outlineLevel="0" collapsed="false"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</row>
    <row r="607" customFormat="false" ht="15" hidden="false" customHeight="false" outlineLevel="0" collapsed="false"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</row>
    <row r="608" customFormat="false" ht="15" hidden="false" customHeight="false" outlineLevel="0" collapsed="false"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</row>
    <row r="609" customFormat="false" ht="15" hidden="false" customHeight="false" outlineLevel="0" collapsed="false"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</row>
    <row r="610" customFormat="false" ht="15" hidden="false" customHeight="false" outlineLevel="0" collapsed="false"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</row>
    <row r="612" customFormat="false" ht="15" hidden="false" customHeight="false" outlineLevel="0" collapsed="false">
      <c r="A612" s="7" t="s">
        <v>25</v>
      </c>
    </row>
    <row r="613" customFormat="false" ht="15" hidden="false" customHeight="false" outlineLevel="0" collapsed="false">
      <c r="B613" s="8" t="n">
        <f aca="false">IFERROR(__xludf.DUMMYFUNCTION("IMPORTRANGE(Links!$B$5,""parametros_manuales!K19:K44"")"),60)</f>
        <v>60</v>
      </c>
    </row>
    <row r="614" customFormat="false" ht="15" hidden="false" customHeight="false" outlineLevel="0" collapsed="false">
      <c r="B614" s="8"/>
    </row>
    <row r="615" customFormat="false" ht="15" hidden="false" customHeight="false" outlineLevel="0" collapsed="false">
      <c r="B615" s="8"/>
    </row>
    <row r="616" customFormat="false" ht="15" hidden="false" customHeight="false" outlineLevel="0" collapsed="false">
      <c r="B616" s="8"/>
    </row>
    <row r="617" customFormat="false" ht="15" hidden="false" customHeight="false" outlineLevel="0" collapsed="false">
      <c r="B617" s="8"/>
    </row>
    <row r="618" customFormat="false" ht="15" hidden="false" customHeight="false" outlineLevel="0" collapsed="false">
      <c r="B618" s="8"/>
    </row>
    <row r="619" customFormat="false" ht="15" hidden="false" customHeight="false" outlineLevel="0" collapsed="false">
      <c r="B619" s="8"/>
    </row>
    <row r="620" customFormat="false" ht="15" hidden="false" customHeight="false" outlineLevel="0" collapsed="false">
      <c r="B620" s="8"/>
    </row>
    <row r="621" customFormat="false" ht="15" hidden="false" customHeight="false" outlineLevel="0" collapsed="false">
      <c r="B621" s="8"/>
    </row>
    <row r="622" customFormat="false" ht="15" hidden="false" customHeight="false" outlineLevel="0" collapsed="false">
      <c r="B622" s="8"/>
    </row>
    <row r="623" customFormat="false" ht="15" hidden="false" customHeight="false" outlineLevel="0" collapsed="false">
      <c r="B623" s="8"/>
    </row>
    <row r="624" customFormat="false" ht="15" hidden="false" customHeight="false" outlineLevel="0" collapsed="false">
      <c r="B624" s="8"/>
    </row>
    <row r="625" customFormat="false" ht="15" hidden="false" customHeight="false" outlineLevel="0" collapsed="false">
      <c r="B625" s="8"/>
    </row>
    <row r="626" customFormat="false" ht="15" hidden="false" customHeight="false" outlineLevel="0" collapsed="false">
      <c r="B626" s="8"/>
    </row>
    <row r="627" customFormat="false" ht="15" hidden="false" customHeight="false" outlineLevel="0" collapsed="false">
      <c r="B627" s="8"/>
    </row>
    <row r="628" customFormat="false" ht="15" hidden="false" customHeight="false" outlineLevel="0" collapsed="false">
      <c r="B628" s="8"/>
    </row>
    <row r="629" customFormat="false" ht="15" hidden="false" customHeight="false" outlineLevel="0" collapsed="false">
      <c r="B629" s="8"/>
    </row>
    <row r="630" customFormat="false" ht="15" hidden="false" customHeight="false" outlineLevel="0" collapsed="false">
      <c r="B630" s="8"/>
    </row>
    <row r="631" customFormat="false" ht="15" hidden="false" customHeight="false" outlineLevel="0" collapsed="false">
      <c r="B631" s="8"/>
    </row>
    <row r="632" customFormat="false" ht="15" hidden="false" customHeight="false" outlineLevel="0" collapsed="false">
      <c r="B632" s="8"/>
    </row>
    <row r="633" customFormat="false" ht="15" hidden="false" customHeight="false" outlineLevel="0" collapsed="false">
      <c r="B633" s="8"/>
    </row>
    <row r="634" customFormat="false" ht="15" hidden="false" customHeight="false" outlineLevel="0" collapsed="false">
      <c r="B634" s="8"/>
    </row>
    <row r="635" customFormat="false" ht="15" hidden="false" customHeight="false" outlineLevel="0" collapsed="false">
      <c r="B635" s="8"/>
    </row>
    <row r="636" customFormat="false" ht="15" hidden="false" customHeight="false" outlineLevel="0" collapsed="false">
      <c r="B636" s="8"/>
    </row>
    <row r="637" customFormat="false" ht="15" hidden="false" customHeight="false" outlineLevel="0" collapsed="false">
      <c r="B637" s="8"/>
    </row>
    <row r="638" customFormat="false" ht="15" hidden="false" customHeight="false" outlineLevel="0" collapsed="false">
      <c r="B638" s="8"/>
    </row>
    <row r="640" customFormat="false" ht="15" hidden="false" customHeight="false" outlineLevel="0" collapsed="false">
      <c r="A640" s="7" t="s">
        <v>26</v>
      </c>
    </row>
    <row r="641" customFormat="false" ht="15" hidden="false" customHeight="false" outlineLevel="0" collapsed="false">
      <c r="B641" s="12" t="n">
        <f aca="false">IFERROR(__xludf.DUMMYFUNCTION("IMPORTRANGE(Links!$B$5,""parametros_manuales!B7:B7"")"),150)</f>
        <v>150</v>
      </c>
    </row>
    <row r="643" customFormat="false" ht="15" hidden="false" customHeight="false" outlineLevel="0" collapsed="false">
      <c r="A643" s="7" t="s">
        <v>27</v>
      </c>
    </row>
    <row r="644" customFormat="false" ht="15" hidden="false" customHeight="false" outlineLevel="0" collapsed="false">
      <c r="B644" s="11" t="str">
        <f aca="false">IFERROR(__xludf.DUMMYFUNCTION("IMPORTRANGE(Links!$B$5,""Demanda puesto con sobrestock!N1:N279"")"),"Total anual")</f>
        <v>Total anual</v>
      </c>
    </row>
    <row r="645" customFormat="false" ht="15" hidden="false" customHeight="false" outlineLevel="0" collapsed="false">
      <c r="B645" s="11"/>
    </row>
    <row r="646" customFormat="false" ht="15" hidden="false" customHeight="false" outlineLevel="0" collapsed="false">
      <c r="B646" s="11"/>
    </row>
    <row r="647" customFormat="false" ht="15" hidden="false" customHeight="false" outlineLevel="0" collapsed="false">
      <c r="B647" s="11"/>
    </row>
    <row r="648" customFormat="false" ht="15" hidden="false" customHeight="false" outlineLevel="0" collapsed="false">
      <c r="B648" s="11"/>
    </row>
    <row r="649" customFormat="false" ht="15" hidden="false" customHeight="false" outlineLevel="0" collapsed="false">
      <c r="B649" s="11"/>
    </row>
    <row r="650" customFormat="false" ht="15" hidden="false" customHeight="false" outlineLevel="0" collapsed="false">
      <c r="B650" s="11"/>
    </row>
    <row r="651" customFormat="false" ht="15" hidden="false" customHeight="false" outlineLevel="0" collapsed="false">
      <c r="B651" s="11"/>
    </row>
    <row r="652" customFormat="false" ht="15" hidden="false" customHeight="false" outlineLevel="0" collapsed="false">
      <c r="B652" s="11"/>
    </row>
    <row r="653" customFormat="false" ht="15" hidden="false" customHeight="false" outlineLevel="0" collapsed="false">
      <c r="B653" s="11"/>
    </row>
    <row r="654" customFormat="false" ht="15" hidden="false" customHeight="false" outlineLevel="0" collapsed="false">
      <c r="B654" s="11"/>
    </row>
    <row r="655" customFormat="false" ht="15" hidden="false" customHeight="false" outlineLevel="0" collapsed="false">
      <c r="B655" s="11"/>
    </row>
    <row r="656" customFormat="false" ht="15" hidden="false" customHeight="false" outlineLevel="0" collapsed="false">
      <c r="B656" s="11"/>
    </row>
    <row r="657" customFormat="false" ht="15" hidden="false" customHeight="false" outlineLevel="0" collapsed="false">
      <c r="B657" s="11"/>
    </row>
    <row r="658" customFormat="false" ht="15" hidden="false" customHeight="false" outlineLevel="0" collapsed="false">
      <c r="B658" s="11"/>
    </row>
    <row r="659" customFormat="false" ht="15" hidden="false" customHeight="false" outlineLevel="0" collapsed="false">
      <c r="B659" s="11"/>
    </row>
    <row r="660" customFormat="false" ht="15" hidden="false" customHeight="false" outlineLevel="0" collapsed="false">
      <c r="B660" s="11"/>
    </row>
    <row r="661" customFormat="false" ht="15" hidden="false" customHeight="false" outlineLevel="0" collapsed="false">
      <c r="B661" s="11"/>
    </row>
    <row r="662" customFormat="false" ht="15" hidden="false" customHeight="false" outlineLevel="0" collapsed="false">
      <c r="B662" s="11"/>
    </row>
    <row r="663" customFormat="false" ht="15" hidden="false" customHeight="false" outlineLevel="0" collapsed="false">
      <c r="B663" s="11"/>
    </row>
    <row r="664" customFormat="false" ht="15" hidden="false" customHeight="false" outlineLevel="0" collapsed="false">
      <c r="B664" s="11"/>
    </row>
    <row r="665" customFormat="false" ht="15" hidden="false" customHeight="false" outlineLevel="0" collapsed="false">
      <c r="B665" s="11"/>
    </row>
    <row r="666" customFormat="false" ht="15" hidden="false" customHeight="false" outlineLevel="0" collapsed="false">
      <c r="B666" s="11"/>
    </row>
    <row r="667" customFormat="false" ht="15" hidden="false" customHeight="false" outlineLevel="0" collapsed="false">
      <c r="B667" s="11"/>
    </row>
    <row r="668" customFormat="false" ht="15" hidden="false" customHeight="false" outlineLevel="0" collapsed="false">
      <c r="B668" s="11"/>
    </row>
    <row r="669" customFormat="false" ht="15" hidden="false" customHeight="false" outlineLevel="0" collapsed="false">
      <c r="B669" s="11"/>
    </row>
    <row r="670" customFormat="false" ht="15" hidden="false" customHeight="false" outlineLevel="0" collapsed="false">
      <c r="B670" s="11"/>
    </row>
    <row r="672" customFormat="false" ht="15" hidden="false" customHeight="false" outlineLevel="0" collapsed="false">
      <c r="B672" s="11"/>
    </row>
    <row r="673" customFormat="false" ht="15" hidden="false" customHeight="false" outlineLevel="0" collapsed="false">
      <c r="B673" s="11"/>
    </row>
    <row r="674" customFormat="false" ht="15" hidden="false" customHeight="false" outlineLevel="0" collapsed="false">
      <c r="B674" s="11"/>
    </row>
    <row r="675" customFormat="false" ht="15" hidden="false" customHeight="false" outlineLevel="0" collapsed="false">
      <c r="B675" s="11"/>
    </row>
    <row r="676" customFormat="false" ht="15" hidden="false" customHeight="false" outlineLevel="0" collapsed="false">
      <c r="B676" s="11"/>
    </row>
    <row r="677" customFormat="false" ht="15" hidden="false" customHeight="false" outlineLevel="0" collapsed="false">
      <c r="B677" s="11"/>
    </row>
    <row r="678" customFormat="false" ht="15" hidden="false" customHeight="false" outlineLevel="0" collapsed="false">
      <c r="B678" s="11"/>
    </row>
    <row r="679" customFormat="false" ht="15" hidden="false" customHeight="false" outlineLevel="0" collapsed="false">
      <c r="B679" s="11"/>
    </row>
    <row r="680" customFormat="false" ht="15" hidden="false" customHeight="false" outlineLevel="0" collapsed="false">
      <c r="B680" s="11"/>
    </row>
    <row r="681" customFormat="false" ht="15" hidden="false" customHeight="false" outlineLevel="0" collapsed="false">
      <c r="B681" s="11"/>
    </row>
    <row r="682" customFormat="false" ht="15" hidden="false" customHeight="false" outlineLevel="0" collapsed="false">
      <c r="B682" s="11"/>
    </row>
    <row r="683" customFormat="false" ht="15" hidden="false" customHeight="false" outlineLevel="0" collapsed="false">
      <c r="B683" s="11"/>
    </row>
    <row r="684" customFormat="false" ht="15" hidden="false" customHeight="false" outlineLevel="0" collapsed="false">
      <c r="B684" s="11"/>
    </row>
    <row r="685" customFormat="false" ht="15" hidden="false" customHeight="false" outlineLevel="0" collapsed="false">
      <c r="B685" s="11"/>
    </row>
    <row r="686" customFormat="false" ht="15" hidden="false" customHeight="false" outlineLevel="0" collapsed="false">
      <c r="B686" s="11"/>
    </row>
    <row r="687" customFormat="false" ht="15" hidden="false" customHeight="false" outlineLevel="0" collapsed="false">
      <c r="B687" s="11"/>
    </row>
    <row r="688" customFormat="false" ht="15" hidden="false" customHeight="false" outlineLevel="0" collapsed="false">
      <c r="B688" s="11"/>
    </row>
    <row r="689" customFormat="false" ht="15" hidden="false" customHeight="false" outlineLevel="0" collapsed="false">
      <c r="B689" s="11"/>
    </row>
    <row r="690" customFormat="false" ht="15" hidden="false" customHeight="false" outlineLevel="0" collapsed="false">
      <c r="B690" s="11"/>
    </row>
    <row r="691" customFormat="false" ht="15" hidden="false" customHeight="false" outlineLevel="0" collapsed="false">
      <c r="B691" s="11"/>
    </row>
    <row r="692" customFormat="false" ht="15" hidden="false" customHeight="false" outlineLevel="0" collapsed="false">
      <c r="B692" s="11"/>
    </row>
    <row r="693" customFormat="false" ht="15" hidden="false" customHeight="false" outlineLevel="0" collapsed="false">
      <c r="B693" s="11"/>
    </row>
    <row r="694" customFormat="false" ht="15" hidden="false" customHeight="false" outlineLevel="0" collapsed="false">
      <c r="B694" s="11"/>
    </row>
    <row r="695" customFormat="false" ht="15" hidden="false" customHeight="false" outlineLevel="0" collapsed="false">
      <c r="B695" s="11"/>
    </row>
    <row r="696" customFormat="false" ht="15" hidden="false" customHeight="false" outlineLevel="0" collapsed="false">
      <c r="B696" s="11"/>
    </row>
    <row r="697" customFormat="false" ht="15" hidden="false" customHeight="false" outlineLevel="0" collapsed="false">
      <c r="B697" s="11"/>
    </row>
    <row r="698" customFormat="false" ht="15" hidden="false" customHeight="false" outlineLevel="0" collapsed="false">
      <c r="B698" s="11"/>
    </row>
    <row r="700" customFormat="false" ht="15" hidden="false" customHeight="false" outlineLevel="0" collapsed="false">
      <c r="B700" s="11"/>
    </row>
    <row r="701" customFormat="false" ht="15" hidden="false" customHeight="false" outlineLevel="0" collapsed="false">
      <c r="B701" s="11"/>
    </row>
    <row r="702" customFormat="false" ht="15" hidden="false" customHeight="false" outlineLevel="0" collapsed="false">
      <c r="B702" s="11"/>
    </row>
    <row r="703" customFormat="false" ht="15" hidden="false" customHeight="false" outlineLevel="0" collapsed="false">
      <c r="B703" s="11"/>
    </row>
    <row r="704" customFormat="false" ht="15" hidden="false" customHeight="false" outlineLevel="0" collapsed="false">
      <c r="B704" s="11"/>
    </row>
    <row r="705" customFormat="false" ht="15" hidden="false" customHeight="false" outlineLevel="0" collapsed="false">
      <c r="B705" s="11"/>
    </row>
    <row r="706" customFormat="false" ht="15" hidden="false" customHeight="false" outlineLevel="0" collapsed="false">
      <c r="B706" s="11"/>
    </row>
    <row r="707" customFormat="false" ht="15" hidden="false" customHeight="false" outlineLevel="0" collapsed="false">
      <c r="B707" s="11"/>
    </row>
    <row r="708" customFormat="false" ht="15" hidden="false" customHeight="false" outlineLevel="0" collapsed="false">
      <c r="B708" s="11"/>
    </row>
    <row r="709" customFormat="false" ht="15" hidden="false" customHeight="false" outlineLevel="0" collapsed="false">
      <c r="B709" s="11"/>
    </row>
    <row r="710" customFormat="false" ht="15" hidden="false" customHeight="false" outlineLevel="0" collapsed="false">
      <c r="B710" s="11"/>
    </row>
    <row r="711" customFormat="false" ht="15" hidden="false" customHeight="false" outlineLevel="0" collapsed="false">
      <c r="B711" s="11"/>
    </row>
    <row r="712" customFormat="false" ht="15" hidden="false" customHeight="false" outlineLevel="0" collapsed="false">
      <c r="B712" s="11"/>
    </row>
    <row r="713" customFormat="false" ht="15" hidden="false" customHeight="false" outlineLevel="0" collapsed="false">
      <c r="B713" s="11"/>
    </row>
    <row r="714" customFormat="false" ht="15" hidden="false" customHeight="false" outlineLevel="0" collapsed="false">
      <c r="B714" s="11"/>
    </row>
    <row r="715" customFormat="false" ht="15" hidden="false" customHeight="false" outlineLevel="0" collapsed="false">
      <c r="B715" s="11"/>
    </row>
    <row r="716" customFormat="false" ht="15" hidden="false" customHeight="false" outlineLevel="0" collapsed="false">
      <c r="B716" s="11"/>
    </row>
    <row r="717" customFormat="false" ht="15" hidden="false" customHeight="false" outlineLevel="0" collapsed="false">
      <c r="B717" s="11"/>
    </row>
    <row r="718" customFormat="false" ht="15" hidden="false" customHeight="false" outlineLevel="0" collapsed="false">
      <c r="B718" s="11"/>
    </row>
    <row r="719" customFormat="false" ht="15" hidden="false" customHeight="false" outlineLevel="0" collapsed="false">
      <c r="B719" s="11"/>
    </row>
    <row r="720" customFormat="false" ht="15" hidden="false" customHeight="false" outlineLevel="0" collapsed="false">
      <c r="B720" s="11"/>
    </row>
    <row r="721" customFormat="false" ht="15" hidden="false" customHeight="false" outlineLevel="0" collapsed="false">
      <c r="B721" s="11"/>
    </row>
    <row r="722" customFormat="false" ht="15" hidden="false" customHeight="false" outlineLevel="0" collapsed="false">
      <c r="B722" s="11"/>
    </row>
    <row r="723" customFormat="false" ht="15" hidden="false" customHeight="false" outlineLevel="0" collapsed="false">
      <c r="B723" s="11"/>
    </row>
    <row r="724" customFormat="false" ht="15" hidden="false" customHeight="false" outlineLevel="0" collapsed="false">
      <c r="B724" s="11"/>
    </row>
    <row r="725" customFormat="false" ht="15" hidden="false" customHeight="false" outlineLevel="0" collapsed="false">
      <c r="B725" s="11"/>
    </row>
    <row r="726" customFormat="false" ht="15" hidden="false" customHeight="false" outlineLevel="0" collapsed="false">
      <c r="B726" s="11"/>
    </row>
    <row r="728" customFormat="false" ht="15" hidden="false" customHeight="false" outlineLevel="0" collapsed="false">
      <c r="B728" s="11"/>
    </row>
    <row r="729" customFormat="false" ht="15" hidden="false" customHeight="false" outlineLevel="0" collapsed="false">
      <c r="B729" s="11"/>
    </row>
    <row r="730" customFormat="false" ht="15" hidden="false" customHeight="false" outlineLevel="0" collapsed="false">
      <c r="B730" s="11"/>
    </row>
    <row r="731" customFormat="false" ht="15" hidden="false" customHeight="false" outlineLevel="0" collapsed="false">
      <c r="B731" s="11"/>
    </row>
    <row r="732" customFormat="false" ht="15" hidden="false" customHeight="false" outlineLevel="0" collapsed="false">
      <c r="B732" s="11"/>
    </row>
    <row r="733" customFormat="false" ht="15" hidden="false" customHeight="false" outlineLevel="0" collapsed="false">
      <c r="B733" s="11"/>
    </row>
    <row r="734" customFormat="false" ht="15" hidden="false" customHeight="false" outlineLevel="0" collapsed="false">
      <c r="B734" s="11"/>
    </row>
    <row r="735" customFormat="false" ht="15" hidden="false" customHeight="false" outlineLevel="0" collapsed="false">
      <c r="B735" s="11"/>
    </row>
    <row r="736" customFormat="false" ht="15" hidden="false" customHeight="false" outlineLevel="0" collapsed="false">
      <c r="B736" s="11"/>
    </row>
    <row r="737" customFormat="false" ht="15" hidden="false" customHeight="false" outlineLevel="0" collapsed="false">
      <c r="B737" s="11"/>
    </row>
    <row r="738" customFormat="false" ht="15" hidden="false" customHeight="false" outlineLevel="0" collapsed="false">
      <c r="B738" s="11"/>
    </row>
    <row r="739" customFormat="false" ht="15" hidden="false" customHeight="false" outlineLevel="0" collapsed="false">
      <c r="B739" s="11"/>
    </row>
    <row r="740" customFormat="false" ht="15" hidden="false" customHeight="false" outlineLevel="0" collapsed="false">
      <c r="B740" s="11"/>
    </row>
    <row r="741" customFormat="false" ht="15" hidden="false" customHeight="false" outlineLevel="0" collapsed="false">
      <c r="B741" s="11"/>
    </row>
    <row r="742" customFormat="false" ht="15" hidden="false" customHeight="false" outlineLevel="0" collapsed="false">
      <c r="B742" s="11"/>
    </row>
    <row r="743" customFormat="false" ht="15" hidden="false" customHeight="false" outlineLevel="0" collapsed="false">
      <c r="B743" s="11"/>
    </row>
    <row r="744" customFormat="false" ht="15" hidden="false" customHeight="false" outlineLevel="0" collapsed="false">
      <c r="B744" s="11"/>
    </row>
    <row r="745" customFormat="false" ht="15" hidden="false" customHeight="false" outlineLevel="0" collapsed="false">
      <c r="B745" s="11"/>
    </row>
    <row r="746" customFormat="false" ht="15" hidden="false" customHeight="false" outlineLevel="0" collapsed="false">
      <c r="B746" s="11"/>
    </row>
    <row r="747" customFormat="false" ht="15" hidden="false" customHeight="false" outlineLevel="0" collapsed="false">
      <c r="B747" s="11"/>
    </row>
    <row r="748" customFormat="false" ht="15" hidden="false" customHeight="false" outlineLevel="0" collapsed="false">
      <c r="B748" s="11"/>
    </row>
    <row r="749" customFormat="false" ht="15" hidden="false" customHeight="false" outlineLevel="0" collapsed="false">
      <c r="B749" s="11"/>
    </row>
    <row r="750" customFormat="false" ht="15" hidden="false" customHeight="false" outlineLevel="0" collapsed="false">
      <c r="B750" s="11"/>
    </row>
    <row r="751" customFormat="false" ht="15" hidden="false" customHeight="false" outlineLevel="0" collapsed="false">
      <c r="B751" s="11"/>
    </row>
    <row r="752" customFormat="false" ht="15" hidden="false" customHeight="false" outlineLevel="0" collapsed="false">
      <c r="B752" s="11"/>
    </row>
    <row r="753" customFormat="false" ht="15" hidden="false" customHeight="false" outlineLevel="0" collapsed="false">
      <c r="B753" s="11"/>
    </row>
    <row r="754" customFormat="false" ht="15" hidden="false" customHeight="false" outlineLevel="0" collapsed="false">
      <c r="B754" s="11"/>
    </row>
    <row r="756" customFormat="false" ht="15" hidden="false" customHeight="false" outlineLevel="0" collapsed="false">
      <c r="B756" s="11"/>
    </row>
    <row r="757" customFormat="false" ht="15" hidden="false" customHeight="false" outlineLevel="0" collapsed="false">
      <c r="B757" s="11"/>
    </row>
    <row r="758" customFormat="false" ht="15" hidden="false" customHeight="false" outlineLevel="0" collapsed="false">
      <c r="B758" s="11"/>
    </row>
    <row r="759" customFormat="false" ht="15" hidden="false" customHeight="false" outlineLevel="0" collapsed="false">
      <c r="B759" s="11"/>
    </row>
    <row r="760" customFormat="false" ht="15" hidden="false" customHeight="false" outlineLevel="0" collapsed="false">
      <c r="B760" s="11"/>
    </row>
    <row r="761" customFormat="false" ht="15" hidden="false" customHeight="false" outlineLevel="0" collapsed="false">
      <c r="B761" s="11"/>
    </row>
    <row r="762" customFormat="false" ht="15" hidden="false" customHeight="false" outlineLevel="0" collapsed="false">
      <c r="B762" s="11"/>
    </row>
    <row r="763" customFormat="false" ht="15" hidden="false" customHeight="false" outlineLevel="0" collapsed="false">
      <c r="B763" s="11"/>
    </row>
    <row r="764" customFormat="false" ht="15" hidden="false" customHeight="false" outlineLevel="0" collapsed="false">
      <c r="B764" s="11"/>
    </row>
    <row r="765" customFormat="false" ht="15" hidden="false" customHeight="false" outlineLevel="0" collapsed="false">
      <c r="B765" s="11"/>
    </row>
    <row r="766" customFormat="false" ht="15" hidden="false" customHeight="false" outlineLevel="0" collapsed="false">
      <c r="B766" s="11"/>
    </row>
    <row r="767" customFormat="false" ht="15" hidden="false" customHeight="false" outlineLevel="0" collapsed="false">
      <c r="B767" s="11"/>
    </row>
    <row r="768" customFormat="false" ht="15" hidden="false" customHeight="false" outlineLevel="0" collapsed="false">
      <c r="B768" s="11"/>
    </row>
    <row r="769" customFormat="false" ht="15" hidden="false" customHeight="false" outlineLevel="0" collapsed="false">
      <c r="B769" s="11"/>
    </row>
    <row r="770" customFormat="false" ht="15" hidden="false" customHeight="false" outlineLevel="0" collapsed="false">
      <c r="B770" s="11"/>
    </row>
    <row r="771" customFormat="false" ht="15" hidden="false" customHeight="false" outlineLevel="0" collapsed="false">
      <c r="B771" s="11"/>
    </row>
    <row r="772" customFormat="false" ht="15" hidden="false" customHeight="false" outlineLevel="0" collapsed="false">
      <c r="B772" s="11"/>
    </row>
    <row r="773" customFormat="false" ht="15" hidden="false" customHeight="false" outlineLevel="0" collapsed="false">
      <c r="B773" s="11"/>
    </row>
    <row r="774" customFormat="false" ht="15" hidden="false" customHeight="false" outlineLevel="0" collapsed="false">
      <c r="B774" s="11"/>
    </row>
    <row r="775" customFormat="false" ht="15" hidden="false" customHeight="false" outlineLevel="0" collapsed="false">
      <c r="B775" s="11"/>
    </row>
    <row r="776" customFormat="false" ht="15" hidden="false" customHeight="false" outlineLevel="0" collapsed="false">
      <c r="B776" s="11"/>
    </row>
    <row r="777" customFormat="false" ht="15" hidden="false" customHeight="false" outlineLevel="0" collapsed="false">
      <c r="B777" s="11"/>
    </row>
    <row r="778" customFormat="false" ht="15" hidden="false" customHeight="false" outlineLevel="0" collapsed="false">
      <c r="B778" s="11"/>
    </row>
    <row r="779" customFormat="false" ht="15" hidden="false" customHeight="false" outlineLevel="0" collapsed="false">
      <c r="B779" s="11"/>
    </row>
    <row r="780" customFormat="false" ht="15" hidden="false" customHeight="false" outlineLevel="0" collapsed="false">
      <c r="B780" s="11"/>
    </row>
    <row r="781" customFormat="false" ht="15" hidden="false" customHeight="false" outlineLevel="0" collapsed="false">
      <c r="B781" s="11"/>
    </row>
    <row r="782" customFormat="false" ht="15" hidden="false" customHeight="false" outlineLevel="0" collapsed="false">
      <c r="B782" s="11"/>
    </row>
    <row r="784" customFormat="false" ht="15" hidden="false" customHeight="false" outlineLevel="0" collapsed="false">
      <c r="B784" s="11"/>
    </row>
    <row r="785" customFormat="false" ht="15" hidden="false" customHeight="false" outlineLevel="0" collapsed="false">
      <c r="B785" s="11"/>
    </row>
    <row r="786" customFormat="false" ht="15" hidden="false" customHeight="false" outlineLevel="0" collapsed="false">
      <c r="B786" s="11"/>
    </row>
    <row r="787" customFormat="false" ht="15" hidden="false" customHeight="false" outlineLevel="0" collapsed="false">
      <c r="B787" s="11"/>
    </row>
    <row r="788" customFormat="false" ht="15" hidden="false" customHeight="false" outlineLevel="0" collapsed="false">
      <c r="B788" s="11"/>
    </row>
    <row r="789" customFormat="false" ht="15" hidden="false" customHeight="false" outlineLevel="0" collapsed="false">
      <c r="B789" s="11"/>
    </row>
    <row r="790" customFormat="false" ht="15" hidden="false" customHeight="false" outlineLevel="0" collapsed="false">
      <c r="B790" s="11"/>
    </row>
    <row r="791" customFormat="false" ht="15" hidden="false" customHeight="false" outlineLevel="0" collapsed="false">
      <c r="B791" s="11"/>
    </row>
    <row r="792" customFormat="false" ht="15" hidden="false" customHeight="false" outlineLevel="0" collapsed="false">
      <c r="B792" s="11"/>
    </row>
    <row r="793" customFormat="false" ht="15" hidden="false" customHeight="false" outlineLevel="0" collapsed="false">
      <c r="B793" s="11"/>
    </row>
    <row r="794" customFormat="false" ht="15" hidden="false" customHeight="false" outlineLevel="0" collapsed="false">
      <c r="B794" s="11"/>
    </row>
    <row r="795" customFormat="false" ht="15" hidden="false" customHeight="false" outlineLevel="0" collapsed="false">
      <c r="B795" s="11"/>
    </row>
    <row r="796" customFormat="false" ht="15" hidden="false" customHeight="false" outlineLevel="0" collapsed="false">
      <c r="B796" s="11"/>
    </row>
    <row r="797" customFormat="false" ht="15" hidden="false" customHeight="false" outlineLevel="0" collapsed="false">
      <c r="B797" s="11"/>
    </row>
    <row r="798" customFormat="false" ht="15" hidden="false" customHeight="false" outlineLevel="0" collapsed="false">
      <c r="B798" s="11"/>
    </row>
    <row r="799" customFormat="false" ht="15" hidden="false" customHeight="false" outlineLevel="0" collapsed="false">
      <c r="B799" s="11"/>
    </row>
    <row r="800" customFormat="false" ht="15" hidden="false" customHeight="false" outlineLevel="0" collapsed="false">
      <c r="B800" s="11"/>
    </row>
    <row r="801" customFormat="false" ht="15" hidden="false" customHeight="false" outlineLevel="0" collapsed="false">
      <c r="B801" s="11"/>
    </row>
    <row r="802" customFormat="false" ht="15" hidden="false" customHeight="false" outlineLevel="0" collapsed="false">
      <c r="B802" s="11"/>
    </row>
    <row r="803" customFormat="false" ht="15" hidden="false" customHeight="false" outlineLevel="0" collapsed="false">
      <c r="B803" s="11"/>
    </row>
    <row r="804" customFormat="false" ht="15" hidden="false" customHeight="false" outlineLevel="0" collapsed="false">
      <c r="B804" s="11"/>
    </row>
    <row r="805" customFormat="false" ht="15" hidden="false" customHeight="false" outlineLevel="0" collapsed="false">
      <c r="B805" s="11"/>
    </row>
    <row r="806" customFormat="false" ht="15" hidden="false" customHeight="false" outlineLevel="0" collapsed="false">
      <c r="B806" s="11"/>
    </row>
    <row r="807" customFormat="false" ht="15" hidden="false" customHeight="false" outlineLevel="0" collapsed="false">
      <c r="B807" s="11"/>
    </row>
    <row r="808" customFormat="false" ht="15" hidden="false" customHeight="false" outlineLevel="0" collapsed="false">
      <c r="B808" s="11"/>
    </row>
    <row r="809" customFormat="false" ht="15" hidden="false" customHeight="false" outlineLevel="0" collapsed="false">
      <c r="B809" s="11"/>
    </row>
    <row r="810" customFormat="false" ht="15" hidden="false" customHeight="false" outlineLevel="0" collapsed="false">
      <c r="B810" s="11"/>
    </row>
    <row r="812" customFormat="false" ht="15" hidden="false" customHeight="false" outlineLevel="0" collapsed="false">
      <c r="B812" s="11"/>
    </row>
    <row r="813" customFormat="false" ht="15" hidden="false" customHeight="false" outlineLevel="0" collapsed="false">
      <c r="B813" s="11"/>
    </row>
    <row r="814" customFormat="false" ht="15" hidden="false" customHeight="false" outlineLevel="0" collapsed="false">
      <c r="B814" s="11"/>
    </row>
    <row r="815" customFormat="false" ht="15" hidden="false" customHeight="false" outlineLevel="0" collapsed="false">
      <c r="B815" s="11"/>
    </row>
    <row r="816" customFormat="false" ht="15" hidden="false" customHeight="false" outlineLevel="0" collapsed="false">
      <c r="B816" s="11"/>
    </row>
    <row r="817" customFormat="false" ht="15" hidden="false" customHeight="false" outlineLevel="0" collapsed="false">
      <c r="B817" s="11"/>
    </row>
    <row r="818" customFormat="false" ht="15" hidden="false" customHeight="false" outlineLevel="0" collapsed="false">
      <c r="B818" s="11"/>
    </row>
    <row r="819" customFormat="false" ht="15" hidden="false" customHeight="false" outlineLevel="0" collapsed="false">
      <c r="B819" s="11"/>
    </row>
    <row r="820" customFormat="false" ht="15" hidden="false" customHeight="false" outlineLevel="0" collapsed="false">
      <c r="B820" s="11"/>
    </row>
    <row r="821" customFormat="false" ht="15" hidden="false" customHeight="false" outlineLevel="0" collapsed="false">
      <c r="B821" s="11"/>
    </row>
    <row r="822" customFormat="false" ht="15" hidden="false" customHeight="false" outlineLevel="0" collapsed="false">
      <c r="B822" s="11"/>
    </row>
    <row r="823" customFormat="false" ht="15" hidden="false" customHeight="false" outlineLevel="0" collapsed="false">
      <c r="B823" s="11"/>
    </row>
    <row r="824" customFormat="false" ht="15" hidden="false" customHeight="false" outlineLevel="0" collapsed="false">
      <c r="B824" s="11"/>
    </row>
    <row r="825" customFormat="false" ht="15" hidden="false" customHeight="false" outlineLevel="0" collapsed="false">
      <c r="B825" s="11"/>
    </row>
    <row r="826" customFormat="false" ht="15" hidden="false" customHeight="false" outlineLevel="0" collapsed="false">
      <c r="B826" s="11"/>
    </row>
    <row r="827" customFormat="false" ht="15" hidden="false" customHeight="false" outlineLevel="0" collapsed="false">
      <c r="B827" s="11"/>
    </row>
    <row r="828" customFormat="false" ht="15" hidden="false" customHeight="false" outlineLevel="0" collapsed="false">
      <c r="B828" s="11"/>
    </row>
    <row r="829" customFormat="false" ht="15" hidden="false" customHeight="false" outlineLevel="0" collapsed="false">
      <c r="B829" s="11"/>
    </row>
    <row r="830" customFormat="false" ht="15" hidden="false" customHeight="false" outlineLevel="0" collapsed="false">
      <c r="B830" s="11"/>
    </row>
    <row r="831" customFormat="false" ht="15" hidden="false" customHeight="false" outlineLevel="0" collapsed="false">
      <c r="B831" s="11"/>
    </row>
    <row r="832" customFormat="false" ht="15" hidden="false" customHeight="false" outlineLevel="0" collapsed="false">
      <c r="B832" s="11"/>
    </row>
    <row r="833" customFormat="false" ht="15" hidden="false" customHeight="false" outlineLevel="0" collapsed="false">
      <c r="B833" s="11"/>
    </row>
    <row r="834" customFormat="false" ht="15" hidden="false" customHeight="false" outlineLevel="0" collapsed="false">
      <c r="B834" s="11"/>
    </row>
    <row r="835" customFormat="false" ht="15" hidden="false" customHeight="false" outlineLevel="0" collapsed="false">
      <c r="B835" s="11"/>
    </row>
    <row r="836" customFormat="false" ht="15" hidden="false" customHeight="false" outlineLevel="0" collapsed="false">
      <c r="B836" s="11"/>
    </row>
    <row r="837" customFormat="false" ht="15" hidden="false" customHeight="false" outlineLevel="0" collapsed="false">
      <c r="B837" s="11"/>
    </row>
    <row r="838" customFormat="false" ht="15" hidden="false" customHeight="false" outlineLevel="0" collapsed="false">
      <c r="B838" s="11"/>
    </row>
    <row r="840" customFormat="false" ht="15" hidden="false" customHeight="false" outlineLevel="0" collapsed="false">
      <c r="B840" s="11"/>
    </row>
    <row r="841" customFormat="false" ht="15" hidden="false" customHeight="false" outlineLevel="0" collapsed="false">
      <c r="B841" s="11"/>
    </row>
    <row r="842" customFormat="false" ht="15" hidden="false" customHeight="false" outlineLevel="0" collapsed="false">
      <c r="B842" s="11"/>
    </row>
    <row r="843" customFormat="false" ht="15" hidden="false" customHeight="false" outlineLevel="0" collapsed="false">
      <c r="B843" s="11"/>
    </row>
    <row r="844" customFormat="false" ht="15" hidden="false" customHeight="false" outlineLevel="0" collapsed="false">
      <c r="B844" s="11"/>
    </row>
    <row r="845" customFormat="false" ht="15" hidden="false" customHeight="false" outlineLevel="0" collapsed="false">
      <c r="B845" s="11"/>
    </row>
    <row r="846" customFormat="false" ht="15" hidden="false" customHeight="false" outlineLevel="0" collapsed="false">
      <c r="B846" s="11"/>
    </row>
    <row r="847" customFormat="false" ht="15" hidden="false" customHeight="false" outlineLevel="0" collapsed="false">
      <c r="B847" s="11"/>
    </row>
    <row r="848" customFormat="false" ht="15" hidden="false" customHeight="false" outlineLevel="0" collapsed="false">
      <c r="B848" s="11"/>
    </row>
    <row r="849" customFormat="false" ht="15" hidden="false" customHeight="false" outlineLevel="0" collapsed="false">
      <c r="B849" s="11"/>
    </row>
    <row r="850" customFormat="false" ht="15" hidden="false" customHeight="false" outlineLevel="0" collapsed="false">
      <c r="B850" s="11"/>
    </row>
    <row r="851" customFormat="false" ht="15" hidden="false" customHeight="false" outlineLevel="0" collapsed="false">
      <c r="B851" s="11"/>
    </row>
    <row r="852" customFormat="false" ht="15" hidden="false" customHeight="false" outlineLevel="0" collapsed="false">
      <c r="B852" s="11"/>
    </row>
    <row r="853" customFormat="false" ht="15" hidden="false" customHeight="false" outlineLevel="0" collapsed="false">
      <c r="B853" s="11"/>
    </row>
    <row r="854" customFormat="false" ht="15" hidden="false" customHeight="false" outlineLevel="0" collapsed="false">
      <c r="B854" s="11"/>
    </row>
    <row r="855" customFormat="false" ht="15" hidden="false" customHeight="false" outlineLevel="0" collapsed="false">
      <c r="B855" s="11"/>
    </row>
    <row r="856" customFormat="false" ht="15" hidden="false" customHeight="false" outlineLevel="0" collapsed="false">
      <c r="B856" s="11"/>
    </row>
    <row r="857" customFormat="false" ht="15" hidden="false" customHeight="false" outlineLevel="0" collapsed="false">
      <c r="B857" s="11"/>
    </row>
    <row r="858" customFormat="false" ht="15" hidden="false" customHeight="false" outlineLevel="0" collapsed="false">
      <c r="B858" s="11"/>
    </row>
    <row r="859" customFormat="false" ht="15" hidden="false" customHeight="false" outlineLevel="0" collapsed="false">
      <c r="B859" s="11"/>
    </row>
    <row r="860" customFormat="false" ht="15" hidden="false" customHeight="false" outlineLevel="0" collapsed="false">
      <c r="B860" s="11"/>
    </row>
    <row r="861" customFormat="false" ht="15" hidden="false" customHeight="false" outlineLevel="0" collapsed="false">
      <c r="B861" s="11"/>
    </row>
    <row r="862" customFormat="false" ht="15" hidden="false" customHeight="false" outlineLevel="0" collapsed="false">
      <c r="B862" s="11"/>
    </row>
    <row r="863" customFormat="false" ht="15" hidden="false" customHeight="false" outlineLevel="0" collapsed="false">
      <c r="B863" s="11"/>
    </row>
    <row r="864" customFormat="false" ht="15" hidden="false" customHeight="false" outlineLevel="0" collapsed="false">
      <c r="B864" s="11"/>
    </row>
    <row r="865" customFormat="false" ht="15" hidden="false" customHeight="false" outlineLevel="0" collapsed="false">
      <c r="B865" s="11"/>
    </row>
    <row r="866" customFormat="false" ht="15" hidden="false" customHeight="false" outlineLevel="0" collapsed="false">
      <c r="B866" s="11"/>
    </row>
    <row r="868" customFormat="false" ht="15" hidden="false" customHeight="false" outlineLevel="0" collapsed="false">
      <c r="B868" s="11"/>
    </row>
    <row r="869" customFormat="false" ht="15" hidden="false" customHeight="false" outlineLevel="0" collapsed="false">
      <c r="B869" s="11"/>
    </row>
    <row r="870" customFormat="false" ht="15" hidden="false" customHeight="false" outlineLevel="0" collapsed="false">
      <c r="B870" s="11"/>
    </row>
    <row r="871" customFormat="false" ht="15" hidden="false" customHeight="false" outlineLevel="0" collapsed="false">
      <c r="B871" s="11"/>
    </row>
    <row r="872" customFormat="false" ht="15" hidden="false" customHeight="false" outlineLevel="0" collapsed="false">
      <c r="B872" s="11"/>
    </row>
    <row r="873" customFormat="false" ht="15" hidden="false" customHeight="false" outlineLevel="0" collapsed="false">
      <c r="B873" s="11"/>
    </row>
    <row r="874" customFormat="false" ht="15" hidden="false" customHeight="false" outlineLevel="0" collapsed="false">
      <c r="B874" s="11"/>
    </row>
    <row r="875" customFormat="false" ht="15" hidden="false" customHeight="false" outlineLevel="0" collapsed="false">
      <c r="B875" s="11"/>
    </row>
    <row r="876" customFormat="false" ht="15" hidden="false" customHeight="false" outlineLevel="0" collapsed="false">
      <c r="B876" s="11"/>
    </row>
    <row r="877" customFormat="false" ht="15" hidden="false" customHeight="false" outlineLevel="0" collapsed="false">
      <c r="B877" s="11"/>
    </row>
    <row r="878" customFormat="false" ht="15" hidden="false" customHeight="false" outlineLevel="0" collapsed="false">
      <c r="B878" s="11"/>
    </row>
    <row r="879" customFormat="false" ht="15" hidden="false" customHeight="false" outlineLevel="0" collapsed="false">
      <c r="B879" s="11"/>
    </row>
    <row r="880" customFormat="false" ht="15" hidden="false" customHeight="false" outlineLevel="0" collapsed="false">
      <c r="B880" s="11"/>
    </row>
    <row r="881" customFormat="false" ht="15" hidden="false" customHeight="false" outlineLevel="0" collapsed="false">
      <c r="B881" s="11"/>
    </row>
    <row r="882" customFormat="false" ht="15" hidden="false" customHeight="false" outlineLevel="0" collapsed="false">
      <c r="B882" s="11"/>
    </row>
    <row r="883" customFormat="false" ht="15" hidden="false" customHeight="false" outlineLevel="0" collapsed="false">
      <c r="B883" s="11"/>
    </row>
    <row r="884" customFormat="false" ht="15" hidden="false" customHeight="false" outlineLevel="0" collapsed="false">
      <c r="B884" s="11"/>
    </row>
    <row r="885" customFormat="false" ht="15" hidden="false" customHeight="false" outlineLevel="0" collapsed="false">
      <c r="B885" s="11"/>
    </row>
    <row r="886" customFormat="false" ht="15" hidden="false" customHeight="false" outlineLevel="0" collapsed="false">
      <c r="B886" s="11"/>
    </row>
    <row r="887" customFormat="false" ht="15" hidden="false" customHeight="false" outlineLevel="0" collapsed="false">
      <c r="B887" s="11"/>
    </row>
    <row r="888" customFormat="false" ht="15" hidden="false" customHeight="false" outlineLevel="0" collapsed="false">
      <c r="B888" s="11"/>
    </row>
    <row r="889" customFormat="false" ht="15" hidden="false" customHeight="false" outlineLevel="0" collapsed="false">
      <c r="B889" s="11"/>
    </row>
    <row r="890" customFormat="false" ht="15" hidden="false" customHeight="false" outlineLevel="0" collapsed="false">
      <c r="B890" s="11"/>
    </row>
    <row r="891" customFormat="false" ht="15" hidden="false" customHeight="false" outlineLevel="0" collapsed="false">
      <c r="B891" s="11"/>
    </row>
    <row r="892" customFormat="false" ht="15" hidden="false" customHeight="false" outlineLevel="0" collapsed="false">
      <c r="B892" s="11"/>
    </row>
    <row r="893" customFormat="false" ht="15" hidden="false" customHeight="false" outlineLevel="0" collapsed="false">
      <c r="B893" s="11"/>
    </row>
    <row r="894" customFormat="false" ht="15" hidden="false" customHeight="false" outlineLevel="0" collapsed="false">
      <c r="B894" s="11"/>
    </row>
    <row r="896" customFormat="false" ht="15" hidden="false" customHeight="false" outlineLevel="0" collapsed="false">
      <c r="B896" s="11"/>
    </row>
    <row r="897" customFormat="false" ht="15" hidden="false" customHeight="false" outlineLevel="0" collapsed="false">
      <c r="B897" s="11"/>
    </row>
    <row r="898" customFormat="false" ht="15" hidden="false" customHeight="false" outlineLevel="0" collapsed="false">
      <c r="B898" s="11"/>
    </row>
    <row r="899" customFormat="false" ht="15" hidden="false" customHeight="false" outlineLevel="0" collapsed="false">
      <c r="B899" s="11"/>
    </row>
    <row r="900" customFormat="false" ht="15" hidden="false" customHeight="false" outlineLevel="0" collapsed="false">
      <c r="B900" s="11"/>
    </row>
    <row r="901" customFormat="false" ht="15" hidden="false" customHeight="false" outlineLevel="0" collapsed="false">
      <c r="B901" s="11"/>
    </row>
    <row r="902" customFormat="false" ht="15" hidden="false" customHeight="false" outlineLevel="0" collapsed="false">
      <c r="B902" s="11"/>
    </row>
    <row r="903" customFormat="false" ht="15" hidden="false" customHeight="false" outlineLevel="0" collapsed="false">
      <c r="B903" s="11"/>
    </row>
    <row r="904" customFormat="false" ht="15" hidden="false" customHeight="false" outlineLevel="0" collapsed="false">
      <c r="B904" s="11"/>
    </row>
    <row r="905" customFormat="false" ht="15" hidden="false" customHeight="false" outlineLevel="0" collapsed="false">
      <c r="B905" s="11"/>
    </row>
    <row r="906" customFormat="false" ht="15" hidden="false" customHeight="false" outlineLevel="0" collapsed="false">
      <c r="B906" s="11"/>
    </row>
    <row r="907" customFormat="false" ht="15" hidden="false" customHeight="false" outlineLevel="0" collapsed="false">
      <c r="B907" s="11"/>
    </row>
    <row r="908" customFormat="false" ht="15" hidden="false" customHeight="false" outlineLevel="0" collapsed="false">
      <c r="B908" s="11"/>
    </row>
    <row r="909" customFormat="false" ht="15" hidden="false" customHeight="false" outlineLevel="0" collapsed="false">
      <c r="B909" s="11"/>
    </row>
    <row r="910" customFormat="false" ht="15" hidden="false" customHeight="false" outlineLevel="0" collapsed="false">
      <c r="B910" s="11"/>
    </row>
    <row r="911" customFormat="false" ht="15" hidden="false" customHeight="false" outlineLevel="0" collapsed="false">
      <c r="B911" s="11"/>
    </row>
    <row r="912" customFormat="false" ht="15" hidden="false" customHeight="false" outlineLevel="0" collapsed="false">
      <c r="B912" s="11"/>
    </row>
    <row r="913" customFormat="false" ht="15" hidden="false" customHeight="false" outlineLevel="0" collapsed="false">
      <c r="B913" s="11"/>
    </row>
    <row r="914" customFormat="false" ht="15" hidden="false" customHeight="false" outlineLevel="0" collapsed="false">
      <c r="B914" s="11"/>
    </row>
    <row r="915" customFormat="false" ht="15" hidden="false" customHeight="false" outlineLevel="0" collapsed="false">
      <c r="B915" s="11"/>
    </row>
    <row r="916" customFormat="false" ht="15" hidden="false" customHeight="false" outlineLevel="0" collapsed="false">
      <c r="B916" s="11"/>
    </row>
    <row r="917" customFormat="false" ht="15" hidden="false" customHeight="false" outlineLevel="0" collapsed="false">
      <c r="B917" s="11"/>
    </row>
    <row r="918" customFormat="false" ht="15" hidden="false" customHeight="false" outlineLevel="0" collapsed="false">
      <c r="B918" s="11"/>
    </row>
    <row r="919" customFormat="false" ht="15" hidden="false" customHeight="false" outlineLevel="0" collapsed="false">
      <c r="B919" s="11"/>
    </row>
    <row r="920" customFormat="false" ht="15" hidden="false" customHeight="false" outlineLevel="0" collapsed="false">
      <c r="B920" s="11"/>
    </row>
    <row r="921" customFormat="false" ht="15" hidden="false" customHeight="false" outlineLevel="0" collapsed="false">
      <c r="B921" s="11"/>
    </row>
    <row r="922" customFormat="false" ht="15" hidden="false" customHeight="false" outlineLevel="0" collapsed="false">
      <c r="B922" s="11"/>
    </row>
    <row r="924" customFormat="false" ht="15" hidden="false" customHeight="false" outlineLevel="0" collapsed="false">
      <c r="A924" s="7" t="s">
        <v>28</v>
      </c>
    </row>
    <row r="925" customFormat="false" ht="15" hidden="false" customHeight="false" outlineLevel="0" collapsed="false">
      <c r="B925" s="8" t="n">
        <f aca="false">IFERROR(__xludf.DUMMYFUNCTION("IMPORTRANGE(Links!$B$5,""Resumen cap. con sobrestock!B2:K85"")"),0.0685537310673)</f>
        <v>0.0685537310673</v>
      </c>
      <c r="C925" s="8"/>
      <c r="D925" s="8"/>
      <c r="E925" s="8"/>
      <c r="F925" s="8"/>
      <c r="G925" s="8"/>
      <c r="H925" s="8"/>
      <c r="I925" s="8"/>
      <c r="J925" s="8"/>
      <c r="K925" s="8"/>
    </row>
    <row r="926" customFormat="false" ht="15" hidden="false" customHeight="false" outlineLevel="0" collapsed="false">
      <c r="B926" s="8"/>
      <c r="C926" s="8"/>
      <c r="D926" s="8"/>
      <c r="E926" s="8"/>
      <c r="F926" s="8"/>
      <c r="G926" s="8"/>
      <c r="H926" s="8"/>
      <c r="I926" s="8"/>
      <c r="J926" s="8"/>
      <c r="K926" s="8"/>
    </row>
    <row r="927" customFormat="false" ht="15" hidden="false" customHeight="false" outlineLevel="0" collapsed="false">
      <c r="B927" s="8"/>
      <c r="C927" s="8"/>
      <c r="D927" s="8"/>
      <c r="E927" s="8"/>
      <c r="F927" s="8"/>
      <c r="G927" s="8"/>
      <c r="H927" s="8"/>
      <c r="I927" s="8"/>
      <c r="J927" s="8"/>
      <c r="K927" s="8"/>
    </row>
    <row r="928" customFormat="false" ht="15" hidden="false" customHeight="false" outlineLevel="0" collapsed="false">
      <c r="B928" s="8"/>
      <c r="C928" s="8"/>
      <c r="D928" s="8"/>
      <c r="E928" s="8"/>
      <c r="F928" s="8"/>
      <c r="G928" s="8"/>
      <c r="H928" s="8"/>
      <c r="I928" s="8"/>
      <c r="J928" s="8"/>
      <c r="K928" s="8"/>
    </row>
    <row r="929" customFormat="false" ht="15" hidden="false" customHeight="false" outlineLevel="0" collapsed="false">
      <c r="B929" s="8"/>
      <c r="C929" s="8"/>
      <c r="D929" s="8"/>
      <c r="E929" s="8"/>
      <c r="F929" s="8"/>
      <c r="G929" s="8"/>
      <c r="H929" s="8"/>
      <c r="I929" s="8"/>
      <c r="J929" s="8"/>
      <c r="K929" s="8"/>
    </row>
    <row r="930" customFormat="false" ht="15" hidden="false" customHeight="false" outlineLevel="0" collapsed="false">
      <c r="B930" s="8"/>
      <c r="C930" s="8"/>
      <c r="D930" s="8"/>
      <c r="E930" s="8"/>
      <c r="F930" s="8"/>
      <c r="G930" s="8"/>
      <c r="H930" s="8"/>
      <c r="I930" s="8"/>
      <c r="J930" s="8"/>
      <c r="K930" s="8"/>
    </row>
    <row r="931" customFormat="false" ht="15" hidden="false" customHeight="false" outlineLevel="0" collapsed="false">
      <c r="B931" s="8"/>
      <c r="C931" s="8"/>
      <c r="D931" s="8"/>
      <c r="E931" s="8"/>
      <c r="F931" s="8"/>
      <c r="G931" s="8"/>
      <c r="H931" s="8"/>
      <c r="I931" s="8"/>
      <c r="J931" s="8"/>
      <c r="K931" s="8"/>
    </row>
    <row r="932" customFormat="false" ht="15" hidden="false" customHeight="false" outlineLevel="0" collapsed="false">
      <c r="B932" s="8"/>
      <c r="C932" s="8"/>
      <c r="D932" s="8"/>
      <c r="E932" s="8"/>
      <c r="F932" s="8"/>
      <c r="G932" s="8"/>
      <c r="H932" s="8"/>
      <c r="I932" s="8"/>
      <c r="J932" s="8"/>
      <c r="K932" s="8"/>
    </row>
    <row r="933" customFormat="false" ht="15" hidden="false" customHeight="false" outlineLevel="0" collapsed="false">
      <c r="B933" s="8"/>
      <c r="C933" s="8"/>
      <c r="D933" s="8"/>
      <c r="E933" s="8"/>
      <c r="F933" s="8"/>
      <c r="G933" s="8"/>
      <c r="H933" s="8"/>
      <c r="I933" s="8"/>
      <c r="J933" s="8"/>
      <c r="K933" s="8"/>
    </row>
    <row r="934" customFormat="false" ht="15" hidden="false" customHeight="false" outlineLevel="0" collapsed="false">
      <c r="B934" s="8"/>
      <c r="C934" s="8"/>
      <c r="D934" s="8"/>
      <c r="E934" s="8"/>
      <c r="F934" s="8"/>
      <c r="G934" s="8"/>
      <c r="H934" s="8"/>
      <c r="I934" s="8"/>
      <c r="J934" s="8"/>
      <c r="K934" s="8"/>
    </row>
    <row r="935" customFormat="false" ht="15" hidden="false" customHeight="false" outlineLevel="0" collapsed="false">
      <c r="B935" s="8"/>
      <c r="C935" s="8"/>
      <c r="D935" s="8"/>
      <c r="E935" s="8"/>
      <c r="F935" s="8"/>
      <c r="G935" s="8"/>
      <c r="H935" s="8"/>
      <c r="I935" s="8"/>
      <c r="J935" s="8"/>
      <c r="K935" s="8"/>
    </row>
    <row r="936" customFormat="false" ht="15" hidden="false" customHeight="false" outlineLevel="0" collapsed="false">
      <c r="B936" s="8"/>
      <c r="C936" s="8"/>
      <c r="D936" s="8"/>
      <c r="E936" s="8"/>
      <c r="F936" s="8"/>
      <c r="G936" s="8"/>
      <c r="H936" s="8"/>
      <c r="I936" s="8"/>
      <c r="J936" s="8"/>
      <c r="K936" s="8"/>
    </row>
    <row r="937" customFormat="false" ht="15" hidden="false" customHeight="false" outlineLevel="0" collapsed="false">
      <c r="B937" s="8"/>
      <c r="C937" s="8"/>
      <c r="D937" s="8"/>
      <c r="E937" s="8"/>
      <c r="F937" s="8"/>
      <c r="G937" s="8"/>
      <c r="H937" s="8"/>
      <c r="I937" s="8"/>
      <c r="J937" s="8"/>
      <c r="K937" s="8"/>
    </row>
    <row r="938" customFormat="false" ht="15" hidden="false" customHeight="false" outlineLevel="0" collapsed="false">
      <c r="B938" s="8"/>
      <c r="C938" s="8"/>
      <c r="D938" s="8"/>
      <c r="E938" s="8"/>
      <c r="F938" s="8"/>
      <c r="G938" s="8"/>
      <c r="H938" s="8"/>
      <c r="I938" s="8"/>
      <c r="J938" s="8"/>
      <c r="K938" s="8"/>
    </row>
    <row r="939" customFormat="false" ht="15" hidden="false" customHeight="false" outlineLevel="0" collapsed="false">
      <c r="B939" s="8"/>
      <c r="C939" s="8"/>
      <c r="D939" s="8"/>
      <c r="E939" s="8"/>
      <c r="F939" s="8"/>
      <c r="G939" s="8"/>
      <c r="H939" s="8"/>
      <c r="I939" s="8"/>
      <c r="J939" s="8"/>
      <c r="K939" s="8"/>
    </row>
    <row r="940" customFormat="false" ht="15" hidden="false" customHeight="false" outlineLevel="0" collapsed="false">
      <c r="B940" s="8"/>
      <c r="C940" s="8"/>
      <c r="D940" s="8"/>
      <c r="E940" s="8"/>
      <c r="F940" s="8"/>
      <c r="G940" s="8"/>
      <c r="H940" s="8"/>
      <c r="I940" s="8"/>
      <c r="J940" s="8"/>
      <c r="K940" s="8"/>
    </row>
    <row r="941" customFormat="false" ht="15" hidden="false" customHeight="false" outlineLevel="0" collapsed="false">
      <c r="B941" s="8"/>
      <c r="C941" s="8"/>
      <c r="D941" s="8"/>
      <c r="E941" s="8"/>
      <c r="F941" s="8"/>
      <c r="G941" s="8"/>
      <c r="H941" s="8"/>
      <c r="I941" s="8"/>
      <c r="J941" s="8"/>
      <c r="K941" s="8"/>
    </row>
    <row r="942" customFormat="false" ht="15" hidden="false" customHeight="false" outlineLevel="0" collapsed="false">
      <c r="B942" s="8"/>
      <c r="C942" s="8"/>
      <c r="D942" s="8"/>
      <c r="E942" s="8"/>
      <c r="F942" s="8"/>
      <c r="G942" s="8"/>
      <c r="H942" s="8"/>
      <c r="I942" s="8"/>
      <c r="J942" s="8"/>
      <c r="K942" s="8"/>
    </row>
    <row r="943" customFormat="false" ht="15" hidden="false" customHeight="false" outlineLevel="0" collapsed="false">
      <c r="B943" s="8"/>
      <c r="C943" s="8"/>
      <c r="D943" s="8"/>
      <c r="E943" s="8"/>
      <c r="F943" s="8"/>
      <c r="G943" s="8"/>
      <c r="H943" s="8"/>
      <c r="I943" s="8"/>
      <c r="J943" s="8"/>
      <c r="K943" s="8"/>
    </row>
    <row r="944" customFormat="false" ht="15" hidden="false" customHeight="false" outlineLevel="0" collapsed="false">
      <c r="B944" s="8"/>
      <c r="C944" s="8"/>
      <c r="D944" s="8"/>
      <c r="E944" s="8"/>
      <c r="F944" s="8"/>
      <c r="G944" s="8"/>
      <c r="H944" s="8"/>
      <c r="I944" s="8"/>
      <c r="J944" s="8"/>
      <c r="K944" s="8"/>
    </row>
    <row r="945" customFormat="false" ht="15" hidden="false" customHeight="false" outlineLevel="0" collapsed="false">
      <c r="B945" s="8"/>
      <c r="C945" s="8"/>
      <c r="D945" s="8"/>
      <c r="E945" s="8"/>
      <c r="F945" s="8"/>
      <c r="G945" s="8"/>
      <c r="H945" s="8"/>
      <c r="I945" s="8"/>
      <c r="J945" s="8"/>
      <c r="K945" s="8"/>
    </row>
    <row r="946" customFormat="false" ht="15" hidden="false" customHeight="false" outlineLevel="0" collapsed="false">
      <c r="B946" s="8"/>
      <c r="C946" s="8"/>
      <c r="D946" s="8"/>
      <c r="E946" s="8"/>
      <c r="F946" s="8"/>
      <c r="G946" s="8"/>
      <c r="H946" s="8"/>
      <c r="I946" s="8"/>
      <c r="J946" s="8"/>
      <c r="K946" s="8"/>
    </row>
    <row r="947" customFormat="false" ht="15" hidden="false" customHeight="false" outlineLevel="0" collapsed="false">
      <c r="B947" s="8"/>
      <c r="C947" s="8"/>
      <c r="D947" s="8"/>
      <c r="E947" s="8"/>
      <c r="F947" s="8"/>
      <c r="G947" s="8"/>
      <c r="H947" s="8"/>
      <c r="I947" s="8"/>
      <c r="J947" s="8"/>
      <c r="K947" s="8"/>
    </row>
    <row r="948" customFormat="false" ht="15" hidden="false" customHeight="false" outlineLevel="0" collapsed="false">
      <c r="B948" s="8"/>
      <c r="C948" s="8"/>
      <c r="D948" s="8"/>
      <c r="E948" s="8"/>
      <c r="F948" s="8"/>
      <c r="G948" s="8"/>
      <c r="H948" s="8"/>
      <c r="I948" s="8"/>
      <c r="J948" s="8"/>
      <c r="K948" s="8"/>
    </row>
    <row r="949" customFormat="false" ht="15" hidden="false" customHeight="false" outlineLevel="0" collapsed="false">
      <c r="B949" s="8"/>
      <c r="C949" s="8"/>
      <c r="D949" s="8"/>
      <c r="E949" s="8"/>
      <c r="F949" s="8"/>
      <c r="G949" s="8"/>
      <c r="H949" s="8"/>
      <c r="I949" s="8"/>
      <c r="J949" s="8"/>
      <c r="K949" s="8"/>
    </row>
    <row r="950" customFormat="false" ht="15" hidden="false" customHeight="false" outlineLevel="0" collapsed="false">
      <c r="B950" s="8"/>
      <c r="C950" s="8"/>
      <c r="D950" s="8"/>
      <c r="E950" s="8"/>
      <c r="F950" s="8"/>
      <c r="G950" s="8"/>
      <c r="H950" s="8"/>
      <c r="I950" s="8"/>
      <c r="J950" s="8"/>
      <c r="K950" s="8"/>
    </row>
    <row r="951" customFormat="false" ht="15" hidden="false" customHeight="false" outlineLevel="0" collapsed="false">
      <c r="B951" s="8"/>
      <c r="C951" s="8"/>
      <c r="D951" s="8"/>
      <c r="E951" s="8"/>
      <c r="F951" s="8"/>
      <c r="G951" s="8"/>
      <c r="H951" s="8"/>
      <c r="I951" s="8"/>
      <c r="J951" s="8"/>
      <c r="K951" s="8"/>
    </row>
    <row r="953" customFormat="false" ht="15" hidden="false" customHeight="false" outlineLevel="0" collapsed="false">
      <c r="B953" s="8"/>
      <c r="C953" s="8"/>
      <c r="D953" s="8"/>
      <c r="E953" s="8"/>
      <c r="F953" s="8"/>
      <c r="G953" s="8"/>
      <c r="H953" s="8"/>
      <c r="I953" s="8"/>
      <c r="J953" s="8"/>
      <c r="K953" s="8"/>
    </row>
    <row r="954" customFormat="false" ht="15" hidden="false" customHeight="false" outlineLevel="0" collapsed="false">
      <c r="B954" s="8"/>
      <c r="C954" s="8"/>
      <c r="D954" s="8"/>
      <c r="E954" s="8"/>
      <c r="F954" s="8"/>
      <c r="G954" s="8"/>
      <c r="H954" s="8"/>
      <c r="I954" s="8"/>
      <c r="J954" s="8"/>
      <c r="K954" s="8"/>
    </row>
    <row r="955" customFormat="false" ht="15" hidden="false" customHeight="false" outlineLevel="0" collapsed="false">
      <c r="B955" s="8"/>
      <c r="C955" s="8"/>
      <c r="D955" s="8"/>
      <c r="E955" s="8"/>
      <c r="F955" s="8"/>
      <c r="G955" s="8"/>
      <c r="H955" s="8"/>
      <c r="I955" s="8"/>
      <c r="J955" s="8"/>
      <c r="K955" s="8"/>
    </row>
    <row r="956" customFormat="false" ht="15" hidden="false" customHeight="false" outlineLevel="0" collapsed="false">
      <c r="B956" s="8"/>
      <c r="C956" s="8"/>
      <c r="D956" s="8"/>
      <c r="E956" s="8"/>
      <c r="F956" s="8"/>
      <c r="G956" s="8"/>
      <c r="H956" s="8"/>
      <c r="I956" s="8"/>
      <c r="J956" s="8"/>
      <c r="K956" s="8"/>
    </row>
    <row r="957" customFormat="false" ht="15" hidden="false" customHeight="false" outlineLevel="0" collapsed="false">
      <c r="B957" s="8"/>
      <c r="C957" s="8"/>
      <c r="D957" s="8"/>
      <c r="E957" s="8"/>
      <c r="F957" s="8"/>
      <c r="G957" s="8"/>
      <c r="H957" s="8"/>
      <c r="I957" s="8"/>
      <c r="J957" s="8"/>
      <c r="K957" s="8"/>
    </row>
    <row r="958" customFormat="false" ht="15" hidden="false" customHeight="false" outlineLevel="0" collapsed="false">
      <c r="B958" s="8"/>
      <c r="C958" s="8"/>
      <c r="D958" s="8"/>
      <c r="E958" s="8"/>
      <c r="F958" s="8"/>
      <c r="G958" s="8"/>
      <c r="H958" s="8"/>
      <c r="I958" s="8"/>
      <c r="J958" s="8"/>
      <c r="K958" s="8"/>
    </row>
    <row r="959" customFormat="false" ht="15" hidden="false" customHeight="false" outlineLevel="0" collapsed="false">
      <c r="B959" s="8"/>
      <c r="C959" s="8"/>
      <c r="D959" s="8"/>
      <c r="E959" s="8"/>
      <c r="F959" s="8"/>
      <c r="G959" s="8"/>
      <c r="H959" s="8"/>
      <c r="I959" s="8"/>
      <c r="J959" s="8"/>
      <c r="K959" s="8"/>
    </row>
    <row r="960" customFormat="false" ht="15" hidden="false" customHeight="false" outlineLevel="0" collapsed="false">
      <c r="B960" s="8"/>
      <c r="C960" s="8"/>
      <c r="D960" s="8"/>
      <c r="E960" s="8"/>
      <c r="F960" s="8"/>
      <c r="G960" s="8"/>
      <c r="H960" s="8"/>
      <c r="I960" s="8"/>
      <c r="J960" s="8"/>
      <c r="K960" s="8"/>
    </row>
    <row r="961" customFormat="false" ht="15" hidden="false" customHeight="false" outlineLevel="0" collapsed="false">
      <c r="B961" s="8"/>
      <c r="C961" s="8"/>
      <c r="D961" s="8"/>
      <c r="E961" s="8"/>
      <c r="F961" s="8"/>
      <c r="G961" s="8"/>
      <c r="H961" s="8"/>
      <c r="I961" s="8"/>
      <c r="J961" s="8"/>
      <c r="K961" s="8"/>
    </row>
    <row r="962" customFormat="false" ht="15" hidden="false" customHeight="false" outlineLevel="0" collapsed="false">
      <c r="B962" s="8"/>
      <c r="C962" s="8"/>
      <c r="D962" s="8"/>
      <c r="E962" s="8"/>
      <c r="F962" s="8"/>
      <c r="G962" s="8"/>
      <c r="H962" s="8"/>
      <c r="I962" s="8"/>
      <c r="J962" s="8"/>
      <c r="K962" s="8"/>
    </row>
    <row r="963" customFormat="false" ht="15" hidden="false" customHeight="false" outlineLevel="0" collapsed="false">
      <c r="B963" s="8"/>
      <c r="C963" s="8"/>
      <c r="D963" s="8"/>
      <c r="E963" s="8"/>
      <c r="F963" s="8"/>
      <c r="G963" s="8"/>
      <c r="H963" s="8"/>
      <c r="I963" s="8"/>
      <c r="J963" s="8"/>
      <c r="K963" s="8"/>
    </row>
    <row r="964" customFormat="false" ht="15" hidden="false" customHeight="false" outlineLevel="0" collapsed="false">
      <c r="B964" s="8"/>
      <c r="C964" s="8"/>
      <c r="D964" s="8"/>
      <c r="E964" s="8"/>
      <c r="F964" s="8"/>
      <c r="G964" s="8"/>
      <c r="H964" s="8"/>
      <c r="I964" s="8"/>
      <c r="J964" s="8"/>
      <c r="K964" s="8"/>
    </row>
    <row r="965" customFormat="false" ht="15" hidden="false" customHeight="false" outlineLevel="0" collapsed="false">
      <c r="B965" s="8"/>
      <c r="C965" s="8"/>
      <c r="D965" s="8"/>
      <c r="E965" s="8"/>
      <c r="F965" s="8"/>
      <c r="G965" s="8"/>
      <c r="H965" s="8"/>
      <c r="I965" s="8"/>
      <c r="J965" s="8"/>
      <c r="K965" s="8"/>
    </row>
    <row r="966" customFormat="false" ht="15" hidden="false" customHeight="false" outlineLevel="0" collapsed="false">
      <c r="B966" s="8"/>
      <c r="C966" s="8"/>
      <c r="D966" s="8"/>
      <c r="E966" s="8"/>
      <c r="F966" s="8"/>
      <c r="G966" s="8"/>
      <c r="H966" s="8"/>
      <c r="I966" s="8"/>
      <c r="J966" s="8"/>
      <c r="K966" s="8"/>
    </row>
    <row r="967" customFormat="false" ht="15" hidden="false" customHeight="false" outlineLevel="0" collapsed="false">
      <c r="B967" s="8"/>
      <c r="C967" s="8"/>
      <c r="D967" s="8"/>
      <c r="E967" s="8"/>
      <c r="F967" s="8"/>
      <c r="G967" s="8"/>
      <c r="H967" s="8"/>
      <c r="I967" s="8"/>
      <c r="J967" s="8"/>
      <c r="K967" s="8"/>
    </row>
    <row r="968" customFormat="false" ht="15" hidden="false" customHeight="false" outlineLevel="0" collapsed="false">
      <c r="B968" s="8"/>
      <c r="C968" s="8"/>
      <c r="D968" s="8"/>
      <c r="E968" s="8"/>
      <c r="F968" s="8"/>
      <c r="G968" s="8"/>
      <c r="H968" s="8"/>
      <c r="I968" s="8"/>
      <c r="J968" s="8"/>
      <c r="K968" s="8"/>
    </row>
    <row r="969" customFormat="false" ht="15" hidden="false" customHeight="false" outlineLevel="0" collapsed="false">
      <c r="B969" s="8"/>
      <c r="C969" s="8"/>
      <c r="D969" s="8"/>
      <c r="E969" s="8"/>
      <c r="F969" s="8"/>
      <c r="G969" s="8"/>
      <c r="H969" s="8"/>
      <c r="I969" s="8"/>
      <c r="J969" s="8"/>
      <c r="K969" s="8"/>
    </row>
    <row r="970" customFormat="false" ht="15" hidden="false" customHeight="false" outlineLevel="0" collapsed="false">
      <c r="B970" s="8"/>
      <c r="C970" s="8"/>
      <c r="D970" s="8"/>
      <c r="E970" s="8"/>
      <c r="F970" s="8"/>
      <c r="G970" s="8"/>
      <c r="H970" s="8"/>
      <c r="I970" s="8"/>
      <c r="J970" s="8"/>
      <c r="K970" s="8"/>
    </row>
    <row r="971" customFormat="false" ht="15" hidden="false" customHeight="false" outlineLevel="0" collapsed="false">
      <c r="B971" s="8"/>
      <c r="C971" s="8"/>
      <c r="D971" s="8"/>
      <c r="E971" s="8"/>
      <c r="F971" s="8"/>
      <c r="G971" s="8"/>
      <c r="H971" s="8"/>
      <c r="I971" s="8"/>
      <c r="J971" s="8"/>
      <c r="K971" s="8"/>
    </row>
    <row r="972" customFormat="false" ht="15" hidden="false" customHeight="false" outlineLevel="0" collapsed="false">
      <c r="B972" s="8"/>
      <c r="C972" s="8"/>
      <c r="D972" s="8"/>
      <c r="E972" s="8"/>
      <c r="F972" s="8"/>
      <c r="G972" s="8"/>
      <c r="H972" s="8"/>
      <c r="I972" s="8"/>
      <c r="J972" s="8"/>
      <c r="K972" s="8"/>
    </row>
    <row r="973" customFormat="false" ht="15" hidden="false" customHeight="false" outlineLevel="0" collapsed="false">
      <c r="B973" s="8"/>
      <c r="C973" s="8"/>
      <c r="D973" s="8"/>
      <c r="E973" s="8"/>
      <c r="F973" s="8"/>
      <c r="G973" s="8"/>
      <c r="H973" s="8"/>
      <c r="I973" s="8"/>
      <c r="J973" s="8"/>
      <c r="K973" s="8"/>
    </row>
    <row r="974" customFormat="false" ht="15" hidden="false" customHeight="false" outlineLevel="0" collapsed="false">
      <c r="B974" s="8"/>
      <c r="C974" s="8"/>
      <c r="D974" s="8"/>
      <c r="E974" s="8"/>
      <c r="F974" s="8"/>
      <c r="G974" s="8"/>
      <c r="H974" s="8"/>
      <c r="I974" s="8"/>
      <c r="J974" s="8"/>
      <c r="K974" s="8"/>
    </row>
    <row r="975" customFormat="false" ht="15" hidden="false" customHeight="false" outlineLevel="0" collapsed="false">
      <c r="B975" s="8"/>
      <c r="C975" s="8"/>
      <c r="D975" s="8"/>
      <c r="E975" s="8"/>
      <c r="F975" s="8"/>
      <c r="G975" s="8"/>
      <c r="H975" s="8"/>
      <c r="I975" s="8"/>
      <c r="J975" s="8"/>
      <c r="K975" s="8"/>
    </row>
    <row r="976" customFormat="false" ht="15" hidden="false" customHeight="false" outlineLevel="0" collapsed="false">
      <c r="B976" s="8"/>
      <c r="C976" s="8"/>
      <c r="D976" s="8"/>
      <c r="E976" s="8"/>
      <c r="F976" s="8"/>
      <c r="G976" s="8"/>
      <c r="H976" s="8"/>
      <c r="I976" s="8"/>
      <c r="J976" s="8"/>
      <c r="K976" s="8"/>
    </row>
    <row r="977" customFormat="false" ht="15" hidden="false" customHeight="false" outlineLevel="0" collapsed="false">
      <c r="B977" s="8"/>
      <c r="C977" s="8"/>
      <c r="D977" s="8"/>
      <c r="E977" s="8"/>
      <c r="F977" s="8"/>
      <c r="G977" s="8"/>
      <c r="H977" s="8"/>
      <c r="I977" s="8"/>
      <c r="J977" s="8"/>
      <c r="K977" s="8"/>
    </row>
    <row r="978" customFormat="false" ht="15" hidden="false" customHeight="false" outlineLevel="0" collapsed="false">
      <c r="B978" s="8"/>
      <c r="C978" s="8"/>
      <c r="D978" s="8"/>
      <c r="E978" s="8"/>
      <c r="F978" s="8"/>
      <c r="G978" s="8"/>
      <c r="H978" s="8"/>
      <c r="I978" s="8"/>
      <c r="J978" s="8"/>
      <c r="K978" s="8"/>
    </row>
    <row r="979" customFormat="false" ht="15" hidden="false" customHeight="false" outlineLevel="0" collapsed="false">
      <c r="B979" s="8"/>
      <c r="C979" s="8"/>
      <c r="D979" s="8"/>
      <c r="E979" s="8"/>
      <c r="F979" s="8"/>
      <c r="G979" s="8"/>
      <c r="H979" s="8"/>
      <c r="I979" s="8"/>
      <c r="J979" s="8"/>
      <c r="K979" s="8"/>
    </row>
    <row r="980" customFormat="false" ht="15" hidden="false" customHeight="false" outlineLevel="0" collapsed="false">
      <c r="B980" s="8"/>
      <c r="C980" s="8"/>
      <c r="D980" s="8"/>
      <c r="E980" s="8"/>
      <c r="F980" s="8"/>
      <c r="G980" s="8"/>
      <c r="H980" s="8"/>
      <c r="I980" s="8"/>
      <c r="J980" s="8"/>
      <c r="K980" s="8"/>
    </row>
    <row r="982" customFormat="false" ht="15" hidden="false" customHeight="false" outlineLevel="0" collapsed="false">
      <c r="B982" s="8"/>
      <c r="C982" s="8"/>
      <c r="D982" s="8"/>
      <c r="E982" s="8"/>
      <c r="F982" s="8"/>
      <c r="G982" s="8"/>
      <c r="H982" s="8"/>
      <c r="I982" s="8"/>
      <c r="J982" s="8"/>
      <c r="K982" s="8"/>
    </row>
    <row r="983" customFormat="false" ht="15" hidden="false" customHeight="false" outlineLevel="0" collapsed="false">
      <c r="B983" s="8"/>
      <c r="C983" s="8"/>
      <c r="D983" s="8"/>
      <c r="E983" s="8"/>
      <c r="F983" s="8"/>
      <c r="G983" s="8"/>
      <c r="H983" s="8"/>
      <c r="I983" s="8"/>
      <c r="J983" s="8"/>
      <c r="K983" s="8"/>
    </row>
    <row r="984" customFormat="false" ht="15" hidden="false" customHeight="false" outlineLevel="0" collapsed="false">
      <c r="B984" s="8"/>
      <c r="C984" s="8"/>
      <c r="D984" s="8"/>
      <c r="E984" s="8"/>
      <c r="F984" s="8"/>
      <c r="G984" s="8"/>
      <c r="H984" s="8"/>
      <c r="I984" s="8"/>
      <c r="J984" s="8"/>
      <c r="K984" s="8"/>
    </row>
    <row r="985" customFormat="false" ht="15" hidden="false" customHeight="false" outlineLevel="0" collapsed="false">
      <c r="B985" s="8"/>
      <c r="C985" s="8"/>
      <c r="D985" s="8"/>
      <c r="E985" s="8"/>
      <c r="F985" s="8"/>
      <c r="G985" s="8"/>
      <c r="H985" s="8"/>
      <c r="I985" s="8"/>
      <c r="J985" s="8"/>
      <c r="K985" s="8"/>
    </row>
    <row r="986" customFormat="false" ht="15" hidden="false" customHeight="false" outlineLevel="0" collapsed="false">
      <c r="B986" s="8"/>
      <c r="C986" s="8"/>
      <c r="D986" s="8"/>
      <c r="E986" s="8"/>
      <c r="F986" s="8"/>
      <c r="G986" s="8"/>
      <c r="H986" s="8"/>
      <c r="I986" s="8"/>
      <c r="J986" s="8"/>
      <c r="K986" s="8"/>
    </row>
    <row r="987" customFormat="false" ht="15" hidden="false" customHeight="false" outlineLevel="0" collapsed="false">
      <c r="B987" s="8"/>
      <c r="C987" s="8"/>
      <c r="D987" s="8"/>
      <c r="E987" s="8"/>
      <c r="F987" s="8"/>
      <c r="G987" s="8"/>
      <c r="H987" s="8"/>
      <c r="I987" s="8"/>
      <c r="J987" s="8"/>
      <c r="K987" s="8"/>
    </row>
    <row r="988" customFormat="false" ht="15" hidden="false" customHeight="false" outlineLevel="0" collapsed="false">
      <c r="B988" s="8"/>
      <c r="C988" s="8"/>
      <c r="D988" s="8"/>
      <c r="E988" s="8"/>
      <c r="F988" s="8"/>
      <c r="G988" s="8"/>
      <c r="H988" s="8"/>
      <c r="I988" s="8"/>
      <c r="J988" s="8"/>
      <c r="K988" s="8"/>
    </row>
    <row r="989" customFormat="false" ht="15" hidden="false" customHeight="false" outlineLevel="0" collapsed="false">
      <c r="B989" s="8"/>
      <c r="C989" s="8"/>
      <c r="D989" s="8"/>
      <c r="E989" s="8"/>
      <c r="F989" s="8"/>
      <c r="G989" s="8"/>
      <c r="H989" s="8"/>
      <c r="I989" s="8"/>
      <c r="J989" s="8"/>
      <c r="K989" s="8"/>
    </row>
    <row r="990" customFormat="false" ht="15" hidden="false" customHeight="false" outlineLevel="0" collapsed="false">
      <c r="B990" s="8"/>
      <c r="C990" s="8"/>
      <c r="D990" s="8"/>
      <c r="E990" s="8"/>
      <c r="F990" s="8"/>
      <c r="G990" s="8"/>
      <c r="H990" s="8"/>
      <c r="I990" s="8"/>
      <c r="J990" s="8"/>
      <c r="K990" s="8"/>
    </row>
    <row r="991" customFormat="false" ht="15" hidden="false" customHeight="false" outlineLevel="0" collapsed="false">
      <c r="B991" s="8"/>
      <c r="C991" s="8"/>
      <c r="D991" s="8"/>
      <c r="E991" s="8"/>
      <c r="F991" s="8"/>
      <c r="G991" s="8"/>
      <c r="H991" s="8"/>
      <c r="I991" s="8"/>
      <c r="J991" s="8"/>
      <c r="K991" s="8"/>
    </row>
    <row r="992" customFormat="false" ht="15" hidden="false" customHeight="false" outlineLevel="0" collapsed="false">
      <c r="B992" s="8"/>
      <c r="C992" s="8"/>
      <c r="D992" s="8"/>
      <c r="E992" s="8"/>
      <c r="F992" s="8"/>
      <c r="G992" s="8"/>
      <c r="H992" s="8"/>
      <c r="I992" s="8"/>
      <c r="J992" s="8"/>
      <c r="K992" s="8"/>
    </row>
    <row r="993" customFormat="false" ht="15" hidden="false" customHeight="false" outlineLevel="0" collapsed="false">
      <c r="B993" s="8"/>
      <c r="C993" s="8"/>
      <c r="D993" s="8"/>
      <c r="E993" s="8"/>
      <c r="F993" s="8"/>
      <c r="G993" s="8"/>
      <c r="H993" s="8"/>
      <c r="I993" s="8"/>
      <c r="J993" s="8"/>
      <c r="K993" s="8"/>
    </row>
    <row r="994" customFormat="false" ht="15" hidden="false" customHeight="false" outlineLevel="0" collapsed="false">
      <c r="B994" s="8"/>
      <c r="C994" s="8"/>
      <c r="D994" s="8"/>
      <c r="E994" s="8"/>
      <c r="F994" s="8"/>
      <c r="G994" s="8"/>
      <c r="H994" s="8"/>
      <c r="I994" s="8"/>
      <c r="J994" s="8"/>
      <c r="K994" s="8"/>
    </row>
    <row r="995" customFormat="false" ht="15" hidden="false" customHeight="false" outlineLevel="0" collapsed="false">
      <c r="B995" s="8"/>
      <c r="C995" s="8"/>
      <c r="D995" s="8"/>
      <c r="E995" s="8"/>
      <c r="F995" s="8"/>
      <c r="G995" s="8"/>
      <c r="H995" s="8"/>
      <c r="I995" s="8"/>
      <c r="J995" s="8"/>
      <c r="K995" s="8"/>
    </row>
    <row r="996" customFormat="false" ht="15" hidden="false" customHeight="false" outlineLevel="0" collapsed="false">
      <c r="B996" s="8"/>
      <c r="C996" s="8"/>
      <c r="D996" s="8"/>
      <c r="E996" s="8"/>
      <c r="F996" s="8"/>
      <c r="G996" s="8"/>
      <c r="H996" s="8"/>
      <c r="I996" s="8"/>
      <c r="J996" s="8"/>
      <c r="K996" s="8"/>
    </row>
    <row r="997" customFormat="false" ht="15" hidden="false" customHeight="false" outlineLevel="0" collapsed="false">
      <c r="B997" s="8"/>
      <c r="C997" s="8"/>
      <c r="D997" s="8"/>
      <c r="E997" s="8"/>
      <c r="F997" s="8"/>
      <c r="G997" s="8"/>
      <c r="H997" s="8"/>
      <c r="I997" s="8"/>
      <c r="J997" s="8"/>
      <c r="K997" s="8"/>
    </row>
    <row r="998" customFormat="false" ht="15" hidden="false" customHeight="false" outlineLevel="0" collapsed="false">
      <c r="B998" s="8"/>
      <c r="C998" s="8"/>
      <c r="D998" s="8"/>
      <c r="E998" s="8"/>
      <c r="F998" s="8"/>
      <c r="G998" s="8"/>
      <c r="H998" s="8"/>
      <c r="I998" s="8"/>
      <c r="J998" s="8"/>
      <c r="K998" s="8"/>
    </row>
    <row r="999" customFormat="false" ht="15" hidden="false" customHeight="false" outlineLevel="0" collapsed="false">
      <c r="B999" s="8"/>
      <c r="C999" s="8"/>
      <c r="D999" s="8"/>
      <c r="E999" s="8"/>
      <c r="F999" s="8"/>
      <c r="G999" s="8"/>
      <c r="H999" s="8"/>
      <c r="I999" s="8"/>
      <c r="J999" s="8"/>
      <c r="K999" s="8"/>
    </row>
    <row r="1000" customFormat="false" ht="15" hidden="false" customHeight="false" outlineLevel="0" collapsed="false">
      <c r="B1000" s="8"/>
      <c r="C1000" s="8"/>
      <c r="D1000" s="8"/>
      <c r="E1000" s="8"/>
      <c r="F1000" s="8"/>
      <c r="G1000" s="8"/>
      <c r="H1000" s="8"/>
      <c r="I1000" s="8"/>
      <c r="J1000" s="8"/>
      <c r="K1000" s="8"/>
    </row>
    <row r="1001" customFormat="false" ht="15" hidden="false" customHeight="false" outlineLevel="0" collapsed="false">
      <c r="B1001" s="8"/>
      <c r="C1001" s="8"/>
      <c r="D1001" s="8"/>
      <c r="E1001" s="8"/>
      <c r="F1001" s="8"/>
      <c r="G1001" s="8"/>
      <c r="H1001" s="8"/>
      <c r="I1001" s="8"/>
      <c r="J1001" s="8"/>
      <c r="K1001" s="8"/>
    </row>
    <row r="1002" customFormat="false" ht="15" hidden="false" customHeight="false" outlineLevel="0" collapsed="false">
      <c r="B1002" s="8"/>
      <c r="C1002" s="8"/>
      <c r="D1002" s="8"/>
      <c r="E1002" s="8"/>
      <c r="F1002" s="8"/>
      <c r="G1002" s="8"/>
      <c r="H1002" s="8"/>
      <c r="I1002" s="8"/>
      <c r="J1002" s="8"/>
      <c r="K1002" s="8"/>
    </row>
    <row r="1003" customFormat="false" ht="15" hidden="false" customHeight="false" outlineLevel="0" collapsed="false">
      <c r="B1003" s="8"/>
      <c r="C1003" s="8"/>
      <c r="D1003" s="8"/>
      <c r="E1003" s="8"/>
      <c r="F1003" s="8"/>
      <c r="G1003" s="8"/>
      <c r="H1003" s="8"/>
      <c r="I1003" s="8"/>
      <c r="J1003" s="8"/>
      <c r="K1003" s="8"/>
    </row>
    <row r="1004" customFormat="false" ht="15" hidden="false" customHeight="false" outlineLevel="0" collapsed="false">
      <c r="B1004" s="8"/>
      <c r="C1004" s="8"/>
      <c r="D1004" s="8"/>
      <c r="E1004" s="8"/>
      <c r="F1004" s="8"/>
      <c r="G1004" s="8"/>
      <c r="H1004" s="8"/>
      <c r="I1004" s="8"/>
      <c r="J1004" s="8"/>
      <c r="K1004" s="8"/>
    </row>
    <row r="1005" customFormat="false" ht="15" hidden="false" customHeight="false" outlineLevel="0" collapsed="false">
      <c r="B1005" s="8"/>
      <c r="C1005" s="8"/>
      <c r="D1005" s="8"/>
      <c r="E1005" s="8"/>
      <c r="F1005" s="8"/>
      <c r="G1005" s="8"/>
      <c r="H1005" s="8"/>
      <c r="I1005" s="8"/>
      <c r="J1005" s="8"/>
      <c r="K1005" s="8"/>
    </row>
    <row r="1006" customFormat="false" ht="15" hidden="false" customHeight="false" outlineLevel="0" collapsed="false">
      <c r="B1006" s="8"/>
      <c r="C1006" s="8"/>
      <c r="D1006" s="8"/>
      <c r="E1006" s="8"/>
      <c r="F1006" s="8"/>
      <c r="G1006" s="8"/>
      <c r="H1006" s="8"/>
      <c r="I1006" s="8"/>
      <c r="J1006" s="8"/>
      <c r="K1006" s="8"/>
    </row>
    <row r="1007" customFormat="false" ht="15" hidden="false" customHeight="false" outlineLevel="0" collapsed="false">
      <c r="B1007" s="8"/>
      <c r="C1007" s="8"/>
      <c r="D1007" s="8"/>
      <c r="E1007" s="8"/>
      <c r="F1007" s="8"/>
      <c r="G1007" s="8"/>
      <c r="H1007" s="8"/>
      <c r="I1007" s="8"/>
      <c r="J1007" s="8"/>
      <c r="K1007" s="8"/>
    </row>
    <row r="1008" customFormat="false" ht="15" hidden="false" customHeight="false" outlineLevel="0" collapsed="false">
      <c r="B1008" s="8"/>
      <c r="C1008" s="8"/>
      <c r="D1008" s="8"/>
      <c r="E1008" s="8"/>
      <c r="F1008" s="8"/>
      <c r="G1008" s="8"/>
      <c r="H1008" s="8"/>
      <c r="I1008" s="8"/>
      <c r="J1008" s="8"/>
      <c r="K1008" s="8"/>
    </row>
    <row r="1010" customFormat="false" ht="15" hidden="false" customHeight="false" outlineLevel="0" collapsed="false">
      <c r="A1010" s="7" t="s">
        <v>29</v>
      </c>
    </row>
    <row r="1011" customFormat="false" ht="15" hidden="false" customHeight="false" outlineLevel="0" collapsed="false">
      <c r="B1011" s="11" t="n">
        <f aca="false">IFERROR(__xludf.DUMMYFUNCTION("IMPORTRANGE(Links!$B$6,""datos_base!B2:K12"")"),34.05179136)</f>
        <v>34.05179136</v>
      </c>
      <c r="C1011" s="11"/>
      <c r="D1011" s="11"/>
      <c r="E1011" s="11"/>
      <c r="F1011" s="11"/>
      <c r="G1011" s="11"/>
      <c r="H1011" s="11"/>
      <c r="I1011" s="11"/>
      <c r="J1011" s="11"/>
      <c r="K1011" s="11"/>
    </row>
    <row r="1012" customFormat="false" ht="15" hidden="false" customHeight="false" outlineLevel="0" collapsed="false"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</row>
    <row r="1013" customFormat="false" ht="15" hidden="false" customHeight="false" outlineLevel="0" collapsed="false"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</row>
    <row r="1014" customFormat="false" ht="15" hidden="false" customHeight="false" outlineLevel="0" collapsed="false"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</row>
    <row r="1015" customFormat="false" ht="15" hidden="false" customHeight="false" outlineLevel="0" collapsed="false"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</row>
    <row r="1017" customFormat="false" ht="15" hidden="false" customHeight="false" outlineLevel="0" collapsed="false"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</row>
    <row r="1018" customFormat="false" ht="15" hidden="false" customHeight="false" outlineLevel="0" collapsed="false"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</row>
    <row r="1019" customFormat="false" ht="15" hidden="false" customHeight="false" outlineLevel="0" collapsed="false"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</row>
    <row r="1020" customFormat="false" ht="15" hidden="false" customHeight="false" outlineLevel="0" collapsed="false"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</row>
    <row r="1021" customFormat="false" ht="15" hidden="false" customHeight="false" outlineLevel="0" collapsed="false"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</row>
    <row r="1023" customFormat="false" ht="15" hidden="false" customHeight="false" outlineLevel="0" collapsed="false">
      <c r="A1023" s="7" t="s">
        <v>30</v>
      </c>
    </row>
    <row r="1024" customFormat="false" ht="15" hidden="false" customHeight="false" outlineLevel="0" collapsed="false">
      <c r="B1024" s="11" t="str">
        <f aca="false">IFERROR(__xludf.DUMMYFUNCTION("IMPORTRANGE(Links!$B$6,""Plan mensual!D1:P109"")"),"Ene")</f>
        <v>Ene</v>
      </c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</row>
    <row r="1025" customFormat="false" ht="15" hidden="false" customHeight="false" outlineLevel="0" collapsed="false"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</row>
    <row r="1026" customFormat="false" ht="15" hidden="false" customHeight="false" outlineLevel="0" collapsed="false"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</row>
    <row r="1027" customFormat="false" ht="15" hidden="false" customHeight="false" outlineLevel="0" collapsed="false"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</row>
    <row r="1028" customFormat="false" ht="15" hidden="false" customHeight="false" outlineLevel="0" collapsed="false"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</row>
    <row r="1029" customFormat="false" ht="15" hidden="false" customHeight="false" outlineLevel="0" collapsed="false"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</row>
    <row r="1030" customFormat="false" ht="15" hidden="false" customHeight="false" outlineLevel="0" collapsed="false"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</row>
    <row r="1031" customFormat="false" ht="15" hidden="false" customHeight="false" outlineLevel="0" collapsed="false"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</row>
    <row r="1032" customFormat="false" ht="15" hidden="false" customHeight="false" outlineLevel="0" collapsed="false"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</row>
    <row r="1033" customFormat="false" ht="15" hidden="false" customHeight="false" outlineLevel="0" collapsed="false"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</row>
    <row r="1035" customFormat="false" ht="15" hidden="false" customHeight="false" outlineLevel="0" collapsed="false"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</row>
    <row r="1036" customFormat="false" ht="15" hidden="false" customHeight="false" outlineLevel="0" collapsed="false"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</row>
    <row r="1037" customFormat="false" ht="15" hidden="false" customHeight="false" outlineLevel="0" collapsed="false"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</row>
    <row r="1038" customFormat="false" ht="15" hidden="false" customHeight="false" outlineLevel="0" collapsed="false"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</row>
    <row r="1039" customFormat="false" ht="15" hidden="false" customHeight="false" outlineLevel="0" collapsed="false"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</row>
    <row r="1040" customFormat="false" ht="15" hidden="false" customHeight="false" outlineLevel="0" collapsed="false"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</row>
    <row r="1041" customFormat="false" ht="15" hidden="false" customHeight="false" outlineLevel="0" collapsed="false"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</row>
    <row r="1042" customFormat="false" ht="15" hidden="false" customHeight="false" outlineLevel="0" collapsed="false"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</row>
    <row r="1043" customFormat="false" ht="15" hidden="false" customHeight="false" outlineLevel="0" collapsed="false"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</row>
    <row r="1044" customFormat="false" ht="15" hidden="false" customHeight="false" outlineLevel="0" collapsed="false"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</row>
    <row r="1046" customFormat="false" ht="15" hidden="false" customHeight="false" outlineLevel="0" collapsed="false"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</row>
    <row r="1047" customFormat="false" ht="15" hidden="false" customHeight="false" outlineLevel="0" collapsed="false"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</row>
    <row r="1048" customFormat="false" ht="15" hidden="false" customHeight="false" outlineLevel="0" collapsed="false"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</row>
    <row r="1049" customFormat="false" ht="15" hidden="false" customHeight="false" outlineLevel="0" collapsed="false"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</row>
    <row r="1050" customFormat="false" ht="15" hidden="false" customHeight="false" outlineLevel="0" collapsed="false"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</row>
    <row r="1051" customFormat="false" ht="15" hidden="false" customHeight="false" outlineLevel="0" collapsed="false"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</row>
    <row r="1052" customFormat="false" ht="15" hidden="false" customHeight="false" outlineLevel="0" collapsed="false"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</row>
    <row r="1053" customFormat="false" ht="15" hidden="false" customHeight="false" outlineLevel="0" collapsed="false"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</row>
    <row r="1054" customFormat="false" ht="15" hidden="false" customHeight="false" outlineLevel="0" collapsed="false"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</row>
    <row r="1055" customFormat="false" ht="15" hidden="false" customHeight="false" outlineLevel="0" collapsed="false"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</row>
    <row r="1057" customFormat="false" ht="15" hidden="false" customHeight="false" outlineLevel="0" collapsed="false"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</row>
    <row r="1058" customFormat="false" ht="15" hidden="false" customHeight="false" outlineLevel="0" collapsed="false"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</row>
    <row r="1059" customFormat="false" ht="15" hidden="false" customHeight="false" outlineLevel="0" collapsed="false"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</row>
    <row r="1060" customFormat="false" ht="15" hidden="false" customHeight="false" outlineLevel="0" collapsed="false"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</row>
    <row r="1061" customFormat="false" ht="15" hidden="false" customHeight="false" outlineLevel="0" collapsed="false"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</row>
    <row r="1062" customFormat="false" ht="15" hidden="false" customHeight="false" outlineLevel="0" collapsed="false"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</row>
    <row r="1063" customFormat="false" ht="15" hidden="false" customHeight="false" outlineLevel="0" collapsed="false"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</row>
    <row r="1064" customFormat="false" ht="15" hidden="false" customHeight="false" outlineLevel="0" collapsed="false"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</row>
    <row r="1065" customFormat="false" ht="15" hidden="false" customHeight="false" outlineLevel="0" collapsed="false"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</row>
    <row r="1066" customFormat="false" ht="15" hidden="false" customHeight="false" outlineLevel="0" collapsed="false"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</row>
    <row r="1068" customFormat="false" ht="15" hidden="false" customHeight="false" outlineLevel="0" collapsed="false"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</row>
    <row r="1069" customFormat="false" ht="15" hidden="false" customHeight="false" outlineLevel="0" collapsed="false"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</row>
    <row r="1070" customFormat="false" ht="15" hidden="false" customHeight="false" outlineLevel="0" collapsed="false"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</row>
    <row r="1071" customFormat="false" ht="15" hidden="false" customHeight="false" outlineLevel="0" collapsed="false">
      <c r="B1071" s="11"/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</row>
    <row r="1072" customFormat="false" ht="15" hidden="false" customHeight="false" outlineLevel="0" collapsed="false"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</row>
    <row r="1073" customFormat="false" ht="15" hidden="false" customHeight="false" outlineLevel="0" collapsed="false"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</row>
    <row r="1074" customFormat="false" ht="15" hidden="false" customHeight="false" outlineLevel="0" collapsed="false"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</row>
    <row r="1075" customFormat="false" ht="15" hidden="false" customHeight="false" outlineLevel="0" collapsed="false">
      <c r="B1075" s="11"/>
      <c r="C1075" s="11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</row>
    <row r="1076" customFormat="false" ht="15" hidden="false" customHeight="false" outlineLevel="0" collapsed="false">
      <c r="B1076" s="11"/>
      <c r="C1076" s="11"/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</row>
    <row r="1077" customFormat="false" ht="15" hidden="false" customHeight="false" outlineLevel="0" collapsed="false">
      <c r="B1077" s="11"/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</row>
    <row r="1079" customFormat="false" ht="15" hidden="false" customHeight="false" outlineLevel="0" collapsed="false"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</row>
    <row r="1080" customFormat="false" ht="15" hidden="false" customHeight="false" outlineLevel="0" collapsed="false"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</row>
    <row r="1081" customFormat="false" ht="15" hidden="false" customHeight="false" outlineLevel="0" collapsed="false"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</row>
    <row r="1082" customFormat="false" ht="15" hidden="false" customHeight="false" outlineLevel="0" collapsed="false">
      <c r="B1082" s="11"/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</row>
    <row r="1083" customFormat="false" ht="15" hidden="false" customHeight="false" outlineLevel="0" collapsed="false"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</row>
    <row r="1084" customFormat="false" ht="15" hidden="false" customHeight="false" outlineLevel="0" collapsed="false">
      <c r="B1084" s="11"/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</row>
    <row r="1085" customFormat="false" ht="15" hidden="false" customHeight="false" outlineLevel="0" collapsed="false">
      <c r="B1085" s="11"/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</row>
    <row r="1086" customFormat="false" ht="15" hidden="false" customHeight="false" outlineLevel="0" collapsed="false"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</row>
    <row r="1087" customFormat="false" ht="15" hidden="false" customHeight="false" outlineLevel="0" collapsed="false">
      <c r="B1087" s="11"/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</row>
    <row r="1088" customFormat="false" ht="15" hidden="false" customHeight="false" outlineLevel="0" collapsed="false">
      <c r="B1088" s="11"/>
      <c r="C1088" s="11"/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</row>
    <row r="1090" customFormat="false" ht="15" hidden="false" customHeight="false" outlineLevel="0" collapsed="false">
      <c r="B1090" s="11"/>
      <c r="C1090" s="11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</row>
    <row r="1091" customFormat="false" ht="15" hidden="false" customHeight="false" outlineLevel="0" collapsed="false">
      <c r="B1091" s="11"/>
      <c r="C1091" s="11"/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</row>
    <row r="1092" customFormat="false" ht="15" hidden="false" customHeight="false" outlineLevel="0" collapsed="false">
      <c r="B1092" s="11"/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</row>
    <row r="1093" customFormat="false" ht="15" hidden="false" customHeight="false" outlineLevel="0" collapsed="false">
      <c r="B1093" s="11"/>
      <c r="C1093" s="11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</row>
    <row r="1094" customFormat="false" ht="15" hidden="false" customHeight="false" outlineLevel="0" collapsed="false">
      <c r="B1094" s="11"/>
      <c r="C1094" s="11"/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</row>
    <row r="1095" customFormat="false" ht="15" hidden="false" customHeight="false" outlineLevel="0" collapsed="false">
      <c r="B1095" s="11"/>
      <c r="C1095" s="11"/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</row>
    <row r="1096" customFormat="false" ht="15" hidden="false" customHeight="false" outlineLevel="0" collapsed="false">
      <c r="B1096" s="11"/>
      <c r="C1096" s="11"/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</row>
    <row r="1097" customFormat="false" ht="15" hidden="false" customHeight="false" outlineLevel="0" collapsed="false">
      <c r="B1097" s="11"/>
      <c r="C1097" s="11"/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</row>
    <row r="1098" customFormat="false" ht="15" hidden="false" customHeight="false" outlineLevel="0" collapsed="false">
      <c r="B1098" s="11"/>
      <c r="C1098" s="11"/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</row>
    <row r="1099" customFormat="false" ht="15" hidden="false" customHeight="false" outlineLevel="0" collapsed="false">
      <c r="B1099" s="11"/>
      <c r="C1099" s="11"/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</row>
    <row r="1101" customFormat="false" ht="15" hidden="false" customHeight="false" outlineLevel="0" collapsed="false">
      <c r="B1101" s="11"/>
      <c r="C1101" s="11"/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</row>
    <row r="1102" customFormat="false" ht="15" hidden="false" customHeight="false" outlineLevel="0" collapsed="false">
      <c r="B1102" s="11"/>
      <c r="C1102" s="11"/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</row>
    <row r="1103" customFormat="false" ht="15" hidden="false" customHeight="false" outlineLevel="0" collapsed="false">
      <c r="B1103" s="11"/>
      <c r="C1103" s="11"/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</row>
    <row r="1104" customFormat="false" ht="15" hidden="false" customHeight="false" outlineLevel="0" collapsed="false">
      <c r="B1104" s="11"/>
      <c r="C1104" s="11"/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</row>
    <row r="1105" customFormat="false" ht="15" hidden="false" customHeight="false" outlineLevel="0" collapsed="false">
      <c r="B1105" s="11"/>
      <c r="C1105" s="11"/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</row>
    <row r="1106" customFormat="false" ht="15" hidden="false" customHeight="false" outlineLevel="0" collapsed="false">
      <c r="B1106" s="11"/>
      <c r="C1106" s="11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</row>
    <row r="1107" customFormat="false" ht="15" hidden="false" customHeight="false" outlineLevel="0" collapsed="false">
      <c r="B1107" s="11"/>
      <c r="C1107" s="11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</row>
    <row r="1108" customFormat="false" ht="15" hidden="false" customHeight="false" outlineLevel="0" collapsed="false">
      <c r="B1108" s="11"/>
      <c r="C1108" s="11"/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</row>
    <row r="1109" customFormat="false" ht="15" hidden="false" customHeight="false" outlineLevel="0" collapsed="false">
      <c r="B1109" s="11"/>
      <c r="C1109" s="11"/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</row>
    <row r="1110" customFormat="false" ht="15" hidden="false" customHeight="false" outlineLevel="0" collapsed="false">
      <c r="B1110" s="11"/>
      <c r="C1110" s="11"/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</row>
    <row r="1112" customFormat="false" ht="15" hidden="false" customHeight="false" outlineLevel="0" collapsed="false">
      <c r="B1112" s="11"/>
      <c r="C1112" s="11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</row>
    <row r="1113" customFormat="false" ht="15" hidden="false" customHeight="false" outlineLevel="0" collapsed="false">
      <c r="B1113" s="11"/>
      <c r="C1113" s="11"/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</row>
    <row r="1114" customFormat="false" ht="15" hidden="false" customHeight="false" outlineLevel="0" collapsed="false">
      <c r="B1114" s="11"/>
      <c r="C1114" s="11"/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</row>
    <row r="1115" customFormat="false" ht="15" hidden="false" customHeight="false" outlineLevel="0" collapsed="false">
      <c r="B1115" s="11"/>
      <c r="C1115" s="11"/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</row>
    <row r="1116" customFormat="false" ht="15" hidden="false" customHeight="false" outlineLevel="0" collapsed="false">
      <c r="B1116" s="11"/>
      <c r="C1116" s="11"/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</row>
    <row r="1117" customFormat="false" ht="15" hidden="false" customHeight="false" outlineLevel="0" collapsed="false">
      <c r="B1117" s="11"/>
      <c r="C1117" s="11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</row>
    <row r="1118" customFormat="false" ht="15" hidden="false" customHeight="false" outlineLevel="0" collapsed="false">
      <c r="B1118" s="11"/>
      <c r="C1118" s="11"/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</row>
    <row r="1119" customFormat="false" ht="15" hidden="false" customHeight="false" outlineLevel="0" collapsed="false">
      <c r="B1119" s="11"/>
      <c r="C1119" s="11"/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</row>
    <row r="1120" customFormat="false" ht="15" hidden="false" customHeight="false" outlineLevel="0" collapsed="false">
      <c r="B1120" s="11"/>
      <c r="C1120" s="11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</row>
    <row r="1121" customFormat="false" ht="15" hidden="false" customHeight="false" outlineLevel="0" collapsed="false">
      <c r="B1121" s="11"/>
      <c r="C1121" s="11"/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</row>
    <row r="1123" customFormat="false" ht="15" hidden="false" customHeight="false" outlineLevel="0" collapsed="false">
      <c r="B1123" s="11"/>
      <c r="C1123" s="11"/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</row>
    <row r="1124" customFormat="false" ht="15" hidden="false" customHeight="false" outlineLevel="0" collapsed="false">
      <c r="B1124" s="11"/>
      <c r="C1124" s="11"/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</row>
    <row r="1125" customFormat="false" ht="15" hidden="false" customHeight="false" outlineLevel="0" collapsed="false">
      <c r="B1125" s="11"/>
      <c r="C1125" s="11"/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</row>
    <row r="1126" customFormat="false" ht="15" hidden="false" customHeight="false" outlineLevel="0" collapsed="false">
      <c r="B1126" s="11"/>
      <c r="C1126" s="11"/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</row>
    <row r="1127" customFormat="false" ht="15" hidden="false" customHeight="false" outlineLevel="0" collapsed="false">
      <c r="B1127" s="11"/>
      <c r="C1127" s="11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</row>
    <row r="1128" customFormat="false" ht="15" hidden="false" customHeight="false" outlineLevel="0" collapsed="false">
      <c r="B1128" s="11"/>
      <c r="C1128" s="11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</row>
    <row r="1129" customFormat="false" ht="15" hidden="false" customHeight="false" outlineLevel="0" collapsed="false">
      <c r="B1129" s="11"/>
      <c r="C1129" s="11"/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</row>
    <row r="1130" customFormat="false" ht="15" hidden="false" customHeight="false" outlineLevel="0" collapsed="false">
      <c r="B1130" s="11"/>
      <c r="C1130" s="11"/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</row>
    <row r="1131" customFormat="false" ht="15" hidden="false" customHeight="false" outlineLevel="0" collapsed="false">
      <c r="B1131" s="11"/>
      <c r="C1131" s="11"/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</row>
    <row r="1132" customFormat="false" ht="15" hidden="false" customHeight="false" outlineLevel="0" collapsed="false">
      <c r="B1132" s="11"/>
      <c r="C1132" s="11"/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</row>
    <row r="1134" customFormat="false" ht="15" hidden="false" customHeight="false" outlineLevel="0" collapsed="false">
      <c r="A1134" s="7" t="s">
        <v>31</v>
      </c>
    </row>
    <row r="1135" customFormat="false" ht="15" hidden="false" customHeight="false" outlineLevel="0" collapsed="false">
      <c r="B1135" s="8" t="n">
        <f aca="false">IFERROR(__xludf.DUMMYFUNCTION("IMPORTRANGE(Links!$B$6,""parametros_carros!I19:I36"")"),1.7825)</f>
        <v>1.7825</v>
      </c>
    </row>
    <row r="1136" customFormat="false" ht="15" hidden="false" customHeight="false" outlineLevel="0" collapsed="false">
      <c r="B1136" s="8"/>
    </row>
    <row r="1137" customFormat="false" ht="15" hidden="false" customHeight="false" outlineLevel="0" collapsed="false">
      <c r="B1137" s="8"/>
    </row>
    <row r="1138" customFormat="false" ht="15" hidden="false" customHeight="false" outlineLevel="0" collapsed="false">
      <c r="B1138" s="8"/>
    </row>
    <row r="1139" customFormat="false" ht="15" hidden="false" customHeight="false" outlineLevel="0" collapsed="false">
      <c r="B1139" s="8"/>
    </row>
    <row r="1140" customFormat="false" ht="15" hidden="false" customHeight="false" outlineLevel="0" collapsed="false">
      <c r="B1140" s="8"/>
    </row>
    <row r="1141" customFormat="false" ht="15" hidden="false" customHeight="false" outlineLevel="0" collapsed="false">
      <c r="B1141" s="8"/>
    </row>
    <row r="1142" customFormat="false" ht="15" hidden="false" customHeight="false" outlineLevel="0" collapsed="false">
      <c r="B1142" s="8"/>
    </row>
    <row r="1143" customFormat="false" ht="15" hidden="false" customHeight="false" outlineLevel="0" collapsed="false">
      <c r="B1143" s="8"/>
    </row>
    <row r="1144" customFormat="false" ht="15" hidden="false" customHeight="false" outlineLevel="0" collapsed="false">
      <c r="B1144" s="8"/>
    </row>
    <row r="1145" customFormat="false" ht="15" hidden="false" customHeight="false" outlineLevel="0" collapsed="false">
      <c r="B1145" s="8"/>
    </row>
    <row r="1146" customFormat="false" ht="15" hidden="false" customHeight="false" outlineLevel="0" collapsed="false">
      <c r="B1146" s="8"/>
    </row>
    <row r="1147" customFormat="false" ht="15" hidden="false" customHeight="false" outlineLevel="0" collapsed="false">
      <c r="B1147" s="8"/>
    </row>
    <row r="1148" customFormat="false" ht="15" hidden="false" customHeight="false" outlineLevel="0" collapsed="false">
      <c r="B1148" s="8"/>
    </row>
    <row r="1149" customFormat="false" ht="15" hidden="false" customHeight="false" outlineLevel="0" collapsed="false">
      <c r="B1149" s="8"/>
    </row>
    <row r="1150" customFormat="false" ht="15" hidden="false" customHeight="false" outlineLevel="0" collapsed="false">
      <c r="B1150" s="8"/>
    </row>
    <row r="1151" customFormat="false" ht="15" hidden="false" customHeight="false" outlineLevel="0" collapsed="false">
      <c r="B1151" s="8"/>
    </row>
    <row r="1152" customFormat="false" ht="15" hidden="false" customHeight="false" outlineLevel="0" collapsed="false">
      <c r="B1152" s="8"/>
    </row>
    <row r="1154" customFormat="false" ht="15" hidden="false" customHeight="false" outlineLevel="0" collapsed="false">
      <c r="A1154" s="7" t="s">
        <v>32</v>
      </c>
    </row>
    <row r="1155" customFormat="false" ht="15" hidden="false" customHeight="false" outlineLevel="0" collapsed="false">
      <c r="B1155" s="12" t="n">
        <f aca="false">IFERROR(__xludf.DUMMYFUNCTION("IMPORTRANGE(Links!$B$6,""parametros_carros!B7:B7"")"),150)</f>
        <v>150</v>
      </c>
    </row>
    <row r="1157" customFormat="false" ht="15" hidden="false" customHeight="false" outlineLevel="0" collapsed="false">
      <c r="A1157" s="7" t="s">
        <v>33</v>
      </c>
    </row>
    <row r="1158" customFormat="false" ht="15" hidden="false" customHeight="false" outlineLevel="0" collapsed="false">
      <c r="B1158" s="11" t="str">
        <f aca="false">IFERROR(__xludf.DUMMYFUNCTION("IMPORTRANGE(Links!$B$6,""Demanda por puesto!N1:N199"")"),"Total anual (h)")</f>
        <v>Total anual (h)</v>
      </c>
    </row>
    <row r="1159" customFormat="false" ht="15" hidden="false" customHeight="false" outlineLevel="0" collapsed="false">
      <c r="B1159" s="11"/>
    </row>
    <row r="1160" customFormat="false" ht="15" hidden="false" customHeight="false" outlineLevel="0" collapsed="false">
      <c r="B1160" s="11"/>
    </row>
    <row r="1161" customFormat="false" ht="15" hidden="false" customHeight="false" outlineLevel="0" collapsed="false">
      <c r="B1161" s="11"/>
    </row>
    <row r="1162" customFormat="false" ht="15" hidden="false" customHeight="false" outlineLevel="0" collapsed="false">
      <c r="B1162" s="11"/>
    </row>
    <row r="1163" customFormat="false" ht="15" hidden="false" customHeight="false" outlineLevel="0" collapsed="false">
      <c r="B1163" s="11"/>
    </row>
    <row r="1164" customFormat="false" ht="15" hidden="false" customHeight="false" outlineLevel="0" collapsed="false">
      <c r="B1164" s="11"/>
    </row>
    <row r="1165" customFormat="false" ht="15" hidden="false" customHeight="false" outlineLevel="0" collapsed="false">
      <c r="B1165" s="11"/>
    </row>
    <row r="1166" customFormat="false" ht="15" hidden="false" customHeight="false" outlineLevel="0" collapsed="false">
      <c r="B1166" s="11"/>
    </row>
    <row r="1167" customFormat="false" ht="15" hidden="false" customHeight="false" outlineLevel="0" collapsed="false">
      <c r="B1167" s="11"/>
    </row>
    <row r="1168" customFormat="false" ht="15" hidden="false" customHeight="false" outlineLevel="0" collapsed="false">
      <c r="B1168" s="11"/>
    </row>
    <row r="1169" customFormat="false" ht="15" hidden="false" customHeight="false" outlineLevel="0" collapsed="false">
      <c r="B1169" s="11"/>
    </row>
    <row r="1170" customFormat="false" ht="15" hidden="false" customHeight="false" outlineLevel="0" collapsed="false">
      <c r="B1170" s="11"/>
    </row>
    <row r="1171" customFormat="false" ht="15" hidden="false" customHeight="false" outlineLevel="0" collapsed="false">
      <c r="B1171" s="11"/>
    </row>
    <row r="1172" customFormat="false" ht="15" hidden="false" customHeight="false" outlineLevel="0" collapsed="false">
      <c r="B1172" s="11"/>
    </row>
    <row r="1173" customFormat="false" ht="15" hidden="false" customHeight="false" outlineLevel="0" collapsed="false">
      <c r="B1173" s="11"/>
    </row>
    <row r="1174" customFormat="false" ht="15" hidden="false" customHeight="false" outlineLevel="0" collapsed="false">
      <c r="B1174" s="11"/>
    </row>
    <row r="1175" customFormat="false" ht="15" hidden="false" customHeight="false" outlineLevel="0" collapsed="false">
      <c r="B1175" s="11"/>
    </row>
    <row r="1176" customFormat="false" ht="15" hidden="false" customHeight="false" outlineLevel="0" collapsed="false">
      <c r="B1176" s="11"/>
    </row>
    <row r="1178" customFormat="false" ht="15" hidden="false" customHeight="false" outlineLevel="0" collapsed="false">
      <c r="B1178" s="11"/>
    </row>
    <row r="1179" customFormat="false" ht="15" hidden="false" customHeight="false" outlineLevel="0" collapsed="false">
      <c r="B1179" s="11"/>
    </row>
    <row r="1180" customFormat="false" ht="15" hidden="false" customHeight="false" outlineLevel="0" collapsed="false">
      <c r="B1180" s="11"/>
    </row>
    <row r="1181" customFormat="false" ht="15" hidden="false" customHeight="false" outlineLevel="0" collapsed="false">
      <c r="B1181" s="11"/>
    </row>
    <row r="1182" customFormat="false" ht="15" hidden="false" customHeight="false" outlineLevel="0" collapsed="false">
      <c r="B1182" s="11"/>
    </row>
    <row r="1183" customFormat="false" ht="15" hidden="false" customHeight="false" outlineLevel="0" collapsed="false">
      <c r="B1183" s="11"/>
    </row>
    <row r="1184" customFormat="false" ht="15" hidden="false" customHeight="false" outlineLevel="0" collapsed="false">
      <c r="B1184" s="11"/>
    </row>
    <row r="1185" customFormat="false" ht="15" hidden="false" customHeight="false" outlineLevel="0" collapsed="false">
      <c r="B1185" s="11"/>
    </row>
    <row r="1186" customFormat="false" ht="15" hidden="false" customHeight="false" outlineLevel="0" collapsed="false">
      <c r="B1186" s="11"/>
    </row>
    <row r="1187" customFormat="false" ht="15" hidden="false" customHeight="false" outlineLevel="0" collapsed="false">
      <c r="B1187" s="11"/>
    </row>
    <row r="1188" customFormat="false" ht="15" hidden="false" customHeight="false" outlineLevel="0" collapsed="false">
      <c r="B1188" s="11"/>
    </row>
    <row r="1189" customFormat="false" ht="15" hidden="false" customHeight="false" outlineLevel="0" collapsed="false">
      <c r="B1189" s="11"/>
    </row>
    <row r="1190" customFormat="false" ht="15" hidden="false" customHeight="false" outlineLevel="0" collapsed="false">
      <c r="B1190" s="11"/>
    </row>
    <row r="1191" customFormat="false" ht="15" hidden="false" customHeight="false" outlineLevel="0" collapsed="false">
      <c r="B1191" s="11"/>
    </row>
    <row r="1192" customFormat="false" ht="15" hidden="false" customHeight="false" outlineLevel="0" collapsed="false">
      <c r="B1192" s="11"/>
    </row>
    <row r="1193" customFormat="false" ht="15" hidden="false" customHeight="false" outlineLevel="0" collapsed="false">
      <c r="B1193" s="11"/>
    </row>
    <row r="1194" customFormat="false" ht="15" hidden="false" customHeight="false" outlineLevel="0" collapsed="false">
      <c r="B1194" s="11"/>
    </row>
    <row r="1195" customFormat="false" ht="15" hidden="false" customHeight="false" outlineLevel="0" collapsed="false">
      <c r="B1195" s="11"/>
    </row>
    <row r="1196" customFormat="false" ht="15" hidden="false" customHeight="false" outlineLevel="0" collapsed="false">
      <c r="B1196" s="11"/>
    </row>
    <row r="1198" customFormat="false" ht="15" hidden="false" customHeight="false" outlineLevel="0" collapsed="false">
      <c r="B1198" s="11"/>
    </row>
    <row r="1199" customFormat="false" ht="15" hidden="false" customHeight="false" outlineLevel="0" collapsed="false">
      <c r="B1199" s="11"/>
    </row>
    <row r="1200" customFormat="false" ht="15" hidden="false" customHeight="false" outlineLevel="0" collapsed="false">
      <c r="B1200" s="11"/>
    </row>
    <row r="1201" customFormat="false" ht="15" hidden="false" customHeight="false" outlineLevel="0" collapsed="false">
      <c r="B1201" s="11"/>
    </row>
    <row r="1202" customFormat="false" ht="15" hidden="false" customHeight="false" outlineLevel="0" collapsed="false">
      <c r="B1202" s="11"/>
    </row>
    <row r="1203" customFormat="false" ht="15" hidden="false" customHeight="false" outlineLevel="0" collapsed="false">
      <c r="B1203" s="11"/>
    </row>
    <row r="1204" customFormat="false" ht="15" hidden="false" customHeight="false" outlineLevel="0" collapsed="false">
      <c r="B1204" s="11"/>
    </row>
    <row r="1205" customFormat="false" ht="15" hidden="false" customHeight="false" outlineLevel="0" collapsed="false">
      <c r="B1205" s="11"/>
    </row>
    <row r="1206" customFormat="false" ht="15" hidden="false" customHeight="false" outlineLevel="0" collapsed="false">
      <c r="B1206" s="11"/>
    </row>
    <row r="1207" customFormat="false" ht="15" hidden="false" customHeight="false" outlineLevel="0" collapsed="false">
      <c r="B1207" s="11"/>
    </row>
    <row r="1208" customFormat="false" ht="15" hidden="false" customHeight="false" outlineLevel="0" collapsed="false">
      <c r="B1208" s="11"/>
    </row>
    <row r="1209" customFormat="false" ht="15" hidden="false" customHeight="false" outlineLevel="0" collapsed="false">
      <c r="B1209" s="11"/>
    </row>
    <row r="1210" customFormat="false" ht="15" hidden="false" customHeight="false" outlineLevel="0" collapsed="false">
      <c r="B1210" s="11"/>
    </row>
    <row r="1211" customFormat="false" ht="15" hidden="false" customHeight="false" outlineLevel="0" collapsed="false">
      <c r="B1211" s="11"/>
    </row>
    <row r="1212" customFormat="false" ht="15" hidden="false" customHeight="false" outlineLevel="0" collapsed="false">
      <c r="B1212" s="11"/>
    </row>
    <row r="1213" customFormat="false" ht="15" hidden="false" customHeight="false" outlineLevel="0" collapsed="false">
      <c r="B1213" s="11"/>
    </row>
    <row r="1214" customFormat="false" ht="15" hidden="false" customHeight="false" outlineLevel="0" collapsed="false">
      <c r="B1214" s="11"/>
    </row>
    <row r="1215" customFormat="false" ht="15" hidden="false" customHeight="false" outlineLevel="0" collapsed="false">
      <c r="B1215" s="11"/>
    </row>
    <row r="1216" customFormat="false" ht="15" hidden="false" customHeight="false" outlineLevel="0" collapsed="false">
      <c r="B1216" s="11"/>
    </row>
    <row r="1218" customFormat="false" ht="15" hidden="false" customHeight="false" outlineLevel="0" collapsed="false">
      <c r="B1218" s="11"/>
    </row>
    <row r="1219" customFormat="false" ht="15" hidden="false" customHeight="false" outlineLevel="0" collapsed="false">
      <c r="B1219" s="11"/>
    </row>
    <row r="1220" customFormat="false" ht="15" hidden="false" customHeight="false" outlineLevel="0" collapsed="false">
      <c r="B1220" s="11"/>
    </row>
    <row r="1221" customFormat="false" ht="15" hidden="false" customHeight="false" outlineLevel="0" collapsed="false">
      <c r="B1221" s="11"/>
    </row>
    <row r="1222" customFormat="false" ht="15" hidden="false" customHeight="false" outlineLevel="0" collapsed="false">
      <c r="B1222" s="11"/>
    </row>
    <row r="1223" customFormat="false" ht="15" hidden="false" customHeight="false" outlineLevel="0" collapsed="false">
      <c r="B1223" s="11"/>
    </row>
    <row r="1224" customFormat="false" ht="15" hidden="false" customHeight="false" outlineLevel="0" collapsed="false">
      <c r="B1224" s="11"/>
    </row>
    <row r="1225" customFormat="false" ht="15" hidden="false" customHeight="false" outlineLevel="0" collapsed="false">
      <c r="B1225" s="11"/>
    </row>
    <row r="1226" customFormat="false" ht="15" hidden="false" customHeight="false" outlineLevel="0" collapsed="false">
      <c r="B1226" s="11"/>
    </row>
    <row r="1227" customFormat="false" ht="15" hidden="false" customHeight="false" outlineLevel="0" collapsed="false">
      <c r="B1227" s="11"/>
    </row>
    <row r="1228" customFormat="false" ht="15" hidden="false" customHeight="false" outlineLevel="0" collapsed="false">
      <c r="B1228" s="11"/>
    </row>
    <row r="1229" customFormat="false" ht="15" hidden="false" customHeight="false" outlineLevel="0" collapsed="false">
      <c r="B1229" s="11"/>
    </row>
    <row r="1230" customFormat="false" ht="15" hidden="false" customHeight="false" outlineLevel="0" collapsed="false">
      <c r="B1230" s="11"/>
    </row>
    <row r="1231" customFormat="false" ht="15" hidden="false" customHeight="false" outlineLevel="0" collapsed="false">
      <c r="B1231" s="11"/>
    </row>
    <row r="1232" customFormat="false" ht="15" hidden="false" customHeight="false" outlineLevel="0" collapsed="false">
      <c r="B1232" s="11"/>
    </row>
    <row r="1233" customFormat="false" ht="15" hidden="false" customHeight="false" outlineLevel="0" collapsed="false">
      <c r="B1233" s="11"/>
    </row>
    <row r="1234" customFormat="false" ht="15" hidden="false" customHeight="false" outlineLevel="0" collapsed="false">
      <c r="B1234" s="11"/>
    </row>
    <row r="1235" customFormat="false" ht="15" hidden="false" customHeight="false" outlineLevel="0" collapsed="false">
      <c r="B1235" s="11"/>
    </row>
    <row r="1236" customFormat="false" ht="15" hidden="false" customHeight="false" outlineLevel="0" collapsed="false">
      <c r="B1236" s="11"/>
    </row>
    <row r="1238" customFormat="false" ht="15" hidden="false" customHeight="false" outlineLevel="0" collapsed="false">
      <c r="B1238" s="11"/>
    </row>
    <row r="1239" customFormat="false" ht="15" hidden="false" customHeight="false" outlineLevel="0" collapsed="false">
      <c r="B1239" s="11"/>
    </row>
    <row r="1240" customFormat="false" ht="15" hidden="false" customHeight="false" outlineLevel="0" collapsed="false">
      <c r="B1240" s="11"/>
    </row>
    <row r="1241" customFormat="false" ht="15" hidden="false" customHeight="false" outlineLevel="0" collapsed="false">
      <c r="B1241" s="11"/>
    </row>
    <row r="1242" customFormat="false" ht="15" hidden="false" customHeight="false" outlineLevel="0" collapsed="false">
      <c r="B1242" s="11"/>
    </row>
    <row r="1243" customFormat="false" ht="15" hidden="false" customHeight="false" outlineLevel="0" collapsed="false">
      <c r="B1243" s="11"/>
    </row>
    <row r="1244" customFormat="false" ht="15" hidden="false" customHeight="false" outlineLevel="0" collapsed="false">
      <c r="B1244" s="11"/>
    </row>
    <row r="1245" customFormat="false" ht="15" hidden="false" customHeight="false" outlineLevel="0" collapsed="false">
      <c r="B1245" s="11"/>
    </row>
    <row r="1246" customFormat="false" ht="15" hidden="false" customHeight="false" outlineLevel="0" collapsed="false">
      <c r="B1246" s="11"/>
    </row>
    <row r="1247" customFormat="false" ht="15" hidden="false" customHeight="false" outlineLevel="0" collapsed="false">
      <c r="B1247" s="11"/>
    </row>
    <row r="1248" customFormat="false" ht="15" hidden="false" customHeight="false" outlineLevel="0" collapsed="false">
      <c r="B1248" s="11"/>
    </row>
    <row r="1249" customFormat="false" ht="15" hidden="false" customHeight="false" outlineLevel="0" collapsed="false">
      <c r="B1249" s="11"/>
    </row>
    <row r="1250" customFormat="false" ht="15" hidden="false" customHeight="false" outlineLevel="0" collapsed="false">
      <c r="B1250" s="11"/>
    </row>
    <row r="1251" customFormat="false" ht="15" hidden="false" customHeight="false" outlineLevel="0" collapsed="false">
      <c r="B1251" s="11"/>
    </row>
    <row r="1252" customFormat="false" ht="15" hidden="false" customHeight="false" outlineLevel="0" collapsed="false">
      <c r="B1252" s="11"/>
    </row>
    <row r="1253" customFormat="false" ht="15" hidden="false" customHeight="false" outlineLevel="0" collapsed="false">
      <c r="B1253" s="11"/>
    </row>
    <row r="1254" customFormat="false" ht="15" hidden="false" customHeight="false" outlineLevel="0" collapsed="false">
      <c r="B1254" s="11"/>
    </row>
    <row r="1255" customFormat="false" ht="15" hidden="false" customHeight="false" outlineLevel="0" collapsed="false">
      <c r="B1255" s="11"/>
    </row>
    <row r="1256" customFormat="false" ht="15" hidden="false" customHeight="false" outlineLevel="0" collapsed="false">
      <c r="B1256" s="11"/>
    </row>
    <row r="1258" customFormat="false" ht="15" hidden="false" customHeight="false" outlineLevel="0" collapsed="false">
      <c r="B1258" s="11"/>
    </row>
    <row r="1259" customFormat="false" ht="15" hidden="false" customHeight="false" outlineLevel="0" collapsed="false">
      <c r="B1259" s="11"/>
    </row>
    <row r="1260" customFormat="false" ht="15" hidden="false" customHeight="false" outlineLevel="0" collapsed="false">
      <c r="B1260" s="11"/>
    </row>
    <row r="1261" customFormat="false" ht="15" hidden="false" customHeight="false" outlineLevel="0" collapsed="false">
      <c r="B1261" s="11"/>
    </row>
    <row r="1262" customFormat="false" ht="15" hidden="false" customHeight="false" outlineLevel="0" collapsed="false">
      <c r="B1262" s="11"/>
    </row>
    <row r="1263" customFormat="false" ht="15" hidden="false" customHeight="false" outlineLevel="0" collapsed="false">
      <c r="B1263" s="11"/>
    </row>
    <row r="1264" customFormat="false" ht="15" hidden="false" customHeight="false" outlineLevel="0" collapsed="false">
      <c r="B1264" s="11"/>
    </row>
    <row r="1265" customFormat="false" ht="15" hidden="false" customHeight="false" outlineLevel="0" collapsed="false">
      <c r="B1265" s="11"/>
    </row>
    <row r="1266" customFormat="false" ht="15" hidden="false" customHeight="false" outlineLevel="0" collapsed="false">
      <c r="B1266" s="11"/>
    </row>
    <row r="1267" customFormat="false" ht="15" hidden="false" customHeight="false" outlineLevel="0" collapsed="false">
      <c r="B1267" s="11"/>
    </row>
    <row r="1268" customFormat="false" ht="15" hidden="false" customHeight="false" outlineLevel="0" collapsed="false">
      <c r="B1268" s="11"/>
    </row>
    <row r="1269" customFormat="false" ht="15" hidden="false" customHeight="false" outlineLevel="0" collapsed="false">
      <c r="B1269" s="11"/>
    </row>
    <row r="1270" customFormat="false" ht="15" hidden="false" customHeight="false" outlineLevel="0" collapsed="false">
      <c r="B1270" s="11"/>
    </row>
    <row r="1271" customFormat="false" ht="15" hidden="false" customHeight="false" outlineLevel="0" collapsed="false">
      <c r="B1271" s="11"/>
    </row>
    <row r="1272" customFormat="false" ht="15" hidden="false" customHeight="false" outlineLevel="0" collapsed="false">
      <c r="B1272" s="11"/>
    </row>
    <row r="1273" customFormat="false" ht="15" hidden="false" customHeight="false" outlineLevel="0" collapsed="false">
      <c r="B1273" s="11"/>
    </row>
    <row r="1274" customFormat="false" ht="15" hidden="false" customHeight="false" outlineLevel="0" collapsed="false">
      <c r="B1274" s="11"/>
    </row>
    <row r="1275" customFormat="false" ht="15" hidden="false" customHeight="false" outlineLevel="0" collapsed="false">
      <c r="B1275" s="11"/>
    </row>
    <row r="1276" customFormat="false" ht="15" hidden="false" customHeight="false" outlineLevel="0" collapsed="false">
      <c r="B1276" s="11"/>
    </row>
    <row r="1278" customFormat="false" ht="15" hidden="false" customHeight="false" outlineLevel="0" collapsed="false">
      <c r="B1278" s="11"/>
    </row>
    <row r="1279" customFormat="false" ht="15" hidden="false" customHeight="false" outlineLevel="0" collapsed="false">
      <c r="B1279" s="11"/>
    </row>
    <row r="1280" customFormat="false" ht="15" hidden="false" customHeight="false" outlineLevel="0" collapsed="false">
      <c r="B1280" s="11"/>
    </row>
    <row r="1281" customFormat="false" ht="15" hidden="false" customHeight="false" outlineLevel="0" collapsed="false">
      <c r="B1281" s="11"/>
    </row>
    <row r="1282" customFormat="false" ht="15" hidden="false" customHeight="false" outlineLevel="0" collapsed="false">
      <c r="B1282" s="11"/>
    </row>
    <row r="1283" customFormat="false" ht="15" hidden="false" customHeight="false" outlineLevel="0" collapsed="false">
      <c r="B1283" s="11"/>
    </row>
    <row r="1284" customFormat="false" ht="15" hidden="false" customHeight="false" outlineLevel="0" collapsed="false">
      <c r="B1284" s="11"/>
    </row>
    <row r="1285" customFormat="false" ht="15" hidden="false" customHeight="false" outlineLevel="0" collapsed="false">
      <c r="B1285" s="11"/>
    </row>
    <row r="1286" customFormat="false" ht="15" hidden="false" customHeight="false" outlineLevel="0" collapsed="false">
      <c r="B1286" s="11"/>
    </row>
    <row r="1287" customFormat="false" ht="15" hidden="false" customHeight="false" outlineLevel="0" collapsed="false">
      <c r="B1287" s="11"/>
    </row>
    <row r="1288" customFormat="false" ht="15" hidden="false" customHeight="false" outlineLevel="0" collapsed="false">
      <c r="B1288" s="11"/>
    </row>
    <row r="1289" customFormat="false" ht="15" hidden="false" customHeight="false" outlineLevel="0" collapsed="false">
      <c r="B1289" s="11"/>
    </row>
    <row r="1290" customFormat="false" ht="15" hidden="false" customHeight="false" outlineLevel="0" collapsed="false">
      <c r="B1290" s="11"/>
    </row>
    <row r="1291" customFormat="false" ht="15" hidden="false" customHeight="false" outlineLevel="0" collapsed="false">
      <c r="B1291" s="11"/>
    </row>
    <row r="1292" customFormat="false" ht="15" hidden="false" customHeight="false" outlineLevel="0" collapsed="false">
      <c r="B1292" s="11"/>
    </row>
    <row r="1293" customFormat="false" ht="15" hidden="false" customHeight="false" outlineLevel="0" collapsed="false">
      <c r="B1293" s="11"/>
    </row>
    <row r="1294" customFormat="false" ht="15" hidden="false" customHeight="false" outlineLevel="0" collapsed="false">
      <c r="B1294" s="11"/>
    </row>
    <row r="1295" customFormat="false" ht="15" hidden="false" customHeight="false" outlineLevel="0" collapsed="false">
      <c r="B1295" s="11"/>
    </row>
    <row r="1296" customFormat="false" ht="15" hidden="false" customHeight="false" outlineLevel="0" collapsed="false">
      <c r="B1296" s="11"/>
    </row>
    <row r="1298" customFormat="false" ht="15" hidden="false" customHeight="false" outlineLevel="0" collapsed="false">
      <c r="B1298" s="11"/>
    </row>
    <row r="1299" customFormat="false" ht="15" hidden="false" customHeight="false" outlineLevel="0" collapsed="false">
      <c r="B1299" s="11"/>
    </row>
    <row r="1300" customFormat="false" ht="15" hidden="false" customHeight="false" outlineLevel="0" collapsed="false">
      <c r="B1300" s="11"/>
    </row>
    <row r="1301" customFormat="false" ht="15" hidden="false" customHeight="false" outlineLevel="0" collapsed="false">
      <c r="B1301" s="11"/>
    </row>
    <row r="1302" customFormat="false" ht="15" hidden="false" customHeight="false" outlineLevel="0" collapsed="false">
      <c r="B1302" s="11"/>
    </row>
    <row r="1303" customFormat="false" ht="15" hidden="false" customHeight="false" outlineLevel="0" collapsed="false">
      <c r="B1303" s="11"/>
    </row>
    <row r="1304" customFormat="false" ht="15" hidden="false" customHeight="false" outlineLevel="0" collapsed="false">
      <c r="B1304" s="11"/>
    </row>
    <row r="1305" customFormat="false" ht="15" hidden="false" customHeight="false" outlineLevel="0" collapsed="false">
      <c r="B1305" s="11"/>
    </row>
    <row r="1306" customFormat="false" ht="15" hidden="false" customHeight="false" outlineLevel="0" collapsed="false">
      <c r="B1306" s="11"/>
    </row>
    <row r="1307" customFormat="false" ht="15" hidden="false" customHeight="false" outlineLevel="0" collapsed="false">
      <c r="B1307" s="11"/>
    </row>
    <row r="1308" customFormat="false" ht="15" hidden="false" customHeight="false" outlineLevel="0" collapsed="false">
      <c r="B1308" s="11"/>
    </row>
    <row r="1309" customFormat="false" ht="15" hidden="false" customHeight="false" outlineLevel="0" collapsed="false">
      <c r="B1309" s="11"/>
    </row>
    <row r="1310" customFormat="false" ht="15" hidden="false" customHeight="false" outlineLevel="0" collapsed="false">
      <c r="B1310" s="11"/>
    </row>
    <row r="1311" customFormat="false" ht="15" hidden="false" customHeight="false" outlineLevel="0" collapsed="false">
      <c r="B1311" s="11"/>
    </row>
    <row r="1312" customFormat="false" ht="15" hidden="false" customHeight="false" outlineLevel="0" collapsed="false">
      <c r="B1312" s="11"/>
    </row>
    <row r="1313" customFormat="false" ht="15" hidden="false" customHeight="false" outlineLevel="0" collapsed="false">
      <c r="B1313" s="11"/>
    </row>
    <row r="1314" customFormat="false" ht="15" hidden="false" customHeight="false" outlineLevel="0" collapsed="false">
      <c r="B1314" s="11"/>
    </row>
    <row r="1315" customFormat="false" ht="15" hidden="false" customHeight="false" outlineLevel="0" collapsed="false">
      <c r="B1315" s="11"/>
    </row>
    <row r="1316" customFormat="false" ht="15" hidden="false" customHeight="false" outlineLevel="0" collapsed="false">
      <c r="B1316" s="11"/>
    </row>
    <row r="1318" customFormat="false" ht="15" hidden="false" customHeight="false" outlineLevel="0" collapsed="false">
      <c r="B1318" s="11"/>
    </row>
    <row r="1319" customFormat="false" ht="15" hidden="false" customHeight="false" outlineLevel="0" collapsed="false">
      <c r="B1319" s="11"/>
    </row>
    <row r="1320" customFormat="false" ht="15" hidden="false" customHeight="false" outlineLevel="0" collapsed="false">
      <c r="B1320" s="11"/>
    </row>
    <row r="1321" customFormat="false" ht="15" hidden="false" customHeight="false" outlineLevel="0" collapsed="false">
      <c r="B1321" s="11"/>
    </row>
    <row r="1322" customFormat="false" ht="15" hidden="false" customHeight="false" outlineLevel="0" collapsed="false">
      <c r="B1322" s="11"/>
    </row>
    <row r="1323" customFormat="false" ht="15" hidden="false" customHeight="false" outlineLevel="0" collapsed="false">
      <c r="B1323" s="11"/>
    </row>
    <row r="1324" customFormat="false" ht="15" hidden="false" customHeight="false" outlineLevel="0" collapsed="false">
      <c r="B1324" s="11"/>
    </row>
    <row r="1325" customFormat="false" ht="15" hidden="false" customHeight="false" outlineLevel="0" collapsed="false">
      <c r="B1325" s="11"/>
    </row>
    <row r="1326" customFormat="false" ht="15" hidden="false" customHeight="false" outlineLevel="0" collapsed="false">
      <c r="B1326" s="11"/>
    </row>
    <row r="1327" customFormat="false" ht="15" hidden="false" customHeight="false" outlineLevel="0" collapsed="false">
      <c r="B1327" s="11"/>
    </row>
    <row r="1328" customFormat="false" ht="15" hidden="false" customHeight="false" outlineLevel="0" collapsed="false">
      <c r="B1328" s="11"/>
    </row>
    <row r="1329" customFormat="false" ht="15" hidden="false" customHeight="false" outlineLevel="0" collapsed="false">
      <c r="B1329" s="11"/>
    </row>
    <row r="1330" customFormat="false" ht="15" hidden="false" customHeight="false" outlineLevel="0" collapsed="false">
      <c r="B1330" s="11"/>
    </row>
    <row r="1331" customFormat="false" ht="15" hidden="false" customHeight="false" outlineLevel="0" collapsed="false">
      <c r="B1331" s="11"/>
    </row>
    <row r="1332" customFormat="false" ht="15" hidden="false" customHeight="false" outlineLevel="0" collapsed="false">
      <c r="B1332" s="11"/>
    </row>
    <row r="1333" customFormat="false" ht="15" hidden="false" customHeight="false" outlineLevel="0" collapsed="false">
      <c r="B1333" s="11"/>
    </row>
    <row r="1334" customFormat="false" ht="15" hidden="false" customHeight="false" outlineLevel="0" collapsed="false">
      <c r="B1334" s="11"/>
    </row>
    <row r="1335" customFormat="false" ht="15" hidden="false" customHeight="false" outlineLevel="0" collapsed="false">
      <c r="B1335" s="11"/>
    </row>
    <row r="1336" customFormat="false" ht="15" hidden="false" customHeight="false" outlineLevel="0" collapsed="false">
      <c r="B1336" s="11"/>
    </row>
    <row r="1338" customFormat="false" ht="15" hidden="false" customHeight="false" outlineLevel="0" collapsed="false">
      <c r="B1338" s="11"/>
    </row>
    <row r="1339" customFormat="false" ht="15" hidden="false" customHeight="false" outlineLevel="0" collapsed="false">
      <c r="B1339" s="11"/>
    </row>
    <row r="1340" customFormat="false" ht="15" hidden="false" customHeight="false" outlineLevel="0" collapsed="false">
      <c r="B1340" s="11"/>
    </row>
    <row r="1341" customFormat="false" ht="15" hidden="false" customHeight="false" outlineLevel="0" collapsed="false">
      <c r="B1341" s="11"/>
    </row>
    <row r="1342" customFormat="false" ht="15" hidden="false" customHeight="false" outlineLevel="0" collapsed="false">
      <c r="B1342" s="11"/>
    </row>
    <row r="1343" customFormat="false" ht="15" hidden="false" customHeight="false" outlineLevel="0" collapsed="false">
      <c r="B1343" s="11"/>
    </row>
    <row r="1344" customFormat="false" ht="15" hidden="false" customHeight="false" outlineLevel="0" collapsed="false">
      <c r="B1344" s="11"/>
    </row>
    <row r="1345" customFormat="false" ht="15" hidden="false" customHeight="false" outlineLevel="0" collapsed="false">
      <c r="B1345" s="11"/>
    </row>
    <row r="1346" customFormat="false" ht="15" hidden="false" customHeight="false" outlineLevel="0" collapsed="false">
      <c r="B1346" s="11"/>
    </row>
    <row r="1347" customFormat="false" ht="15" hidden="false" customHeight="false" outlineLevel="0" collapsed="false">
      <c r="B1347" s="11"/>
    </row>
    <row r="1348" customFormat="false" ht="15" hidden="false" customHeight="false" outlineLevel="0" collapsed="false">
      <c r="B1348" s="11"/>
    </row>
    <row r="1349" customFormat="false" ht="15" hidden="false" customHeight="false" outlineLevel="0" collapsed="false">
      <c r="B1349" s="11"/>
    </row>
    <row r="1350" customFormat="false" ht="15" hidden="false" customHeight="false" outlineLevel="0" collapsed="false">
      <c r="B1350" s="11"/>
    </row>
    <row r="1351" customFormat="false" ht="15" hidden="false" customHeight="false" outlineLevel="0" collapsed="false">
      <c r="B1351" s="11"/>
    </row>
    <row r="1352" customFormat="false" ht="15" hidden="false" customHeight="false" outlineLevel="0" collapsed="false">
      <c r="B1352" s="11"/>
    </row>
    <row r="1353" customFormat="false" ht="15" hidden="false" customHeight="false" outlineLevel="0" collapsed="false">
      <c r="B1353" s="11"/>
    </row>
    <row r="1354" customFormat="false" ht="15" hidden="false" customHeight="false" outlineLevel="0" collapsed="false">
      <c r="B1354" s="11"/>
    </row>
    <row r="1355" customFormat="false" ht="15" hidden="false" customHeight="false" outlineLevel="0" collapsed="false">
      <c r="B1355" s="11"/>
    </row>
    <row r="1356" customFormat="false" ht="15" hidden="false" customHeight="false" outlineLevel="0" collapsed="false">
      <c r="B1356" s="11"/>
    </row>
    <row r="1358" customFormat="false" ht="15" hidden="false" customHeight="false" outlineLevel="0" collapsed="false">
      <c r="A1358" s="7" t="s">
        <v>34</v>
      </c>
    </row>
    <row r="1359" customFormat="false" ht="15" hidden="false" customHeight="false" outlineLevel="0" collapsed="false">
      <c r="B1359" s="8" t="n">
        <f aca="false">IFERROR(__xludf.DUMMYFUNCTION("IMPORTRANGE(Links!$B$6,""Resumen Capacidad!B2:K61"")"),0.0506816038352574)</f>
        <v>0.0506816038352574</v>
      </c>
      <c r="C1359" s="8"/>
      <c r="D1359" s="8"/>
      <c r="E1359" s="8"/>
      <c r="F1359" s="8"/>
      <c r="G1359" s="8"/>
      <c r="H1359" s="8"/>
      <c r="I1359" s="8"/>
      <c r="J1359" s="8"/>
      <c r="K1359" s="8"/>
    </row>
    <row r="1360" customFormat="false" ht="15" hidden="false" customHeight="false" outlineLevel="0" collapsed="false">
      <c r="B1360" s="8"/>
      <c r="C1360" s="8"/>
      <c r="D1360" s="8"/>
      <c r="E1360" s="8"/>
      <c r="F1360" s="8"/>
      <c r="G1360" s="8"/>
      <c r="H1360" s="8"/>
      <c r="I1360" s="8"/>
      <c r="J1360" s="8"/>
      <c r="K1360" s="8"/>
    </row>
    <row r="1361" customFormat="false" ht="15" hidden="false" customHeight="false" outlineLevel="0" collapsed="false">
      <c r="B1361" s="8"/>
      <c r="C1361" s="8"/>
      <c r="D1361" s="8"/>
      <c r="E1361" s="8"/>
      <c r="F1361" s="8"/>
      <c r="G1361" s="8"/>
      <c r="H1361" s="8"/>
      <c r="I1361" s="8"/>
      <c r="J1361" s="8"/>
      <c r="K1361" s="8"/>
    </row>
    <row r="1362" customFormat="false" ht="15" hidden="false" customHeight="false" outlineLevel="0" collapsed="false">
      <c r="B1362" s="8"/>
      <c r="C1362" s="8"/>
      <c r="D1362" s="8"/>
      <c r="E1362" s="8"/>
      <c r="F1362" s="8"/>
      <c r="G1362" s="8"/>
      <c r="H1362" s="8"/>
      <c r="I1362" s="8"/>
      <c r="J1362" s="8"/>
      <c r="K1362" s="8"/>
    </row>
    <row r="1363" customFormat="false" ht="15" hidden="false" customHeight="false" outlineLevel="0" collapsed="false">
      <c r="B1363" s="8"/>
      <c r="C1363" s="8"/>
      <c r="D1363" s="8"/>
      <c r="E1363" s="8"/>
      <c r="F1363" s="8"/>
      <c r="G1363" s="8"/>
      <c r="H1363" s="8"/>
      <c r="I1363" s="8"/>
      <c r="J1363" s="8"/>
      <c r="K1363" s="8"/>
    </row>
    <row r="1364" customFormat="false" ht="15" hidden="false" customHeight="false" outlineLevel="0" collapsed="false">
      <c r="B1364" s="8"/>
      <c r="C1364" s="8"/>
      <c r="D1364" s="8"/>
      <c r="E1364" s="8"/>
      <c r="F1364" s="8"/>
      <c r="G1364" s="8"/>
      <c r="H1364" s="8"/>
      <c r="I1364" s="8"/>
      <c r="J1364" s="8"/>
      <c r="K1364" s="8"/>
    </row>
    <row r="1365" customFormat="false" ht="15" hidden="false" customHeight="false" outlineLevel="0" collapsed="false">
      <c r="B1365" s="8"/>
      <c r="C1365" s="8"/>
      <c r="D1365" s="8"/>
      <c r="E1365" s="8"/>
      <c r="F1365" s="8"/>
      <c r="G1365" s="8"/>
      <c r="H1365" s="8"/>
      <c r="I1365" s="8"/>
      <c r="J1365" s="8"/>
      <c r="K1365" s="8"/>
    </row>
    <row r="1366" customFormat="false" ht="15" hidden="false" customHeight="false" outlineLevel="0" collapsed="false">
      <c r="B1366" s="8"/>
      <c r="C1366" s="8"/>
      <c r="D1366" s="8"/>
      <c r="E1366" s="8"/>
      <c r="F1366" s="8"/>
      <c r="G1366" s="8"/>
      <c r="H1366" s="8"/>
      <c r="I1366" s="8"/>
      <c r="J1366" s="8"/>
      <c r="K1366" s="8"/>
    </row>
    <row r="1367" customFormat="false" ht="15" hidden="false" customHeight="false" outlineLevel="0" collapsed="false">
      <c r="B1367" s="8"/>
      <c r="C1367" s="8"/>
      <c r="D1367" s="8"/>
      <c r="E1367" s="8"/>
      <c r="F1367" s="8"/>
      <c r="G1367" s="8"/>
      <c r="H1367" s="8"/>
      <c r="I1367" s="8"/>
      <c r="J1367" s="8"/>
      <c r="K1367" s="8"/>
    </row>
    <row r="1368" customFormat="false" ht="15" hidden="false" customHeight="false" outlineLevel="0" collapsed="false">
      <c r="B1368" s="8"/>
      <c r="C1368" s="8"/>
      <c r="D1368" s="8"/>
      <c r="E1368" s="8"/>
      <c r="F1368" s="8"/>
      <c r="G1368" s="8"/>
      <c r="H1368" s="8"/>
      <c r="I1368" s="8"/>
      <c r="J1368" s="8"/>
      <c r="K1368" s="8"/>
    </row>
    <row r="1369" customFormat="false" ht="15" hidden="false" customHeight="false" outlineLevel="0" collapsed="false">
      <c r="B1369" s="8"/>
      <c r="C1369" s="8"/>
      <c r="D1369" s="8"/>
      <c r="E1369" s="8"/>
      <c r="F1369" s="8"/>
      <c r="G1369" s="8"/>
      <c r="H1369" s="8"/>
      <c r="I1369" s="8"/>
      <c r="J1369" s="8"/>
      <c r="K1369" s="8"/>
    </row>
    <row r="1370" customFormat="false" ht="15" hidden="false" customHeight="false" outlineLevel="0" collapsed="false">
      <c r="B1370" s="8"/>
      <c r="C1370" s="8"/>
      <c r="D1370" s="8"/>
      <c r="E1370" s="8"/>
      <c r="F1370" s="8"/>
      <c r="G1370" s="8"/>
      <c r="H1370" s="8"/>
      <c r="I1370" s="8"/>
      <c r="J1370" s="8"/>
      <c r="K1370" s="8"/>
    </row>
    <row r="1371" customFormat="false" ht="15" hidden="false" customHeight="false" outlineLevel="0" collapsed="false">
      <c r="B1371" s="8"/>
      <c r="C1371" s="8"/>
      <c r="D1371" s="8"/>
      <c r="E1371" s="8"/>
      <c r="F1371" s="8"/>
      <c r="G1371" s="8"/>
      <c r="H1371" s="8"/>
      <c r="I1371" s="8"/>
      <c r="J1371" s="8"/>
      <c r="K1371" s="8"/>
    </row>
    <row r="1372" customFormat="false" ht="15" hidden="false" customHeight="false" outlineLevel="0" collapsed="false">
      <c r="B1372" s="8"/>
      <c r="C1372" s="8"/>
      <c r="D1372" s="8"/>
      <c r="E1372" s="8"/>
      <c r="F1372" s="8"/>
      <c r="G1372" s="8"/>
      <c r="H1372" s="8"/>
      <c r="I1372" s="8"/>
      <c r="J1372" s="8"/>
      <c r="K1372" s="8"/>
    </row>
    <row r="1373" customFormat="false" ht="15" hidden="false" customHeight="false" outlineLevel="0" collapsed="false">
      <c r="B1373" s="8"/>
      <c r="C1373" s="8"/>
      <c r="D1373" s="8"/>
      <c r="E1373" s="8"/>
      <c r="F1373" s="8"/>
      <c r="G1373" s="8"/>
      <c r="H1373" s="8"/>
      <c r="I1373" s="8"/>
      <c r="J1373" s="8"/>
      <c r="K1373" s="8"/>
    </row>
    <row r="1374" customFormat="false" ht="15" hidden="false" customHeight="false" outlineLevel="0" collapsed="false">
      <c r="B1374" s="8"/>
      <c r="C1374" s="8"/>
      <c r="D1374" s="8"/>
      <c r="E1374" s="8"/>
      <c r="F1374" s="8"/>
      <c r="G1374" s="8"/>
      <c r="H1374" s="8"/>
      <c r="I1374" s="8"/>
      <c r="J1374" s="8"/>
      <c r="K1374" s="8"/>
    </row>
    <row r="1375" customFormat="false" ht="15" hidden="false" customHeight="false" outlineLevel="0" collapsed="false">
      <c r="B1375" s="8"/>
      <c r="C1375" s="8"/>
      <c r="D1375" s="8"/>
      <c r="E1375" s="8"/>
      <c r="F1375" s="8"/>
      <c r="G1375" s="8"/>
      <c r="H1375" s="8"/>
      <c r="I1375" s="8"/>
      <c r="J1375" s="8"/>
      <c r="K1375" s="8"/>
    </row>
    <row r="1376" customFormat="false" ht="15" hidden="false" customHeight="false" outlineLevel="0" collapsed="false">
      <c r="B1376" s="8"/>
      <c r="C1376" s="8"/>
      <c r="D1376" s="8"/>
      <c r="E1376" s="8"/>
      <c r="F1376" s="8"/>
      <c r="G1376" s="8"/>
      <c r="H1376" s="8"/>
      <c r="I1376" s="8"/>
      <c r="J1376" s="8"/>
      <c r="K1376" s="8"/>
    </row>
    <row r="1377" customFormat="false" ht="15" hidden="false" customHeight="false" outlineLevel="0" collapsed="false">
      <c r="B1377" s="8"/>
      <c r="C1377" s="8"/>
      <c r="D1377" s="8"/>
      <c r="E1377" s="8"/>
      <c r="F1377" s="8"/>
      <c r="G1377" s="8"/>
      <c r="H1377" s="8"/>
      <c r="I1377" s="8"/>
      <c r="J1377" s="8"/>
      <c r="K1377" s="8"/>
    </row>
    <row r="1379" customFormat="false" ht="15" hidden="false" customHeight="false" outlineLevel="0" collapsed="false">
      <c r="B1379" s="8"/>
      <c r="C1379" s="8"/>
      <c r="D1379" s="8"/>
      <c r="E1379" s="8"/>
      <c r="F1379" s="8"/>
      <c r="G1379" s="8"/>
      <c r="H1379" s="8"/>
      <c r="I1379" s="8"/>
      <c r="J1379" s="8"/>
      <c r="K1379" s="8"/>
    </row>
    <row r="1380" customFormat="false" ht="15" hidden="false" customHeight="false" outlineLevel="0" collapsed="false">
      <c r="B1380" s="8"/>
      <c r="C1380" s="8"/>
      <c r="D1380" s="8"/>
      <c r="E1380" s="8"/>
      <c r="F1380" s="8"/>
      <c r="G1380" s="8"/>
      <c r="H1380" s="8"/>
      <c r="I1380" s="8"/>
      <c r="J1380" s="8"/>
      <c r="K1380" s="8"/>
    </row>
    <row r="1381" customFormat="false" ht="15" hidden="false" customHeight="false" outlineLevel="0" collapsed="false">
      <c r="B1381" s="8"/>
      <c r="C1381" s="8"/>
      <c r="D1381" s="8"/>
      <c r="E1381" s="8"/>
      <c r="F1381" s="8"/>
      <c r="G1381" s="8"/>
      <c r="H1381" s="8"/>
      <c r="I1381" s="8"/>
      <c r="J1381" s="8"/>
      <c r="K1381" s="8"/>
    </row>
    <row r="1382" customFormat="false" ht="15" hidden="false" customHeight="false" outlineLevel="0" collapsed="false">
      <c r="B1382" s="8"/>
      <c r="C1382" s="8"/>
      <c r="D1382" s="8"/>
      <c r="E1382" s="8"/>
      <c r="F1382" s="8"/>
      <c r="G1382" s="8"/>
      <c r="H1382" s="8"/>
      <c r="I1382" s="8"/>
      <c r="J1382" s="8"/>
      <c r="K1382" s="8"/>
    </row>
    <row r="1383" customFormat="false" ht="15" hidden="false" customHeight="false" outlineLevel="0" collapsed="false">
      <c r="B1383" s="8"/>
      <c r="C1383" s="8"/>
      <c r="D1383" s="8"/>
      <c r="E1383" s="8"/>
      <c r="F1383" s="8"/>
      <c r="G1383" s="8"/>
      <c r="H1383" s="8"/>
      <c r="I1383" s="8"/>
      <c r="J1383" s="8"/>
      <c r="K1383" s="8"/>
    </row>
    <row r="1384" customFormat="false" ht="15" hidden="false" customHeight="false" outlineLevel="0" collapsed="false">
      <c r="B1384" s="8"/>
      <c r="C1384" s="8"/>
      <c r="D1384" s="8"/>
      <c r="E1384" s="8"/>
      <c r="F1384" s="8"/>
      <c r="G1384" s="8"/>
      <c r="H1384" s="8"/>
      <c r="I1384" s="8"/>
      <c r="J1384" s="8"/>
      <c r="K1384" s="8"/>
    </row>
    <row r="1385" customFormat="false" ht="15" hidden="false" customHeight="false" outlineLevel="0" collapsed="false">
      <c r="B1385" s="8"/>
      <c r="C1385" s="8"/>
      <c r="D1385" s="8"/>
      <c r="E1385" s="8"/>
      <c r="F1385" s="8"/>
      <c r="G1385" s="8"/>
      <c r="H1385" s="8"/>
      <c r="I1385" s="8"/>
      <c r="J1385" s="8"/>
      <c r="K1385" s="8"/>
    </row>
    <row r="1386" customFormat="false" ht="15" hidden="false" customHeight="false" outlineLevel="0" collapsed="false">
      <c r="B1386" s="8"/>
      <c r="C1386" s="8"/>
      <c r="D1386" s="8"/>
      <c r="E1386" s="8"/>
      <c r="F1386" s="8"/>
      <c r="G1386" s="8"/>
      <c r="H1386" s="8"/>
      <c r="I1386" s="8"/>
      <c r="J1386" s="8"/>
      <c r="K1386" s="8"/>
    </row>
    <row r="1387" customFormat="false" ht="15" hidden="false" customHeight="false" outlineLevel="0" collapsed="false">
      <c r="B1387" s="8"/>
      <c r="C1387" s="8"/>
      <c r="D1387" s="8"/>
      <c r="E1387" s="8"/>
      <c r="F1387" s="8"/>
      <c r="G1387" s="8"/>
      <c r="H1387" s="8"/>
      <c r="I1387" s="8"/>
      <c r="J1387" s="8"/>
      <c r="K1387" s="8"/>
    </row>
    <row r="1388" customFormat="false" ht="15" hidden="false" customHeight="false" outlineLevel="0" collapsed="false">
      <c r="B1388" s="8"/>
      <c r="C1388" s="8"/>
      <c r="D1388" s="8"/>
      <c r="E1388" s="8"/>
      <c r="F1388" s="8"/>
      <c r="G1388" s="8"/>
      <c r="H1388" s="8"/>
      <c r="I1388" s="8"/>
      <c r="J1388" s="8"/>
      <c r="K1388" s="8"/>
    </row>
    <row r="1389" customFormat="false" ht="15" hidden="false" customHeight="false" outlineLevel="0" collapsed="false">
      <c r="B1389" s="8"/>
      <c r="C1389" s="8"/>
      <c r="D1389" s="8"/>
      <c r="E1389" s="8"/>
      <c r="F1389" s="8"/>
      <c r="G1389" s="8"/>
      <c r="H1389" s="8"/>
      <c r="I1389" s="8"/>
      <c r="J1389" s="8"/>
      <c r="K1389" s="8"/>
    </row>
    <row r="1390" customFormat="false" ht="15" hidden="false" customHeight="false" outlineLevel="0" collapsed="false">
      <c r="B1390" s="8"/>
      <c r="C1390" s="8"/>
      <c r="D1390" s="8"/>
      <c r="E1390" s="8"/>
      <c r="F1390" s="8"/>
      <c r="G1390" s="8"/>
      <c r="H1390" s="8"/>
      <c r="I1390" s="8"/>
      <c r="J1390" s="8"/>
      <c r="K1390" s="8"/>
    </row>
    <row r="1391" customFormat="false" ht="15" hidden="false" customHeight="false" outlineLevel="0" collapsed="false">
      <c r="B1391" s="8"/>
      <c r="C1391" s="8"/>
      <c r="D1391" s="8"/>
      <c r="E1391" s="8"/>
      <c r="F1391" s="8"/>
      <c r="G1391" s="8"/>
      <c r="H1391" s="8"/>
      <c r="I1391" s="8"/>
      <c r="J1391" s="8"/>
      <c r="K1391" s="8"/>
    </row>
    <row r="1392" customFormat="false" ht="15" hidden="false" customHeight="false" outlineLevel="0" collapsed="false">
      <c r="B1392" s="8"/>
      <c r="C1392" s="8"/>
      <c r="D1392" s="8"/>
      <c r="E1392" s="8"/>
      <c r="F1392" s="8"/>
      <c r="G1392" s="8"/>
      <c r="H1392" s="8"/>
      <c r="I1392" s="8"/>
      <c r="J1392" s="8"/>
      <c r="K1392" s="8"/>
    </row>
    <row r="1393" customFormat="false" ht="15" hidden="false" customHeight="false" outlineLevel="0" collapsed="false">
      <c r="B1393" s="8"/>
      <c r="C1393" s="8"/>
      <c r="D1393" s="8"/>
      <c r="E1393" s="8"/>
      <c r="F1393" s="8"/>
      <c r="G1393" s="8"/>
      <c r="H1393" s="8"/>
      <c r="I1393" s="8"/>
      <c r="J1393" s="8"/>
      <c r="K1393" s="8"/>
    </row>
    <row r="1394" customFormat="false" ht="15" hidden="false" customHeight="false" outlineLevel="0" collapsed="false">
      <c r="B1394" s="8"/>
      <c r="C1394" s="8"/>
      <c r="D1394" s="8"/>
      <c r="E1394" s="8"/>
      <c r="F1394" s="8"/>
      <c r="G1394" s="8"/>
      <c r="H1394" s="8"/>
      <c r="I1394" s="8"/>
      <c r="J1394" s="8"/>
      <c r="K1394" s="8"/>
    </row>
    <row r="1395" customFormat="false" ht="15" hidden="false" customHeight="false" outlineLevel="0" collapsed="false">
      <c r="B1395" s="8"/>
      <c r="C1395" s="8"/>
      <c r="D1395" s="8"/>
      <c r="E1395" s="8"/>
      <c r="F1395" s="8"/>
      <c r="G1395" s="8"/>
      <c r="H1395" s="8"/>
      <c r="I1395" s="8"/>
      <c r="J1395" s="8"/>
      <c r="K1395" s="8"/>
    </row>
    <row r="1396" customFormat="false" ht="15" hidden="false" customHeight="false" outlineLevel="0" collapsed="false">
      <c r="B1396" s="8"/>
      <c r="C1396" s="8"/>
      <c r="D1396" s="8"/>
      <c r="E1396" s="8"/>
      <c r="F1396" s="8"/>
      <c r="G1396" s="8"/>
      <c r="H1396" s="8"/>
      <c r="I1396" s="8"/>
      <c r="J1396" s="8"/>
      <c r="K1396" s="8"/>
    </row>
    <row r="1397" customFormat="false" ht="15" hidden="false" customHeight="false" outlineLevel="0" collapsed="false">
      <c r="B1397" s="8"/>
      <c r="C1397" s="8"/>
      <c r="D1397" s="8"/>
      <c r="E1397" s="8"/>
      <c r="F1397" s="8"/>
      <c r="G1397" s="8"/>
      <c r="H1397" s="8"/>
      <c r="I1397" s="8"/>
      <c r="J1397" s="8"/>
      <c r="K1397" s="8"/>
    </row>
    <row r="1398" customFormat="false" ht="15" hidden="false" customHeight="false" outlineLevel="0" collapsed="false">
      <c r="B1398" s="8"/>
      <c r="C1398" s="8"/>
      <c r="D1398" s="8"/>
      <c r="E1398" s="8"/>
      <c r="F1398" s="8"/>
      <c r="G1398" s="8"/>
      <c r="H1398" s="8"/>
      <c r="I1398" s="8"/>
      <c r="J1398" s="8"/>
      <c r="K1398" s="8"/>
    </row>
    <row r="1400" customFormat="false" ht="15" hidden="false" customHeight="false" outlineLevel="0" collapsed="false">
      <c r="B1400" s="8"/>
      <c r="C1400" s="8"/>
      <c r="D1400" s="8"/>
      <c r="E1400" s="8"/>
      <c r="F1400" s="8"/>
      <c r="G1400" s="8"/>
      <c r="H1400" s="8"/>
      <c r="I1400" s="8"/>
      <c r="J1400" s="8"/>
      <c r="K1400" s="8"/>
    </row>
    <row r="1401" customFormat="false" ht="15" hidden="false" customHeight="false" outlineLevel="0" collapsed="false">
      <c r="B1401" s="8"/>
      <c r="C1401" s="8"/>
      <c r="D1401" s="8"/>
      <c r="E1401" s="8"/>
      <c r="F1401" s="8"/>
      <c r="G1401" s="8"/>
      <c r="H1401" s="8"/>
      <c r="I1401" s="8"/>
      <c r="J1401" s="8"/>
      <c r="K1401" s="8"/>
    </row>
    <row r="1402" customFormat="false" ht="15" hidden="false" customHeight="false" outlineLevel="0" collapsed="false">
      <c r="B1402" s="8"/>
      <c r="C1402" s="8"/>
      <c r="D1402" s="8"/>
      <c r="E1402" s="8"/>
      <c r="F1402" s="8"/>
      <c r="G1402" s="8"/>
      <c r="H1402" s="8"/>
      <c r="I1402" s="8"/>
      <c r="J1402" s="8"/>
      <c r="K1402" s="8"/>
    </row>
    <row r="1403" customFormat="false" ht="15" hidden="false" customHeight="false" outlineLevel="0" collapsed="false">
      <c r="B1403" s="8"/>
      <c r="C1403" s="8"/>
      <c r="D1403" s="8"/>
      <c r="E1403" s="8"/>
      <c r="F1403" s="8"/>
      <c r="G1403" s="8"/>
      <c r="H1403" s="8"/>
      <c r="I1403" s="8"/>
      <c r="J1403" s="8"/>
      <c r="K1403" s="8"/>
    </row>
    <row r="1404" customFormat="false" ht="15" hidden="false" customHeight="false" outlineLevel="0" collapsed="false">
      <c r="B1404" s="8"/>
      <c r="C1404" s="8"/>
      <c r="D1404" s="8"/>
      <c r="E1404" s="8"/>
      <c r="F1404" s="8"/>
      <c r="G1404" s="8"/>
      <c r="H1404" s="8"/>
      <c r="I1404" s="8"/>
      <c r="J1404" s="8"/>
      <c r="K1404" s="8"/>
    </row>
    <row r="1405" customFormat="false" ht="15" hidden="false" customHeight="false" outlineLevel="0" collapsed="false">
      <c r="B1405" s="8"/>
      <c r="C1405" s="8"/>
      <c r="D1405" s="8"/>
      <c r="E1405" s="8"/>
      <c r="F1405" s="8"/>
      <c r="G1405" s="8"/>
      <c r="H1405" s="8"/>
      <c r="I1405" s="8"/>
      <c r="J1405" s="8"/>
      <c r="K1405" s="8"/>
    </row>
    <row r="1406" customFormat="false" ht="15" hidden="false" customHeight="false" outlineLevel="0" collapsed="false">
      <c r="B1406" s="8"/>
      <c r="C1406" s="8"/>
      <c r="D1406" s="8"/>
      <c r="E1406" s="8"/>
      <c r="F1406" s="8"/>
      <c r="G1406" s="8"/>
      <c r="H1406" s="8"/>
      <c r="I1406" s="8"/>
      <c r="J1406" s="8"/>
      <c r="K1406" s="8"/>
    </row>
    <row r="1407" customFormat="false" ht="15" hidden="false" customHeight="false" outlineLevel="0" collapsed="false">
      <c r="B1407" s="8"/>
      <c r="C1407" s="8"/>
      <c r="D1407" s="8"/>
      <c r="E1407" s="8"/>
      <c r="F1407" s="8"/>
      <c r="G1407" s="8"/>
      <c r="H1407" s="8"/>
      <c r="I1407" s="8"/>
      <c r="J1407" s="8"/>
      <c r="K1407" s="8"/>
    </row>
    <row r="1408" customFormat="false" ht="15" hidden="false" customHeight="false" outlineLevel="0" collapsed="false">
      <c r="B1408" s="8"/>
      <c r="C1408" s="8"/>
      <c r="D1408" s="8"/>
      <c r="E1408" s="8"/>
      <c r="F1408" s="8"/>
      <c r="G1408" s="8"/>
      <c r="H1408" s="8"/>
      <c r="I1408" s="8"/>
      <c r="J1408" s="8"/>
      <c r="K1408" s="8"/>
    </row>
    <row r="1409" customFormat="false" ht="15" hidden="false" customHeight="false" outlineLevel="0" collapsed="false">
      <c r="B1409" s="8"/>
      <c r="C1409" s="8"/>
      <c r="D1409" s="8"/>
      <c r="E1409" s="8"/>
      <c r="F1409" s="8"/>
      <c r="G1409" s="8"/>
      <c r="H1409" s="8"/>
      <c r="I1409" s="8"/>
      <c r="J1409" s="8"/>
      <c r="K1409" s="8"/>
    </row>
    <row r="1410" customFormat="false" ht="15" hidden="false" customHeight="false" outlineLevel="0" collapsed="false">
      <c r="B1410" s="8"/>
      <c r="C1410" s="8"/>
      <c r="D1410" s="8"/>
      <c r="E1410" s="8"/>
      <c r="F1410" s="8"/>
      <c r="G1410" s="8"/>
      <c r="H1410" s="8"/>
      <c r="I1410" s="8"/>
      <c r="J1410" s="8"/>
      <c r="K1410" s="8"/>
    </row>
    <row r="1411" customFormat="false" ht="15" hidden="false" customHeight="false" outlineLevel="0" collapsed="false">
      <c r="B1411" s="8"/>
      <c r="C1411" s="8"/>
      <c r="D1411" s="8"/>
      <c r="E1411" s="8"/>
      <c r="F1411" s="8"/>
      <c r="G1411" s="8"/>
      <c r="H1411" s="8"/>
      <c r="I1411" s="8"/>
      <c r="J1411" s="8"/>
      <c r="K1411" s="8"/>
    </row>
    <row r="1412" customFormat="false" ht="15" hidden="false" customHeight="false" outlineLevel="0" collapsed="false">
      <c r="B1412" s="8"/>
      <c r="C1412" s="8"/>
      <c r="D1412" s="8"/>
      <c r="E1412" s="8"/>
      <c r="F1412" s="8"/>
      <c r="G1412" s="8"/>
      <c r="H1412" s="8"/>
      <c r="I1412" s="8"/>
      <c r="J1412" s="8"/>
      <c r="K1412" s="8"/>
    </row>
    <row r="1413" customFormat="false" ht="15" hidden="false" customHeight="false" outlineLevel="0" collapsed="false">
      <c r="B1413" s="8"/>
      <c r="C1413" s="8"/>
      <c r="D1413" s="8"/>
      <c r="E1413" s="8"/>
      <c r="F1413" s="8"/>
      <c r="G1413" s="8"/>
      <c r="H1413" s="8"/>
      <c r="I1413" s="8"/>
      <c r="J1413" s="8"/>
      <c r="K1413" s="8"/>
    </row>
    <row r="1414" customFormat="false" ht="15" hidden="false" customHeight="false" outlineLevel="0" collapsed="false">
      <c r="B1414" s="8"/>
      <c r="C1414" s="8"/>
      <c r="D1414" s="8"/>
      <c r="E1414" s="8"/>
      <c r="F1414" s="8"/>
      <c r="G1414" s="8"/>
      <c r="H1414" s="8"/>
      <c r="I1414" s="8"/>
      <c r="J1414" s="8"/>
      <c r="K1414" s="8"/>
    </row>
    <row r="1415" customFormat="false" ht="15" hidden="false" customHeight="false" outlineLevel="0" collapsed="false">
      <c r="B1415" s="8"/>
      <c r="C1415" s="8"/>
      <c r="D1415" s="8"/>
      <c r="E1415" s="8"/>
      <c r="F1415" s="8"/>
      <c r="G1415" s="8"/>
      <c r="H1415" s="8"/>
      <c r="I1415" s="8"/>
      <c r="J1415" s="8"/>
      <c r="K1415" s="8"/>
    </row>
    <row r="1416" customFormat="false" ht="15" hidden="false" customHeight="false" outlineLevel="0" collapsed="false">
      <c r="B1416" s="8"/>
      <c r="C1416" s="8"/>
      <c r="D1416" s="8"/>
      <c r="E1416" s="8"/>
      <c r="F1416" s="8"/>
      <c r="G1416" s="8"/>
      <c r="H1416" s="8"/>
      <c r="I1416" s="8"/>
      <c r="J1416" s="8"/>
      <c r="K1416" s="8"/>
    </row>
    <row r="1417" customFormat="false" ht="15" hidden="false" customHeight="false" outlineLevel="0" collapsed="false">
      <c r="B1417" s="8"/>
      <c r="C1417" s="8"/>
      <c r="D1417" s="8"/>
      <c r="E1417" s="8"/>
      <c r="F1417" s="8"/>
      <c r="G1417" s="8"/>
      <c r="H1417" s="8"/>
      <c r="I1417" s="8"/>
      <c r="J1417" s="8"/>
      <c r="K1417" s="8"/>
    </row>
    <row r="1418" customFormat="false" ht="15" hidden="false" customHeight="false" outlineLevel="0" collapsed="false">
      <c r="B1418" s="8"/>
      <c r="C1418" s="8"/>
      <c r="D1418" s="8"/>
      <c r="E1418" s="8"/>
      <c r="F1418" s="8"/>
      <c r="G1418" s="8"/>
      <c r="H1418" s="8"/>
      <c r="I1418" s="8"/>
      <c r="J1418" s="8"/>
      <c r="K1418" s="8"/>
    </row>
    <row r="1420" customFormat="false" ht="15" hidden="false" customHeight="false" outlineLevel="0" collapsed="false">
      <c r="A1420" s="7" t="s">
        <v>35</v>
      </c>
    </row>
    <row r="1421" customFormat="false" ht="15" hidden="false" customHeight="false" outlineLevel="0" collapsed="false">
      <c r="B1421" s="11" t="n">
        <f aca="false">IFERROR(__xludf.DUMMYFUNCTION("IMPORTRANGE(Links!$B$7,""datos_base!B2:K18"")"),1002.33729536048)</f>
        <v>1002.33729536048</v>
      </c>
      <c r="C1421" s="11"/>
      <c r="D1421" s="11"/>
      <c r="E1421" s="11"/>
      <c r="F1421" s="11"/>
      <c r="G1421" s="11"/>
      <c r="H1421" s="11"/>
      <c r="I1421" s="11"/>
      <c r="J1421" s="11"/>
      <c r="K1421" s="11"/>
    </row>
    <row r="1422" customFormat="false" ht="15" hidden="false" customHeight="false" outlineLevel="0" collapsed="false">
      <c r="B1422" s="11"/>
      <c r="C1422" s="11"/>
      <c r="D1422" s="11"/>
      <c r="E1422" s="11"/>
      <c r="F1422" s="11"/>
      <c r="G1422" s="11"/>
      <c r="H1422" s="11"/>
      <c r="I1422" s="11"/>
      <c r="J1422" s="11"/>
      <c r="K1422" s="11"/>
    </row>
    <row r="1423" customFormat="false" ht="15" hidden="false" customHeight="false" outlineLevel="0" collapsed="false">
      <c r="B1423" s="11"/>
      <c r="C1423" s="11"/>
      <c r="D1423" s="11"/>
      <c r="E1423" s="11"/>
      <c r="F1423" s="11"/>
      <c r="G1423" s="11"/>
      <c r="H1423" s="11"/>
      <c r="I1423" s="11"/>
      <c r="J1423" s="11"/>
      <c r="K1423" s="11"/>
    </row>
    <row r="1424" customFormat="false" ht="15" hidden="false" customHeight="false" outlineLevel="0" collapsed="false">
      <c r="B1424" s="11"/>
      <c r="C1424" s="11"/>
      <c r="D1424" s="11"/>
      <c r="E1424" s="11"/>
      <c r="F1424" s="11"/>
      <c r="G1424" s="11"/>
      <c r="H1424" s="11"/>
      <c r="I1424" s="11"/>
      <c r="J1424" s="11"/>
      <c r="K1424" s="11"/>
    </row>
    <row r="1425" customFormat="false" ht="15" hidden="false" customHeight="false" outlineLevel="0" collapsed="false">
      <c r="B1425" s="11"/>
      <c r="C1425" s="11"/>
      <c r="D1425" s="11"/>
      <c r="E1425" s="11"/>
      <c r="F1425" s="11"/>
      <c r="G1425" s="11"/>
      <c r="H1425" s="11"/>
      <c r="I1425" s="11"/>
      <c r="J1425" s="11"/>
      <c r="K1425" s="11"/>
    </row>
    <row r="1426" customFormat="false" ht="15" hidden="false" customHeight="false" outlineLevel="0" collapsed="false">
      <c r="B1426" s="11"/>
      <c r="C1426" s="11"/>
      <c r="D1426" s="11"/>
      <c r="E1426" s="11"/>
      <c r="F1426" s="11"/>
      <c r="G1426" s="11"/>
      <c r="H1426" s="11"/>
      <c r="I1426" s="11"/>
      <c r="J1426" s="11"/>
      <c r="K1426" s="11"/>
    </row>
    <row r="1427" customFormat="false" ht="15" hidden="false" customHeight="false" outlineLevel="0" collapsed="false">
      <c r="B1427" s="11"/>
      <c r="C1427" s="11"/>
      <c r="D1427" s="11"/>
      <c r="E1427" s="11"/>
      <c r="F1427" s="11"/>
      <c r="G1427" s="11"/>
      <c r="H1427" s="11"/>
      <c r="I1427" s="11"/>
      <c r="J1427" s="11"/>
      <c r="K1427" s="11"/>
    </row>
    <row r="1428" customFormat="false" ht="15" hidden="false" customHeight="false" outlineLevel="0" collapsed="false">
      <c r="B1428" s="11"/>
      <c r="C1428" s="11"/>
      <c r="D1428" s="11"/>
      <c r="E1428" s="11"/>
      <c r="F1428" s="11"/>
      <c r="G1428" s="11"/>
      <c r="H1428" s="11"/>
      <c r="I1428" s="11"/>
      <c r="J1428" s="11"/>
      <c r="K1428" s="11"/>
    </row>
    <row r="1429" customFormat="false" ht="15" hidden="false" customHeight="false" outlineLevel="0" collapsed="false">
      <c r="B1429" s="11"/>
      <c r="C1429" s="11"/>
      <c r="D1429" s="11"/>
      <c r="E1429" s="11"/>
      <c r="F1429" s="11"/>
      <c r="G1429" s="11"/>
      <c r="H1429" s="11"/>
      <c r="I1429" s="11"/>
      <c r="J1429" s="11"/>
      <c r="K1429" s="11"/>
    </row>
    <row r="1430" customFormat="false" ht="15" hidden="false" customHeight="false" outlineLevel="0" collapsed="false">
      <c r="B1430" s="11"/>
      <c r="C1430" s="11"/>
      <c r="D1430" s="11"/>
      <c r="E1430" s="11"/>
      <c r="F1430" s="11"/>
      <c r="G1430" s="11"/>
      <c r="H1430" s="11"/>
      <c r="I1430" s="11"/>
      <c r="J1430" s="11"/>
      <c r="K1430" s="11"/>
    </row>
    <row r="1431" customFormat="false" ht="15" hidden="false" customHeight="false" outlineLevel="0" collapsed="false">
      <c r="B1431" s="11"/>
      <c r="C1431" s="11"/>
      <c r="D1431" s="11"/>
      <c r="E1431" s="11"/>
      <c r="F1431" s="11"/>
      <c r="G1431" s="11"/>
      <c r="H1431" s="11"/>
      <c r="I1431" s="11"/>
      <c r="J1431" s="11"/>
      <c r="K1431" s="11"/>
    </row>
    <row r="1432" customFormat="false" ht="15" hidden="false" customHeight="false" outlineLevel="0" collapsed="false">
      <c r="B1432" s="11"/>
      <c r="C1432" s="11"/>
      <c r="D1432" s="11"/>
      <c r="E1432" s="11"/>
      <c r="F1432" s="11"/>
      <c r="G1432" s="11"/>
      <c r="H1432" s="11"/>
      <c r="I1432" s="11"/>
      <c r="J1432" s="11"/>
      <c r="K1432" s="11"/>
    </row>
    <row r="1433" customFormat="false" ht="15" hidden="false" customHeight="false" outlineLevel="0" collapsed="false">
      <c r="B1433" s="11"/>
      <c r="C1433" s="11"/>
      <c r="D1433" s="11"/>
      <c r="E1433" s="11"/>
      <c r="F1433" s="11"/>
      <c r="G1433" s="11"/>
      <c r="H1433" s="11"/>
      <c r="I1433" s="11"/>
      <c r="J1433" s="11"/>
      <c r="K1433" s="11"/>
    </row>
    <row r="1434" customFormat="false" ht="15" hidden="false" customHeight="false" outlineLevel="0" collapsed="false">
      <c r="B1434" s="11"/>
      <c r="C1434" s="11"/>
      <c r="D1434" s="11"/>
      <c r="E1434" s="11"/>
      <c r="F1434" s="11"/>
      <c r="G1434" s="11"/>
      <c r="H1434" s="11"/>
      <c r="I1434" s="11"/>
      <c r="J1434" s="11"/>
      <c r="K1434" s="11"/>
    </row>
    <row r="1435" customFormat="false" ht="15" hidden="false" customHeight="false" outlineLevel="0" collapsed="false">
      <c r="B1435" s="11"/>
      <c r="C1435" s="11"/>
      <c r="D1435" s="11"/>
      <c r="E1435" s="11"/>
      <c r="F1435" s="11"/>
      <c r="G1435" s="11"/>
      <c r="H1435" s="11"/>
      <c r="I1435" s="11"/>
      <c r="J1435" s="11"/>
      <c r="K1435" s="11"/>
    </row>
    <row r="1436" customFormat="false" ht="15" hidden="false" customHeight="false" outlineLevel="0" collapsed="false">
      <c r="B1436" s="11"/>
      <c r="C1436" s="11"/>
      <c r="D1436" s="11"/>
      <c r="E1436" s="11"/>
      <c r="F1436" s="11"/>
      <c r="G1436" s="11"/>
      <c r="H1436" s="11"/>
      <c r="I1436" s="11"/>
      <c r="J1436" s="11"/>
      <c r="K1436" s="11"/>
    </row>
    <row r="1437" customFormat="false" ht="15" hidden="false" customHeight="false" outlineLevel="0" collapsed="false">
      <c r="B1437" s="11"/>
      <c r="C1437" s="11"/>
      <c r="D1437" s="11"/>
      <c r="E1437" s="11"/>
      <c r="F1437" s="11"/>
      <c r="G1437" s="11"/>
      <c r="H1437" s="11"/>
      <c r="I1437" s="11"/>
      <c r="J1437" s="11"/>
      <c r="K1437" s="11"/>
    </row>
    <row r="1439" customFormat="false" ht="15" hidden="false" customHeight="false" outlineLevel="0" collapsed="false">
      <c r="A1439" s="7" t="s">
        <v>36</v>
      </c>
    </row>
    <row r="1440" customFormat="false" ht="15" hidden="false" customHeight="false" outlineLevel="0" collapsed="false">
      <c r="B1440" s="11" t="str">
        <f aca="false">IFERROR(__xludf.DUMMYFUNCTION("IMPORTRANGE(Links!$B$7,""Plan mensual!D1:P318"")"),"Ene")</f>
        <v>Ene</v>
      </c>
      <c r="C1440" s="11"/>
      <c r="D1440" s="11"/>
      <c r="E1440" s="11"/>
      <c r="F1440" s="11"/>
      <c r="G1440" s="11"/>
      <c r="H1440" s="11"/>
      <c r="I1440" s="11"/>
      <c r="J1440" s="11"/>
      <c r="K1440" s="11"/>
      <c r="L1440" s="11"/>
      <c r="M1440" s="11"/>
      <c r="N1440" s="11"/>
    </row>
    <row r="1441" customFormat="false" ht="15" hidden="false" customHeight="false" outlineLevel="0" collapsed="false">
      <c r="B1441" s="11"/>
      <c r="C1441" s="11"/>
      <c r="D1441" s="11"/>
      <c r="E1441" s="11"/>
      <c r="F1441" s="11"/>
      <c r="G1441" s="11"/>
      <c r="H1441" s="11"/>
      <c r="I1441" s="11"/>
      <c r="J1441" s="11"/>
      <c r="K1441" s="11"/>
      <c r="L1441" s="11"/>
      <c r="M1441" s="11"/>
      <c r="N1441" s="11"/>
    </row>
    <row r="1442" customFormat="false" ht="15" hidden="false" customHeight="false" outlineLevel="0" collapsed="false">
      <c r="B1442" s="11"/>
      <c r="C1442" s="11"/>
      <c r="D1442" s="11"/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</row>
    <row r="1443" customFormat="false" ht="15" hidden="false" customHeight="false" outlineLevel="0" collapsed="false">
      <c r="B1443" s="11"/>
      <c r="C1443" s="11"/>
      <c r="D1443" s="11"/>
      <c r="E1443" s="11"/>
      <c r="F1443" s="11"/>
      <c r="G1443" s="11"/>
      <c r="H1443" s="11"/>
      <c r="I1443" s="11"/>
      <c r="J1443" s="11"/>
      <c r="K1443" s="11"/>
      <c r="L1443" s="11"/>
      <c r="M1443" s="11"/>
      <c r="N1443" s="11"/>
    </row>
    <row r="1444" customFormat="false" ht="15" hidden="false" customHeight="false" outlineLevel="0" collapsed="false">
      <c r="B1444" s="11"/>
      <c r="C1444" s="11"/>
      <c r="D1444" s="11"/>
      <c r="E1444" s="11"/>
      <c r="F1444" s="11"/>
      <c r="G1444" s="11"/>
      <c r="H1444" s="11"/>
      <c r="I1444" s="11"/>
      <c r="J1444" s="11"/>
      <c r="K1444" s="11"/>
      <c r="L1444" s="11"/>
      <c r="M1444" s="11"/>
      <c r="N1444" s="11"/>
    </row>
    <row r="1445" customFormat="false" ht="15" hidden="false" customHeight="false" outlineLevel="0" collapsed="false">
      <c r="B1445" s="11"/>
      <c r="C1445" s="11"/>
      <c r="D1445" s="11"/>
      <c r="E1445" s="11"/>
      <c r="F1445" s="11"/>
      <c r="G1445" s="11"/>
      <c r="H1445" s="11"/>
      <c r="I1445" s="11"/>
      <c r="J1445" s="11"/>
      <c r="K1445" s="11"/>
      <c r="L1445" s="11"/>
      <c r="M1445" s="11"/>
      <c r="N1445" s="11"/>
    </row>
    <row r="1446" customFormat="false" ht="15" hidden="false" customHeight="false" outlineLevel="0" collapsed="false">
      <c r="B1446" s="11"/>
      <c r="C1446" s="11"/>
      <c r="D1446" s="11"/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</row>
    <row r="1447" customFormat="false" ht="15" hidden="false" customHeight="false" outlineLevel="0" collapsed="false">
      <c r="B1447" s="11"/>
      <c r="C1447" s="11"/>
      <c r="D1447" s="11"/>
      <c r="E1447" s="11"/>
      <c r="F1447" s="11"/>
      <c r="G1447" s="11"/>
      <c r="H1447" s="11"/>
      <c r="I1447" s="11"/>
      <c r="J1447" s="11"/>
      <c r="K1447" s="11"/>
      <c r="L1447" s="11"/>
      <c r="M1447" s="11"/>
      <c r="N1447" s="11"/>
    </row>
    <row r="1448" customFormat="false" ht="15" hidden="false" customHeight="false" outlineLevel="0" collapsed="false">
      <c r="B1448" s="11"/>
      <c r="C1448" s="11"/>
      <c r="D1448" s="11"/>
      <c r="E1448" s="11"/>
      <c r="F1448" s="11"/>
      <c r="G1448" s="11"/>
      <c r="H1448" s="11"/>
      <c r="I1448" s="11"/>
      <c r="J1448" s="11"/>
      <c r="K1448" s="11"/>
      <c r="L1448" s="11"/>
      <c r="M1448" s="11"/>
      <c r="N1448" s="11"/>
    </row>
    <row r="1449" customFormat="false" ht="15" hidden="false" customHeight="false" outlineLevel="0" collapsed="false">
      <c r="B1449" s="11"/>
      <c r="C1449" s="11"/>
      <c r="D1449" s="11"/>
      <c r="E1449" s="11"/>
      <c r="F1449" s="11"/>
      <c r="G1449" s="11"/>
      <c r="H1449" s="11"/>
      <c r="I1449" s="11"/>
      <c r="J1449" s="11"/>
      <c r="K1449" s="11"/>
      <c r="L1449" s="11"/>
      <c r="M1449" s="11"/>
      <c r="N1449" s="11"/>
    </row>
    <row r="1450" customFormat="false" ht="15" hidden="false" customHeight="false" outlineLevel="0" collapsed="false">
      <c r="B1450" s="11"/>
      <c r="C1450" s="11"/>
      <c r="D1450" s="11"/>
      <c r="E1450" s="11"/>
      <c r="F1450" s="11"/>
      <c r="G1450" s="11"/>
      <c r="H1450" s="11"/>
      <c r="I1450" s="11"/>
      <c r="J1450" s="11"/>
      <c r="K1450" s="11"/>
      <c r="L1450" s="11"/>
      <c r="M1450" s="11"/>
      <c r="N1450" s="11"/>
    </row>
    <row r="1451" customFormat="false" ht="15" hidden="false" customHeight="false" outlineLevel="0" collapsed="false">
      <c r="B1451" s="11"/>
      <c r="C1451" s="11"/>
      <c r="D1451" s="11"/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</row>
    <row r="1452" customFormat="false" ht="15" hidden="false" customHeight="false" outlineLevel="0" collapsed="false">
      <c r="B1452" s="11"/>
      <c r="C1452" s="11"/>
      <c r="D1452" s="11"/>
      <c r="E1452" s="11"/>
      <c r="F1452" s="11"/>
      <c r="G1452" s="11"/>
      <c r="H1452" s="11"/>
      <c r="I1452" s="11"/>
      <c r="J1452" s="11"/>
      <c r="K1452" s="11"/>
      <c r="L1452" s="11"/>
      <c r="M1452" s="11"/>
      <c r="N1452" s="11"/>
    </row>
    <row r="1453" customFormat="false" ht="15" hidden="false" customHeight="false" outlineLevel="0" collapsed="false">
      <c r="B1453" s="11"/>
      <c r="C1453" s="11"/>
      <c r="D1453" s="11"/>
      <c r="E1453" s="11"/>
      <c r="F1453" s="11"/>
      <c r="G1453" s="11"/>
      <c r="H1453" s="11"/>
      <c r="I1453" s="11"/>
      <c r="J1453" s="11"/>
      <c r="K1453" s="11"/>
      <c r="L1453" s="11"/>
      <c r="M1453" s="11"/>
      <c r="N1453" s="11"/>
    </row>
    <row r="1454" customFormat="false" ht="15" hidden="false" customHeight="false" outlineLevel="0" collapsed="false">
      <c r="B1454" s="11"/>
      <c r="C1454" s="11"/>
      <c r="D1454" s="11"/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</row>
    <row r="1455" customFormat="false" ht="15" hidden="false" customHeight="false" outlineLevel="0" collapsed="false">
      <c r="B1455" s="11"/>
      <c r="C1455" s="11"/>
      <c r="D1455" s="11"/>
      <c r="E1455" s="11"/>
      <c r="F1455" s="11"/>
      <c r="G1455" s="11"/>
      <c r="H1455" s="11"/>
      <c r="I1455" s="11"/>
      <c r="J1455" s="11"/>
      <c r="K1455" s="11"/>
      <c r="L1455" s="11"/>
      <c r="M1455" s="11"/>
      <c r="N1455" s="11"/>
    </row>
    <row r="1456" customFormat="false" ht="15" hidden="false" customHeight="false" outlineLevel="0" collapsed="false">
      <c r="B1456" s="11"/>
      <c r="C1456" s="11"/>
      <c r="D1456" s="11"/>
      <c r="E1456" s="11"/>
      <c r="F1456" s="11"/>
      <c r="G1456" s="11"/>
      <c r="H1456" s="11"/>
      <c r="I1456" s="11"/>
      <c r="J1456" s="11"/>
      <c r="K1456" s="11"/>
      <c r="L1456" s="11"/>
      <c r="M1456" s="11"/>
      <c r="N1456" s="11"/>
    </row>
    <row r="1457" customFormat="false" ht="15" hidden="false" customHeight="false" outlineLevel="0" collapsed="false">
      <c r="B1457" s="11"/>
      <c r="C1457" s="11"/>
      <c r="D1457" s="11"/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</row>
    <row r="1458" customFormat="false" ht="15" hidden="false" customHeight="false" outlineLevel="0" collapsed="false">
      <c r="B1458" s="11"/>
      <c r="C1458" s="11"/>
      <c r="D1458" s="11"/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</row>
    <row r="1460" customFormat="false" ht="15" hidden="false" customHeight="false" outlineLevel="0" collapsed="false">
      <c r="B1460" s="11"/>
      <c r="C1460" s="11"/>
      <c r="D1460" s="11"/>
      <c r="E1460" s="11"/>
      <c r="F1460" s="11"/>
      <c r="G1460" s="11"/>
      <c r="H1460" s="11"/>
      <c r="I1460" s="11"/>
      <c r="J1460" s="11"/>
      <c r="K1460" s="11"/>
      <c r="L1460" s="11"/>
      <c r="M1460" s="11"/>
      <c r="N1460" s="11"/>
    </row>
    <row r="1461" customFormat="false" ht="15" hidden="false" customHeight="false" outlineLevel="0" collapsed="false">
      <c r="B1461" s="11"/>
      <c r="C1461" s="11"/>
      <c r="D1461" s="11"/>
      <c r="E1461" s="11"/>
      <c r="F1461" s="11"/>
      <c r="G1461" s="11"/>
      <c r="H1461" s="11"/>
      <c r="I1461" s="11"/>
      <c r="J1461" s="11"/>
      <c r="K1461" s="11"/>
      <c r="L1461" s="11"/>
      <c r="M1461" s="11"/>
      <c r="N1461" s="11"/>
    </row>
    <row r="1462" customFormat="false" ht="15" hidden="false" customHeight="false" outlineLevel="0" collapsed="false">
      <c r="B1462" s="11"/>
      <c r="C1462" s="11"/>
      <c r="D1462" s="11"/>
      <c r="E1462" s="11"/>
      <c r="F1462" s="11"/>
      <c r="G1462" s="11"/>
      <c r="H1462" s="11"/>
      <c r="I1462" s="11"/>
      <c r="J1462" s="11"/>
      <c r="K1462" s="11"/>
      <c r="L1462" s="11"/>
      <c r="M1462" s="11"/>
      <c r="N1462" s="11"/>
    </row>
    <row r="1463" customFormat="false" ht="15" hidden="false" customHeight="false" outlineLevel="0" collapsed="false">
      <c r="B1463" s="11"/>
      <c r="C1463" s="11"/>
      <c r="D1463" s="11"/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</row>
    <row r="1464" customFormat="false" ht="15" hidden="false" customHeight="false" outlineLevel="0" collapsed="false">
      <c r="B1464" s="11"/>
      <c r="C1464" s="11"/>
      <c r="D1464" s="11"/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</row>
    <row r="1465" customFormat="false" ht="15" hidden="false" customHeight="false" outlineLevel="0" collapsed="false">
      <c r="B1465" s="11"/>
      <c r="C1465" s="11"/>
      <c r="D1465" s="11"/>
      <c r="E1465" s="11"/>
      <c r="F1465" s="11"/>
      <c r="G1465" s="11"/>
      <c r="H1465" s="11"/>
      <c r="I1465" s="11"/>
      <c r="J1465" s="11"/>
      <c r="K1465" s="11"/>
      <c r="L1465" s="11"/>
      <c r="M1465" s="11"/>
      <c r="N1465" s="11"/>
    </row>
    <row r="1466" customFormat="false" ht="15" hidden="false" customHeight="false" outlineLevel="0" collapsed="false">
      <c r="B1466" s="11"/>
      <c r="C1466" s="11"/>
      <c r="D1466" s="11"/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</row>
    <row r="1467" customFormat="false" ht="15" hidden="false" customHeight="false" outlineLevel="0" collapsed="false">
      <c r="B1467" s="11"/>
      <c r="C1467" s="11"/>
      <c r="D1467" s="11"/>
      <c r="E1467" s="11"/>
      <c r="F1467" s="11"/>
      <c r="G1467" s="11"/>
      <c r="H1467" s="11"/>
      <c r="I1467" s="11"/>
      <c r="J1467" s="11"/>
      <c r="K1467" s="11"/>
      <c r="L1467" s="11"/>
      <c r="M1467" s="11"/>
      <c r="N1467" s="11"/>
    </row>
    <row r="1468" customFormat="false" ht="15" hidden="false" customHeight="false" outlineLevel="0" collapsed="false">
      <c r="B1468" s="11"/>
      <c r="C1468" s="11"/>
      <c r="D1468" s="11"/>
      <c r="E1468" s="11"/>
      <c r="F1468" s="11"/>
      <c r="G1468" s="11"/>
      <c r="H1468" s="11"/>
      <c r="I1468" s="11"/>
      <c r="J1468" s="11"/>
      <c r="K1468" s="11"/>
      <c r="L1468" s="11"/>
      <c r="M1468" s="11"/>
      <c r="N1468" s="11"/>
    </row>
    <row r="1469" customFormat="false" ht="15" hidden="false" customHeight="false" outlineLevel="0" collapsed="false">
      <c r="B1469" s="11"/>
      <c r="C1469" s="11"/>
      <c r="D1469" s="11"/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</row>
    <row r="1472" customFormat="false" ht="15" hidden="false" customHeight="false" outlineLevel="0" collapsed="false">
      <c r="B1472" s="11"/>
      <c r="C1472" s="11"/>
      <c r="D1472" s="11"/>
      <c r="E1472" s="11"/>
      <c r="F1472" s="11"/>
      <c r="G1472" s="11"/>
      <c r="H1472" s="11"/>
      <c r="I1472" s="11"/>
      <c r="J1472" s="11"/>
      <c r="K1472" s="11"/>
      <c r="L1472" s="11"/>
      <c r="M1472" s="11"/>
      <c r="N1472" s="11"/>
    </row>
    <row r="1473" customFormat="false" ht="15" hidden="false" customHeight="false" outlineLevel="0" collapsed="false">
      <c r="B1473" s="11"/>
      <c r="C1473" s="11"/>
      <c r="D1473" s="11"/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</row>
    <row r="1474" customFormat="false" ht="15" hidden="false" customHeight="false" outlineLevel="0" collapsed="false">
      <c r="B1474" s="11"/>
      <c r="C1474" s="11"/>
      <c r="D1474" s="11"/>
      <c r="E1474" s="11"/>
      <c r="F1474" s="11"/>
      <c r="G1474" s="11"/>
      <c r="H1474" s="11"/>
      <c r="I1474" s="11"/>
      <c r="J1474" s="11"/>
      <c r="K1474" s="11"/>
      <c r="L1474" s="11"/>
      <c r="M1474" s="11"/>
      <c r="N1474" s="11"/>
    </row>
    <row r="1475" customFormat="false" ht="15" hidden="false" customHeight="false" outlineLevel="0" collapsed="false">
      <c r="B1475" s="11"/>
      <c r="C1475" s="11"/>
      <c r="D1475" s="11"/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</row>
    <row r="1476" customFormat="false" ht="15" hidden="false" customHeight="false" outlineLevel="0" collapsed="false">
      <c r="B1476" s="11"/>
      <c r="C1476" s="11"/>
      <c r="D1476" s="11"/>
      <c r="E1476" s="11"/>
      <c r="F1476" s="11"/>
      <c r="G1476" s="11"/>
      <c r="H1476" s="11"/>
      <c r="I1476" s="11"/>
      <c r="J1476" s="11"/>
      <c r="K1476" s="11"/>
      <c r="L1476" s="11"/>
      <c r="M1476" s="11"/>
      <c r="N1476" s="11"/>
    </row>
    <row r="1477" customFormat="false" ht="15" hidden="false" customHeight="false" outlineLevel="0" collapsed="false">
      <c r="B1477" s="11"/>
      <c r="C1477" s="11"/>
      <c r="D1477" s="11"/>
      <c r="E1477" s="11"/>
      <c r="F1477" s="11"/>
      <c r="G1477" s="11"/>
      <c r="H1477" s="11"/>
      <c r="I1477" s="11"/>
      <c r="J1477" s="11"/>
      <c r="K1477" s="11"/>
      <c r="L1477" s="11"/>
      <c r="M1477" s="11"/>
      <c r="N1477" s="11"/>
    </row>
    <row r="1478" customFormat="false" ht="15" hidden="false" customHeight="false" outlineLevel="0" collapsed="false">
      <c r="B1478" s="11"/>
      <c r="C1478" s="11"/>
      <c r="D1478" s="11"/>
      <c r="E1478" s="11"/>
      <c r="F1478" s="11"/>
      <c r="G1478" s="11"/>
      <c r="H1478" s="11"/>
      <c r="I1478" s="11"/>
      <c r="J1478" s="11"/>
      <c r="K1478" s="11"/>
      <c r="L1478" s="11"/>
      <c r="M1478" s="11"/>
      <c r="N1478" s="11"/>
    </row>
    <row r="1479" customFormat="false" ht="15" hidden="false" customHeight="false" outlineLevel="0" collapsed="false">
      <c r="B1479" s="11"/>
      <c r="C1479" s="11"/>
      <c r="D1479" s="11"/>
      <c r="E1479" s="11"/>
      <c r="F1479" s="11"/>
      <c r="G1479" s="11"/>
      <c r="H1479" s="11"/>
      <c r="I1479" s="11"/>
      <c r="J1479" s="11"/>
      <c r="K1479" s="11"/>
      <c r="L1479" s="11"/>
      <c r="M1479" s="11"/>
      <c r="N1479" s="11"/>
    </row>
    <row r="1480" customFormat="false" ht="15" hidden="false" customHeight="false" outlineLevel="0" collapsed="false">
      <c r="B1480" s="11"/>
      <c r="C1480" s="11"/>
      <c r="D1480" s="11"/>
      <c r="E1480" s="11"/>
      <c r="F1480" s="11"/>
      <c r="G1480" s="11"/>
      <c r="H1480" s="11"/>
      <c r="I1480" s="11"/>
      <c r="J1480" s="11"/>
      <c r="K1480" s="11"/>
      <c r="L1480" s="11"/>
      <c r="M1480" s="11"/>
      <c r="N1480" s="11"/>
    </row>
    <row r="1481" customFormat="false" ht="15" hidden="false" customHeight="false" outlineLevel="0" collapsed="false">
      <c r="B1481" s="11"/>
      <c r="C1481" s="11"/>
      <c r="D1481" s="11"/>
      <c r="E1481" s="11"/>
      <c r="F1481" s="11"/>
      <c r="G1481" s="11"/>
      <c r="H1481" s="11"/>
      <c r="I1481" s="11"/>
      <c r="J1481" s="11"/>
      <c r="K1481" s="11"/>
      <c r="L1481" s="11"/>
      <c r="M1481" s="11"/>
      <c r="N1481" s="11"/>
    </row>
    <row r="1482" customFormat="false" ht="15" hidden="false" customHeight="false" outlineLevel="0" collapsed="false">
      <c r="B1482" s="11"/>
      <c r="C1482" s="11"/>
      <c r="D1482" s="11"/>
      <c r="E1482" s="11"/>
      <c r="F1482" s="11"/>
      <c r="G1482" s="11"/>
      <c r="H1482" s="11"/>
      <c r="I1482" s="11"/>
      <c r="J1482" s="11"/>
      <c r="K1482" s="11"/>
      <c r="L1482" s="11"/>
      <c r="M1482" s="11"/>
      <c r="N1482" s="11"/>
    </row>
    <row r="1483" customFormat="false" ht="15" hidden="false" customHeight="false" outlineLevel="0" collapsed="false">
      <c r="B1483" s="11"/>
      <c r="C1483" s="11"/>
      <c r="D1483" s="11"/>
      <c r="E1483" s="11"/>
      <c r="F1483" s="11"/>
      <c r="G1483" s="11"/>
      <c r="H1483" s="11"/>
      <c r="I1483" s="11"/>
      <c r="J1483" s="11"/>
      <c r="K1483" s="11"/>
      <c r="L1483" s="11"/>
      <c r="M1483" s="11"/>
      <c r="N1483" s="11"/>
    </row>
    <row r="1484" customFormat="false" ht="15" hidden="false" customHeight="false" outlineLevel="0" collapsed="false">
      <c r="B1484" s="11"/>
      <c r="C1484" s="11"/>
      <c r="D1484" s="11"/>
      <c r="E1484" s="11"/>
      <c r="F1484" s="11"/>
      <c r="G1484" s="11"/>
      <c r="H1484" s="11"/>
      <c r="I1484" s="11"/>
      <c r="J1484" s="11"/>
      <c r="K1484" s="11"/>
      <c r="L1484" s="11"/>
      <c r="M1484" s="11"/>
      <c r="N1484" s="11"/>
    </row>
    <row r="1485" customFormat="false" ht="15" hidden="false" customHeight="false" outlineLevel="0" collapsed="false">
      <c r="B1485" s="11"/>
      <c r="C1485" s="11"/>
      <c r="D1485" s="11"/>
      <c r="E1485" s="11"/>
      <c r="F1485" s="11"/>
      <c r="G1485" s="11"/>
      <c r="H1485" s="11"/>
      <c r="I1485" s="11"/>
      <c r="J1485" s="11"/>
      <c r="K1485" s="11"/>
      <c r="L1485" s="11"/>
      <c r="M1485" s="11"/>
      <c r="N1485" s="11"/>
    </row>
    <row r="1486" customFormat="false" ht="15" hidden="false" customHeight="false" outlineLevel="0" collapsed="false">
      <c r="B1486" s="11"/>
      <c r="C1486" s="11"/>
      <c r="D1486" s="11"/>
      <c r="E1486" s="11"/>
      <c r="F1486" s="11"/>
      <c r="G1486" s="11"/>
      <c r="H1486" s="11"/>
      <c r="I1486" s="11"/>
      <c r="J1486" s="11"/>
      <c r="K1486" s="11"/>
      <c r="L1486" s="11"/>
      <c r="M1486" s="11"/>
      <c r="N1486" s="11"/>
    </row>
    <row r="1487" customFormat="false" ht="15" hidden="false" customHeight="false" outlineLevel="0" collapsed="false">
      <c r="B1487" s="11"/>
      <c r="C1487" s="11"/>
      <c r="D1487" s="11"/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</row>
    <row r="1488" customFormat="false" ht="15" hidden="false" customHeight="false" outlineLevel="0" collapsed="false">
      <c r="B1488" s="11"/>
      <c r="C1488" s="11"/>
      <c r="D1488" s="11"/>
      <c r="E1488" s="11"/>
      <c r="F1488" s="11"/>
      <c r="G1488" s="11"/>
      <c r="H1488" s="11"/>
      <c r="I1488" s="11"/>
      <c r="J1488" s="11"/>
      <c r="K1488" s="11"/>
      <c r="L1488" s="11"/>
      <c r="M1488" s="11"/>
      <c r="N1488" s="11"/>
    </row>
    <row r="1489" customFormat="false" ht="15" hidden="false" customHeight="false" outlineLevel="0" collapsed="false">
      <c r="B1489" s="11"/>
      <c r="C1489" s="11"/>
      <c r="D1489" s="11"/>
      <c r="E1489" s="11"/>
      <c r="F1489" s="11"/>
      <c r="G1489" s="11"/>
      <c r="H1489" s="11"/>
      <c r="I1489" s="11"/>
      <c r="J1489" s="11"/>
      <c r="K1489" s="11"/>
      <c r="L1489" s="11"/>
      <c r="M1489" s="11"/>
      <c r="N1489" s="11"/>
    </row>
    <row r="1490" customFormat="false" ht="15" hidden="false" customHeight="false" outlineLevel="0" collapsed="false">
      <c r="B1490" s="11"/>
      <c r="C1490" s="11"/>
      <c r="D1490" s="11"/>
      <c r="E1490" s="11"/>
      <c r="F1490" s="11"/>
      <c r="G1490" s="11"/>
      <c r="H1490" s="11"/>
      <c r="I1490" s="11"/>
      <c r="J1490" s="11"/>
      <c r="K1490" s="11"/>
      <c r="L1490" s="11"/>
      <c r="M1490" s="11"/>
      <c r="N1490" s="11"/>
    </row>
    <row r="1492" customFormat="false" ht="15" hidden="false" customHeight="false" outlineLevel="0" collapsed="false">
      <c r="B1492" s="11"/>
      <c r="C1492" s="11"/>
      <c r="D1492" s="11"/>
      <c r="E1492" s="11"/>
      <c r="F1492" s="11"/>
      <c r="G1492" s="11"/>
      <c r="H1492" s="11"/>
      <c r="I1492" s="11"/>
      <c r="J1492" s="11"/>
      <c r="K1492" s="11"/>
      <c r="L1492" s="11"/>
      <c r="M1492" s="11"/>
      <c r="N1492" s="11"/>
    </row>
    <row r="1493" customFormat="false" ht="15" hidden="false" customHeight="false" outlineLevel="0" collapsed="false">
      <c r="B1493" s="11"/>
      <c r="C1493" s="11"/>
      <c r="D1493" s="11"/>
      <c r="E1493" s="11"/>
      <c r="F1493" s="11"/>
      <c r="G1493" s="11"/>
      <c r="H1493" s="11"/>
      <c r="I1493" s="11"/>
      <c r="J1493" s="11"/>
      <c r="K1493" s="11"/>
      <c r="L1493" s="11"/>
      <c r="M1493" s="11"/>
      <c r="N1493" s="11"/>
    </row>
    <row r="1494" customFormat="false" ht="15" hidden="false" customHeight="false" outlineLevel="0" collapsed="false">
      <c r="B1494" s="11"/>
      <c r="C1494" s="11"/>
      <c r="D1494" s="11"/>
      <c r="E1494" s="11"/>
      <c r="F1494" s="11"/>
      <c r="G1494" s="11"/>
      <c r="H1494" s="11"/>
      <c r="I1494" s="11"/>
      <c r="J1494" s="11"/>
      <c r="K1494" s="11"/>
      <c r="L1494" s="11"/>
      <c r="M1494" s="11"/>
      <c r="N1494" s="11"/>
    </row>
    <row r="1495" customFormat="false" ht="15" hidden="false" customHeight="false" outlineLevel="0" collapsed="false">
      <c r="B1495" s="11"/>
      <c r="C1495" s="11"/>
      <c r="D1495" s="11"/>
      <c r="E1495" s="11"/>
      <c r="F1495" s="11"/>
      <c r="G1495" s="11"/>
      <c r="H1495" s="11"/>
      <c r="I1495" s="11"/>
      <c r="J1495" s="11"/>
      <c r="K1495" s="11"/>
      <c r="L1495" s="11"/>
      <c r="M1495" s="11"/>
      <c r="N1495" s="11"/>
    </row>
    <row r="1496" customFormat="false" ht="15" hidden="false" customHeight="false" outlineLevel="0" collapsed="false">
      <c r="B1496" s="11"/>
      <c r="C1496" s="11"/>
      <c r="D1496" s="11"/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</row>
    <row r="1497" customFormat="false" ht="15" hidden="false" customHeight="false" outlineLevel="0" collapsed="false">
      <c r="B1497" s="11"/>
      <c r="C1497" s="11"/>
      <c r="D1497" s="11"/>
      <c r="E1497" s="11"/>
      <c r="F1497" s="11"/>
      <c r="G1497" s="11"/>
      <c r="H1497" s="11"/>
      <c r="I1497" s="11"/>
      <c r="J1497" s="11"/>
      <c r="K1497" s="11"/>
      <c r="L1497" s="11"/>
      <c r="M1497" s="11"/>
      <c r="N1497" s="11"/>
    </row>
    <row r="1498" customFormat="false" ht="15" hidden="false" customHeight="false" outlineLevel="0" collapsed="false">
      <c r="B1498" s="11"/>
      <c r="C1498" s="11"/>
      <c r="D1498" s="11"/>
      <c r="E1498" s="11"/>
      <c r="F1498" s="11"/>
      <c r="G1498" s="11"/>
      <c r="H1498" s="11"/>
      <c r="I1498" s="11"/>
      <c r="J1498" s="11"/>
      <c r="K1498" s="11"/>
      <c r="L1498" s="11"/>
      <c r="M1498" s="11"/>
      <c r="N1498" s="11"/>
    </row>
    <row r="1499" customFormat="false" ht="15" hidden="false" customHeight="false" outlineLevel="0" collapsed="false">
      <c r="B1499" s="11"/>
      <c r="C1499" s="11"/>
      <c r="D1499" s="11"/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</row>
    <row r="1500" customFormat="false" ht="15" hidden="false" customHeight="false" outlineLevel="0" collapsed="false">
      <c r="B1500" s="11"/>
      <c r="C1500" s="11"/>
      <c r="D1500" s="11"/>
      <c r="E1500" s="11"/>
      <c r="F1500" s="11"/>
      <c r="G1500" s="11"/>
      <c r="H1500" s="11"/>
      <c r="I1500" s="11"/>
      <c r="J1500" s="11"/>
      <c r="K1500" s="11"/>
      <c r="L1500" s="11"/>
      <c r="M1500" s="11"/>
      <c r="N1500" s="11"/>
    </row>
    <row r="1501" customFormat="false" ht="15" hidden="false" customHeight="false" outlineLevel="0" collapsed="false">
      <c r="B1501" s="11"/>
      <c r="C1501" s="11"/>
      <c r="D1501" s="11"/>
      <c r="E1501" s="11"/>
      <c r="F1501" s="11"/>
      <c r="G1501" s="11"/>
      <c r="H1501" s="11"/>
      <c r="I1501" s="11"/>
      <c r="J1501" s="11"/>
      <c r="K1501" s="11"/>
      <c r="L1501" s="11"/>
      <c r="M1501" s="11"/>
      <c r="N1501" s="11"/>
    </row>
    <row r="1504" customFormat="false" ht="15" hidden="false" customHeight="false" outlineLevel="0" collapsed="false">
      <c r="B1504" s="11"/>
      <c r="C1504" s="11"/>
      <c r="D1504" s="11"/>
      <c r="E1504" s="11"/>
      <c r="F1504" s="11"/>
      <c r="G1504" s="11"/>
      <c r="H1504" s="11"/>
      <c r="I1504" s="11"/>
      <c r="J1504" s="11"/>
      <c r="K1504" s="11"/>
      <c r="L1504" s="11"/>
      <c r="M1504" s="11"/>
      <c r="N1504" s="11"/>
    </row>
    <row r="1505" customFormat="false" ht="15" hidden="false" customHeight="false" outlineLevel="0" collapsed="false">
      <c r="B1505" s="11"/>
      <c r="C1505" s="11"/>
      <c r="D1505" s="11"/>
      <c r="E1505" s="11"/>
      <c r="F1505" s="11"/>
      <c r="G1505" s="11"/>
      <c r="H1505" s="11"/>
      <c r="I1505" s="11"/>
      <c r="J1505" s="11"/>
      <c r="K1505" s="11"/>
      <c r="L1505" s="11"/>
      <c r="M1505" s="11"/>
      <c r="N1505" s="11"/>
    </row>
    <row r="1506" customFormat="false" ht="15" hidden="false" customHeight="false" outlineLevel="0" collapsed="false">
      <c r="B1506" s="11"/>
      <c r="C1506" s="11"/>
      <c r="D1506" s="11"/>
      <c r="E1506" s="11"/>
      <c r="F1506" s="11"/>
      <c r="G1506" s="11"/>
      <c r="H1506" s="11"/>
      <c r="I1506" s="11"/>
      <c r="J1506" s="11"/>
      <c r="K1506" s="11"/>
      <c r="L1506" s="11"/>
      <c r="M1506" s="11"/>
      <c r="N1506" s="11"/>
    </row>
    <row r="1507" customFormat="false" ht="15" hidden="false" customHeight="false" outlineLevel="0" collapsed="false">
      <c r="B1507" s="11"/>
      <c r="C1507" s="11"/>
      <c r="D1507" s="11"/>
      <c r="E1507" s="11"/>
      <c r="F1507" s="11"/>
      <c r="G1507" s="11"/>
      <c r="H1507" s="11"/>
      <c r="I1507" s="11"/>
      <c r="J1507" s="11"/>
      <c r="K1507" s="11"/>
      <c r="L1507" s="11"/>
      <c r="M1507" s="11"/>
      <c r="N1507" s="11"/>
    </row>
    <row r="1508" customFormat="false" ht="15" hidden="false" customHeight="false" outlineLevel="0" collapsed="false">
      <c r="B1508" s="11"/>
      <c r="C1508" s="11"/>
      <c r="D1508" s="11"/>
      <c r="E1508" s="11"/>
      <c r="F1508" s="11"/>
      <c r="G1508" s="11"/>
      <c r="H1508" s="11"/>
      <c r="I1508" s="11"/>
      <c r="J1508" s="11"/>
      <c r="K1508" s="11"/>
      <c r="L1508" s="11"/>
      <c r="M1508" s="11"/>
      <c r="N1508" s="11"/>
    </row>
    <row r="1509" customFormat="false" ht="15" hidden="false" customHeight="false" outlineLevel="0" collapsed="false">
      <c r="B1509" s="11"/>
      <c r="C1509" s="11"/>
      <c r="D1509" s="11"/>
      <c r="E1509" s="11"/>
      <c r="F1509" s="11"/>
      <c r="G1509" s="11"/>
      <c r="H1509" s="11"/>
      <c r="I1509" s="11"/>
      <c r="J1509" s="11"/>
      <c r="K1509" s="11"/>
      <c r="L1509" s="11"/>
      <c r="M1509" s="11"/>
      <c r="N1509" s="11"/>
    </row>
    <row r="1510" customFormat="false" ht="15" hidden="false" customHeight="false" outlineLevel="0" collapsed="false">
      <c r="B1510" s="11"/>
      <c r="C1510" s="11"/>
      <c r="D1510" s="11"/>
      <c r="E1510" s="11"/>
      <c r="F1510" s="11"/>
      <c r="G1510" s="11"/>
      <c r="H1510" s="11"/>
      <c r="I1510" s="11"/>
      <c r="J1510" s="11"/>
      <c r="K1510" s="11"/>
      <c r="L1510" s="11"/>
      <c r="M1510" s="11"/>
      <c r="N1510" s="11"/>
    </row>
    <row r="1511" customFormat="false" ht="15" hidden="false" customHeight="false" outlineLevel="0" collapsed="false">
      <c r="B1511" s="11"/>
      <c r="C1511" s="11"/>
      <c r="D1511" s="11"/>
      <c r="E1511" s="11"/>
      <c r="F1511" s="11"/>
      <c r="G1511" s="11"/>
      <c r="H1511" s="11"/>
      <c r="I1511" s="11"/>
      <c r="J1511" s="11"/>
      <c r="K1511" s="11"/>
      <c r="L1511" s="11"/>
      <c r="M1511" s="11"/>
      <c r="N1511" s="11"/>
    </row>
    <row r="1512" customFormat="false" ht="15" hidden="false" customHeight="false" outlineLevel="0" collapsed="false">
      <c r="B1512" s="11"/>
      <c r="C1512" s="11"/>
      <c r="D1512" s="11"/>
      <c r="E1512" s="11"/>
      <c r="F1512" s="11"/>
      <c r="G1512" s="11"/>
      <c r="H1512" s="11"/>
      <c r="I1512" s="11"/>
      <c r="J1512" s="11"/>
      <c r="K1512" s="11"/>
      <c r="L1512" s="11"/>
      <c r="M1512" s="11"/>
      <c r="N1512" s="11"/>
    </row>
    <row r="1513" customFormat="false" ht="15" hidden="false" customHeight="false" outlineLevel="0" collapsed="false">
      <c r="B1513" s="11"/>
      <c r="C1513" s="11"/>
      <c r="D1513" s="11"/>
      <c r="E1513" s="11"/>
      <c r="F1513" s="11"/>
      <c r="G1513" s="11"/>
      <c r="H1513" s="11"/>
      <c r="I1513" s="11"/>
      <c r="J1513" s="11"/>
      <c r="K1513" s="11"/>
      <c r="L1513" s="11"/>
      <c r="M1513" s="11"/>
      <c r="N1513" s="11"/>
    </row>
    <row r="1514" customFormat="false" ht="15" hidden="false" customHeight="false" outlineLevel="0" collapsed="false">
      <c r="B1514" s="11"/>
      <c r="C1514" s="11"/>
      <c r="D1514" s="11"/>
      <c r="E1514" s="11"/>
      <c r="F1514" s="11"/>
      <c r="G1514" s="11"/>
      <c r="H1514" s="11"/>
      <c r="I1514" s="11"/>
      <c r="J1514" s="11"/>
      <c r="K1514" s="11"/>
      <c r="L1514" s="11"/>
      <c r="M1514" s="11"/>
      <c r="N1514" s="11"/>
    </row>
    <row r="1515" customFormat="false" ht="15" hidden="false" customHeight="false" outlineLevel="0" collapsed="false">
      <c r="B1515" s="11"/>
      <c r="C1515" s="11"/>
      <c r="D1515" s="11"/>
      <c r="E1515" s="11"/>
      <c r="F1515" s="11"/>
      <c r="G1515" s="11"/>
      <c r="H1515" s="11"/>
      <c r="I1515" s="11"/>
      <c r="J1515" s="11"/>
      <c r="K1515" s="11"/>
      <c r="L1515" s="11"/>
      <c r="M1515" s="11"/>
      <c r="N1515" s="11"/>
    </row>
    <row r="1516" customFormat="false" ht="15" hidden="false" customHeight="false" outlineLevel="0" collapsed="false">
      <c r="B1516" s="11"/>
      <c r="C1516" s="11"/>
      <c r="D1516" s="11"/>
      <c r="E1516" s="11"/>
      <c r="F1516" s="11"/>
      <c r="G1516" s="11"/>
      <c r="H1516" s="11"/>
      <c r="I1516" s="11"/>
      <c r="J1516" s="11"/>
      <c r="K1516" s="11"/>
      <c r="L1516" s="11"/>
      <c r="M1516" s="11"/>
      <c r="N1516" s="11"/>
    </row>
    <row r="1517" customFormat="false" ht="15" hidden="false" customHeight="false" outlineLevel="0" collapsed="false">
      <c r="B1517" s="11"/>
      <c r="C1517" s="11"/>
      <c r="D1517" s="11"/>
      <c r="E1517" s="11"/>
      <c r="F1517" s="11"/>
      <c r="G1517" s="11"/>
      <c r="H1517" s="11"/>
      <c r="I1517" s="11"/>
      <c r="J1517" s="11"/>
      <c r="K1517" s="11"/>
      <c r="L1517" s="11"/>
      <c r="M1517" s="11"/>
      <c r="N1517" s="11"/>
    </row>
    <row r="1518" customFormat="false" ht="15" hidden="false" customHeight="false" outlineLevel="0" collapsed="false">
      <c r="B1518" s="11"/>
      <c r="C1518" s="11"/>
      <c r="D1518" s="11"/>
      <c r="E1518" s="11"/>
      <c r="F1518" s="11"/>
      <c r="G1518" s="11"/>
      <c r="H1518" s="11"/>
      <c r="I1518" s="11"/>
      <c r="J1518" s="11"/>
      <c r="K1518" s="11"/>
      <c r="L1518" s="11"/>
      <c r="M1518" s="11"/>
      <c r="N1518" s="11"/>
    </row>
    <row r="1519" customFormat="false" ht="15" hidden="false" customHeight="false" outlineLevel="0" collapsed="false">
      <c r="B1519" s="11"/>
      <c r="C1519" s="11"/>
      <c r="D1519" s="11"/>
      <c r="E1519" s="11"/>
      <c r="F1519" s="11"/>
      <c r="G1519" s="11"/>
      <c r="H1519" s="11"/>
      <c r="I1519" s="11"/>
      <c r="J1519" s="11"/>
      <c r="K1519" s="11"/>
      <c r="L1519" s="11"/>
      <c r="M1519" s="11"/>
      <c r="N1519" s="11"/>
    </row>
    <row r="1520" customFormat="false" ht="15" hidden="false" customHeight="false" outlineLevel="0" collapsed="false">
      <c r="B1520" s="11"/>
      <c r="C1520" s="11"/>
      <c r="D1520" s="11"/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</row>
    <row r="1521" customFormat="false" ht="15" hidden="false" customHeight="false" outlineLevel="0" collapsed="false">
      <c r="B1521" s="11"/>
      <c r="C1521" s="11"/>
      <c r="D1521" s="11"/>
      <c r="E1521" s="11"/>
      <c r="F1521" s="11"/>
      <c r="G1521" s="11"/>
      <c r="H1521" s="11"/>
      <c r="I1521" s="11"/>
      <c r="J1521" s="11"/>
      <c r="K1521" s="11"/>
      <c r="L1521" s="11"/>
      <c r="M1521" s="11"/>
      <c r="N1521" s="11"/>
    </row>
    <row r="1522" customFormat="false" ht="15" hidden="false" customHeight="false" outlineLevel="0" collapsed="false">
      <c r="B1522" s="11"/>
      <c r="C1522" s="11"/>
      <c r="D1522" s="11"/>
      <c r="E1522" s="11"/>
      <c r="F1522" s="11"/>
      <c r="G1522" s="11"/>
      <c r="H1522" s="11"/>
      <c r="I1522" s="11"/>
      <c r="J1522" s="11"/>
      <c r="K1522" s="11"/>
      <c r="L1522" s="11"/>
      <c r="M1522" s="11"/>
      <c r="N1522" s="11"/>
    </row>
    <row r="1524" customFormat="false" ht="15" hidden="false" customHeight="false" outlineLevel="0" collapsed="false">
      <c r="B1524" s="11"/>
      <c r="C1524" s="11"/>
      <c r="D1524" s="11"/>
      <c r="E1524" s="11"/>
      <c r="F1524" s="11"/>
      <c r="G1524" s="11"/>
      <c r="H1524" s="11"/>
      <c r="I1524" s="11"/>
      <c r="J1524" s="11"/>
      <c r="K1524" s="11"/>
      <c r="L1524" s="11"/>
      <c r="M1524" s="11"/>
      <c r="N1524" s="11"/>
    </row>
    <row r="1525" customFormat="false" ht="15" hidden="false" customHeight="false" outlineLevel="0" collapsed="false">
      <c r="B1525" s="11"/>
      <c r="C1525" s="11"/>
      <c r="D1525" s="11"/>
      <c r="E1525" s="11"/>
      <c r="F1525" s="11"/>
      <c r="G1525" s="11"/>
      <c r="H1525" s="11"/>
      <c r="I1525" s="11"/>
      <c r="J1525" s="11"/>
      <c r="K1525" s="11"/>
      <c r="L1525" s="11"/>
      <c r="M1525" s="11"/>
      <c r="N1525" s="11"/>
    </row>
    <row r="1526" customFormat="false" ht="15" hidden="false" customHeight="false" outlineLevel="0" collapsed="false">
      <c r="B1526" s="11"/>
      <c r="C1526" s="11"/>
      <c r="D1526" s="11"/>
      <c r="E1526" s="11"/>
      <c r="F1526" s="11"/>
      <c r="G1526" s="11"/>
      <c r="H1526" s="11"/>
      <c r="I1526" s="11"/>
      <c r="J1526" s="11"/>
      <c r="K1526" s="11"/>
      <c r="L1526" s="11"/>
      <c r="M1526" s="11"/>
      <c r="N1526" s="11"/>
    </row>
    <row r="1527" customFormat="false" ht="15" hidden="false" customHeight="false" outlineLevel="0" collapsed="false">
      <c r="B1527" s="11"/>
      <c r="C1527" s="11"/>
      <c r="D1527" s="11"/>
      <c r="E1527" s="11"/>
      <c r="F1527" s="11"/>
      <c r="G1527" s="11"/>
      <c r="H1527" s="11"/>
      <c r="I1527" s="11"/>
      <c r="J1527" s="11"/>
      <c r="K1527" s="11"/>
      <c r="L1527" s="11"/>
      <c r="M1527" s="11"/>
      <c r="N1527" s="11"/>
    </row>
    <row r="1528" customFormat="false" ht="15" hidden="false" customHeight="false" outlineLevel="0" collapsed="false">
      <c r="B1528" s="11"/>
      <c r="C1528" s="11"/>
      <c r="D1528" s="11"/>
      <c r="E1528" s="11"/>
      <c r="F1528" s="11"/>
      <c r="G1528" s="11"/>
      <c r="H1528" s="11"/>
      <c r="I1528" s="11"/>
      <c r="J1528" s="11"/>
      <c r="K1528" s="11"/>
      <c r="L1528" s="11"/>
      <c r="M1528" s="11"/>
      <c r="N1528" s="11"/>
    </row>
    <row r="1529" customFormat="false" ht="15" hidden="false" customHeight="false" outlineLevel="0" collapsed="false">
      <c r="B1529" s="11"/>
      <c r="C1529" s="11"/>
      <c r="D1529" s="11"/>
      <c r="E1529" s="11"/>
      <c r="F1529" s="11"/>
      <c r="G1529" s="11"/>
      <c r="H1529" s="11"/>
      <c r="I1529" s="11"/>
      <c r="J1529" s="11"/>
      <c r="K1529" s="11"/>
      <c r="L1529" s="11"/>
      <c r="M1529" s="11"/>
      <c r="N1529" s="11"/>
    </row>
    <row r="1530" customFormat="false" ht="15" hidden="false" customHeight="false" outlineLevel="0" collapsed="false">
      <c r="B1530" s="11"/>
      <c r="C1530" s="11"/>
      <c r="D1530" s="11"/>
      <c r="E1530" s="11"/>
      <c r="F1530" s="11"/>
      <c r="G1530" s="11"/>
      <c r="H1530" s="11"/>
      <c r="I1530" s="11"/>
      <c r="J1530" s="11"/>
      <c r="K1530" s="11"/>
      <c r="L1530" s="11"/>
      <c r="M1530" s="11"/>
      <c r="N1530" s="11"/>
    </row>
    <row r="1531" customFormat="false" ht="15" hidden="false" customHeight="false" outlineLevel="0" collapsed="false">
      <c r="B1531" s="11"/>
      <c r="C1531" s="11"/>
      <c r="D1531" s="11"/>
      <c r="E1531" s="11"/>
      <c r="F1531" s="11"/>
      <c r="G1531" s="11"/>
      <c r="H1531" s="11"/>
      <c r="I1531" s="11"/>
      <c r="J1531" s="11"/>
      <c r="K1531" s="11"/>
      <c r="L1531" s="11"/>
      <c r="M1531" s="11"/>
      <c r="N1531" s="11"/>
    </row>
    <row r="1532" customFormat="false" ht="15" hidden="false" customHeight="false" outlineLevel="0" collapsed="false">
      <c r="B1532" s="11"/>
      <c r="C1532" s="11"/>
      <c r="D1532" s="11"/>
      <c r="E1532" s="11"/>
      <c r="F1532" s="11"/>
      <c r="G1532" s="11"/>
      <c r="H1532" s="11"/>
      <c r="I1532" s="11"/>
      <c r="J1532" s="11"/>
      <c r="K1532" s="11"/>
      <c r="L1532" s="11"/>
      <c r="M1532" s="11"/>
      <c r="N1532" s="11"/>
    </row>
    <row r="1533" customFormat="false" ht="15" hidden="false" customHeight="false" outlineLevel="0" collapsed="false">
      <c r="B1533" s="11"/>
      <c r="C1533" s="11"/>
      <c r="D1533" s="11"/>
      <c r="E1533" s="11"/>
      <c r="F1533" s="11"/>
      <c r="G1533" s="11"/>
      <c r="H1533" s="11"/>
      <c r="I1533" s="11"/>
      <c r="J1533" s="11"/>
      <c r="K1533" s="11"/>
      <c r="L1533" s="11"/>
      <c r="M1533" s="11"/>
      <c r="N1533" s="11"/>
    </row>
    <row r="1536" customFormat="false" ht="15" hidden="false" customHeight="false" outlineLevel="0" collapsed="false">
      <c r="B1536" s="11"/>
      <c r="C1536" s="11"/>
      <c r="D1536" s="11"/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</row>
    <row r="1537" customFormat="false" ht="15" hidden="false" customHeight="false" outlineLevel="0" collapsed="false">
      <c r="B1537" s="11"/>
      <c r="C1537" s="11"/>
      <c r="D1537" s="11"/>
      <c r="E1537" s="11"/>
      <c r="F1537" s="11"/>
      <c r="G1537" s="11"/>
      <c r="H1537" s="11"/>
      <c r="I1537" s="11"/>
      <c r="J1537" s="11"/>
      <c r="K1537" s="11"/>
      <c r="L1537" s="11"/>
      <c r="M1537" s="11"/>
      <c r="N1537" s="11"/>
    </row>
    <row r="1538" customFormat="false" ht="15" hidden="false" customHeight="false" outlineLevel="0" collapsed="false">
      <c r="B1538" s="11"/>
      <c r="C1538" s="11"/>
      <c r="D1538" s="11"/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</row>
    <row r="1539" customFormat="false" ht="15" hidden="false" customHeight="false" outlineLevel="0" collapsed="false">
      <c r="B1539" s="11"/>
      <c r="C1539" s="11"/>
      <c r="D1539" s="11"/>
      <c r="E1539" s="11"/>
      <c r="F1539" s="11"/>
      <c r="G1539" s="11"/>
      <c r="H1539" s="11"/>
      <c r="I1539" s="11"/>
      <c r="J1539" s="11"/>
      <c r="K1539" s="11"/>
      <c r="L1539" s="11"/>
      <c r="M1539" s="11"/>
      <c r="N1539" s="11"/>
    </row>
    <row r="1540" customFormat="false" ht="15" hidden="false" customHeight="false" outlineLevel="0" collapsed="false">
      <c r="B1540" s="11"/>
      <c r="C1540" s="11"/>
      <c r="D1540" s="11"/>
      <c r="E1540" s="11"/>
      <c r="F1540" s="11"/>
      <c r="G1540" s="11"/>
      <c r="H1540" s="11"/>
      <c r="I1540" s="11"/>
      <c r="J1540" s="11"/>
      <c r="K1540" s="11"/>
      <c r="L1540" s="11"/>
      <c r="M1540" s="11"/>
      <c r="N1540" s="11"/>
    </row>
    <row r="1541" customFormat="false" ht="15" hidden="false" customHeight="false" outlineLevel="0" collapsed="false">
      <c r="B1541" s="11"/>
      <c r="C1541" s="11"/>
      <c r="D1541" s="11"/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</row>
    <row r="1542" customFormat="false" ht="15" hidden="false" customHeight="false" outlineLevel="0" collapsed="false">
      <c r="B1542" s="11"/>
      <c r="C1542" s="11"/>
      <c r="D1542" s="11"/>
      <c r="E1542" s="11"/>
      <c r="F1542" s="11"/>
      <c r="G1542" s="11"/>
      <c r="H1542" s="11"/>
      <c r="I1542" s="11"/>
      <c r="J1542" s="11"/>
      <c r="K1542" s="11"/>
      <c r="L1542" s="11"/>
      <c r="M1542" s="11"/>
      <c r="N1542" s="11"/>
    </row>
    <row r="1543" customFormat="false" ht="15" hidden="false" customHeight="false" outlineLevel="0" collapsed="false">
      <c r="B1543" s="11"/>
      <c r="C1543" s="11"/>
      <c r="D1543" s="11"/>
      <c r="E1543" s="11"/>
      <c r="F1543" s="11"/>
      <c r="G1543" s="11"/>
      <c r="H1543" s="11"/>
      <c r="I1543" s="11"/>
      <c r="J1543" s="11"/>
      <c r="K1543" s="11"/>
      <c r="L1543" s="11"/>
      <c r="M1543" s="11"/>
      <c r="N1543" s="11"/>
    </row>
    <row r="1544" customFormat="false" ht="15" hidden="false" customHeight="false" outlineLevel="0" collapsed="false">
      <c r="B1544" s="11"/>
      <c r="C1544" s="11"/>
      <c r="D1544" s="11"/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</row>
    <row r="1545" customFormat="false" ht="15" hidden="false" customHeight="false" outlineLevel="0" collapsed="false">
      <c r="B1545" s="11"/>
      <c r="C1545" s="11"/>
      <c r="D1545" s="11"/>
      <c r="E1545" s="11"/>
      <c r="F1545" s="11"/>
      <c r="G1545" s="11"/>
      <c r="H1545" s="11"/>
      <c r="I1545" s="11"/>
      <c r="J1545" s="11"/>
      <c r="K1545" s="11"/>
      <c r="L1545" s="11"/>
      <c r="M1545" s="11"/>
      <c r="N1545" s="11"/>
    </row>
    <row r="1546" customFormat="false" ht="15" hidden="false" customHeight="false" outlineLevel="0" collapsed="false">
      <c r="B1546" s="11"/>
      <c r="C1546" s="11"/>
      <c r="D1546" s="11"/>
      <c r="E1546" s="11"/>
      <c r="F1546" s="11"/>
      <c r="G1546" s="11"/>
      <c r="H1546" s="11"/>
      <c r="I1546" s="11"/>
      <c r="J1546" s="11"/>
      <c r="K1546" s="11"/>
      <c r="L1546" s="11"/>
      <c r="M1546" s="11"/>
      <c r="N1546" s="11"/>
    </row>
    <row r="1547" customFormat="false" ht="15" hidden="false" customHeight="false" outlineLevel="0" collapsed="false">
      <c r="B1547" s="11"/>
      <c r="C1547" s="11"/>
      <c r="D1547" s="11"/>
      <c r="E1547" s="11"/>
      <c r="F1547" s="11"/>
      <c r="G1547" s="11"/>
      <c r="H1547" s="11"/>
      <c r="I1547" s="11"/>
      <c r="J1547" s="11"/>
      <c r="K1547" s="11"/>
      <c r="L1547" s="11"/>
      <c r="M1547" s="11"/>
      <c r="N1547" s="11"/>
    </row>
    <row r="1548" customFormat="false" ht="15" hidden="false" customHeight="false" outlineLevel="0" collapsed="false">
      <c r="B1548" s="11"/>
      <c r="C1548" s="11"/>
      <c r="D1548" s="11"/>
      <c r="E1548" s="11"/>
      <c r="F1548" s="11"/>
      <c r="G1548" s="11"/>
      <c r="H1548" s="11"/>
      <c r="I1548" s="11"/>
      <c r="J1548" s="11"/>
      <c r="K1548" s="11"/>
      <c r="L1548" s="11"/>
      <c r="M1548" s="11"/>
      <c r="N1548" s="11"/>
    </row>
    <row r="1549" customFormat="false" ht="15" hidden="false" customHeight="false" outlineLevel="0" collapsed="false">
      <c r="B1549" s="11"/>
      <c r="C1549" s="11"/>
      <c r="D1549" s="11"/>
      <c r="E1549" s="11"/>
      <c r="F1549" s="11"/>
      <c r="G1549" s="11"/>
      <c r="H1549" s="11"/>
      <c r="I1549" s="11"/>
      <c r="J1549" s="11"/>
      <c r="K1549" s="11"/>
      <c r="L1549" s="11"/>
      <c r="M1549" s="11"/>
      <c r="N1549" s="11"/>
    </row>
    <row r="1550" customFormat="false" ht="15" hidden="false" customHeight="false" outlineLevel="0" collapsed="false">
      <c r="B1550" s="11"/>
      <c r="C1550" s="11"/>
      <c r="D1550" s="11"/>
      <c r="E1550" s="11"/>
      <c r="F1550" s="11"/>
      <c r="G1550" s="11"/>
      <c r="H1550" s="11"/>
      <c r="I1550" s="11"/>
      <c r="J1550" s="11"/>
      <c r="K1550" s="11"/>
      <c r="L1550" s="11"/>
      <c r="M1550" s="11"/>
      <c r="N1550" s="11"/>
    </row>
    <row r="1551" customFormat="false" ht="15" hidden="false" customHeight="false" outlineLevel="0" collapsed="false">
      <c r="B1551" s="11"/>
      <c r="C1551" s="11"/>
      <c r="D1551" s="11"/>
      <c r="E1551" s="11"/>
      <c r="F1551" s="11"/>
      <c r="G1551" s="11"/>
      <c r="H1551" s="11"/>
      <c r="I1551" s="11"/>
      <c r="J1551" s="11"/>
      <c r="K1551" s="11"/>
      <c r="L1551" s="11"/>
      <c r="M1551" s="11"/>
      <c r="N1551" s="11"/>
    </row>
    <row r="1552" customFormat="false" ht="15" hidden="false" customHeight="false" outlineLevel="0" collapsed="false">
      <c r="B1552" s="11"/>
      <c r="C1552" s="11"/>
      <c r="D1552" s="11"/>
      <c r="E1552" s="11"/>
      <c r="F1552" s="11"/>
      <c r="G1552" s="11"/>
      <c r="H1552" s="11"/>
      <c r="I1552" s="11"/>
      <c r="J1552" s="11"/>
      <c r="K1552" s="11"/>
      <c r="L1552" s="11"/>
      <c r="M1552" s="11"/>
      <c r="N1552" s="11"/>
    </row>
    <row r="1553" customFormat="false" ht="15" hidden="false" customHeight="false" outlineLevel="0" collapsed="false">
      <c r="B1553" s="11"/>
      <c r="C1553" s="11"/>
      <c r="D1553" s="11"/>
      <c r="E1553" s="11"/>
      <c r="F1553" s="11"/>
      <c r="G1553" s="11"/>
      <c r="H1553" s="11"/>
      <c r="I1553" s="11"/>
      <c r="J1553" s="11"/>
      <c r="K1553" s="11"/>
      <c r="L1553" s="11"/>
      <c r="M1553" s="11"/>
      <c r="N1553" s="11"/>
    </row>
    <row r="1554" customFormat="false" ht="15" hidden="false" customHeight="false" outlineLevel="0" collapsed="false">
      <c r="B1554" s="11"/>
      <c r="C1554" s="11"/>
      <c r="D1554" s="11"/>
      <c r="E1554" s="11"/>
      <c r="F1554" s="11"/>
      <c r="G1554" s="11"/>
      <c r="H1554" s="11"/>
      <c r="I1554" s="11"/>
      <c r="J1554" s="11"/>
      <c r="K1554" s="11"/>
      <c r="L1554" s="11"/>
      <c r="M1554" s="11"/>
      <c r="N1554" s="11"/>
    </row>
    <row r="1556" customFormat="false" ht="15" hidden="false" customHeight="false" outlineLevel="0" collapsed="false">
      <c r="B1556" s="11"/>
      <c r="C1556" s="11"/>
      <c r="D1556" s="11"/>
      <c r="E1556" s="11"/>
      <c r="F1556" s="11"/>
      <c r="G1556" s="11"/>
      <c r="H1556" s="11"/>
      <c r="I1556" s="11"/>
      <c r="J1556" s="11"/>
      <c r="K1556" s="11"/>
      <c r="L1556" s="11"/>
      <c r="M1556" s="11"/>
      <c r="N1556" s="11"/>
    </row>
    <row r="1557" customFormat="false" ht="15" hidden="false" customHeight="false" outlineLevel="0" collapsed="false">
      <c r="B1557" s="11"/>
      <c r="C1557" s="11"/>
      <c r="D1557" s="11"/>
      <c r="E1557" s="11"/>
      <c r="F1557" s="11"/>
      <c r="G1557" s="11"/>
      <c r="H1557" s="11"/>
      <c r="I1557" s="11"/>
      <c r="J1557" s="11"/>
      <c r="K1557" s="11"/>
      <c r="L1557" s="11"/>
      <c r="M1557" s="11"/>
      <c r="N1557" s="11"/>
    </row>
    <row r="1558" customFormat="false" ht="15" hidden="false" customHeight="false" outlineLevel="0" collapsed="false">
      <c r="B1558" s="11"/>
      <c r="C1558" s="11"/>
      <c r="D1558" s="11"/>
      <c r="E1558" s="11"/>
      <c r="F1558" s="11"/>
      <c r="G1558" s="11"/>
      <c r="H1558" s="11"/>
      <c r="I1558" s="11"/>
      <c r="J1558" s="11"/>
      <c r="K1558" s="11"/>
      <c r="L1558" s="11"/>
      <c r="M1558" s="11"/>
      <c r="N1558" s="11"/>
    </row>
    <row r="1559" customFormat="false" ht="15" hidden="false" customHeight="false" outlineLevel="0" collapsed="false">
      <c r="B1559" s="11"/>
      <c r="C1559" s="11"/>
      <c r="D1559" s="11"/>
      <c r="E1559" s="11"/>
      <c r="F1559" s="11"/>
      <c r="G1559" s="11"/>
      <c r="H1559" s="11"/>
      <c r="I1559" s="11"/>
      <c r="J1559" s="11"/>
      <c r="K1559" s="11"/>
      <c r="L1559" s="11"/>
      <c r="M1559" s="11"/>
      <c r="N1559" s="11"/>
    </row>
    <row r="1560" customFormat="false" ht="15" hidden="false" customHeight="false" outlineLevel="0" collapsed="false">
      <c r="B1560" s="11"/>
      <c r="C1560" s="11"/>
      <c r="D1560" s="11"/>
      <c r="E1560" s="11"/>
      <c r="F1560" s="11"/>
      <c r="G1560" s="11"/>
      <c r="H1560" s="11"/>
      <c r="I1560" s="11"/>
      <c r="J1560" s="11"/>
      <c r="K1560" s="11"/>
      <c r="L1560" s="11"/>
      <c r="M1560" s="11"/>
      <c r="N1560" s="11"/>
    </row>
    <row r="1561" customFormat="false" ht="15" hidden="false" customHeight="false" outlineLevel="0" collapsed="false">
      <c r="B1561" s="11"/>
      <c r="C1561" s="11"/>
      <c r="D1561" s="11"/>
      <c r="E1561" s="11"/>
      <c r="F1561" s="11"/>
      <c r="G1561" s="11"/>
      <c r="H1561" s="11"/>
      <c r="I1561" s="11"/>
      <c r="J1561" s="11"/>
      <c r="K1561" s="11"/>
      <c r="L1561" s="11"/>
      <c r="M1561" s="11"/>
      <c r="N1561" s="11"/>
    </row>
    <row r="1562" customFormat="false" ht="15" hidden="false" customHeight="false" outlineLevel="0" collapsed="false">
      <c r="B1562" s="11"/>
      <c r="C1562" s="11"/>
      <c r="D1562" s="11"/>
      <c r="E1562" s="11"/>
      <c r="F1562" s="11"/>
      <c r="G1562" s="11"/>
      <c r="H1562" s="11"/>
      <c r="I1562" s="11"/>
      <c r="J1562" s="11"/>
      <c r="K1562" s="11"/>
      <c r="L1562" s="11"/>
      <c r="M1562" s="11"/>
      <c r="N1562" s="11"/>
    </row>
    <row r="1563" customFormat="false" ht="15" hidden="false" customHeight="false" outlineLevel="0" collapsed="false">
      <c r="B1563" s="11"/>
      <c r="C1563" s="11"/>
      <c r="D1563" s="11"/>
      <c r="E1563" s="11"/>
      <c r="F1563" s="11"/>
      <c r="G1563" s="11"/>
      <c r="H1563" s="11"/>
      <c r="I1563" s="11"/>
      <c r="J1563" s="11"/>
      <c r="K1563" s="11"/>
      <c r="L1563" s="11"/>
      <c r="M1563" s="11"/>
      <c r="N1563" s="11"/>
    </row>
    <row r="1564" customFormat="false" ht="15" hidden="false" customHeight="false" outlineLevel="0" collapsed="false">
      <c r="B1564" s="11"/>
      <c r="C1564" s="11"/>
      <c r="D1564" s="11"/>
      <c r="E1564" s="11"/>
      <c r="F1564" s="11"/>
      <c r="G1564" s="11"/>
      <c r="H1564" s="11"/>
      <c r="I1564" s="11"/>
      <c r="J1564" s="11"/>
      <c r="K1564" s="11"/>
      <c r="L1564" s="11"/>
      <c r="M1564" s="11"/>
      <c r="N1564" s="11"/>
    </row>
    <row r="1565" customFormat="false" ht="15" hidden="false" customHeight="false" outlineLevel="0" collapsed="false">
      <c r="B1565" s="11"/>
      <c r="C1565" s="11"/>
      <c r="D1565" s="11"/>
      <c r="E1565" s="11"/>
      <c r="F1565" s="11"/>
      <c r="G1565" s="11"/>
      <c r="H1565" s="11"/>
      <c r="I1565" s="11"/>
      <c r="J1565" s="11"/>
      <c r="K1565" s="11"/>
      <c r="L1565" s="11"/>
      <c r="M1565" s="11"/>
      <c r="N1565" s="11"/>
    </row>
    <row r="1568" customFormat="false" ht="15" hidden="false" customHeight="false" outlineLevel="0" collapsed="false">
      <c r="B1568" s="11"/>
      <c r="C1568" s="11"/>
      <c r="D1568" s="11"/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</row>
    <row r="1569" customFormat="false" ht="15" hidden="false" customHeight="false" outlineLevel="0" collapsed="false">
      <c r="B1569" s="11"/>
      <c r="C1569" s="11"/>
      <c r="D1569" s="11"/>
      <c r="E1569" s="11"/>
      <c r="F1569" s="11"/>
      <c r="G1569" s="11"/>
      <c r="H1569" s="11"/>
      <c r="I1569" s="11"/>
      <c r="J1569" s="11"/>
      <c r="K1569" s="11"/>
      <c r="L1569" s="11"/>
      <c r="M1569" s="11"/>
      <c r="N1569" s="11"/>
    </row>
    <row r="1570" customFormat="false" ht="15" hidden="false" customHeight="false" outlineLevel="0" collapsed="false">
      <c r="B1570" s="11"/>
      <c r="C1570" s="11"/>
      <c r="D1570" s="11"/>
      <c r="E1570" s="11"/>
      <c r="F1570" s="11"/>
      <c r="G1570" s="11"/>
      <c r="H1570" s="11"/>
      <c r="I1570" s="11"/>
      <c r="J1570" s="11"/>
      <c r="K1570" s="11"/>
      <c r="L1570" s="11"/>
      <c r="M1570" s="11"/>
      <c r="N1570" s="11"/>
    </row>
    <row r="1571" customFormat="false" ht="15" hidden="false" customHeight="false" outlineLevel="0" collapsed="false">
      <c r="B1571" s="11"/>
      <c r="C1571" s="11"/>
      <c r="D1571" s="11"/>
      <c r="E1571" s="11"/>
      <c r="F1571" s="11"/>
      <c r="G1571" s="11"/>
      <c r="H1571" s="11"/>
      <c r="I1571" s="11"/>
      <c r="J1571" s="11"/>
      <c r="K1571" s="11"/>
      <c r="L1571" s="11"/>
      <c r="M1571" s="11"/>
      <c r="N1571" s="11"/>
    </row>
    <row r="1572" customFormat="false" ht="15" hidden="false" customHeight="false" outlineLevel="0" collapsed="false">
      <c r="B1572" s="11"/>
      <c r="C1572" s="11"/>
      <c r="D1572" s="11"/>
      <c r="E1572" s="11"/>
      <c r="F1572" s="11"/>
      <c r="G1572" s="11"/>
      <c r="H1572" s="11"/>
      <c r="I1572" s="11"/>
      <c r="J1572" s="11"/>
      <c r="K1572" s="11"/>
      <c r="L1572" s="11"/>
      <c r="M1572" s="11"/>
      <c r="N1572" s="11"/>
    </row>
    <row r="1573" customFormat="false" ht="15" hidden="false" customHeight="false" outlineLevel="0" collapsed="false">
      <c r="B1573" s="11"/>
      <c r="C1573" s="11"/>
      <c r="D1573" s="11"/>
      <c r="E1573" s="11"/>
      <c r="F1573" s="11"/>
      <c r="G1573" s="11"/>
      <c r="H1573" s="11"/>
      <c r="I1573" s="11"/>
      <c r="J1573" s="11"/>
      <c r="K1573" s="11"/>
      <c r="L1573" s="11"/>
      <c r="M1573" s="11"/>
      <c r="N1573" s="11"/>
    </row>
    <row r="1574" customFormat="false" ht="15" hidden="false" customHeight="false" outlineLevel="0" collapsed="false">
      <c r="B1574" s="11"/>
      <c r="C1574" s="11"/>
      <c r="D1574" s="11"/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</row>
    <row r="1575" customFormat="false" ht="15" hidden="false" customHeight="false" outlineLevel="0" collapsed="false">
      <c r="B1575" s="11"/>
      <c r="C1575" s="11"/>
      <c r="D1575" s="11"/>
      <c r="E1575" s="11"/>
      <c r="F1575" s="11"/>
      <c r="G1575" s="11"/>
      <c r="H1575" s="11"/>
      <c r="I1575" s="11"/>
      <c r="J1575" s="11"/>
      <c r="K1575" s="11"/>
      <c r="L1575" s="11"/>
      <c r="M1575" s="11"/>
      <c r="N1575" s="11"/>
    </row>
    <row r="1576" customFormat="false" ht="15" hidden="false" customHeight="false" outlineLevel="0" collapsed="false">
      <c r="B1576" s="11"/>
      <c r="C1576" s="11"/>
      <c r="D1576" s="11"/>
      <c r="E1576" s="11"/>
      <c r="F1576" s="11"/>
      <c r="G1576" s="11"/>
      <c r="H1576" s="11"/>
      <c r="I1576" s="11"/>
      <c r="J1576" s="11"/>
      <c r="K1576" s="11"/>
      <c r="L1576" s="11"/>
      <c r="M1576" s="11"/>
      <c r="N1576" s="11"/>
    </row>
    <row r="1577" customFormat="false" ht="15" hidden="false" customHeight="false" outlineLevel="0" collapsed="false">
      <c r="B1577" s="11"/>
      <c r="C1577" s="11"/>
      <c r="D1577" s="11"/>
      <c r="E1577" s="11"/>
      <c r="F1577" s="11"/>
      <c r="G1577" s="11"/>
      <c r="H1577" s="11"/>
      <c r="I1577" s="11"/>
      <c r="J1577" s="11"/>
      <c r="K1577" s="11"/>
      <c r="L1577" s="11"/>
      <c r="M1577" s="11"/>
      <c r="N1577" s="11"/>
    </row>
    <row r="1578" customFormat="false" ht="15" hidden="false" customHeight="false" outlineLevel="0" collapsed="false">
      <c r="B1578" s="11"/>
      <c r="C1578" s="11"/>
      <c r="D1578" s="11"/>
      <c r="E1578" s="11"/>
      <c r="F1578" s="11"/>
      <c r="G1578" s="11"/>
      <c r="H1578" s="11"/>
      <c r="I1578" s="11"/>
      <c r="J1578" s="11"/>
      <c r="K1578" s="11"/>
      <c r="L1578" s="11"/>
      <c r="M1578" s="11"/>
      <c r="N1578" s="11"/>
    </row>
    <row r="1579" customFormat="false" ht="15" hidden="false" customHeight="false" outlineLevel="0" collapsed="false">
      <c r="B1579" s="11"/>
      <c r="C1579" s="11"/>
      <c r="D1579" s="11"/>
      <c r="E1579" s="11"/>
      <c r="F1579" s="11"/>
      <c r="G1579" s="11"/>
      <c r="H1579" s="11"/>
      <c r="I1579" s="11"/>
      <c r="J1579" s="11"/>
      <c r="K1579" s="11"/>
      <c r="L1579" s="11"/>
      <c r="M1579" s="11"/>
      <c r="N1579" s="11"/>
    </row>
    <row r="1580" customFormat="false" ht="15" hidden="false" customHeight="false" outlineLevel="0" collapsed="false">
      <c r="B1580" s="11"/>
      <c r="C1580" s="11"/>
      <c r="D1580" s="11"/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</row>
    <row r="1581" customFormat="false" ht="15" hidden="false" customHeight="false" outlineLevel="0" collapsed="false">
      <c r="B1581" s="11"/>
      <c r="C1581" s="11"/>
      <c r="D1581" s="11"/>
      <c r="E1581" s="11"/>
      <c r="F1581" s="11"/>
      <c r="G1581" s="11"/>
      <c r="H1581" s="11"/>
      <c r="I1581" s="11"/>
      <c r="J1581" s="11"/>
      <c r="K1581" s="11"/>
      <c r="L1581" s="11"/>
      <c r="M1581" s="11"/>
      <c r="N1581" s="11"/>
    </row>
    <row r="1582" customFormat="false" ht="15" hidden="false" customHeight="false" outlineLevel="0" collapsed="false">
      <c r="B1582" s="11"/>
      <c r="C1582" s="11"/>
      <c r="D1582" s="11"/>
      <c r="E1582" s="11"/>
      <c r="F1582" s="11"/>
      <c r="G1582" s="11"/>
      <c r="H1582" s="11"/>
      <c r="I1582" s="11"/>
      <c r="J1582" s="11"/>
      <c r="K1582" s="11"/>
      <c r="L1582" s="11"/>
      <c r="M1582" s="11"/>
      <c r="N1582" s="11"/>
    </row>
    <row r="1583" customFormat="false" ht="15" hidden="false" customHeight="false" outlineLevel="0" collapsed="false">
      <c r="B1583" s="11"/>
      <c r="C1583" s="11"/>
      <c r="D1583" s="11"/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</row>
    <row r="1584" customFormat="false" ht="15" hidden="false" customHeight="false" outlineLevel="0" collapsed="false">
      <c r="B1584" s="11"/>
      <c r="C1584" s="11"/>
      <c r="D1584" s="11"/>
      <c r="E1584" s="11"/>
      <c r="F1584" s="11"/>
      <c r="G1584" s="11"/>
      <c r="H1584" s="11"/>
      <c r="I1584" s="11"/>
      <c r="J1584" s="11"/>
      <c r="K1584" s="11"/>
      <c r="L1584" s="11"/>
      <c r="M1584" s="11"/>
      <c r="N1584" s="11"/>
    </row>
    <row r="1585" customFormat="false" ht="15" hidden="false" customHeight="false" outlineLevel="0" collapsed="false">
      <c r="B1585" s="11"/>
      <c r="C1585" s="11"/>
      <c r="D1585" s="11"/>
      <c r="E1585" s="11"/>
      <c r="F1585" s="11"/>
      <c r="G1585" s="11"/>
      <c r="H1585" s="11"/>
      <c r="I1585" s="11"/>
      <c r="J1585" s="11"/>
      <c r="K1585" s="11"/>
      <c r="L1585" s="11"/>
      <c r="M1585" s="11"/>
      <c r="N1585" s="11"/>
    </row>
    <row r="1586" customFormat="false" ht="15" hidden="false" customHeight="false" outlineLevel="0" collapsed="false">
      <c r="B1586" s="11"/>
      <c r="C1586" s="11"/>
      <c r="D1586" s="11"/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</row>
    <row r="1588" customFormat="false" ht="15" hidden="false" customHeight="false" outlineLevel="0" collapsed="false">
      <c r="B1588" s="11"/>
      <c r="C1588" s="11"/>
      <c r="D1588" s="11"/>
      <c r="E1588" s="11"/>
      <c r="F1588" s="11"/>
      <c r="G1588" s="11"/>
      <c r="H1588" s="11"/>
      <c r="I1588" s="11"/>
      <c r="J1588" s="11"/>
      <c r="K1588" s="11"/>
      <c r="L1588" s="11"/>
      <c r="M1588" s="11"/>
      <c r="N1588" s="11"/>
    </row>
    <row r="1589" customFormat="false" ht="15" hidden="false" customHeight="false" outlineLevel="0" collapsed="false">
      <c r="B1589" s="11"/>
      <c r="C1589" s="11"/>
      <c r="D1589" s="11"/>
      <c r="E1589" s="11"/>
      <c r="F1589" s="11"/>
      <c r="G1589" s="11"/>
      <c r="H1589" s="11"/>
      <c r="I1589" s="11"/>
      <c r="J1589" s="11"/>
      <c r="K1589" s="11"/>
      <c r="L1589" s="11"/>
      <c r="M1589" s="11"/>
      <c r="N1589" s="11"/>
    </row>
    <row r="1590" customFormat="false" ht="15" hidden="false" customHeight="false" outlineLevel="0" collapsed="false">
      <c r="B1590" s="11"/>
      <c r="C1590" s="11"/>
      <c r="D1590" s="11"/>
      <c r="E1590" s="11"/>
      <c r="F1590" s="11"/>
      <c r="G1590" s="11"/>
      <c r="H1590" s="11"/>
      <c r="I1590" s="11"/>
      <c r="J1590" s="11"/>
      <c r="K1590" s="11"/>
      <c r="L1590" s="11"/>
      <c r="M1590" s="11"/>
      <c r="N1590" s="11"/>
    </row>
    <row r="1591" customFormat="false" ht="15" hidden="false" customHeight="false" outlineLevel="0" collapsed="false">
      <c r="B1591" s="11"/>
      <c r="C1591" s="11"/>
      <c r="D1591" s="11"/>
      <c r="E1591" s="11"/>
      <c r="F1591" s="11"/>
      <c r="G1591" s="11"/>
      <c r="H1591" s="11"/>
      <c r="I1591" s="11"/>
      <c r="J1591" s="11"/>
      <c r="K1591" s="11"/>
      <c r="L1591" s="11"/>
      <c r="M1591" s="11"/>
      <c r="N1591" s="11"/>
    </row>
    <row r="1592" customFormat="false" ht="15" hidden="false" customHeight="false" outlineLevel="0" collapsed="false">
      <c r="B1592" s="11"/>
      <c r="C1592" s="11"/>
      <c r="D1592" s="11"/>
      <c r="E1592" s="11"/>
      <c r="F1592" s="11"/>
      <c r="G1592" s="11"/>
      <c r="H1592" s="11"/>
      <c r="I1592" s="11"/>
      <c r="J1592" s="11"/>
      <c r="K1592" s="11"/>
      <c r="L1592" s="11"/>
      <c r="M1592" s="11"/>
      <c r="N1592" s="11"/>
    </row>
    <row r="1593" customFormat="false" ht="15" hidden="false" customHeight="false" outlineLevel="0" collapsed="false">
      <c r="B1593" s="11"/>
      <c r="C1593" s="11"/>
      <c r="D1593" s="11"/>
      <c r="E1593" s="11"/>
      <c r="F1593" s="11"/>
      <c r="G1593" s="11"/>
      <c r="H1593" s="11"/>
      <c r="I1593" s="11"/>
      <c r="J1593" s="11"/>
      <c r="K1593" s="11"/>
      <c r="L1593" s="11"/>
      <c r="M1593" s="11"/>
      <c r="N1593" s="11"/>
    </row>
    <row r="1594" customFormat="false" ht="15" hidden="false" customHeight="false" outlineLevel="0" collapsed="false">
      <c r="B1594" s="11"/>
      <c r="C1594" s="11"/>
      <c r="D1594" s="11"/>
      <c r="E1594" s="11"/>
      <c r="F1594" s="11"/>
      <c r="G1594" s="11"/>
      <c r="H1594" s="11"/>
      <c r="I1594" s="11"/>
      <c r="J1594" s="11"/>
      <c r="K1594" s="11"/>
      <c r="L1594" s="11"/>
      <c r="M1594" s="11"/>
      <c r="N1594" s="11"/>
    </row>
    <row r="1595" customFormat="false" ht="15" hidden="false" customHeight="false" outlineLevel="0" collapsed="false">
      <c r="B1595" s="11"/>
      <c r="C1595" s="11"/>
      <c r="D1595" s="11"/>
      <c r="E1595" s="11"/>
      <c r="F1595" s="11"/>
      <c r="G1595" s="11"/>
      <c r="H1595" s="11"/>
      <c r="I1595" s="11"/>
      <c r="J1595" s="11"/>
      <c r="K1595" s="11"/>
      <c r="L1595" s="11"/>
      <c r="M1595" s="11"/>
      <c r="N1595" s="11"/>
    </row>
    <row r="1596" customFormat="false" ht="15" hidden="false" customHeight="false" outlineLevel="0" collapsed="false">
      <c r="B1596" s="11"/>
      <c r="C1596" s="11"/>
      <c r="D1596" s="11"/>
      <c r="E1596" s="11"/>
      <c r="F1596" s="11"/>
      <c r="G1596" s="11"/>
      <c r="H1596" s="11"/>
      <c r="I1596" s="11"/>
      <c r="J1596" s="11"/>
      <c r="K1596" s="11"/>
      <c r="L1596" s="11"/>
      <c r="M1596" s="11"/>
      <c r="N1596" s="11"/>
    </row>
    <row r="1597" customFormat="false" ht="15" hidden="false" customHeight="false" outlineLevel="0" collapsed="false">
      <c r="B1597" s="11"/>
      <c r="C1597" s="11"/>
      <c r="D1597" s="11"/>
      <c r="E1597" s="11"/>
      <c r="F1597" s="11"/>
      <c r="G1597" s="11"/>
      <c r="H1597" s="11"/>
      <c r="I1597" s="11"/>
      <c r="J1597" s="11"/>
      <c r="K1597" s="11"/>
      <c r="L1597" s="11"/>
      <c r="M1597" s="11"/>
      <c r="N1597" s="11"/>
    </row>
    <row r="1600" customFormat="false" ht="15" hidden="false" customHeight="false" outlineLevel="0" collapsed="false">
      <c r="B1600" s="11"/>
      <c r="C1600" s="11"/>
      <c r="D1600" s="11"/>
      <c r="E1600" s="11"/>
      <c r="F1600" s="11"/>
      <c r="G1600" s="11"/>
      <c r="H1600" s="11"/>
      <c r="I1600" s="11"/>
      <c r="J1600" s="11"/>
      <c r="K1600" s="11"/>
      <c r="L1600" s="11"/>
      <c r="M1600" s="11"/>
      <c r="N1600" s="11"/>
    </row>
    <row r="1601" customFormat="false" ht="15" hidden="false" customHeight="false" outlineLevel="0" collapsed="false">
      <c r="B1601" s="11"/>
      <c r="C1601" s="11"/>
      <c r="D1601" s="11"/>
      <c r="E1601" s="11"/>
      <c r="F1601" s="11"/>
      <c r="G1601" s="11"/>
      <c r="H1601" s="11"/>
      <c r="I1601" s="11"/>
      <c r="J1601" s="11"/>
      <c r="K1601" s="11"/>
      <c r="L1601" s="11"/>
      <c r="M1601" s="11"/>
      <c r="N1601" s="11"/>
    </row>
    <row r="1602" customFormat="false" ht="15" hidden="false" customHeight="false" outlineLevel="0" collapsed="false">
      <c r="B1602" s="11"/>
      <c r="C1602" s="11"/>
      <c r="D1602" s="11"/>
      <c r="E1602" s="11"/>
      <c r="F1602" s="11"/>
      <c r="G1602" s="11"/>
      <c r="H1602" s="11"/>
      <c r="I1602" s="11"/>
      <c r="J1602" s="11"/>
      <c r="K1602" s="11"/>
      <c r="L1602" s="11"/>
      <c r="M1602" s="11"/>
      <c r="N1602" s="11"/>
    </row>
    <row r="1603" customFormat="false" ht="15" hidden="false" customHeight="false" outlineLevel="0" collapsed="false">
      <c r="B1603" s="11"/>
      <c r="C1603" s="11"/>
      <c r="D1603" s="11"/>
      <c r="E1603" s="11"/>
      <c r="F1603" s="11"/>
      <c r="G1603" s="11"/>
      <c r="H1603" s="11"/>
      <c r="I1603" s="11"/>
      <c r="J1603" s="11"/>
      <c r="K1603" s="11"/>
      <c r="L1603" s="11"/>
      <c r="M1603" s="11"/>
      <c r="N1603" s="11"/>
    </row>
    <row r="1604" customFormat="false" ht="15" hidden="false" customHeight="false" outlineLevel="0" collapsed="false">
      <c r="B1604" s="11"/>
      <c r="C1604" s="11"/>
      <c r="D1604" s="11"/>
      <c r="E1604" s="11"/>
      <c r="F1604" s="11"/>
      <c r="G1604" s="11"/>
      <c r="H1604" s="11"/>
      <c r="I1604" s="11"/>
      <c r="J1604" s="11"/>
      <c r="K1604" s="11"/>
      <c r="L1604" s="11"/>
      <c r="M1604" s="11"/>
      <c r="N1604" s="11"/>
    </row>
    <row r="1605" customFormat="false" ht="15" hidden="false" customHeight="false" outlineLevel="0" collapsed="false">
      <c r="B1605" s="11"/>
      <c r="C1605" s="11"/>
      <c r="D1605" s="11"/>
      <c r="E1605" s="11"/>
      <c r="F1605" s="11"/>
      <c r="G1605" s="11"/>
      <c r="H1605" s="11"/>
      <c r="I1605" s="11"/>
      <c r="J1605" s="11"/>
      <c r="K1605" s="11"/>
      <c r="L1605" s="11"/>
      <c r="M1605" s="11"/>
      <c r="N1605" s="11"/>
    </row>
    <row r="1606" customFormat="false" ht="15" hidden="false" customHeight="false" outlineLevel="0" collapsed="false">
      <c r="B1606" s="11"/>
      <c r="C1606" s="11"/>
      <c r="D1606" s="11"/>
      <c r="E1606" s="11"/>
      <c r="F1606" s="11"/>
      <c r="G1606" s="11"/>
      <c r="H1606" s="11"/>
      <c r="I1606" s="11"/>
      <c r="J1606" s="11"/>
      <c r="K1606" s="11"/>
      <c r="L1606" s="11"/>
      <c r="M1606" s="11"/>
      <c r="N1606" s="11"/>
    </row>
    <row r="1607" customFormat="false" ht="15" hidden="false" customHeight="false" outlineLevel="0" collapsed="false">
      <c r="B1607" s="11"/>
      <c r="C1607" s="11"/>
      <c r="D1607" s="11"/>
      <c r="E1607" s="11"/>
      <c r="F1607" s="11"/>
      <c r="G1607" s="11"/>
      <c r="H1607" s="11"/>
      <c r="I1607" s="11"/>
      <c r="J1607" s="11"/>
      <c r="K1607" s="11"/>
      <c r="L1607" s="11"/>
      <c r="M1607" s="11"/>
      <c r="N1607" s="11"/>
    </row>
    <row r="1608" customFormat="false" ht="15" hidden="false" customHeight="false" outlineLevel="0" collapsed="false">
      <c r="B1608" s="11"/>
      <c r="C1608" s="11"/>
      <c r="D1608" s="11"/>
      <c r="E1608" s="11"/>
      <c r="F1608" s="11"/>
      <c r="G1608" s="11"/>
      <c r="H1608" s="11"/>
      <c r="I1608" s="11"/>
      <c r="J1608" s="11"/>
      <c r="K1608" s="11"/>
      <c r="L1608" s="11"/>
      <c r="M1608" s="11"/>
      <c r="N1608" s="11"/>
    </row>
    <row r="1609" customFormat="false" ht="15" hidden="false" customHeight="false" outlineLevel="0" collapsed="false">
      <c r="B1609" s="11"/>
      <c r="C1609" s="11"/>
      <c r="D1609" s="11"/>
      <c r="E1609" s="11"/>
      <c r="F1609" s="11"/>
      <c r="G1609" s="11"/>
      <c r="H1609" s="11"/>
      <c r="I1609" s="11"/>
      <c r="J1609" s="11"/>
      <c r="K1609" s="11"/>
      <c r="L1609" s="11"/>
      <c r="M1609" s="11"/>
      <c r="N1609" s="11"/>
    </row>
    <row r="1610" customFormat="false" ht="15" hidden="false" customHeight="false" outlineLevel="0" collapsed="false">
      <c r="B1610" s="11"/>
      <c r="C1610" s="11"/>
      <c r="D1610" s="11"/>
      <c r="E1610" s="11"/>
      <c r="F1610" s="11"/>
      <c r="G1610" s="11"/>
      <c r="H1610" s="11"/>
      <c r="I1610" s="11"/>
      <c r="J1610" s="11"/>
      <c r="K1610" s="11"/>
      <c r="L1610" s="11"/>
      <c r="M1610" s="11"/>
      <c r="N1610" s="11"/>
    </row>
    <row r="1611" customFormat="false" ht="15" hidden="false" customHeight="false" outlineLevel="0" collapsed="false">
      <c r="B1611" s="11"/>
      <c r="C1611" s="11"/>
      <c r="D1611" s="11"/>
      <c r="E1611" s="11"/>
      <c r="F1611" s="11"/>
      <c r="G1611" s="11"/>
      <c r="H1611" s="11"/>
      <c r="I1611" s="11"/>
      <c r="J1611" s="11"/>
      <c r="K1611" s="11"/>
      <c r="L1611" s="11"/>
      <c r="M1611" s="11"/>
      <c r="N1611" s="11"/>
    </row>
    <row r="1612" customFormat="false" ht="15" hidden="false" customHeight="false" outlineLevel="0" collapsed="false">
      <c r="B1612" s="11"/>
      <c r="C1612" s="11"/>
      <c r="D1612" s="11"/>
      <c r="E1612" s="11"/>
      <c r="F1612" s="11"/>
      <c r="G1612" s="11"/>
      <c r="H1612" s="11"/>
      <c r="I1612" s="11"/>
      <c r="J1612" s="11"/>
      <c r="K1612" s="11"/>
      <c r="L1612" s="11"/>
      <c r="M1612" s="11"/>
      <c r="N1612" s="11"/>
    </row>
    <row r="1613" customFormat="false" ht="15" hidden="false" customHeight="false" outlineLevel="0" collapsed="false">
      <c r="B1613" s="11"/>
      <c r="C1613" s="11"/>
      <c r="D1613" s="11"/>
      <c r="E1613" s="11"/>
      <c r="F1613" s="11"/>
      <c r="G1613" s="11"/>
      <c r="H1613" s="11"/>
      <c r="I1613" s="11"/>
      <c r="J1613" s="11"/>
      <c r="K1613" s="11"/>
      <c r="L1613" s="11"/>
      <c r="M1613" s="11"/>
      <c r="N1613" s="11"/>
    </row>
    <row r="1614" customFormat="false" ht="15" hidden="false" customHeight="false" outlineLevel="0" collapsed="false">
      <c r="B1614" s="11"/>
      <c r="C1614" s="11"/>
      <c r="D1614" s="11"/>
      <c r="E1614" s="11"/>
      <c r="F1614" s="11"/>
      <c r="G1614" s="11"/>
      <c r="H1614" s="11"/>
      <c r="I1614" s="11"/>
      <c r="J1614" s="11"/>
      <c r="K1614" s="11"/>
      <c r="L1614" s="11"/>
      <c r="M1614" s="11"/>
      <c r="N1614" s="11"/>
    </row>
    <row r="1615" customFormat="false" ht="15" hidden="false" customHeight="false" outlineLevel="0" collapsed="false">
      <c r="B1615" s="11"/>
      <c r="C1615" s="11"/>
      <c r="D1615" s="11"/>
      <c r="E1615" s="11"/>
      <c r="F1615" s="11"/>
      <c r="G1615" s="11"/>
      <c r="H1615" s="11"/>
      <c r="I1615" s="11"/>
      <c r="J1615" s="11"/>
      <c r="K1615" s="11"/>
      <c r="L1615" s="11"/>
      <c r="M1615" s="11"/>
      <c r="N1615" s="11"/>
    </row>
    <row r="1616" customFormat="false" ht="15" hidden="false" customHeight="false" outlineLevel="0" collapsed="false">
      <c r="B1616" s="11"/>
      <c r="C1616" s="11"/>
      <c r="D1616" s="11"/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</row>
    <row r="1617" customFormat="false" ht="15" hidden="false" customHeight="false" outlineLevel="0" collapsed="false">
      <c r="B1617" s="11"/>
      <c r="C1617" s="11"/>
      <c r="D1617" s="11"/>
      <c r="E1617" s="11"/>
      <c r="F1617" s="11"/>
      <c r="G1617" s="11"/>
      <c r="H1617" s="11"/>
      <c r="I1617" s="11"/>
      <c r="J1617" s="11"/>
      <c r="K1617" s="11"/>
      <c r="L1617" s="11"/>
      <c r="M1617" s="11"/>
      <c r="N1617" s="11"/>
    </row>
    <row r="1618" customFormat="false" ht="15" hidden="false" customHeight="false" outlineLevel="0" collapsed="false">
      <c r="B1618" s="11"/>
      <c r="C1618" s="11"/>
      <c r="D1618" s="11"/>
      <c r="E1618" s="11"/>
      <c r="F1618" s="11"/>
      <c r="G1618" s="11"/>
      <c r="H1618" s="11"/>
      <c r="I1618" s="11"/>
      <c r="J1618" s="11"/>
      <c r="K1618" s="11"/>
      <c r="L1618" s="11"/>
      <c r="M1618" s="11"/>
      <c r="N1618" s="11"/>
    </row>
    <row r="1620" customFormat="false" ht="15" hidden="false" customHeight="false" outlineLevel="0" collapsed="false">
      <c r="B1620" s="11"/>
      <c r="C1620" s="11"/>
      <c r="D1620" s="11"/>
      <c r="E1620" s="11"/>
      <c r="F1620" s="11"/>
      <c r="G1620" s="11"/>
      <c r="H1620" s="11"/>
      <c r="I1620" s="11"/>
      <c r="J1620" s="11"/>
      <c r="K1620" s="11"/>
      <c r="L1620" s="11"/>
      <c r="M1620" s="11"/>
      <c r="N1620" s="11"/>
    </row>
    <row r="1621" customFormat="false" ht="15" hidden="false" customHeight="false" outlineLevel="0" collapsed="false">
      <c r="B1621" s="11"/>
      <c r="C1621" s="11"/>
      <c r="D1621" s="11"/>
      <c r="E1621" s="11"/>
      <c r="F1621" s="11"/>
      <c r="G1621" s="11"/>
      <c r="H1621" s="11"/>
      <c r="I1621" s="11"/>
      <c r="J1621" s="11"/>
      <c r="K1621" s="11"/>
      <c r="L1621" s="11"/>
      <c r="M1621" s="11"/>
      <c r="N1621" s="11"/>
    </row>
    <row r="1622" customFormat="false" ht="15" hidden="false" customHeight="false" outlineLevel="0" collapsed="false">
      <c r="B1622" s="11"/>
      <c r="C1622" s="11"/>
      <c r="D1622" s="11"/>
      <c r="E1622" s="11"/>
      <c r="F1622" s="11"/>
      <c r="G1622" s="11"/>
      <c r="H1622" s="11"/>
      <c r="I1622" s="11"/>
      <c r="J1622" s="11"/>
      <c r="K1622" s="11"/>
      <c r="L1622" s="11"/>
      <c r="M1622" s="11"/>
      <c r="N1622" s="11"/>
    </row>
    <row r="1623" customFormat="false" ht="15" hidden="false" customHeight="false" outlineLevel="0" collapsed="false">
      <c r="B1623" s="11"/>
      <c r="C1623" s="11"/>
      <c r="D1623" s="11"/>
      <c r="E1623" s="11"/>
      <c r="F1623" s="11"/>
      <c r="G1623" s="11"/>
      <c r="H1623" s="11"/>
      <c r="I1623" s="11"/>
      <c r="J1623" s="11"/>
      <c r="K1623" s="11"/>
      <c r="L1623" s="11"/>
      <c r="M1623" s="11"/>
      <c r="N1623" s="11"/>
    </row>
    <row r="1624" customFormat="false" ht="15" hidden="false" customHeight="false" outlineLevel="0" collapsed="false">
      <c r="B1624" s="11"/>
      <c r="C1624" s="11"/>
      <c r="D1624" s="11"/>
      <c r="E1624" s="11"/>
      <c r="F1624" s="11"/>
      <c r="G1624" s="11"/>
      <c r="H1624" s="11"/>
      <c r="I1624" s="11"/>
      <c r="J1624" s="11"/>
      <c r="K1624" s="11"/>
      <c r="L1624" s="11"/>
      <c r="M1624" s="11"/>
      <c r="N1624" s="11"/>
    </row>
    <row r="1625" customFormat="false" ht="15" hidden="false" customHeight="false" outlineLevel="0" collapsed="false">
      <c r="B1625" s="11"/>
      <c r="C1625" s="11"/>
      <c r="D1625" s="11"/>
      <c r="E1625" s="11"/>
      <c r="F1625" s="11"/>
      <c r="G1625" s="11"/>
      <c r="H1625" s="11"/>
      <c r="I1625" s="11"/>
      <c r="J1625" s="11"/>
      <c r="K1625" s="11"/>
      <c r="L1625" s="11"/>
      <c r="M1625" s="11"/>
      <c r="N1625" s="11"/>
    </row>
    <row r="1626" customFormat="false" ht="15" hidden="false" customHeight="false" outlineLevel="0" collapsed="false">
      <c r="B1626" s="11"/>
      <c r="C1626" s="11"/>
      <c r="D1626" s="11"/>
      <c r="E1626" s="11"/>
      <c r="F1626" s="11"/>
      <c r="G1626" s="11"/>
      <c r="H1626" s="11"/>
      <c r="I1626" s="11"/>
      <c r="J1626" s="11"/>
      <c r="K1626" s="11"/>
      <c r="L1626" s="11"/>
      <c r="M1626" s="11"/>
      <c r="N1626" s="11"/>
    </row>
    <row r="1627" customFormat="false" ht="15" hidden="false" customHeight="false" outlineLevel="0" collapsed="false">
      <c r="B1627" s="11"/>
      <c r="C1627" s="11"/>
      <c r="D1627" s="11"/>
      <c r="E1627" s="11"/>
      <c r="F1627" s="11"/>
      <c r="G1627" s="11"/>
      <c r="H1627" s="11"/>
      <c r="I1627" s="11"/>
      <c r="J1627" s="11"/>
      <c r="K1627" s="11"/>
      <c r="L1627" s="11"/>
      <c r="M1627" s="11"/>
      <c r="N1627" s="11"/>
    </row>
    <row r="1628" customFormat="false" ht="15" hidden="false" customHeight="false" outlineLevel="0" collapsed="false">
      <c r="B1628" s="11"/>
      <c r="C1628" s="11"/>
      <c r="D1628" s="11"/>
      <c r="E1628" s="11"/>
      <c r="F1628" s="11"/>
      <c r="G1628" s="11"/>
      <c r="H1628" s="11"/>
      <c r="I1628" s="11"/>
      <c r="J1628" s="11"/>
      <c r="K1628" s="11"/>
      <c r="L1628" s="11"/>
      <c r="M1628" s="11"/>
      <c r="N1628" s="11"/>
    </row>
    <row r="1629" customFormat="false" ht="15" hidden="false" customHeight="false" outlineLevel="0" collapsed="false">
      <c r="B1629" s="11"/>
      <c r="C1629" s="11"/>
      <c r="D1629" s="11"/>
      <c r="E1629" s="11"/>
      <c r="F1629" s="11"/>
      <c r="G1629" s="11"/>
      <c r="H1629" s="11"/>
      <c r="I1629" s="11"/>
      <c r="J1629" s="11"/>
      <c r="K1629" s="11"/>
      <c r="L1629" s="11"/>
      <c r="M1629" s="11"/>
      <c r="N1629" s="11"/>
    </row>
    <row r="1632" customFormat="false" ht="15" hidden="false" customHeight="false" outlineLevel="0" collapsed="false">
      <c r="B1632" s="11"/>
      <c r="C1632" s="11"/>
      <c r="D1632" s="11"/>
      <c r="E1632" s="11"/>
      <c r="F1632" s="11"/>
      <c r="G1632" s="11"/>
      <c r="H1632" s="11"/>
      <c r="I1632" s="11"/>
      <c r="J1632" s="11"/>
      <c r="K1632" s="11"/>
      <c r="L1632" s="11"/>
      <c r="M1632" s="11"/>
      <c r="N1632" s="11"/>
    </row>
    <row r="1633" customFormat="false" ht="15" hidden="false" customHeight="false" outlineLevel="0" collapsed="false">
      <c r="B1633" s="11"/>
      <c r="C1633" s="11"/>
      <c r="D1633" s="11"/>
      <c r="E1633" s="11"/>
      <c r="F1633" s="11"/>
      <c r="G1633" s="11"/>
      <c r="H1633" s="11"/>
      <c r="I1633" s="11"/>
      <c r="J1633" s="11"/>
      <c r="K1633" s="11"/>
      <c r="L1633" s="11"/>
      <c r="M1633" s="11"/>
      <c r="N1633" s="11"/>
    </row>
    <row r="1634" customFormat="false" ht="15" hidden="false" customHeight="false" outlineLevel="0" collapsed="false">
      <c r="B1634" s="11"/>
      <c r="C1634" s="11"/>
      <c r="D1634" s="11"/>
      <c r="E1634" s="11"/>
      <c r="F1634" s="11"/>
      <c r="G1634" s="11"/>
      <c r="H1634" s="11"/>
      <c r="I1634" s="11"/>
      <c r="J1634" s="11"/>
      <c r="K1634" s="11"/>
      <c r="L1634" s="11"/>
      <c r="M1634" s="11"/>
      <c r="N1634" s="11"/>
    </row>
    <row r="1635" customFormat="false" ht="15" hidden="false" customHeight="false" outlineLevel="0" collapsed="false">
      <c r="B1635" s="11"/>
      <c r="C1635" s="11"/>
      <c r="D1635" s="11"/>
      <c r="E1635" s="11"/>
      <c r="F1635" s="11"/>
      <c r="G1635" s="11"/>
      <c r="H1635" s="11"/>
      <c r="I1635" s="11"/>
      <c r="J1635" s="11"/>
      <c r="K1635" s="11"/>
      <c r="L1635" s="11"/>
      <c r="M1635" s="11"/>
      <c r="N1635" s="11"/>
    </row>
    <row r="1636" customFormat="false" ht="15" hidden="false" customHeight="false" outlineLevel="0" collapsed="false">
      <c r="B1636" s="11"/>
      <c r="C1636" s="11"/>
      <c r="D1636" s="11"/>
      <c r="E1636" s="11"/>
      <c r="F1636" s="11"/>
      <c r="G1636" s="11"/>
      <c r="H1636" s="11"/>
      <c r="I1636" s="11"/>
      <c r="J1636" s="11"/>
      <c r="K1636" s="11"/>
      <c r="L1636" s="11"/>
      <c r="M1636" s="11"/>
      <c r="N1636" s="11"/>
    </row>
    <row r="1637" customFormat="false" ht="15" hidden="false" customHeight="false" outlineLevel="0" collapsed="false">
      <c r="B1637" s="11"/>
      <c r="C1637" s="11"/>
      <c r="D1637" s="11"/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</row>
    <row r="1638" customFormat="false" ht="15" hidden="false" customHeight="false" outlineLevel="0" collapsed="false">
      <c r="B1638" s="11"/>
      <c r="C1638" s="11"/>
      <c r="D1638" s="11"/>
      <c r="E1638" s="11"/>
      <c r="F1638" s="11"/>
      <c r="G1638" s="11"/>
      <c r="H1638" s="11"/>
      <c r="I1638" s="11"/>
      <c r="J1638" s="11"/>
      <c r="K1638" s="11"/>
      <c r="L1638" s="11"/>
      <c r="M1638" s="11"/>
      <c r="N1638" s="11"/>
    </row>
    <row r="1639" customFormat="false" ht="15" hidden="false" customHeight="false" outlineLevel="0" collapsed="false">
      <c r="B1639" s="11"/>
      <c r="C1639" s="11"/>
      <c r="D1639" s="11"/>
      <c r="E1639" s="11"/>
      <c r="F1639" s="11"/>
      <c r="G1639" s="11"/>
      <c r="H1639" s="11"/>
      <c r="I1639" s="11"/>
      <c r="J1639" s="11"/>
      <c r="K1639" s="11"/>
      <c r="L1639" s="11"/>
      <c r="M1639" s="11"/>
      <c r="N1639" s="11"/>
    </row>
    <row r="1640" customFormat="false" ht="15" hidden="false" customHeight="false" outlineLevel="0" collapsed="false">
      <c r="B1640" s="11"/>
      <c r="C1640" s="11"/>
      <c r="D1640" s="11"/>
      <c r="E1640" s="11"/>
      <c r="F1640" s="11"/>
      <c r="G1640" s="11"/>
      <c r="H1640" s="11"/>
      <c r="I1640" s="11"/>
      <c r="J1640" s="11"/>
      <c r="K1640" s="11"/>
      <c r="L1640" s="11"/>
      <c r="M1640" s="11"/>
      <c r="N1640" s="11"/>
    </row>
    <row r="1641" customFormat="false" ht="15" hidden="false" customHeight="false" outlineLevel="0" collapsed="false">
      <c r="B1641" s="11"/>
      <c r="C1641" s="11"/>
      <c r="D1641" s="11"/>
      <c r="E1641" s="11"/>
      <c r="F1641" s="11"/>
      <c r="G1641" s="11"/>
      <c r="H1641" s="11"/>
      <c r="I1641" s="11"/>
      <c r="J1641" s="11"/>
      <c r="K1641" s="11"/>
      <c r="L1641" s="11"/>
      <c r="M1641" s="11"/>
      <c r="N1641" s="11"/>
    </row>
    <row r="1642" customFormat="false" ht="15" hidden="false" customHeight="false" outlineLevel="0" collapsed="false">
      <c r="B1642" s="11"/>
      <c r="C1642" s="11"/>
      <c r="D1642" s="11"/>
      <c r="E1642" s="11"/>
      <c r="F1642" s="11"/>
      <c r="G1642" s="11"/>
      <c r="H1642" s="11"/>
      <c r="I1642" s="11"/>
      <c r="J1642" s="11"/>
      <c r="K1642" s="11"/>
      <c r="L1642" s="11"/>
      <c r="M1642" s="11"/>
      <c r="N1642" s="11"/>
    </row>
    <row r="1643" customFormat="false" ht="15" hidden="false" customHeight="false" outlineLevel="0" collapsed="false">
      <c r="B1643" s="11"/>
      <c r="C1643" s="11"/>
      <c r="D1643" s="11"/>
      <c r="E1643" s="11"/>
      <c r="F1643" s="11"/>
      <c r="G1643" s="11"/>
      <c r="H1643" s="11"/>
      <c r="I1643" s="11"/>
      <c r="J1643" s="11"/>
      <c r="K1643" s="11"/>
      <c r="L1643" s="11"/>
      <c r="M1643" s="11"/>
      <c r="N1643" s="11"/>
    </row>
    <row r="1644" customFormat="false" ht="15" hidden="false" customHeight="false" outlineLevel="0" collapsed="false">
      <c r="B1644" s="11"/>
      <c r="C1644" s="11"/>
      <c r="D1644" s="11"/>
      <c r="E1644" s="11"/>
      <c r="F1644" s="11"/>
      <c r="G1644" s="11"/>
      <c r="H1644" s="11"/>
      <c r="I1644" s="11"/>
      <c r="J1644" s="11"/>
      <c r="K1644" s="11"/>
      <c r="L1644" s="11"/>
      <c r="M1644" s="11"/>
      <c r="N1644" s="11"/>
    </row>
    <row r="1645" customFormat="false" ht="15" hidden="false" customHeight="false" outlineLevel="0" collapsed="false">
      <c r="B1645" s="11"/>
      <c r="C1645" s="11"/>
      <c r="D1645" s="11"/>
      <c r="E1645" s="11"/>
      <c r="F1645" s="11"/>
      <c r="G1645" s="11"/>
      <c r="H1645" s="11"/>
      <c r="I1645" s="11"/>
      <c r="J1645" s="11"/>
      <c r="K1645" s="11"/>
      <c r="L1645" s="11"/>
      <c r="M1645" s="11"/>
      <c r="N1645" s="11"/>
    </row>
    <row r="1646" customFormat="false" ht="15" hidden="false" customHeight="false" outlineLevel="0" collapsed="false">
      <c r="B1646" s="11"/>
      <c r="C1646" s="11"/>
      <c r="D1646" s="11"/>
      <c r="E1646" s="11"/>
      <c r="F1646" s="11"/>
      <c r="G1646" s="11"/>
      <c r="H1646" s="11"/>
      <c r="I1646" s="11"/>
      <c r="J1646" s="11"/>
      <c r="K1646" s="11"/>
      <c r="L1646" s="11"/>
      <c r="M1646" s="11"/>
      <c r="N1646" s="11"/>
    </row>
    <row r="1647" customFormat="false" ht="15" hidden="false" customHeight="false" outlineLevel="0" collapsed="false">
      <c r="B1647" s="11"/>
      <c r="C1647" s="11"/>
      <c r="D1647" s="11"/>
      <c r="E1647" s="11"/>
      <c r="F1647" s="11"/>
      <c r="G1647" s="11"/>
      <c r="H1647" s="11"/>
      <c r="I1647" s="11"/>
      <c r="J1647" s="11"/>
      <c r="K1647" s="11"/>
      <c r="L1647" s="11"/>
      <c r="M1647" s="11"/>
      <c r="N1647" s="11"/>
    </row>
    <row r="1648" customFormat="false" ht="15" hidden="false" customHeight="false" outlineLevel="0" collapsed="false">
      <c r="B1648" s="11"/>
      <c r="C1648" s="11"/>
      <c r="D1648" s="11"/>
      <c r="E1648" s="11"/>
      <c r="F1648" s="11"/>
      <c r="G1648" s="11"/>
      <c r="H1648" s="11"/>
      <c r="I1648" s="11"/>
      <c r="J1648" s="11"/>
      <c r="K1648" s="11"/>
      <c r="L1648" s="11"/>
      <c r="M1648" s="11"/>
      <c r="N1648" s="11"/>
    </row>
    <row r="1649" customFormat="false" ht="15" hidden="false" customHeight="false" outlineLevel="0" collapsed="false">
      <c r="B1649" s="11"/>
      <c r="C1649" s="11"/>
      <c r="D1649" s="11"/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</row>
    <row r="1650" customFormat="false" ht="15" hidden="false" customHeight="false" outlineLevel="0" collapsed="false">
      <c r="B1650" s="11"/>
      <c r="C1650" s="11"/>
      <c r="D1650" s="11"/>
      <c r="E1650" s="11"/>
      <c r="F1650" s="11"/>
      <c r="G1650" s="11"/>
      <c r="H1650" s="11"/>
      <c r="I1650" s="11"/>
      <c r="J1650" s="11"/>
      <c r="K1650" s="11"/>
      <c r="L1650" s="11"/>
      <c r="M1650" s="11"/>
      <c r="N1650" s="11"/>
    </row>
    <row r="1652" customFormat="false" ht="15" hidden="false" customHeight="false" outlineLevel="0" collapsed="false">
      <c r="B1652" s="11"/>
      <c r="C1652" s="11"/>
      <c r="D1652" s="11"/>
      <c r="E1652" s="11"/>
      <c r="F1652" s="11"/>
      <c r="G1652" s="11"/>
      <c r="H1652" s="11"/>
      <c r="I1652" s="11"/>
      <c r="J1652" s="11"/>
      <c r="K1652" s="11"/>
      <c r="L1652" s="11"/>
      <c r="M1652" s="11"/>
      <c r="N1652" s="11"/>
    </row>
    <row r="1653" customFormat="false" ht="15" hidden="false" customHeight="false" outlineLevel="0" collapsed="false">
      <c r="B1653" s="11"/>
      <c r="C1653" s="11"/>
      <c r="D1653" s="11"/>
      <c r="E1653" s="11"/>
      <c r="F1653" s="11"/>
      <c r="G1653" s="11"/>
      <c r="H1653" s="11"/>
      <c r="I1653" s="11"/>
      <c r="J1653" s="11"/>
      <c r="K1653" s="11"/>
      <c r="L1653" s="11"/>
      <c r="M1653" s="11"/>
      <c r="N1653" s="11"/>
    </row>
    <row r="1654" customFormat="false" ht="15" hidden="false" customHeight="false" outlineLevel="0" collapsed="false">
      <c r="B1654" s="11"/>
      <c r="C1654" s="11"/>
      <c r="D1654" s="11"/>
      <c r="E1654" s="11"/>
      <c r="F1654" s="11"/>
      <c r="G1654" s="11"/>
      <c r="H1654" s="11"/>
      <c r="I1654" s="11"/>
      <c r="J1654" s="11"/>
      <c r="K1654" s="11"/>
      <c r="L1654" s="11"/>
      <c r="M1654" s="11"/>
      <c r="N1654" s="11"/>
    </row>
    <row r="1655" customFormat="false" ht="15" hidden="false" customHeight="false" outlineLevel="0" collapsed="false">
      <c r="B1655" s="11"/>
      <c r="C1655" s="11"/>
      <c r="D1655" s="11"/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</row>
    <row r="1656" customFormat="false" ht="15" hidden="false" customHeight="false" outlineLevel="0" collapsed="false">
      <c r="B1656" s="11"/>
      <c r="C1656" s="11"/>
      <c r="D1656" s="11"/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</row>
    <row r="1657" customFormat="false" ht="15" hidden="false" customHeight="false" outlineLevel="0" collapsed="false">
      <c r="B1657" s="11"/>
      <c r="C1657" s="11"/>
      <c r="D1657" s="11"/>
      <c r="E1657" s="11"/>
      <c r="F1657" s="11"/>
      <c r="G1657" s="11"/>
      <c r="H1657" s="11"/>
      <c r="I1657" s="11"/>
      <c r="J1657" s="11"/>
      <c r="K1657" s="11"/>
      <c r="L1657" s="11"/>
      <c r="M1657" s="11"/>
      <c r="N1657" s="11"/>
    </row>
    <row r="1658" customFormat="false" ht="15" hidden="false" customHeight="false" outlineLevel="0" collapsed="false">
      <c r="B1658" s="11"/>
      <c r="C1658" s="11"/>
      <c r="D1658" s="11"/>
      <c r="E1658" s="11"/>
      <c r="F1658" s="11"/>
      <c r="G1658" s="11"/>
      <c r="H1658" s="11"/>
      <c r="I1658" s="11"/>
      <c r="J1658" s="11"/>
      <c r="K1658" s="11"/>
      <c r="L1658" s="11"/>
      <c r="M1658" s="11"/>
      <c r="N1658" s="11"/>
    </row>
    <row r="1659" customFormat="false" ht="15" hidden="false" customHeight="false" outlineLevel="0" collapsed="false">
      <c r="B1659" s="11"/>
      <c r="C1659" s="11"/>
      <c r="D1659" s="11"/>
      <c r="E1659" s="11"/>
      <c r="F1659" s="11"/>
      <c r="G1659" s="11"/>
      <c r="H1659" s="11"/>
      <c r="I1659" s="11"/>
      <c r="J1659" s="11"/>
      <c r="K1659" s="11"/>
      <c r="L1659" s="11"/>
      <c r="M1659" s="11"/>
      <c r="N1659" s="11"/>
    </row>
    <row r="1660" customFormat="false" ht="15" hidden="false" customHeight="false" outlineLevel="0" collapsed="false">
      <c r="B1660" s="11"/>
      <c r="C1660" s="11"/>
      <c r="D1660" s="11"/>
      <c r="E1660" s="11"/>
      <c r="F1660" s="11"/>
      <c r="G1660" s="11"/>
      <c r="H1660" s="11"/>
      <c r="I1660" s="11"/>
      <c r="J1660" s="11"/>
      <c r="K1660" s="11"/>
      <c r="L1660" s="11"/>
      <c r="M1660" s="11"/>
      <c r="N1660" s="11"/>
    </row>
    <row r="1661" customFormat="false" ht="15" hidden="false" customHeight="false" outlineLevel="0" collapsed="false">
      <c r="B1661" s="11"/>
      <c r="C1661" s="11"/>
      <c r="D1661" s="11"/>
      <c r="E1661" s="11"/>
      <c r="F1661" s="11"/>
      <c r="G1661" s="11"/>
      <c r="H1661" s="11"/>
      <c r="I1661" s="11"/>
      <c r="J1661" s="11"/>
      <c r="K1661" s="11"/>
      <c r="L1661" s="11"/>
      <c r="M1661" s="11"/>
      <c r="N1661" s="11"/>
    </row>
    <row r="1664" customFormat="false" ht="15" hidden="false" customHeight="false" outlineLevel="0" collapsed="false">
      <c r="B1664" s="11"/>
      <c r="C1664" s="11"/>
      <c r="D1664" s="11"/>
      <c r="E1664" s="11"/>
      <c r="F1664" s="11"/>
      <c r="G1664" s="11"/>
      <c r="H1664" s="11"/>
      <c r="I1664" s="11"/>
      <c r="J1664" s="11"/>
      <c r="K1664" s="11"/>
      <c r="L1664" s="11"/>
      <c r="M1664" s="11"/>
      <c r="N1664" s="11"/>
    </row>
    <row r="1665" customFormat="false" ht="15" hidden="false" customHeight="false" outlineLevel="0" collapsed="false">
      <c r="B1665" s="11"/>
      <c r="C1665" s="11"/>
      <c r="D1665" s="11"/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</row>
    <row r="1666" customFormat="false" ht="15" hidden="false" customHeight="false" outlineLevel="0" collapsed="false">
      <c r="B1666" s="11"/>
      <c r="C1666" s="11"/>
      <c r="D1666" s="11"/>
      <c r="E1666" s="11"/>
      <c r="F1666" s="11"/>
      <c r="G1666" s="11"/>
      <c r="H1666" s="11"/>
      <c r="I1666" s="11"/>
      <c r="J1666" s="11"/>
      <c r="K1666" s="11"/>
      <c r="L1666" s="11"/>
      <c r="M1666" s="11"/>
      <c r="N1666" s="11"/>
    </row>
    <row r="1667" customFormat="false" ht="15" hidden="false" customHeight="false" outlineLevel="0" collapsed="false">
      <c r="B1667" s="11"/>
      <c r="C1667" s="11"/>
      <c r="D1667" s="11"/>
      <c r="E1667" s="11"/>
      <c r="F1667" s="11"/>
      <c r="G1667" s="11"/>
      <c r="H1667" s="11"/>
      <c r="I1667" s="11"/>
      <c r="J1667" s="11"/>
      <c r="K1667" s="11"/>
      <c r="L1667" s="11"/>
      <c r="M1667" s="11"/>
      <c r="N1667" s="11"/>
    </row>
    <row r="1668" customFormat="false" ht="15" hidden="false" customHeight="false" outlineLevel="0" collapsed="false">
      <c r="B1668" s="11"/>
      <c r="C1668" s="11"/>
      <c r="D1668" s="11"/>
      <c r="E1668" s="11"/>
      <c r="F1668" s="11"/>
      <c r="G1668" s="11"/>
      <c r="H1668" s="11"/>
      <c r="I1668" s="11"/>
      <c r="J1668" s="11"/>
      <c r="K1668" s="11"/>
      <c r="L1668" s="11"/>
      <c r="M1668" s="11"/>
      <c r="N1668" s="11"/>
    </row>
    <row r="1669" customFormat="false" ht="15" hidden="false" customHeight="false" outlineLevel="0" collapsed="false">
      <c r="B1669" s="11"/>
      <c r="C1669" s="11"/>
      <c r="D1669" s="11"/>
      <c r="E1669" s="11"/>
      <c r="F1669" s="11"/>
      <c r="G1669" s="11"/>
      <c r="H1669" s="11"/>
      <c r="I1669" s="11"/>
      <c r="J1669" s="11"/>
      <c r="K1669" s="11"/>
      <c r="L1669" s="11"/>
      <c r="M1669" s="11"/>
      <c r="N1669" s="11"/>
    </row>
    <row r="1670" customFormat="false" ht="15" hidden="false" customHeight="false" outlineLevel="0" collapsed="false">
      <c r="B1670" s="11"/>
      <c r="C1670" s="11"/>
      <c r="D1670" s="11"/>
      <c r="E1670" s="11"/>
      <c r="F1670" s="11"/>
      <c r="G1670" s="11"/>
      <c r="H1670" s="11"/>
      <c r="I1670" s="11"/>
      <c r="J1670" s="11"/>
      <c r="K1670" s="11"/>
      <c r="L1670" s="11"/>
      <c r="M1670" s="11"/>
      <c r="N1670" s="11"/>
    </row>
    <row r="1671" customFormat="false" ht="15" hidden="false" customHeight="false" outlineLevel="0" collapsed="false">
      <c r="B1671" s="11"/>
      <c r="C1671" s="11"/>
      <c r="D1671" s="11"/>
      <c r="E1671" s="11"/>
      <c r="F1671" s="11"/>
      <c r="G1671" s="11"/>
      <c r="H1671" s="11"/>
      <c r="I1671" s="11"/>
      <c r="J1671" s="11"/>
      <c r="K1671" s="11"/>
      <c r="L1671" s="11"/>
      <c r="M1671" s="11"/>
      <c r="N1671" s="11"/>
    </row>
    <row r="1672" customFormat="false" ht="15" hidden="false" customHeight="false" outlineLevel="0" collapsed="false">
      <c r="B1672" s="11"/>
      <c r="C1672" s="11"/>
      <c r="D1672" s="11"/>
      <c r="E1672" s="11"/>
      <c r="F1672" s="11"/>
      <c r="G1672" s="11"/>
      <c r="H1672" s="11"/>
      <c r="I1672" s="11"/>
      <c r="J1672" s="11"/>
      <c r="K1672" s="11"/>
      <c r="L1672" s="11"/>
      <c r="M1672" s="11"/>
      <c r="N1672" s="11"/>
    </row>
    <row r="1673" customFormat="false" ht="15" hidden="false" customHeight="false" outlineLevel="0" collapsed="false">
      <c r="B1673" s="11"/>
      <c r="C1673" s="11"/>
      <c r="D1673" s="11"/>
      <c r="E1673" s="11"/>
      <c r="F1673" s="11"/>
      <c r="G1673" s="11"/>
      <c r="H1673" s="11"/>
      <c r="I1673" s="11"/>
      <c r="J1673" s="11"/>
      <c r="K1673" s="11"/>
      <c r="L1673" s="11"/>
      <c r="M1673" s="11"/>
      <c r="N1673" s="11"/>
    </row>
    <row r="1674" customFormat="false" ht="15" hidden="false" customHeight="false" outlineLevel="0" collapsed="false">
      <c r="B1674" s="11"/>
      <c r="C1674" s="11"/>
      <c r="D1674" s="11"/>
      <c r="E1674" s="11"/>
      <c r="F1674" s="11"/>
      <c r="G1674" s="11"/>
      <c r="H1674" s="11"/>
      <c r="I1674" s="11"/>
      <c r="J1674" s="11"/>
      <c r="K1674" s="11"/>
      <c r="L1674" s="11"/>
      <c r="M1674" s="11"/>
      <c r="N1674" s="11"/>
    </row>
    <row r="1675" customFormat="false" ht="15" hidden="false" customHeight="false" outlineLevel="0" collapsed="false">
      <c r="B1675" s="11"/>
      <c r="C1675" s="11"/>
      <c r="D1675" s="11"/>
      <c r="E1675" s="11"/>
      <c r="F1675" s="11"/>
      <c r="G1675" s="11"/>
      <c r="H1675" s="11"/>
      <c r="I1675" s="11"/>
      <c r="J1675" s="11"/>
      <c r="K1675" s="11"/>
      <c r="L1675" s="11"/>
      <c r="M1675" s="11"/>
      <c r="N1675" s="11"/>
    </row>
    <row r="1676" customFormat="false" ht="15" hidden="false" customHeight="false" outlineLevel="0" collapsed="false">
      <c r="B1676" s="11"/>
      <c r="C1676" s="11"/>
      <c r="D1676" s="11"/>
      <c r="E1676" s="11"/>
      <c r="F1676" s="11"/>
      <c r="G1676" s="11"/>
      <c r="H1676" s="11"/>
      <c r="I1676" s="11"/>
      <c r="J1676" s="11"/>
      <c r="K1676" s="11"/>
      <c r="L1676" s="11"/>
      <c r="M1676" s="11"/>
      <c r="N1676" s="11"/>
    </row>
    <row r="1677" customFormat="false" ht="15" hidden="false" customHeight="false" outlineLevel="0" collapsed="false">
      <c r="B1677" s="11"/>
      <c r="C1677" s="11"/>
      <c r="D1677" s="11"/>
      <c r="E1677" s="11"/>
      <c r="F1677" s="11"/>
      <c r="G1677" s="11"/>
      <c r="H1677" s="11"/>
      <c r="I1677" s="11"/>
      <c r="J1677" s="11"/>
      <c r="K1677" s="11"/>
      <c r="L1677" s="11"/>
      <c r="M1677" s="11"/>
      <c r="N1677" s="11"/>
    </row>
    <row r="1678" customFormat="false" ht="15" hidden="false" customHeight="false" outlineLevel="0" collapsed="false">
      <c r="B1678" s="11"/>
      <c r="C1678" s="11"/>
      <c r="D1678" s="11"/>
      <c r="E1678" s="11"/>
      <c r="F1678" s="11"/>
      <c r="G1678" s="11"/>
      <c r="H1678" s="11"/>
      <c r="I1678" s="11"/>
      <c r="J1678" s="11"/>
      <c r="K1678" s="11"/>
      <c r="L1678" s="11"/>
      <c r="M1678" s="11"/>
      <c r="N1678" s="11"/>
    </row>
    <row r="1679" customFormat="false" ht="15" hidden="false" customHeight="false" outlineLevel="0" collapsed="false">
      <c r="B1679" s="11"/>
      <c r="C1679" s="11"/>
      <c r="D1679" s="11"/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</row>
    <row r="1680" customFormat="false" ht="15" hidden="false" customHeight="false" outlineLevel="0" collapsed="false">
      <c r="B1680" s="11"/>
      <c r="C1680" s="11"/>
      <c r="D1680" s="11"/>
      <c r="E1680" s="11"/>
      <c r="F1680" s="11"/>
      <c r="G1680" s="11"/>
      <c r="H1680" s="11"/>
      <c r="I1680" s="11"/>
      <c r="J1680" s="11"/>
      <c r="K1680" s="11"/>
      <c r="L1680" s="11"/>
      <c r="M1680" s="11"/>
      <c r="N1680" s="11"/>
    </row>
    <row r="1681" customFormat="false" ht="15" hidden="false" customHeight="false" outlineLevel="0" collapsed="false">
      <c r="B1681" s="11"/>
      <c r="C1681" s="11"/>
      <c r="D1681" s="11"/>
      <c r="E1681" s="11"/>
      <c r="F1681" s="11"/>
      <c r="G1681" s="11"/>
      <c r="H1681" s="11"/>
      <c r="I1681" s="11"/>
      <c r="J1681" s="11"/>
      <c r="K1681" s="11"/>
      <c r="L1681" s="11"/>
      <c r="M1681" s="11"/>
      <c r="N1681" s="11"/>
    </row>
    <row r="1682" customFormat="false" ht="15" hidden="false" customHeight="false" outlineLevel="0" collapsed="false">
      <c r="B1682" s="11"/>
      <c r="C1682" s="11"/>
      <c r="D1682" s="11"/>
      <c r="E1682" s="11"/>
      <c r="F1682" s="11"/>
      <c r="G1682" s="11"/>
      <c r="H1682" s="11"/>
      <c r="I1682" s="11"/>
      <c r="J1682" s="11"/>
      <c r="K1682" s="11"/>
      <c r="L1682" s="11"/>
      <c r="M1682" s="11"/>
      <c r="N1682" s="11"/>
    </row>
    <row r="1684" customFormat="false" ht="15" hidden="false" customHeight="false" outlineLevel="0" collapsed="false">
      <c r="B1684" s="11"/>
      <c r="C1684" s="11"/>
      <c r="D1684" s="11"/>
      <c r="E1684" s="11"/>
      <c r="F1684" s="11"/>
      <c r="G1684" s="11"/>
      <c r="H1684" s="11"/>
      <c r="I1684" s="11"/>
      <c r="J1684" s="11"/>
      <c r="K1684" s="11"/>
      <c r="L1684" s="11"/>
      <c r="M1684" s="11"/>
      <c r="N1684" s="11"/>
    </row>
    <row r="1685" customFormat="false" ht="15" hidden="false" customHeight="false" outlineLevel="0" collapsed="false">
      <c r="B1685" s="11"/>
      <c r="C1685" s="11"/>
      <c r="D1685" s="11"/>
      <c r="E1685" s="11"/>
      <c r="F1685" s="11"/>
      <c r="G1685" s="11"/>
      <c r="H1685" s="11"/>
      <c r="I1685" s="11"/>
      <c r="J1685" s="11"/>
      <c r="K1685" s="11"/>
      <c r="L1685" s="11"/>
      <c r="M1685" s="11"/>
      <c r="N1685" s="11"/>
    </row>
    <row r="1686" customFormat="false" ht="15" hidden="false" customHeight="false" outlineLevel="0" collapsed="false">
      <c r="B1686" s="11"/>
      <c r="C1686" s="11"/>
      <c r="D1686" s="11"/>
      <c r="E1686" s="11"/>
      <c r="F1686" s="11"/>
      <c r="G1686" s="11"/>
      <c r="H1686" s="11"/>
      <c r="I1686" s="11"/>
      <c r="J1686" s="11"/>
      <c r="K1686" s="11"/>
      <c r="L1686" s="11"/>
      <c r="M1686" s="11"/>
      <c r="N1686" s="11"/>
    </row>
    <row r="1687" customFormat="false" ht="15" hidden="false" customHeight="false" outlineLevel="0" collapsed="false">
      <c r="B1687" s="11"/>
      <c r="C1687" s="11"/>
      <c r="D1687" s="11"/>
      <c r="E1687" s="11"/>
      <c r="F1687" s="11"/>
      <c r="G1687" s="11"/>
      <c r="H1687" s="11"/>
      <c r="I1687" s="11"/>
      <c r="J1687" s="11"/>
      <c r="K1687" s="11"/>
      <c r="L1687" s="11"/>
      <c r="M1687" s="11"/>
      <c r="N1687" s="11"/>
    </row>
    <row r="1688" customFormat="false" ht="15" hidden="false" customHeight="false" outlineLevel="0" collapsed="false">
      <c r="B1688" s="11"/>
      <c r="C1688" s="11"/>
      <c r="D1688" s="11"/>
      <c r="E1688" s="11"/>
      <c r="F1688" s="11"/>
      <c r="G1688" s="11"/>
      <c r="H1688" s="11"/>
      <c r="I1688" s="11"/>
      <c r="J1688" s="11"/>
      <c r="K1688" s="11"/>
      <c r="L1688" s="11"/>
      <c r="M1688" s="11"/>
      <c r="N1688" s="11"/>
    </row>
    <row r="1689" customFormat="false" ht="15" hidden="false" customHeight="false" outlineLevel="0" collapsed="false">
      <c r="B1689" s="11"/>
      <c r="C1689" s="11"/>
      <c r="D1689" s="11"/>
      <c r="E1689" s="11"/>
      <c r="F1689" s="11"/>
      <c r="G1689" s="11"/>
      <c r="H1689" s="11"/>
      <c r="I1689" s="11"/>
      <c r="J1689" s="11"/>
      <c r="K1689" s="11"/>
      <c r="L1689" s="11"/>
      <c r="M1689" s="11"/>
      <c r="N1689" s="11"/>
    </row>
    <row r="1690" customFormat="false" ht="15" hidden="false" customHeight="false" outlineLevel="0" collapsed="false">
      <c r="B1690" s="11"/>
      <c r="C1690" s="11"/>
      <c r="D1690" s="11"/>
      <c r="E1690" s="11"/>
      <c r="F1690" s="11"/>
      <c r="G1690" s="11"/>
      <c r="H1690" s="11"/>
      <c r="I1690" s="11"/>
      <c r="J1690" s="11"/>
      <c r="K1690" s="11"/>
      <c r="L1690" s="11"/>
      <c r="M1690" s="11"/>
      <c r="N1690" s="11"/>
    </row>
    <row r="1691" customFormat="false" ht="15" hidden="false" customHeight="false" outlineLevel="0" collapsed="false">
      <c r="B1691" s="11"/>
      <c r="C1691" s="11"/>
      <c r="D1691" s="11"/>
      <c r="E1691" s="11"/>
      <c r="F1691" s="11"/>
      <c r="G1691" s="11"/>
      <c r="H1691" s="11"/>
      <c r="I1691" s="11"/>
      <c r="J1691" s="11"/>
      <c r="K1691" s="11"/>
      <c r="L1691" s="11"/>
      <c r="M1691" s="11"/>
      <c r="N1691" s="11"/>
    </row>
    <row r="1692" customFormat="false" ht="15" hidden="false" customHeight="false" outlineLevel="0" collapsed="false">
      <c r="B1692" s="11"/>
      <c r="C1692" s="11"/>
      <c r="D1692" s="11"/>
      <c r="E1692" s="11"/>
      <c r="F1692" s="11"/>
      <c r="G1692" s="11"/>
      <c r="H1692" s="11"/>
      <c r="I1692" s="11"/>
      <c r="J1692" s="11"/>
      <c r="K1692" s="11"/>
      <c r="L1692" s="11"/>
      <c r="M1692" s="11"/>
      <c r="N1692" s="11"/>
    </row>
    <row r="1693" customFormat="false" ht="15" hidden="false" customHeight="false" outlineLevel="0" collapsed="false">
      <c r="B1693" s="11"/>
      <c r="C1693" s="11"/>
      <c r="D1693" s="11"/>
      <c r="E1693" s="11"/>
      <c r="F1693" s="11"/>
      <c r="G1693" s="11"/>
      <c r="H1693" s="11"/>
      <c r="I1693" s="11"/>
      <c r="J1693" s="11"/>
      <c r="K1693" s="11"/>
      <c r="L1693" s="11"/>
      <c r="M1693" s="11"/>
      <c r="N1693" s="11"/>
    </row>
    <row r="1696" customFormat="false" ht="15" hidden="false" customHeight="false" outlineLevel="0" collapsed="false">
      <c r="B1696" s="11"/>
      <c r="C1696" s="11"/>
      <c r="D1696" s="11"/>
      <c r="E1696" s="11"/>
      <c r="F1696" s="11"/>
      <c r="G1696" s="11"/>
      <c r="H1696" s="11"/>
      <c r="I1696" s="11"/>
      <c r="J1696" s="11"/>
      <c r="K1696" s="11"/>
      <c r="L1696" s="11"/>
      <c r="M1696" s="11"/>
      <c r="N1696" s="11"/>
    </row>
    <row r="1697" customFormat="false" ht="15" hidden="false" customHeight="false" outlineLevel="0" collapsed="false">
      <c r="B1697" s="11"/>
      <c r="C1697" s="11"/>
      <c r="D1697" s="11"/>
      <c r="E1697" s="11"/>
      <c r="F1697" s="11"/>
      <c r="G1697" s="11"/>
      <c r="H1697" s="11"/>
      <c r="I1697" s="11"/>
      <c r="J1697" s="11"/>
      <c r="K1697" s="11"/>
      <c r="L1697" s="11"/>
      <c r="M1697" s="11"/>
      <c r="N1697" s="11"/>
    </row>
    <row r="1698" customFormat="false" ht="15" hidden="false" customHeight="false" outlineLevel="0" collapsed="false">
      <c r="B1698" s="11"/>
      <c r="C1698" s="11"/>
      <c r="D1698" s="11"/>
      <c r="E1698" s="11"/>
      <c r="F1698" s="11"/>
      <c r="G1698" s="11"/>
      <c r="H1698" s="11"/>
      <c r="I1698" s="11"/>
      <c r="J1698" s="11"/>
      <c r="K1698" s="11"/>
      <c r="L1698" s="11"/>
      <c r="M1698" s="11"/>
      <c r="N1698" s="11"/>
    </row>
    <row r="1699" customFormat="false" ht="15" hidden="false" customHeight="false" outlineLevel="0" collapsed="false">
      <c r="B1699" s="11"/>
      <c r="C1699" s="11"/>
      <c r="D1699" s="11"/>
      <c r="E1699" s="11"/>
      <c r="F1699" s="11"/>
      <c r="G1699" s="11"/>
      <c r="H1699" s="11"/>
      <c r="I1699" s="11"/>
      <c r="J1699" s="11"/>
      <c r="K1699" s="11"/>
      <c r="L1699" s="11"/>
      <c r="M1699" s="11"/>
      <c r="N1699" s="11"/>
    </row>
    <row r="1700" customFormat="false" ht="15" hidden="false" customHeight="false" outlineLevel="0" collapsed="false">
      <c r="B1700" s="11"/>
      <c r="C1700" s="11"/>
      <c r="D1700" s="11"/>
      <c r="E1700" s="11"/>
      <c r="F1700" s="11"/>
      <c r="G1700" s="11"/>
      <c r="H1700" s="11"/>
      <c r="I1700" s="11"/>
      <c r="J1700" s="11"/>
      <c r="K1700" s="11"/>
      <c r="L1700" s="11"/>
      <c r="M1700" s="11"/>
      <c r="N1700" s="11"/>
    </row>
    <row r="1701" customFormat="false" ht="15" hidden="false" customHeight="false" outlineLevel="0" collapsed="false">
      <c r="B1701" s="11"/>
      <c r="C1701" s="11"/>
      <c r="D1701" s="11"/>
      <c r="E1701" s="11"/>
      <c r="F1701" s="11"/>
      <c r="G1701" s="11"/>
      <c r="H1701" s="11"/>
      <c r="I1701" s="11"/>
      <c r="J1701" s="11"/>
      <c r="K1701" s="11"/>
      <c r="L1701" s="11"/>
      <c r="M1701" s="11"/>
      <c r="N1701" s="11"/>
    </row>
    <row r="1702" customFormat="false" ht="15" hidden="false" customHeight="false" outlineLevel="0" collapsed="false">
      <c r="B1702" s="11"/>
      <c r="C1702" s="11"/>
      <c r="D1702" s="11"/>
      <c r="E1702" s="11"/>
      <c r="F1702" s="11"/>
      <c r="G1702" s="11"/>
      <c r="H1702" s="11"/>
      <c r="I1702" s="11"/>
      <c r="J1702" s="11"/>
      <c r="K1702" s="11"/>
      <c r="L1702" s="11"/>
      <c r="M1702" s="11"/>
      <c r="N1702" s="11"/>
    </row>
    <row r="1703" customFormat="false" ht="15" hidden="false" customHeight="false" outlineLevel="0" collapsed="false">
      <c r="B1703" s="11"/>
      <c r="C1703" s="11"/>
      <c r="D1703" s="11"/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</row>
    <row r="1704" customFormat="false" ht="15" hidden="false" customHeight="false" outlineLevel="0" collapsed="false">
      <c r="B1704" s="11"/>
      <c r="C1704" s="11"/>
      <c r="D1704" s="11"/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</row>
    <row r="1705" customFormat="false" ht="15" hidden="false" customHeight="false" outlineLevel="0" collapsed="false">
      <c r="B1705" s="11"/>
      <c r="C1705" s="11"/>
      <c r="D1705" s="11"/>
      <c r="E1705" s="11"/>
      <c r="F1705" s="11"/>
      <c r="G1705" s="11"/>
      <c r="H1705" s="11"/>
      <c r="I1705" s="11"/>
      <c r="J1705" s="11"/>
      <c r="K1705" s="11"/>
      <c r="L1705" s="11"/>
      <c r="M1705" s="11"/>
      <c r="N1705" s="11"/>
    </row>
    <row r="1706" customFormat="false" ht="15" hidden="false" customHeight="false" outlineLevel="0" collapsed="false">
      <c r="B1706" s="11"/>
      <c r="C1706" s="11"/>
      <c r="D1706" s="11"/>
      <c r="E1706" s="11"/>
      <c r="F1706" s="11"/>
      <c r="G1706" s="11"/>
      <c r="H1706" s="11"/>
      <c r="I1706" s="11"/>
      <c r="J1706" s="11"/>
      <c r="K1706" s="11"/>
      <c r="L1706" s="11"/>
      <c r="M1706" s="11"/>
      <c r="N1706" s="11"/>
    </row>
    <row r="1707" customFormat="false" ht="15" hidden="false" customHeight="false" outlineLevel="0" collapsed="false">
      <c r="B1707" s="11"/>
      <c r="C1707" s="11"/>
      <c r="D1707" s="11"/>
      <c r="E1707" s="11"/>
      <c r="F1707" s="11"/>
      <c r="G1707" s="11"/>
      <c r="H1707" s="11"/>
      <c r="I1707" s="11"/>
      <c r="J1707" s="11"/>
      <c r="K1707" s="11"/>
      <c r="L1707" s="11"/>
      <c r="M1707" s="11"/>
      <c r="N1707" s="11"/>
    </row>
    <row r="1708" customFormat="false" ht="15" hidden="false" customHeight="false" outlineLevel="0" collapsed="false">
      <c r="B1708" s="11"/>
      <c r="C1708" s="11"/>
      <c r="D1708" s="11"/>
      <c r="E1708" s="11"/>
      <c r="F1708" s="11"/>
      <c r="G1708" s="11"/>
      <c r="H1708" s="11"/>
      <c r="I1708" s="11"/>
      <c r="J1708" s="11"/>
      <c r="K1708" s="11"/>
      <c r="L1708" s="11"/>
      <c r="M1708" s="11"/>
      <c r="N1708" s="11"/>
    </row>
    <row r="1709" customFormat="false" ht="15" hidden="false" customHeight="false" outlineLevel="0" collapsed="false">
      <c r="B1709" s="11"/>
      <c r="C1709" s="11"/>
      <c r="D1709" s="11"/>
      <c r="E1709" s="11"/>
      <c r="F1709" s="11"/>
      <c r="G1709" s="11"/>
      <c r="H1709" s="11"/>
      <c r="I1709" s="11"/>
      <c r="J1709" s="11"/>
      <c r="K1709" s="11"/>
      <c r="L1709" s="11"/>
      <c r="M1709" s="11"/>
      <c r="N1709" s="11"/>
    </row>
    <row r="1710" customFormat="false" ht="15" hidden="false" customHeight="false" outlineLevel="0" collapsed="false">
      <c r="B1710" s="11"/>
      <c r="C1710" s="11"/>
      <c r="D1710" s="11"/>
      <c r="E1710" s="11"/>
      <c r="F1710" s="11"/>
      <c r="G1710" s="11"/>
      <c r="H1710" s="11"/>
      <c r="I1710" s="11"/>
      <c r="J1710" s="11"/>
      <c r="K1710" s="11"/>
      <c r="L1710" s="11"/>
      <c r="M1710" s="11"/>
      <c r="N1710" s="11"/>
    </row>
    <row r="1711" customFormat="false" ht="15" hidden="false" customHeight="false" outlineLevel="0" collapsed="false">
      <c r="B1711" s="11"/>
      <c r="C1711" s="11"/>
      <c r="D1711" s="11"/>
      <c r="E1711" s="11"/>
      <c r="F1711" s="11"/>
      <c r="G1711" s="11"/>
      <c r="H1711" s="11"/>
      <c r="I1711" s="11"/>
      <c r="J1711" s="11"/>
      <c r="K1711" s="11"/>
      <c r="L1711" s="11"/>
      <c r="M1711" s="11"/>
      <c r="N1711" s="11"/>
    </row>
    <row r="1712" customFormat="false" ht="15" hidden="false" customHeight="false" outlineLevel="0" collapsed="false">
      <c r="B1712" s="11"/>
      <c r="C1712" s="11"/>
      <c r="D1712" s="11"/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</row>
    <row r="1713" customFormat="false" ht="15" hidden="false" customHeight="false" outlineLevel="0" collapsed="false">
      <c r="B1713" s="11"/>
      <c r="C1713" s="11"/>
      <c r="D1713" s="11"/>
      <c r="E1713" s="11"/>
      <c r="F1713" s="11"/>
      <c r="G1713" s="11"/>
      <c r="H1713" s="11"/>
      <c r="I1713" s="11"/>
      <c r="J1713" s="11"/>
      <c r="K1713" s="11"/>
      <c r="L1713" s="11"/>
      <c r="M1713" s="11"/>
      <c r="N1713" s="11"/>
    </row>
    <row r="1714" customFormat="false" ht="15" hidden="false" customHeight="false" outlineLevel="0" collapsed="false">
      <c r="B1714" s="11"/>
      <c r="C1714" s="11"/>
      <c r="D1714" s="11"/>
      <c r="E1714" s="11"/>
      <c r="F1714" s="11"/>
      <c r="G1714" s="11"/>
      <c r="H1714" s="11"/>
      <c r="I1714" s="11"/>
      <c r="J1714" s="11"/>
      <c r="K1714" s="11"/>
      <c r="L1714" s="11"/>
      <c r="M1714" s="11"/>
      <c r="N1714" s="11"/>
    </row>
    <row r="1716" customFormat="false" ht="15" hidden="false" customHeight="false" outlineLevel="0" collapsed="false">
      <c r="B1716" s="11"/>
      <c r="C1716" s="11"/>
      <c r="D1716" s="11"/>
      <c r="E1716" s="11"/>
      <c r="F1716" s="11"/>
      <c r="G1716" s="11"/>
      <c r="H1716" s="11"/>
      <c r="I1716" s="11"/>
      <c r="J1716" s="11"/>
      <c r="K1716" s="11"/>
      <c r="L1716" s="11"/>
      <c r="M1716" s="11"/>
      <c r="N1716" s="11"/>
    </row>
    <row r="1717" customFormat="false" ht="15" hidden="false" customHeight="false" outlineLevel="0" collapsed="false">
      <c r="B1717" s="11"/>
      <c r="C1717" s="11"/>
      <c r="D1717" s="11"/>
      <c r="E1717" s="11"/>
      <c r="F1717" s="11"/>
      <c r="G1717" s="11"/>
      <c r="H1717" s="11"/>
      <c r="I1717" s="11"/>
      <c r="J1717" s="11"/>
      <c r="K1717" s="11"/>
      <c r="L1717" s="11"/>
      <c r="M1717" s="11"/>
      <c r="N1717" s="11"/>
    </row>
    <row r="1718" customFormat="false" ht="15" hidden="false" customHeight="false" outlineLevel="0" collapsed="false">
      <c r="B1718" s="11"/>
      <c r="C1718" s="11"/>
      <c r="D1718" s="11"/>
      <c r="E1718" s="11"/>
      <c r="F1718" s="11"/>
      <c r="G1718" s="11"/>
      <c r="H1718" s="11"/>
      <c r="I1718" s="11"/>
      <c r="J1718" s="11"/>
      <c r="K1718" s="11"/>
      <c r="L1718" s="11"/>
      <c r="M1718" s="11"/>
      <c r="N1718" s="11"/>
    </row>
    <row r="1719" customFormat="false" ht="15" hidden="false" customHeight="false" outlineLevel="0" collapsed="false">
      <c r="B1719" s="11"/>
      <c r="C1719" s="11"/>
      <c r="D1719" s="11"/>
      <c r="E1719" s="11"/>
      <c r="F1719" s="11"/>
      <c r="G1719" s="11"/>
      <c r="H1719" s="11"/>
      <c r="I1719" s="11"/>
      <c r="J1719" s="11"/>
      <c r="K1719" s="11"/>
      <c r="L1719" s="11"/>
      <c r="M1719" s="11"/>
      <c r="N1719" s="11"/>
    </row>
    <row r="1720" customFormat="false" ht="15" hidden="false" customHeight="false" outlineLevel="0" collapsed="false">
      <c r="B1720" s="11"/>
      <c r="C1720" s="11"/>
      <c r="D1720" s="11"/>
      <c r="E1720" s="11"/>
      <c r="F1720" s="11"/>
      <c r="G1720" s="11"/>
      <c r="H1720" s="11"/>
      <c r="I1720" s="11"/>
      <c r="J1720" s="11"/>
      <c r="K1720" s="11"/>
      <c r="L1720" s="11"/>
      <c r="M1720" s="11"/>
      <c r="N1720" s="11"/>
    </row>
    <row r="1721" customFormat="false" ht="15" hidden="false" customHeight="false" outlineLevel="0" collapsed="false">
      <c r="B1721" s="11"/>
      <c r="C1721" s="11"/>
      <c r="D1721" s="11"/>
      <c r="E1721" s="11"/>
      <c r="F1721" s="11"/>
      <c r="G1721" s="11"/>
      <c r="H1721" s="11"/>
      <c r="I1721" s="11"/>
      <c r="J1721" s="11"/>
      <c r="K1721" s="11"/>
      <c r="L1721" s="11"/>
      <c r="M1721" s="11"/>
      <c r="N1721" s="11"/>
    </row>
    <row r="1722" customFormat="false" ht="15" hidden="false" customHeight="false" outlineLevel="0" collapsed="false">
      <c r="B1722" s="11"/>
      <c r="C1722" s="11"/>
      <c r="D1722" s="11"/>
      <c r="E1722" s="11"/>
      <c r="F1722" s="11"/>
      <c r="G1722" s="11"/>
      <c r="H1722" s="11"/>
      <c r="I1722" s="11"/>
      <c r="J1722" s="11"/>
      <c r="K1722" s="11"/>
      <c r="L1722" s="11"/>
      <c r="M1722" s="11"/>
      <c r="N1722" s="11"/>
    </row>
    <row r="1723" customFormat="false" ht="15" hidden="false" customHeight="false" outlineLevel="0" collapsed="false">
      <c r="B1723" s="11"/>
      <c r="C1723" s="11"/>
      <c r="D1723" s="11"/>
      <c r="E1723" s="11"/>
      <c r="F1723" s="11"/>
      <c r="G1723" s="11"/>
      <c r="H1723" s="11"/>
      <c r="I1723" s="11"/>
      <c r="J1723" s="11"/>
      <c r="K1723" s="11"/>
      <c r="L1723" s="11"/>
      <c r="M1723" s="11"/>
      <c r="N1723" s="11"/>
    </row>
    <row r="1724" customFormat="false" ht="15" hidden="false" customHeight="false" outlineLevel="0" collapsed="false">
      <c r="B1724" s="11"/>
      <c r="C1724" s="11"/>
      <c r="D1724" s="11"/>
      <c r="E1724" s="11"/>
      <c r="F1724" s="11"/>
      <c r="G1724" s="11"/>
      <c r="H1724" s="11"/>
      <c r="I1724" s="11"/>
      <c r="J1724" s="11"/>
      <c r="K1724" s="11"/>
      <c r="L1724" s="11"/>
      <c r="M1724" s="11"/>
      <c r="N1724" s="11"/>
    </row>
    <row r="1725" customFormat="false" ht="15" hidden="false" customHeight="false" outlineLevel="0" collapsed="false">
      <c r="B1725" s="11"/>
      <c r="C1725" s="11"/>
      <c r="D1725" s="11"/>
      <c r="E1725" s="11"/>
      <c r="F1725" s="11"/>
      <c r="G1725" s="11"/>
      <c r="H1725" s="11"/>
      <c r="I1725" s="11"/>
      <c r="J1725" s="11"/>
      <c r="K1725" s="11"/>
      <c r="L1725" s="11"/>
      <c r="M1725" s="11"/>
      <c r="N1725" s="11"/>
    </row>
    <row r="1728" customFormat="false" ht="15" hidden="false" customHeight="false" outlineLevel="0" collapsed="false">
      <c r="B1728" s="11"/>
      <c r="C1728" s="11"/>
      <c r="D1728" s="11"/>
      <c r="E1728" s="11"/>
      <c r="F1728" s="11"/>
      <c r="G1728" s="11"/>
      <c r="H1728" s="11"/>
      <c r="I1728" s="11"/>
      <c r="J1728" s="11"/>
      <c r="K1728" s="11"/>
      <c r="L1728" s="11"/>
      <c r="M1728" s="11"/>
      <c r="N1728" s="11"/>
    </row>
    <row r="1729" customFormat="false" ht="15" hidden="false" customHeight="false" outlineLevel="0" collapsed="false">
      <c r="B1729" s="11"/>
      <c r="C1729" s="11"/>
      <c r="D1729" s="11"/>
      <c r="E1729" s="11"/>
      <c r="F1729" s="11"/>
      <c r="G1729" s="11"/>
      <c r="H1729" s="11"/>
      <c r="I1729" s="11"/>
      <c r="J1729" s="11"/>
      <c r="K1729" s="11"/>
      <c r="L1729" s="11"/>
      <c r="M1729" s="11"/>
      <c r="N1729" s="11"/>
    </row>
    <row r="1730" customFormat="false" ht="15" hidden="false" customHeight="false" outlineLevel="0" collapsed="false">
      <c r="B1730" s="11"/>
      <c r="C1730" s="11"/>
      <c r="D1730" s="11"/>
      <c r="E1730" s="11"/>
      <c r="F1730" s="11"/>
      <c r="G1730" s="11"/>
      <c r="H1730" s="11"/>
      <c r="I1730" s="11"/>
      <c r="J1730" s="11"/>
      <c r="K1730" s="11"/>
      <c r="L1730" s="11"/>
      <c r="M1730" s="11"/>
      <c r="N1730" s="11"/>
    </row>
    <row r="1731" customFormat="false" ht="15" hidden="false" customHeight="false" outlineLevel="0" collapsed="false">
      <c r="B1731" s="11"/>
      <c r="C1731" s="11"/>
      <c r="D1731" s="11"/>
      <c r="E1731" s="11"/>
      <c r="F1731" s="11"/>
      <c r="G1731" s="11"/>
      <c r="H1731" s="11"/>
      <c r="I1731" s="11"/>
      <c r="J1731" s="11"/>
      <c r="K1731" s="11"/>
      <c r="L1731" s="11"/>
      <c r="M1731" s="11"/>
      <c r="N1731" s="11"/>
    </row>
    <row r="1732" customFormat="false" ht="15" hidden="false" customHeight="false" outlineLevel="0" collapsed="false">
      <c r="B1732" s="11"/>
      <c r="C1732" s="11"/>
      <c r="D1732" s="11"/>
      <c r="E1732" s="11"/>
      <c r="F1732" s="11"/>
      <c r="G1732" s="11"/>
      <c r="H1732" s="11"/>
      <c r="I1732" s="11"/>
      <c r="J1732" s="11"/>
      <c r="K1732" s="11"/>
      <c r="L1732" s="11"/>
      <c r="M1732" s="11"/>
      <c r="N1732" s="11"/>
    </row>
    <row r="1733" customFormat="false" ht="15" hidden="false" customHeight="false" outlineLevel="0" collapsed="false">
      <c r="B1733" s="11"/>
      <c r="C1733" s="11"/>
      <c r="D1733" s="11"/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</row>
    <row r="1734" customFormat="false" ht="15" hidden="false" customHeight="false" outlineLevel="0" collapsed="false">
      <c r="B1734" s="11"/>
      <c r="C1734" s="11"/>
      <c r="D1734" s="11"/>
      <c r="E1734" s="11"/>
      <c r="F1734" s="11"/>
      <c r="G1734" s="11"/>
      <c r="H1734" s="11"/>
      <c r="I1734" s="11"/>
      <c r="J1734" s="11"/>
      <c r="K1734" s="11"/>
      <c r="L1734" s="11"/>
      <c r="M1734" s="11"/>
      <c r="N1734" s="11"/>
    </row>
    <row r="1735" customFormat="false" ht="15" hidden="false" customHeight="false" outlineLevel="0" collapsed="false">
      <c r="B1735" s="11"/>
      <c r="C1735" s="11"/>
      <c r="D1735" s="11"/>
      <c r="E1735" s="11"/>
      <c r="F1735" s="11"/>
      <c r="G1735" s="11"/>
      <c r="H1735" s="11"/>
      <c r="I1735" s="11"/>
      <c r="J1735" s="11"/>
      <c r="K1735" s="11"/>
      <c r="L1735" s="11"/>
      <c r="M1735" s="11"/>
      <c r="N1735" s="11"/>
    </row>
    <row r="1736" customFormat="false" ht="15" hidden="false" customHeight="false" outlineLevel="0" collapsed="false">
      <c r="B1736" s="11"/>
      <c r="C1736" s="11"/>
      <c r="D1736" s="11"/>
      <c r="E1736" s="11"/>
      <c r="F1736" s="11"/>
      <c r="G1736" s="11"/>
      <c r="H1736" s="11"/>
      <c r="I1736" s="11"/>
      <c r="J1736" s="11"/>
      <c r="K1736" s="11"/>
      <c r="L1736" s="11"/>
      <c r="M1736" s="11"/>
      <c r="N1736" s="11"/>
    </row>
    <row r="1737" customFormat="false" ht="15" hidden="false" customHeight="false" outlineLevel="0" collapsed="false">
      <c r="B1737" s="11"/>
      <c r="C1737" s="11"/>
      <c r="D1737" s="11"/>
      <c r="E1737" s="11"/>
      <c r="F1737" s="11"/>
      <c r="G1737" s="11"/>
      <c r="H1737" s="11"/>
      <c r="I1737" s="11"/>
      <c r="J1737" s="11"/>
      <c r="K1737" s="11"/>
      <c r="L1737" s="11"/>
      <c r="M1737" s="11"/>
      <c r="N1737" s="11"/>
    </row>
    <row r="1738" customFormat="false" ht="15" hidden="false" customHeight="false" outlineLevel="0" collapsed="false">
      <c r="B1738" s="11"/>
      <c r="C1738" s="11"/>
      <c r="D1738" s="11"/>
      <c r="E1738" s="11"/>
      <c r="F1738" s="11"/>
      <c r="G1738" s="11"/>
      <c r="H1738" s="11"/>
      <c r="I1738" s="11"/>
      <c r="J1738" s="11"/>
      <c r="K1738" s="11"/>
      <c r="L1738" s="11"/>
      <c r="M1738" s="11"/>
      <c r="N1738" s="11"/>
    </row>
    <row r="1739" customFormat="false" ht="15" hidden="false" customHeight="false" outlineLevel="0" collapsed="false">
      <c r="B1739" s="11"/>
      <c r="C1739" s="11"/>
      <c r="D1739" s="11"/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</row>
    <row r="1740" customFormat="false" ht="15" hidden="false" customHeight="false" outlineLevel="0" collapsed="false">
      <c r="B1740" s="11"/>
      <c r="C1740" s="11"/>
      <c r="D1740" s="11"/>
      <c r="E1740" s="11"/>
      <c r="F1740" s="11"/>
      <c r="G1740" s="11"/>
      <c r="H1740" s="11"/>
      <c r="I1740" s="11"/>
      <c r="J1740" s="11"/>
      <c r="K1740" s="11"/>
      <c r="L1740" s="11"/>
      <c r="M1740" s="11"/>
      <c r="N1740" s="11"/>
    </row>
    <row r="1741" customFormat="false" ht="15" hidden="false" customHeight="false" outlineLevel="0" collapsed="false">
      <c r="B1741" s="11"/>
      <c r="C1741" s="11"/>
      <c r="D1741" s="11"/>
      <c r="E1741" s="11"/>
      <c r="F1741" s="11"/>
      <c r="G1741" s="11"/>
      <c r="H1741" s="11"/>
      <c r="I1741" s="11"/>
      <c r="J1741" s="11"/>
      <c r="K1741" s="11"/>
      <c r="L1741" s="11"/>
      <c r="M1741" s="11"/>
      <c r="N1741" s="11"/>
    </row>
    <row r="1742" customFormat="false" ht="15" hidden="false" customHeight="false" outlineLevel="0" collapsed="false">
      <c r="B1742" s="11"/>
      <c r="C1742" s="11"/>
      <c r="D1742" s="11"/>
      <c r="E1742" s="11"/>
      <c r="F1742" s="11"/>
      <c r="G1742" s="11"/>
      <c r="H1742" s="11"/>
      <c r="I1742" s="11"/>
      <c r="J1742" s="11"/>
      <c r="K1742" s="11"/>
      <c r="L1742" s="11"/>
      <c r="M1742" s="11"/>
      <c r="N1742" s="11"/>
    </row>
    <row r="1743" customFormat="false" ht="15" hidden="false" customHeight="false" outlineLevel="0" collapsed="false">
      <c r="B1743" s="11"/>
      <c r="C1743" s="11"/>
      <c r="D1743" s="11"/>
      <c r="E1743" s="11"/>
      <c r="F1743" s="11"/>
      <c r="G1743" s="11"/>
      <c r="H1743" s="11"/>
      <c r="I1743" s="11"/>
      <c r="J1743" s="11"/>
      <c r="K1743" s="11"/>
      <c r="L1743" s="11"/>
      <c r="M1743" s="11"/>
      <c r="N1743" s="11"/>
    </row>
    <row r="1744" customFormat="false" ht="15" hidden="false" customHeight="false" outlineLevel="0" collapsed="false">
      <c r="B1744" s="11"/>
      <c r="C1744" s="11"/>
      <c r="D1744" s="11"/>
      <c r="E1744" s="11"/>
      <c r="F1744" s="11"/>
      <c r="G1744" s="11"/>
      <c r="H1744" s="11"/>
      <c r="I1744" s="11"/>
      <c r="J1744" s="11"/>
      <c r="K1744" s="11"/>
      <c r="L1744" s="11"/>
      <c r="M1744" s="11"/>
      <c r="N1744" s="11"/>
    </row>
    <row r="1745" customFormat="false" ht="15" hidden="false" customHeight="false" outlineLevel="0" collapsed="false">
      <c r="B1745" s="11"/>
      <c r="C1745" s="11"/>
      <c r="D1745" s="11"/>
      <c r="E1745" s="11"/>
      <c r="F1745" s="11"/>
      <c r="G1745" s="11"/>
      <c r="H1745" s="11"/>
      <c r="I1745" s="11"/>
      <c r="J1745" s="11"/>
      <c r="K1745" s="11"/>
      <c r="L1745" s="11"/>
      <c r="M1745" s="11"/>
      <c r="N1745" s="11"/>
    </row>
    <row r="1746" customFormat="false" ht="15" hidden="false" customHeight="false" outlineLevel="0" collapsed="false">
      <c r="B1746" s="11"/>
      <c r="C1746" s="11"/>
      <c r="D1746" s="11"/>
      <c r="E1746" s="11"/>
      <c r="F1746" s="11"/>
      <c r="G1746" s="11"/>
      <c r="H1746" s="11"/>
      <c r="I1746" s="11"/>
      <c r="J1746" s="11"/>
      <c r="K1746" s="11"/>
      <c r="L1746" s="11"/>
      <c r="M1746" s="11"/>
      <c r="N1746" s="11"/>
    </row>
    <row r="1748" customFormat="false" ht="15" hidden="false" customHeight="false" outlineLevel="0" collapsed="false">
      <c r="B1748" s="11"/>
      <c r="C1748" s="11"/>
      <c r="D1748" s="11"/>
      <c r="E1748" s="11"/>
      <c r="F1748" s="11"/>
      <c r="G1748" s="11"/>
      <c r="H1748" s="11"/>
      <c r="I1748" s="11"/>
      <c r="J1748" s="11"/>
      <c r="K1748" s="11"/>
      <c r="L1748" s="11"/>
      <c r="M1748" s="11"/>
      <c r="N1748" s="11"/>
    </row>
    <row r="1749" customFormat="false" ht="15" hidden="false" customHeight="false" outlineLevel="0" collapsed="false">
      <c r="B1749" s="11"/>
      <c r="C1749" s="11"/>
      <c r="D1749" s="11"/>
      <c r="E1749" s="11"/>
      <c r="F1749" s="11"/>
      <c r="G1749" s="11"/>
      <c r="H1749" s="11"/>
      <c r="I1749" s="11"/>
      <c r="J1749" s="11"/>
      <c r="K1749" s="11"/>
      <c r="L1749" s="11"/>
      <c r="M1749" s="11"/>
      <c r="N1749" s="11"/>
    </row>
    <row r="1750" customFormat="false" ht="15" hidden="false" customHeight="false" outlineLevel="0" collapsed="false">
      <c r="B1750" s="11"/>
      <c r="C1750" s="11"/>
      <c r="D1750" s="11"/>
      <c r="E1750" s="11"/>
      <c r="F1750" s="11"/>
      <c r="G1750" s="11"/>
      <c r="H1750" s="11"/>
      <c r="I1750" s="11"/>
      <c r="J1750" s="11"/>
      <c r="K1750" s="11"/>
      <c r="L1750" s="11"/>
      <c r="M1750" s="11"/>
      <c r="N1750" s="11"/>
    </row>
    <row r="1751" customFormat="false" ht="15" hidden="false" customHeight="false" outlineLevel="0" collapsed="false">
      <c r="B1751" s="11"/>
      <c r="C1751" s="11"/>
      <c r="D1751" s="11"/>
      <c r="E1751" s="11"/>
      <c r="F1751" s="11"/>
      <c r="G1751" s="11"/>
      <c r="H1751" s="11"/>
      <c r="I1751" s="11"/>
      <c r="J1751" s="11"/>
      <c r="K1751" s="11"/>
      <c r="L1751" s="11"/>
      <c r="M1751" s="11"/>
      <c r="N1751" s="11"/>
    </row>
    <row r="1752" customFormat="false" ht="15" hidden="false" customHeight="false" outlineLevel="0" collapsed="false">
      <c r="B1752" s="11"/>
      <c r="C1752" s="11"/>
      <c r="D1752" s="11"/>
      <c r="E1752" s="11"/>
      <c r="F1752" s="11"/>
      <c r="G1752" s="11"/>
      <c r="H1752" s="11"/>
      <c r="I1752" s="11"/>
      <c r="J1752" s="11"/>
      <c r="K1752" s="11"/>
      <c r="L1752" s="11"/>
      <c r="M1752" s="11"/>
      <c r="N1752" s="11"/>
    </row>
    <row r="1753" customFormat="false" ht="15" hidden="false" customHeight="false" outlineLevel="0" collapsed="false">
      <c r="B1753" s="11"/>
      <c r="C1753" s="11"/>
      <c r="D1753" s="11"/>
      <c r="E1753" s="11"/>
      <c r="F1753" s="11"/>
      <c r="G1753" s="11"/>
      <c r="H1753" s="11"/>
      <c r="I1753" s="11"/>
      <c r="J1753" s="11"/>
      <c r="K1753" s="11"/>
      <c r="L1753" s="11"/>
      <c r="M1753" s="11"/>
      <c r="N1753" s="11"/>
    </row>
    <row r="1754" customFormat="false" ht="15" hidden="false" customHeight="false" outlineLevel="0" collapsed="false">
      <c r="B1754" s="11"/>
      <c r="C1754" s="11"/>
      <c r="D1754" s="11"/>
      <c r="E1754" s="11"/>
      <c r="F1754" s="11"/>
      <c r="G1754" s="11"/>
      <c r="H1754" s="11"/>
      <c r="I1754" s="11"/>
      <c r="J1754" s="11"/>
      <c r="K1754" s="11"/>
      <c r="L1754" s="11"/>
      <c r="M1754" s="11"/>
      <c r="N1754" s="11"/>
    </row>
    <row r="1755" customFormat="false" ht="15" hidden="false" customHeight="false" outlineLevel="0" collapsed="false">
      <c r="B1755" s="11"/>
      <c r="C1755" s="11"/>
      <c r="D1755" s="11"/>
      <c r="E1755" s="11"/>
      <c r="F1755" s="11"/>
      <c r="G1755" s="11"/>
      <c r="H1755" s="11"/>
      <c r="I1755" s="11"/>
      <c r="J1755" s="11"/>
      <c r="K1755" s="11"/>
      <c r="L1755" s="11"/>
      <c r="M1755" s="11"/>
      <c r="N1755" s="11"/>
    </row>
    <row r="1756" customFormat="false" ht="15" hidden="false" customHeight="false" outlineLevel="0" collapsed="false">
      <c r="B1756" s="11"/>
      <c r="C1756" s="11"/>
      <c r="D1756" s="11"/>
      <c r="E1756" s="11"/>
      <c r="F1756" s="11"/>
      <c r="G1756" s="11"/>
      <c r="H1756" s="11"/>
      <c r="I1756" s="11"/>
      <c r="J1756" s="11"/>
      <c r="K1756" s="11"/>
      <c r="L1756" s="11"/>
      <c r="M1756" s="11"/>
      <c r="N1756" s="11"/>
    </row>
    <row r="1757" customFormat="false" ht="15" hidden="false" customHeight="false" outlineLevel="0" collapsed="false">
      <c r="B1757" s="11"/>
      <c r="C1757" s="11"/>
      <c r="D1757" s="11"/>
      <c r="E1757" s="11"/>
      <c r="F1757" s="11"/>
      <c r="G1757" s="11"/>
      <c r="H1757" s="11"/>
      <c r="I1757" s="11"/>
      <c r="J1757" s="11"/>
      <c r="K1757" s="11"/>
      <c r="L1757" s="11"/>
      <c r="M1757" s="11"/>
      <c r="N1757" s="11"/>
    </row>
    <row r="1759" customFormat="false" ht="15" hidden="false" customHeight="false" outlineLevel="0" collapsed="false">
      <c r="A1759" s="7" t="s">
        <v>37</v>
      </c>
    </row>
    <row r="1760" customFormat="false" ht="15" hidden="false" customHeight="false" outlineLevel="0" collapsed="false">
      <c r="B1760" s="12" t="n">
        <f aca="false">IFERROR(__xludf.DUMMYFUNCTION("IMPORTRANGE(Links!$B$7,""parametros_recargas!N76:N98"")"),75)</f>
        <v>75</v>
      </c>
    </row>
    <row r="1761" customFormat="false" ht="15" hidden="false" customHeight="false" outlineLevel="0" collapsed="false">
      <c r="B1761" s="12"/>
    </row>
    <row r="1762" customFormat="false" ht="15" hidden="false" customHeight="false" outlineLevel="0" collapsed="false">
      <c r="B1762" s="12"/>
    </row>
    <row r="1763" customFormat="false" ht="15" hidden="false" customHeight="false" outlineLevel="0" collapsed="false">
      <c r="B1763" s="12"/>
    </row>
    <row r="1764" customFormat="false" ht="15" hidden="false" customHeight="false" outlineLevel="0" collapsed="false">
      <c r="B1764" s="12"/>
    </row>
    <row r="1765" customFormat="false" ht="15" hidden="false" customHeight="false" outlineLevel="0" collapsed="false">
      <c r="B1765" s="12"/>
    </row>
    <row r="1766" customFormat="false" ht="15" hidden="false" customHeight="false" outlineLevel="0" collapsed="false">
      <c r="B1766" s="12"/>
    </row>
    <row r="1767" customFormat="false" ht="15" hidden="false" customHeight="false" outlineLevel="0" collapsed="false">
      <c r="B1767" s="12"/>
    </row>
    <row r="1768" customFormat="false" ht="15" hidden="false" customHeight="false" outlineLevel="0" collapsed="false">
      <c r="B1768" s="12"/>
    </row>
    <row r="1769" customFormat="false" ht="15" hidden="false" customHeight="false" outlineLevel="0" collapsed="false">
      <c r="B1769" s="12"/>
    </row>
    <row r="1770" customFormat="false" ht="15" hidden="false" customHeight="false" outlineLevel="0" collapsed="false">
      <c r="B1770" s="12"/>
    </row>
    <row r="1771" customFormat="false" ht="15" hidden="false" customHeight="false" outlineLevel="0" collapsed="false">
      <c r="B1771" s="12"/>
    </row>
    <row r="1772" customFormat="false" ht="15" hidden="false" customHeight="false" outlineLevel="0" collapsed="false">
      <c r="B1772" s="12"/>
    </row>
    <row r="1773" customFormat="false" ht="15" hidden="false" customHeight="false" outlineLevel="0" collapsed="false">
      <c r="B1773" s="12"/>
    </row>
    <row r="1774" customFormat="false" ht="15" hidden="false" customHeight="false" outlineLevel="0" collapsed="false">
      <c r="B1774" s="12"/>
    </row>
    <row r="1775" customFormat="false" ht="15" hidden="false" customHeight="false" outlineLevel="0" collapsed="false">
      <c r="B1775" s="12"/>
    </row>
    <row r="1776" customFormat="false" ht="15" hidden="false" customHeight="false" outlineLevel="0" collapsed="false">
      <c r="B1776" s="12"/>
    </row>
    <row r="1777" customFormat="false" ht="15" hidden="false" customHeight="false" outlineLevel="0" collapsed="false">
      <c r="B1777" s="12"/>
    </row>
    <row r="1778" customFormat="false" ht="15" hidden="false" customHeight="false" outlineLevel="0" collapsed="false">
      <c r="B1778" s="12"/>
    </row>
    <row r="1779" customFormat="false" ht="15" hidden="false" customHeight="false" outlineLevel="0" collapsed="false">
      <c r="B1779" s="12"/>
    </row>
    <row r="1780" customFormat="false" ht="15" hidden="false" customHeight="false" outlineLevel="0" collapsed="false">
      <c r="B1780" s="12"/>
    </row>
    <row r="1781" customFormat="false" ht="15" hidden="false" customHeight="false" outlineLevel="0" collapsed="false">
      <c r="B1781" s="12"/>
    </row>
    <row r="1782" customFormat="false" ht="15" hidden="false" customHeight="false" outlineLevel="0" collapsed="false">
      <c r="B1782" s="12"/>
    </row>
    <row r="1784" customFormat="false" ht="15" hidden="false" customHeight="false" outlineLevel="0" collapsed="false">
      <c r="A1784" s="7" t="s">
        <v>38</v>
      </c>
    </row>
    <row r="1785" customFormat="false" ht="15" hidden="false" customHeight="false" outlineLevel="0" collapsed="false">
      <c r="B1785" s="12" t="n">
        <f aca="false">IFERROR(__xludf.DUMMYFUNCTION("IMPORTRANGE(Links!$B$7,""parametros_recargas!B6:B6"")"),150)</f>
        <v>150</v>
      </c>
    </row>
    <row r="1787" customFormat="false" ht="15" hidden="false" customHeight="false" outlineLevel="0" collapsed="false">
      <c r="A1787" s="7" t="s">
        <v>39</v>
      </c>
    </row>
    <row r="1788" customFormat="false" ht="15" hidden="false" customHeight="false" outlineLevel="0" collapsed="false">
      <c r="B1788" s="11" t="str">
        <f aca="false">IFERROR(__xludf.DUMMYFUNCTION("IMPORTRANGE(Links!$B$7,""Demanda por puesto!N1:N312"")"),"Total anual")</f>
        <v>Total anual</v>
      </c>
    </row>
    <row r="1789" customFormat="false" ht="15" hidden="false" customHeight="false" outlineLevel="0" collapsed="false">
      <c r="B1789" s="11"/>
    </row>
    <row r="1790" customFormat="false" ht="15" hidden="false" customHeight="false" outlineLevel="0" collapsed="false">
      <c r="B1790" s="11"/>
    </row>
    <row r="1791" customFormat="false" ht="15" hidden="false" customHeight="false" outlineLevel="0" collapsed="false">
      <c r="B1791" s="11"/>
    </row>
    <row r="1792" customFormat="false" ht="15" hidden="false" customHeight="false" outlineLevel="0" collapsed="false">
      <c r="B1792" s="11"/>
    </row>
    <row r="1793" customFormat="false" ht="15" hidden="false" customHeight="false" outlineLevel="0" collapsed="false">
      <c r="B1793" s="11"/>
    </row>
    <row r="1794" customFormat="false" ht="15" hidden="false" customHeight="false" outlineLevel="0" collapsed="false">
      <c r="B1794" s="11"/>
    </row>
    <row r="1795" customFormat="false" ht="15" hidden="false" customHeight="false" outlineLevel="0" collapsed="false">
      <c r="B1795" s="11"/>
    </row>
    <row r="1796" customFormat="false" ht="15" hidden="false" customHeight="false" outlineLevel="0" collapsed="false">
      <c r="B1796" s="11"/>
    </row>
    <row r="1797" customFormat="false" ht="15" hidden="false" customHeight="false" outlineLevel="0" collapsed="false">
      <c r="B1797" s="11"/>
    </row>
    <row r="1798" customFormat="false" ht="15" hidden="false" customHeight="false" outlineLevel="0" collapsed="false">
      <c r="B1798" s="11"/>
    </row>
    <row r="1799" customFormat="false" ht="15" hidden="false" customHeight="false" outlineLevel="0" collapsed="false">
      <c r="B1799" s="11"/>
    </row>
    <row r="1800" customFormat="false" ht="15" hidden="false" customHeight="false" outlineLevel="0" collapsed="false">
      <c r="B1800" s="11"/>
    </row>
    <row r="1801" customFormat="false" ht="15" hidden="false" customHeight="false" outlineLevel="0" collapsed="false">
      <c r="B1801" s="11"/>
    </row>
    <row r="1802" customFormat="false" ht="15" hidden="false" customHeight="false" outlineLevel="0" collapsed="false">
      <c r="B1802" s="11"/>
    </row>
    <row r="1803" customFormat="false" ht="15" hidden="false" customHeight="false" outlineLevel="0" collapsed="false">
      <c r="B1803" s="11"/>
    </row>
    <row r="1804" customFormat="false" ht="15" hidden="false" customHeight="false" outlineLevel="0" collapsed="false">
      <c r="B1804" s="11"/>
    </row>
    <row r="1805" customFormat="false" ht="15" hidden="false" customHeight="false" outlineLevel="0" collapsed="false">
      <c r="B1805" s="11"/>
    </row>
    <row r="1806" customFormat="false" ht="15" hidden="false" customHeight="false" outlineLevel="0" collapsed="false">
      <c r="B1806" s="11"/>
    </row>
    <row r="1807" customFormat="false" ht="15" hidden="false" customHeight="false" outlineLevel="0" collapsed="false">
      <c r="B1807" s="11"/>
    </row>
    <row r="1808" customFormat="false" ht="15" hidden="false" customHeight="false" outlineLevel="0" collapsed="false">
      <c r="B1808" s="11"/>
    </row>
    <row r="1809" customFormat="false" ht="15" hidden="false" customHeight="false" outlineLevel="0" collapsed="false">
      <c r="B1809" s="11"/>
    </row>
    <row r="1810" customFormat="false" ht="15" hidden="false" customHeight="false" outlineLevel="0" collapsed="false">
      <c r="B1810" s="11"/>
    </row>
    <row r="1811" customFormat="false" ht="15" hidden="false" customHeight="false" outlineLevel="0" collapsed="false">
      <c r="B1811" s="11"/>
    </row>
    <row r="1820" customFormat="false" ht="15" hidden="false" customHeight="false" outlineLevel="0" collapsed="false">
      <c r="B1820" s="11"/>
    </row>
    <row r="1821" customFormat="false" ht="15" hidden="false" customHeight="false" outlineLevel="0" collapsed="false">
      <c r="B1821" s="11"/>
    </row>
    <row r="1822" customFormat="false" ht="15" hidden="false" customHeight="false" outlineLevel="0" collapsed="false">
      <c r="B1822" s="11"/>
    </row>
    <row r="1823" customFormat="false" ht="15" hidden="false" customHeight="false" outlineLevel="0" collapsed="false">
      <c r="B1823" s="11"/>
    </row>
    <row r="1824" customFormat="false" ht="15" hidden="false" customHeight="false" outlineLevel="0" collapsed="false">
      <c r="B1824" s="11"/>
    </row>
    <row r="1825" customFormat="false" ht="15" hidden="false" customHeight="false" outlineLevel="0" collapsed="false">
      <c r="B1825" s="11"/>
    </row>
    <row r="1826" customFormat="false" ht="15" hidden="false" customHeight="false" outlineLevel="0" collapsed="false">
      <c r="B1826" s="11"/>
    </row>
    <row r="1827" customFormat="false" ht="15" hidden="false" customHeight="false" outlineLevel="0" collapsed="false">
      <c r="B1827" s="11"/>
    </row>
    <row r="1828" customFormat="false" ht="15" hidden="false" customHeight="false" outlineLevel="0" collapsed="false">
      <c r="B1828" s="11"/>
    </row>
    <row r="1829" customFormat="false" ht="15" hidden="false" customHeight="false" outlineLevel="0" collapsed="false">
      <c r="B1829" s="11"/>
    </row>
    <row r="1830" customFormat="false" ht="15" hidden="false" customHeight="false" outlineLevel="0" collapsed="false">
      <c r="B1830" s="11"/>
    </row>
    <row r="1831" customFormat="false" ht="15" hidden="false" customHeight="false" outlineLevel="0" collapsed="false">
      <c r="B1831" s="11"/>
    </row>
    <row r="1832" customFormat="false" ht="15" hidden="false" customHeight="false" outlineLevel="0" collapsed="false">
      <c r="B1832" s="11"/>
    </row>
    <row r="1833" customFormat="false" ht="15" hidden="false" customHeight="false" outlineLevel="0" collapsed="false">
      <c r="B1833" s="11"/>
    </row>
    <row r="1834" customFormat="false" ht="15" hidden="false" customHeight="false" outlineLevel="0" collapsed="false">
      <c r="B1834" s="11"/>
    </row>
    <row r="1835" customFormat="false" ht="15" hidden="false" customHeight="false" outlineLevel="0" collapsed="false">
      <c r="B1835" s="11"/>
    </row>
    <row r="1836" customFormat="false" ht="15" hidden="false" customHeight="false" outlineLevel="0" collapsed="false">
      <c r="B1836" s="11"/>
    </row>
    <row r="1837" customFormat="false" ht="15" hidden="false" customHeight="false" outlineLevel="0" collapsed="false">
      <c r="B1837" s="11"/>
    </row>
    <row r="1838" customFormat="false" ht="15" hidden="false" customHeight="false" outlineLevel="0" collapsed="false">
      <c r="B1838" s="11"/>
    </row>
    <row r="1839" customFormat="false" ht="15" hidden="false" customHeight="false" outlineLevel="0" collapsed="false">
      <c r="B1839" s="11"/>
    </row>
    <row r="1840" customFormat="false" ht="15" hidden="false" customHeight="false" outlineLevel="0" collapsed="false">
      <c r="B1840" s="11"/>
    </row>
    <row r="1841" customFormat="false" ht="15" hidden="false" customHeight="false" outlineLevel="0" collapsed="false">
      <c r="B1841" s="11"/>
    </row>
    <row r="1842" customFormat="false" ht="15" hidden="false" customHeight="false" outlineLevel="0" collapsed="false">
      <c r="B1842" s="11"/>
    </row>
    <row r="1843" customFormat="false" ht="15" hidden="false" customHeight="false" outlineLevel="0" collapsed="false">
      <c r="B1843" s="11"/>
    </row>
    <row r="1852" customFormat="false" ht="15" hidden="false" customHeight="false" outlineLevel="0" collapsed="false">
      <c r="B1852" s="11"/>
    </row>
    <row r="1853" customFormat="false" ht="15" hidden="false" customHeight="false" outlineLevel="0" collapsed="false">
      <c r="B1853" s="11"/>
    </row>
    <row r="1854" customFormat="false" ht="15" hidden="false" customHeight="false" outlineLevel="0" collapsed="false">
      <c r="B1854" s="11"/>
    </row>
    <row r="1855" customFormat="false" ht="15" hidden="false" customHeight="false" outlineLevel="0" collapsed="false">
      <c r="B1855" s="11"/>
    </row>
    <row r="1856" customFormat="false" ht="15" hidden="false" customHeight="false" outlineLevel="0" collapsed="false">
      <c r="B1856" s="11"/>
    </row>
    <row r="1857" customFormat="false" ht="15" hidden="false" customHeight="false" outlineLevel="0" collapsed="false">
      <c r="B1857" s="11"/>
    </row>
    <row r="1858" customFormat="false" ht="15" hidden="false" customHeight="false" outlineLevel="0" collapsed="false">
      <c r="B1858" s="11"/>
    </row>
    <row r="1859" customFormat="false" ht="15" hidden="false" customHeight="false" outlineLevel="0" collapsed="false">
      <c r="B1859" s="11"/>
    </row>
    <row r="1860" customFormat="false" ht="15" hidden="false" customHeight="false" outlineLevel="0" collapsed="false">
      <c r="B1860" s="11"/>
    </row>
    <row r="1861" customFormat="false" ht="15" hidden="false" customHeight="false" outlineLevel="0" collapsed="false">
      <c r="B1861" s="11"/>
    </row>
    <row r="1862" customFormat="false" ht="15" hidden="false" customHeight="false" outlineLevel="0" collapsed="false">
      <c r="B1862" s="11"/>
    </row>
    <row r="1863" customFormat="false" ht="15" hidden="false" customHeight="false" outlineLevel="0" collapsed="false">
      <c r="B1863" s="11"/>
    </row>
    <row r="1864" customFormat="false" ht="15" hidden="false" customHeight="false" outlineLevel="0" collapsed="false">
      <c r="B1864" s="11"/>
    </row>
    <row r="1865" customFormat="false" ht="15" hidden="false" customHeight="false" outlineLevel="0" collapsed="false">
      <c r="B1865" s="11"/>
    </row>
    <row r="1866" customFormat="false" ht="15" hidden="false" customHeight="false" outlineLevel="0" collapsed="false">
      <c r="B1866" s="11"/>
    </row>
    <row r="1867" customFormat="false" ht="15" hidden="false" customHeight="false" outlineLevel="0" collapsed="false">
      <c r="B1867" s="11"/>
    </row>
    <row r="1868" customFormat="false" ht="15" hidden="false" customHeight="false" outlineLevel="0" collapsed="false">
      <c r="B1868" s="11"/>
    </row>
    <row r="1869" customFormat="false" ht="15" hidden="false" customHeight="false" outlineLevel="0" collapsed="false">
      <c r="B1869" s="11"/>
    </row>
    <row r="1870" customFormat="false" ht="15" hidden="false" customHeight="false" outlineLevel="0" collapsed="false">
      <c r="B1870" s="11"/>
    </row>
    <row r="1871" customFormat="false" ht="15" hidden="false" customHeight="false" outlineLevel="0" collapsed="false">
      <c r="B1871" s="11"/>
    </row>
    <row r="1872" customFormat="false" ht="15" hidden="false" customHeight="false" outlineLevel="0" collapsed="false">
      <c r="B1872" s="11"/>
    </row>
    <row r="1873" customFormat="false" ht="15" hidden="false" customHeight="false" outlineLevel="0" collapsed="false">
      <c r="B1873" s="11"/>
    </row>
    <row r="1874" customFormat="false" ht="15" hidden="false" customHeight="false" outlineLevel="0" collapsed="false">
      <c r="B1874" s="11"/>
    </row>
    <row r="1875" customFormat="false" ht="15" hidden="false" customHeight="false" outlineLevel="0" collapsed="false">
      <c r="B1875" s="11"/>
    </row>
    <row r="1884" customFormat="false" ht="15" hidden="false" customHeight="false" outlineLevel="0" collapsed="false">
      <c r="B1884" s="11"/>
    </row>
    <row r="1885" customFormat="false" ht="15" hidden="false" customHeight="false" outlineLevel="0" collapsed="false">
      <c r="B1885" s="11"/>
    </row>
    <row r="1886" customFormat="false" ht="15" hidden="false" customHeight="false" outlineLevel="0" collapsed="false">
      <c r="B1886" s="11"/>
    </row>
    <row r="1887" customFormat="false" ht="15" hidden="false" customHeight="false" outlineLevel="0" collapsed="false">
      <c r="B1887" s="11"/>
    </row>
    <row r="1888" customFormat="false" ht="15" hidden="false" customHeight="false" outlineLevel="0" collapsed="false">
      <c r="B1888" s="11"/>
    </row>
    <row r="1889" customFormat="false" ht="15" hidden="false" customHeight="false" outlineLevel="0" collapsed="false">
      <c r="B1889" s="11"/>
    </row>
    <row r="1890" customFormat="false" ht="15" hidden="false" customHeight="false" outlineLevel="0" collapsed="false">
      <c r="B1890" s="11"/>
    </row>
    <row r="1891" customFormat="false" ht="15" hidden="false" customHeight="false" outlineLevel="0" collapsed="false">
      <c r="B1891" s="11"/>
    </row>
    <row r="1892" customFormat="false" ht="15" hidden="false" customHeight="false" outlineLevel="0" collapsed="false">
      <c r="B1892" s="11"/>
    </row>
    <row r="1893" customFormat="false" ht="15" hidden="false" customHeight="false" outlineLevel="0" collapsed="false">
      <c r="B1893" s="11"/>
    </row>
    <row r="1894" customFormat="false" ht="15" hidden="false" customHeight="false" outlineLevel="0" collapsed="false">
      <c r="B1894" s="11"/>
    </row>
    <row r="1895" customFormat="false" ht="15" hidden="false" customHeight="false" outlineLevel="0" collapsed="false">
      <c r="B1895" s="11"/>
    </row>
    <row r="1896" customFormat="false" ht="15" hidden="false" customHeight="false" outlineLevel="0" collapsed="false">
      <c r="B1896" s="11"/>
    </row>
    <row r="1897" customFormat="false" ht="15" hidden="false" customHeight="false" outlineLevel="0" collapsed="false">
      <c r="B1897" s="11"/>
    </row>
    <row r="1898" customFormat="false" ht="15" hidden="false" customHeight="false" outlineLevel="0" collapsed="false">
      <c r="B1898" s="11"/>
    </row>
    <row r="1899" customFormat="false" ht="15" hidden="false" customHeight="false" outlineLevel="0" collapsed="false">
      <c r="B1899" s="11"/>
    </row>
    <row r="1900" customFormat="false" ht="15" hidden="false" customHeight="false" outlineLevel="0" collapsed="false">
      <c r="B1900" s="11"/>
    </row>
    <row r="1901" customFormat="false" ht="15" hidden="false" customHeight="false" outlineLevel="0" collapsed="false">
      <c r="B1901" s="11"/>
    </row>
    <row r="1902" customFormat="false" ht="15" hidden="false" customHeight="false" outlineLevel="0" collapsed="false">
      <c r="B1902" s="11"/>
    </row>
    <row r="1903" customFormat="false" ht="15" hidden="false" customHeight="false" outlineLevel="0" collapsed="false">
      <c r="B1903" s="11"/>
    </row>
    <row r="1904" customFormat="false" ht="15" hidden="false" customHeight="false" outlineLevel="0" collapsed="false">
      <c r="B1904" s="11"/>
    </row>
    <row r="1905" customFormat="false" ht="15" hidden="false" customHeight="false" outlineLevel="0" collapsed="false">
      <c r="B1905" s="11"/>
    </row>
    <row r="1906" customFormat="false" ht="15" hidden="false" customHeight="false" outlineLevel="0" collapsed="false">
      <c r="B1906" s="11"/>
    </row>
    <row r="1907" customFormat="false" ht="15" hidden="false" customHeight="false" outlineLevel="0" collapsed="false">
      <c r="B1907" s="11"/>
    </row>
    <row r="1916" customFormat="false" ht="15" hidden="false" customHeight="false" outlineLevel="0" collapsed="false">
      <c r="B1916" s="11"/>
    </row>
    <row r="1917" customFormat="false" ht="15" hidden="false" customHeight="false" outlineLevel="0" collapsed="false">
      <c r="B1917" s="11"/>
    </row>
    <row r="1918" customFormat="false" ht="15" hidden="false" customHeight="false" outlineLevel="0" collapsed="false">
      <c r="B1918" s="11"/>
    </row>
    <row r="1919" customFormat="false" ht="15" hidden="false" customHeight="false" outlineLevel="0" collapsed="false">
      <c r="B1919" s="11"/>
    </row>
    <row r="1920" customFormat="false" ht="15" hidden="false" customHeight="false" outlineLevel="0" collapsed="false">
      <c r="B1920" s="11"/>
    </row>
    <row r="1921" customFormat="false" ht="15" hidden="false" customHeight="false" outlineLevel="0" collapsed="false">
      <c r="B1921" s="11"/>
    </row>
    <row r="1922" customFormat="false" ht="15" hidden="false" customHeight="false" outlineLevel="0" collapsed="false">
      <c r="B1922" s="11"/>
    </row>
    <row r="1923" customFormat="false" ht="15" hidden="false" customHeight="false" outlineLevel="0" collapsed="false">
      <c r="B1923" s="11"/>
    </row>
    <row r="1924" customFormat="false" ht="15" hidden="false" customHeight="false" outlineLevel="0" collapsed="false">
      <c r="B1924" s="11"/>
    </row>
    <row r="1925" customFormat="false" ht="15" hidden="false" customHeight="false" outlineLevel="0" collapsed="false">
      <c r="B1925" s="11"/>
    </row>
    <row r="1926" customFormat="false" ht="15" hidden="false" customHeight="false" outlineLevel="0" collapsed="false">
      <c r="B1926" s="11"/>
    </row>
    <row r="1927" customFormat="false" ht="15" hidden="false" customHeight="false" outlineLevel="0" collapsed="false">
      <c r="B1927" s="11"/>
    </row>
    <row r="1928" customFormat="false" ht="15" hidden="false" customHeight="false" outlineLevel="0" collapsed="false">
      <c r="B1928" s="11"/>
    </row>
    <row r="1929" customFormat="false" ht="15" hidden="false" customHeight="false" outlineLevel="0" collapsed="false">
      <c r="B1929" s="11"/>
    </row>
    <row r="1930" customFormat="false" ht="15" hidden="false" customHeight="false" outlineLevel="0" collapsed="false">
      <c r="B1930" s="11"/>
    </row>
    <row r="1931" customFormat="false" ht="15" hidden="false" customHeight="false" outlineLevel="0" collapsed="false">
      <c r="B1931" s="11"/>
    </row>
    <row r="1932" customFormat="false" ht="15" hidden="false" customHeight="false" outlineLevel="0" collapsed="false">
      <c r="B1932" s="11"/>
    </row>
    <row r="1933" customFormat="false" ht="15" hidden="false" customHeight="false" outlineLevel="0" collapsed="false">
      <c r="B1933" s="11"/>
    </row>
    <row r="1934" customFormat="false" ht="15" hidden="false" customHeight="false" outlineLevel="0" collapsed="false">
      <c r="B1934" s="11"/>
    </row>
    <row r="1935" customFormat="false" ht="15" hidden="false" customHeight="false" outlineLevel="0" collapsed="false">
      <c r="B1935" s="11"/>
    </row>
    <row r="1936" customFormat="false" ht="15" hidden="false" customHeight="false" outlineLevel="0" collapsed="false">
      <c r="B1936" s="11"/>
    </row>
    <row r="1937" customFormat="false" ht="15" hidden="false" customHeight="false" outlineLevel="0" collapsed="false">
      <c r="B1937" s="11"/>
    </row>
    <row r="1938" customFormat="false" ht="15" hidden="false" customHeight="false" outlineLevel="0" collapsed="false">
      <c r="B1938" s="11"/>
    </row>
    <row r="1939" customFormat="false" ht="15" hidden="false" customHeight="false" outlineLevel="0" collapsed="false">
      <c r="B1939" s="11"/>
    </row>
    <row r="1948" customFormat="false" ht="15" hidden="false" customHeight="false" outlineLevel="0" collapsed="false">
      <c r="B1948" s="11"/>
    </row>
    <row r="1949" customFormat="false" ht="15" hidden="false" customHeight="false" outlineLevel="0" collapsed="false">
      <c r="B1949" s="11"/>
    </row>
    <row r="1950" customFormat="false" ht="15" hidden="false" customHeight="false" outlineLevel="0" collapsed="false">
      <c r="B1950" s="11"/>
    </row>
    <row r="1951" customFormat="false" ht="15" hidden="false" customHeight="false" outlineLevel="0" collapsed="false">
      <c r="B1951" s="11"/>
    </row>
    <row r="1952" customFormat="false" ht="15" hidden="false" customHeight="false" outlineLevel="0" collapsed="false">
      <c r="B1952" s="11"/>
    </row>
    <row r="1953" customFormat="false" ht="15" hidden="false" customHeight="false" outlineLevel="0" collapsed="false">
      <c r="B1953" s="11"/>
    </row>
    <row r="1954" customFormat="false" ht="15" hidden="false" customHeight="false" outlineLevel="0" collapsed="false">
      <c r="B1954" s="11"/>
    </row>
    <row r="1955" customFormat="false" ht="15" hidden="false" customHeight="false" outlineLevel="0" collapsed="false">
      <c r="B1955" s="11"/>
    </row>
    <row r="1956" customFormat="false" ht="15" hidden="false" customHeight="false" outlineLevel="0" collapsed="false">
      <c r="B1956" s="11"/>
    </row>
    <row r="1957" customFormat="false" ht="15" hidden="false" customHeight="false" outlineLevel="0" collapsed="false">
      <c r="B1957" s="11"/>
    </row>
    <row r="1958" customFormat="false" ht="15" hidden="false" customHeight="false" outlineLevel="0" collapsed="false">
      <c r="B1958" s="11"/>
    </row>
    <row r="1959" customFormat="false" ht="15" hidden="false" customHeight="false" outlineLevel="0" collapsed="false">
      <c r="B1959" s="11"/>
    </row>
    <row r="1960" customFormat="false" ht="15" hidden="false" customHeight="false" outlineLevel="0" collapsed="false">
      <c r="B1960" s="11"/>
    </row>
    <row r="1961" customFormat="false" ht="15" hidden="false" customHeight="false" outlineLevel="0" collapsed="false">
      <c r="B1961" s="11"/>
    </row>
    <row r="1962" customFormat="false" ht="15" hidden="false" customHeight="false" outlineLevel="0" collapsed="false">
      <c r="B1962" s="11"/>
    </row>
    <row r="1963" customFormat="false" ht="15" hidden="false" customHeight="false" outlineLevel="0" collapsed="false">
      <c r="B1963" s="11"/>
    </row>
    <row r="1964" customFormat="false" ht="15" hidden="false" customHeight="false" outlineLevel="0" collapsed="false">
      <c r="B1964" s="11"/>
    </row>
    <row r="1965" customFormat="false" ht="15" hidden="false" customHeight="false" outlineLevel="0" collapsed="false">
      <c r="B1965" s="11"/>
    </row>
    <row r="1966" customFormat="false" ht="15" hidden="false" customHeight="false" outlineLevel="0" collapsed="false">
      <c r="B1966" s="11"/>
    </row>
    <row r="1967" customFormat="false" ht="15" hidden="false" customHeight="false" outlineLevel="0" collapsed="false">
      <c r="B1967" s="11"/>
    </row>
    <row r="1968" customFormat="false" ht="15" hidden="false" customHeight="false" outlineLevel="0" collapsed="false">
      <c r="B1968" s="11"/>
    </row>
    <row r="1969" customFormat="false" ht="15" hidden="false" customHeight="false" outlineLevel="0" collapsed="false">
      <c r="B1969" s="11"/>
    </row>
    <row r="1970" customFormat="false" ht="15" hidden="false" customHeight="false" outlineLevel="0" collapsed="false">
      <c r="B1970" s="11"/>
    </row>
    <row r="1971" customFormat="false" ht="15" hidden="false" customHeight="false" outlineLevel="0" collapsed="false">
      <c r="B1971" s="11"/>
    </row>
    <row r="1980" customFormat="false" ht="15" hidden="false" customHeight="false" outlineLevel="0" collapsed="false">
      <c r="B1980" s="11"/>
    </row>
    <row r="1981" customFormat="false" ht="15" hidden="false" customHeight="false" outlineLevel="0" collapsed="false">
      <c r="B1981" s="11"/>
    </row>
    <row r="1982" customFormat="false" ht="15" hidden="false" customHeight="false" outlineLevel="0" collapsed="false">
      <c r="B1982" s="11"/>
    </row>
    <row r="1983" customFormat="false" ht="15" hidden="false" customHeight="false" outlineLevel="0" collapsed="false">
      <c r="B1983" s="11"/>
    </row>
    <row r="1984" customFormat="false" ht="15" hidden="false" customHeight="false" outlineLevel="0" collapsed="false">
      <c r="B1984" s="11"/>
    </row>
    <row r="1985" customFormat="false" ht="15" hidden="false" customHeight="false" outlineLevel="0" collapsed="false">
      <c r="B1985" s="11"/>
    </row>
    <row r="1986" customFormat="false" ht="15" hidden="false" customHeight="false" outlineLevel="0" collapsed="false">
      <c r="B1986" s="11"/>
    </row>
    <row r="1987" customFormat="false" ht="15" hidden="false" customHeight="false" outlineLevel="0" collapsed="false">
      <c r="B1987" s="11"/>
    </row>
    <row r="1988" customFormat="false" ht="15" hidden="false" customHeight="false" outlineLevel="0" collapsed="false">
      <c r="B1988" s="11"/>
    </row>
    <row r="1989" customFormat="false" ht="15" hidden="false" customHeight="false" outlineLevel="0" collapsed="false">
      <c r="B1989" s="11"/>
    </row>
    <row r="1990" customFormat="false" ht="15" hidden="false" customHeight="false" outlineLevel="0" collapsed="false">
      <c r="B1990" s="11"/>
    </row>
    <row r="1991" customFormat="false" ht="15" hidden="false" customHeight="false" outlineLevel="0" collapsed="false">
      <c r="B1991" s="11"/>
    </row>
    <row r="1992" customFormat="false" ht="15" hidden="false" customHeight="false" outlineLevel="0" collapsed="false">
      <c r="B1992" s="11"/>
    </row>
    <row r="1993" customFormat="false" ht="15" hidden="false" customHeight="false" outlineLevel="0" collapsed="false">
      <c r="B1993" s="11"/>
    </row>
    <row r="1994" customFormat="false" ht="15" hidden="false" customHeight="false" outlineLevel="0" collapsed="false">
      <c r="B1994" s="11"/>
    </row>
    <row r="1995" customFormat="false" ht="15" hidden="false" customHeight="false" outlineLevel="0" collapsed="false">
      <c r="B1995" s="11"/>
    </row>
    <row r="1996" customFormat="false" ht="15" hidden="false" customHeight="false" outlineLevel="0" collapsed="false">
      <c r="B1996" s="11"/>
    </row>
    <row r="1997" customFormat="false" ht="15" hidden="false" customHeight="false" outlineLevel="0" collapsed="false">
      <c r="B1997" s="11"/>
    </row>
    <row r="1998" customFormat="false" ht="15" hidden="false" customHeight="false" outlineLevel="0" collapsed="false">
      <c r="B1998" s="11"/>
    </row>
    <row r="1999" customFormat="false" ht="15" hidden="false" customHeight="false" outlineLevel="0" collapsed="false">
      <c r="B1999" s="11"/>
    </row>
    <row r="2000" customFormat="false" ht="15" hidden="false" customHeight="false" outlineLevel="0" collapsed="false">
      <c r="B2000" s="11"/>
    </row>
    <row r="2001" customFormat="false" ht="15" hidden="false" customHeight="false" outlineLevel="0" collapsed="false">
      <c r="B2001" s="11"/>
    </row>
    <row r="2002" customFormat="false" ht="15" hidden="false" customHeight="false" outlineLevel="0" collapsed="false">
      <c r="B2002" s="11"/>
    </row>
    <row r="2003" customFormat="false" ht="15" hidden="false" customHeight="false" outlineLevel="0" collapsed="false">
      <c r="B2003" s="11"/>
    </row>
    <row r="2012" customFormat="false" ht="15" hidden="false" customHeight="false" outlineLevel="0" collapsed="false">
      <c r="B2012" s="11"/>
    </row>
    <row r="2013" customFormat="false" ht="15" hidden="false" customHeight="false" outlineLevel="0" collapsed="false">
      <c r="B2013" s="11"/>
    </row>
    <row r="2014" customFormat="false" ht="15" hidden="false" customHeight="false" outlineLevel="0" collapsed="false">
      <c r="B2014" s="11"/>
    </row>
    <row r="2015" customFormat="false" ht="15" hidden="false" customHeight="false" outlineLevel="0" collapsed="false">
      <c r="B2015" s="11"/>
    </row>
    <row r="2016" customFormat="false" ht="15" hidden="false" customHeight="false" outlineLevel="0" collapsed="false">
      <c r="B2016" s="11"/>
    </row>
    <row r="2017" customFormat="false" ht="15" hidden="false" customHeight="false" outlineLevel="0" collapsed="false">
      <c r="B2017" s="11"/>
    </row>
    <row r="2018" customFormat="false" ht="15" hidden="false" customHeight="false" outlineLevel="0" collapsed="false">
      <c r="B2018" s="11"/>
    </row>
    <row r="2019" customFormat="false" ht="15" hidden="false" customHeight="false" outlineLevel="0" collapsed="false">
      <c r="B2019" s="11"/>
    </row>
    <row r="2020" customFormat="false" ht="15" hidden="false" customHeight="false" outlineLevel="0" collapsed="false">
      <c r="B2020" s="11"/>
    </row>
    <row r="2021" customFormat="false" ht="15" hidden="false" customHeight="false" outlineLevel="0" collapsed="false">
      <c r="B2021" s="11"/>
    </row>
    <row r="2022" customFormat="false" ht="15" hidden="false" customHeight="false" outlineLevel="0" collapsed="false">
      <c r="B2022" s="11"/>
    </row>
    <row r="2023" customFormat="false" ht="15" hidden="false" customHeight="false" outlineLevel="0" collapsed="false">
      <c r="B2023" s="11"/>
    </row>
    <row r="2024" customFormat="false" ht="15" hidden="false" customHeight="false" outlineLevel="0" collapsed="false">
      <c r="B2024" s="11"/>
    </row>
    <row r="2025" customFormat="false" ht="15" hidden="false" customHeight="false" outlineLevel="0" collapsed="false">
      <c r="B2025" s="11"/>
    </row>
    <row r="2026" customFormat="false" ht="15" hidden="false" customHeight="false" outlineLevel="0" collapsed="false">
      <c r="B2026" s="11"/>
    </row>
    <row r="2027" customFormat="false" ht="15" hidden="false" customHeight="false" outlineLevel="0" collapsed="false">
      <c r="B2027" s="11"/>
    </row>
    <row r="2028" customFormat="false" ht="15" hidden="false" customHeight="false" outlineLevel="0" collapsed="false">
      <c r="B2028" s="11"/>
    </row>
    <row r="2029" customFormat="false" ht="15" hidden="false" customHeight="false" outlineLevel="0" collapsed="false">
      <c r="B2029" s="11"/>
    </row>
    <row r="2030" customFormat="false" ht="15" hidden="false" customHeight="false" outlineLevel="0" collapsed="false">
      <c r="B2030" s="11"/>
    </row>
    <row r="2031" customFormat="false" ht="15" hidden="false" customHeight="false" outlineLevel="0" collapsed="false">
      <c r="B2031" s="11"/>
    </row>
    <row r="2032" customFormat="false" ht="15" hidden="false" customHeight="false" outlineLevel="0" collapsed="false">
      <c r="B2032" s="11"/>
    </row>
    <row r="2033" customFormat="false" ht="15" hidden="false" customHeight="false" outlineLevel="0" collapsed="false">
      <c r="B2033" s="11"/>
    </row>
    <row r="2034" customFormat="false" ht="15" hidden="false" customHeight="false" outlineLevel="0" collapsed="false">
      <c r="B2034" s="11"/>
    </row>
    <row r="2035" customFormat="false" ht="15" hidden="false" customHeight="false" outlineLevel="0" collapsed="false">
      <c r="B2035" s="11"/>
    </row>
    <row r="2044" customFormat="false" ht="15" hidden="false" customHeight="false" outlineLevel="0" collapsed="false">
      <c r="B2044" s="11"/>
    </row>
    <row r="2045" customFormat="false" ht="15" hidden="false" customHeight="false" outlineLevel="0" collapsed="false">
      <c r="B2045" s="11"/>
    </row>
    <row r="2046" customFormat="false" ht="15" hidden="false" customHeight="false" outlineLevel="0" collapsed="false">
      <c r="B2046" s="11"/>
    </row>
    <row r="2047" customFormat="false" ht="15" hidden="false" customHeight="false" outlineLevel="0" collapsed="false">
      <c r="B2047" s="11"/>
    </row>
    <row r="2048" customFormat="false" ht="15" hidden="false" customHeight="false" outlineLevel="0" collapsed="false">
      <c r="B2048" s="11"/>
    </row>
    <row r="2049" customFormat="false" ht="15" hidden="false" customHeight="false" outlineLevel="0" collapsed="false">
      <c r="B2049" s="11"/>
    </row>
    <row r="2050" customFormat="false" ht="15" hidden="false" customHeight="false" outlineLevel="0" collapsed="false">
      <c r="B2050" s="11"/>
    </row>
    <row r="2051" customFormat="false" ht="15" hidden="false" customHeight="false" outlineLevel="0" collapsed="false">
      <c r="B2051" s="11"/>
    </row>
    <row r="2052" customFormat="false" ht="15" hidden="false" customHeight="false" outlineLevel="0" collapsed="false">
      <c r="B2052" s="11"/>
    </row>
    <row r="2053" customFormat="false" ht="15" hidden="false" customHeight="false" outlineLevel="0" collapsed="false">
      <c r="B2053" s="11"/>
    </row>
    <row r="2054" customFormat="false" ht="15" hidden="false" customHeight="false" outlineLevel="0" collapsed="false">
      <c r="B2054" s="11"/>
    </row>
    <row r="2055" customFormat="false" ht="15" hidden="false" customHeight="false" outlineLevel="0" collapsed="false">
      <c r="B2055" s="11"/>
    </row>
    <row r="2056" customFormat="false" ht="15" hidden="false" customHeight="false" outlineLevel="0" collapsed="false">
      <c r="B2056" s="11"/>
    </row>
    <row r="2057" customFormat="false" ht="15" hidden="false" customHeight="false" outlineLevel="0" collapsed="false">
      <c r="B2057" s="11"/>
    </row>
    <row r="2058" customFormat="false" ht="15" hidden="false" customHeight="false" outlineLevel="0" collapsed="false">
      <c r="B2058" s="11"/>
    </row>
    <row r="2059" customFormat="false" ht="15" hidden="false" customHeight="false" outlineLevel="0" collapsed="false">
      <c r="B2059" s="11"/>
    </row>
    <row r="2060" customFormat="false" ht="15" hidden="false" customHeight="false" outlineLevel="0" collapsed="false">
      <c r="B2060" s="11"/>
    </row>
    <row r="2061" customFormat="false" ht="15" hidden="false" customHeight="false" outlineLevel="0" collapsed="false">
      <c r="B2061" s="11"/>
    </row>
    <row r="2062" customFormat="false" ht="15" hidden="false" customHeight="false" outlineLevel="0" collapsed="false">
      <c r="B2062" s="11"/>
    </row>
    <row r="2063" customFormat="false" ht="15" hidden="false" customHeight="false" outlineLevel="0" collapsed="false">
      <c r="B2063" s="11"/>
    </row>
    <row r="2064" customFormat="false" ht="15" hidden="false" customHeight="false" outlineLevel="0" collapsed="false">
      <c r="B2064" s="11"/>
    </row>
    <row r="2065" customFormat="false" ht="15" hidden="false" customHeight="false" outlineLevel="0" collapsed="false">
      <c r="B2065" s="11"/>
    </row>
    <row r="2066" customFormat="false" ht="15" hidden="false" customHeight="false" outlineLevel="0" collapsed="false">
      <c r="B2066" s="11"/>
    </row>
    <row r="2067" customFormat="false" ht="15" hidden="false" customHeight="false" outlineLevel="0" collapsed="false">
      <c r="B2067" s="11"/>
    </row>
    <row r="2076" customFormat="false" ht="15" hidden="false" customHeight="false" outlineLevel="0" collapsed="false">
      <c r="B2076" s="11"/>
    </row>
    <row r="2077" customFormat="false" ht="15" hidden="false" customHeight="false" outlineLevel="0" collapsed="false">
      <c r="B2077" s="11"/>
    </row>
    <row r="2078" customFormat="false" ht="15" hidden="false" customHeight="false" outlineLevel="0" collapsed="false">
      <c r="B2078" s="11"/>
    </row>
    <row r="2079" customFormat="false" ht="15" hidden="false" customHeight="false" outlineLevel="0" collapsed="false">
      <c r="B2079" s="11"/>
    </row>
    <row r="2080" customFormat="false" ht="15" hidden="false" customHeight="false" outlineLevel="0" collapsed="false">
      <c r="B2080" s="11"/>
    </row>
    <row r="2081" customFormat="false" ht="15" hidden="false" customHeight="false" outlineLevel="0" collapsed="false">
      <c r="B2081" s="11"/>
    </row>
    <row r="2082" customFormat="false" ht="15" hidden="false" customHeight="false" outlineLevel="0" collapsed="false">
      <c r="B2082" s="11"/>
    </row>
    <row r="2083" customFormat="false" ht="15" hidden="false" customHeight="false" outlineLevel="0" collapsed="false">
      <c r="B2083" s="11"/>
    </row>
    <row r="2084" customFormat="false" ht="15" hidden="false" customHeight="false" outlineLevel="0" collapsed="false">
      <c r="B2084" s="11"/>
    </row>
    <row r="2085" customFormat="false" ht="15" hidden="false" customHeight="false" outlineLevel="0" collapsed="false">
      <c r="B2085" s="11"/>
    </row>
    <row r="2086" customFormat="false" ht="15" hidden="false" customHeight="false" outlineLevel="0" collapsed="false">
      <c r="B2086" s="11"/>
    </row>
    <row r="2087" customFormat="false" ht="15" hidden="false" customHeight="false" outlineLevel="0" collapsed="false">
      <c r="B2087" s="11"/>
    </row>
    <row r="2088" customFormat="false" ht="15" hidden="false" customHeight="false" outlineLevel="0" collapsed="false">
      <c r="B2088" s="11"/>
    </row>
    <row r="2089" customFormat="false" ht="15" hidden="false" customHeight="false" outlineLevel="0" collapsed="false">
      <c r="B2089" s="11"/>
    </row>
    <row r="2090" customFormat="false" ht="15" hidden="false" customHeight="false" outlineLevel="0" collapsed="false">
      <c r="B2090" s="11"/>
    </row>
    <row r="2091" customFormat="false" ht="15" hidden="false" customHeight="false" outlineLevel="0" collapsed="false">
      <c r="B2091" s="11"/>
    </row>
    <row r="2092" customFormat="false" ht="15" hidden="false" customHeight="false" outlineLevel="0" collapsed="false">
      <c r="B2092" s="11"/>
    </row>
    <row r="2093" customFormat="false" ht="15" hidden="false" customHeight="false" outlineLevel="0" collapsed="false">
      <c r="B2093" s="11"/>
    </row>
    <row r="2094" customFormat="false" ht="15" hidden="false" customHeight="false" outlineLevel="0" collapsed="false">
      <c r="B2094" s="11"/>
    </row>
    <row r="2095" customFormat="false" ht="15" hidden="false" customHeight="false" outlineLevel="0" collapsed="false">
      <c r="B2095" s="11"/>
    </row>
    <row r="2096" customFormat="false" ht="15" hidden="false" customHeight="false" outlineLevel="0" collapsed="false">
      <c r="B2096" s="11"/>
    </row>
    <row r="2097" customFormat="false" ht="15" hidden="false" customHeight="false" outlineLevel="0" collapsed="false">
      <c r="B2097" s="11"/>
    </row>
    <row r="2098" customFormat="false" ht="15" hidden="false" customHeight="false" outlineLevel="0" collapsed="false">
      <c r="B2098" s="11"/>
    </row>
    <row r="2099" customFormat="false" ht="15" hidden="false" customHeight="false" outlineLevel="0" collapsed="false">
      <c r="B2099" s="11"/>
    </row>
    <row r="2101" customFormat="false" ht="15" hidden="false" customHeight="false" outlineLevel="0" collapsed="false">
      <c r="A2101" s="7" t="s">
        <v>40</v>
      </c>
    </row>
    <row r="2102" customFormat="false" ht="15" hidden="false" customHeight="false" outlineLevel="0" collapsed="false">
      <c r="B2102" s="8" t="n">
        <f aca="false">IFERROR(__xludf.DUMMYFUNCTION("IMPORTRANGE(Links!$B$7,""Resumen Capacidad!B2:K88"")"),0.0294969285801908)</f>
        <v>0.0294969285801908</v>
      </c>
      <c r="C2102" s="8"/>
      <c r="D2102" s="8"/>
      <c r="E2102" s="8"/>
      <c r="F2102" s="8"/>
      <c r="G2102" s="8"/>
      <c r="H2102" s="8"/>
      <c r="I2102" s="8"/>
      <c r="J2102" s="8"/>
      <c r="K2102" s="8"/>
    </row>
    <row r="2103" customFormat="false" ht="15" hidden="false" customHeight="false" outlineLevel="0" collapsed="false">
      <c r="B2103" s="8"/>
      <c r="C2103" s="8"/>
      <c r="D2103" s="8"/>
      <c r="E2103" s="8"/>
      <c r="F2103" s="8"/>
      <c r="G2103" s="8"/>
      <c r="H2103" s="8"/>
      <c r="I2103" s="8"/>
      <c r="J2103" s="8"/>
      <c r="K2103" s="8"/>
    </row>
    <row r="2104" customFormat="false" ht="15" hidden="false" customHeight="false" outlineLevel="0" collapsed="false">
      <c r="B2104" s="8"/>
      <c r="C2104" s="8"/>
      <c r="D2104" s="8"/>
      <c r="E2104" s="8"/>
      <c r="F2104" s="8"/>
      <c r="G2104" s="8"/>
      <c r="H2104" s="8"/>
      <c r="I2104" s="8"/>
      <c r="J2104" s="8"/>
      <c r="K2104" s="8"/>
    </row>
    <row r="2105" customFormat="false" ht="15" hidden="false" customHeight="false" outlineLevel="0" collapsed="false">
      <c r="B2105" s="8"/>
      <c r="C2105" s="8"/>
      <c r="D2105" s="8"/>
      <c r="E2105" s="8"/>
      <c r="F2105" s="8"/>
      <c r="G2105" s="8"/>
      <c r="H2105" s="8"/>
      <c r="I2105" s="8"/>
      <c r="J2105" s="8"/>
      <c r="K2105" s="8"/>
    </row>
    <row r="2106" customFormat="false" ht="15" hidden="false" customHeight="false" outlineLevel="0" collapsed="false">
      <c r="B2106" s="8"/>
      <c r="C2106" s="8"/>
      <c r="D2106" s="8"/>
      <c r="E2106" s="8"/>
      <c r="F2106" s="8"/>
      <c r="G2106" s="8"/>
      <c r="H2106" s="8"/>
      <c r="I2106" s="8"/>
      <c r="J2106" s="8"/>
      <c r="K2106" s="8"/>
    </row>
    <row r="2107" customFormat="false" ht="15" hidden="false" customHeight="false" outlineLevel="0" collapsed="false">
      <c r="B2107" s="8"/>
      <c r="C2107" s="8"/>
      <c r="D2107" s="8"/>
      <c r="E2107" s="8"/>
      <c r="F2107" s="8"/>
      <c r="G2107" s="8"/>
      <c r="H2107" s="8"/>
      <c r="I2107" s="8"/>
      <c r="J2107" s="8"/>
      <c r="K2107" s="8"/>
    </row>
    <row r="2108" customFormat="false" ht="15" hidden="false" customHeight="false" outlineLevel="0" collapsed="false">
      <c r="B2108" s="8"/>
      <c r="C2108" s="8"/>
      <c r="D2108" s="8"/>
      <c r="E2108" s="8"/>
      <c r="F2108" s="8"/>
      <c r="G2108" s="8"/>
      <c r="H2108" s="8"/>
      <c r="I2108" s="8"/>
      <c r="J2108" s="8"/>
      <c r="K2108" s="8"/>
    </row>
    <row r="2109" customFormat="false" ht="15" hidden="false" customHeight="false" outlineLevel="0" collapsed="false">
      <c r="B2109" s="8"/>
      <c r="C2109" s="8"/>
      <c r="D2109" s="8"/>
      <c r="E2109" s="8"/>
      <c r="F2109" s="8"/>
      <c r="G2109" s="8"/>
      <c r="H2109" s="8"/>
      <c r="I2109" s="8"/>
      <c r="J2109" s="8"/>
      <c r="K2109" s="8"/>
    </row>
    <row r="2110" customFormat="false" ht="15" hidden="false" customHeight="false" outlineLevel="0" collapsed="false">
      <c r="B2110" s="8"/>
      <c r="C2110" s="8"/>
      <c r="D2110" s="8"/>
      <c r="E2110" s="8"/>
      <c r="F2110" s="8"/>
      <c r="G2110" s="8"/>
      <c r="H2110" s="8"/>
      <c r="I2110" s="8"/>
      <c r="J2110" s="8"/>
      <c r="K2110" s="8"/>
    </row>
    <row r="2111" customFormat="false" ht="15" hidden="false" customHeight="false" outlineLevel="0" collapsed="false">
      <c r="B2111" s="8"/>
      <c r="C2111" s="8"/>
      <c r="D2111" s="8"/>
      <c r="E2111" s="8"/>
      <c r="F2111" s="8"/>
      <c r="G2111" s="8"/>
      <c r="H2111" s="8"/>
      <c r="I2111" s="8"/>
      <c r="J2111" s="8"/>
      <c r="K2111" s="8"/>
    </row>
    <row r="2112" customFormat="false" ht="15" hidden="false" customHeight="false" outlineLevel="0" collapsed="false">
      <c r="B2112" s="8"/>
      <c r="C2112" s="8"/>
      <c r="D2112" s="8"/>
      <c r="E2112" s="8"/>
      <c r="F2112" s="8"/>
      <c r="G2112" s="8"/>
      <c r="H2112" s="8"/>
      <c r="I2112" s="8"/>
      <c r="J2112" s="8"/>
      <c r="K2112" s="8"/>
    </row>
    <row r="2113" customFormat="false" ht="15" hidden="false" customHeight="false" outlineLevel="0" collapsed="false">
      <c r="B2113" s="8"/>
      <c r="C2113" s="8"/>
      <c r="D2113" s="8"/>
      <c r="E2113" s="8"/>
      <c r="F2113" s="8"/>
      <c r="G2113" s="8"/>
      <c r="H2113" s="8"/>
      <c r="I2113" s="8"/>
      <c r="J2113" s="8"/>
      <c r="K2113" s="8"/>
    </row>
    <row r="2114" customFormat="false" ht="15" hidden="false" customHeight="false" outlineLevel="0" collapsed="false">
      <c r="B2114" s="8"/>
      <c r="C2114" s="8"/>
      <c r="D2114" s="8"/>
      <c r="E2114" s="8"/>
      <c r="F2114" s="8"/>
      <c r="G2114" s="8"/>
      <c r="H2114" s="8"/>
      <c r="I2114" s="8"/>
      <c r="J2114" s="8"/>
      <c r="K2114" s="8"/>
    </row>
    <row r="2115" customFormat="false" ht="15" hidden="false" customHeight="false" outlineLevel="0" collapsed="false">
      <c r="B2115" s="8"/>
      <c r="C2115" s="8"/>
      <c r="D2115" s="8"/>
      <c r="E2115" s="8"/>
      <c r="F2115" s="8"/>
      <c r="G2115" s="8"/>
      <c r="H2115" s="8"/>
      <c r="I2115" s="8"/>
      <c r="J2115" s="8"/>
      <c r="K2115" s="8"/>
    </row>
    <row r="2116" customFormat="false" ht="15" hidden="false" customHeight="false" outlineLevel="0" collapsed="false">
      <c r="B2116" s="8"/>
      <c r="C2116" s="8"/>
      <c r="D2116" s="8"/>
      <c r="E2116" s="8"/>
      <c r="F2116" s="8"/>
      <c r="G2116" s="8"/>
      <c r="H2116" s="8"/>
      <c r="I2116" s="8"/>
      <c r="J2116" s="8"/>
      <c r="K2116" s="8"/>
    </row>
    <row r="2117" customFormat="false" ht="15" hidden="false" customHeight="false" outlineLevel="0" collapsed="false">
      <c r="B2117" s="8"/>
      <c r="C2117" s="8"/>
      <c r="D2117" s="8"/>
      <c r="E2117" s="8"/>
      <c r="F2117" s="8"/>
      <c r="G2117" s="8"/>
      <c r="H2117" s="8"/>
      <c r="I2117" s="8"/>
      <c r="J2117" s="8"/>
      <c r="K2117" s="8"/>
    </row>
    <row r="2118" customFormat="false" ht="15" hidden="false" customHeight="false" outlineLevel="0" collapsed="false">
      <c r="B2118" s="8"/>
      <c r="C2118" s="8"/>
      <c r="D2118" s="8"/>
      <c r="E2118" s="8"/>
      <c r="F2118" s="8"/>
      <c r="G2118" s="8"/>
      <c r="H2118" s="8"/>
      <c r="I2118" s="8"/>
      <c r="J2118" s="8"/>
      <c r="K2118" s="8"/>
    </row>
    <row r="2119" customFormat="false" ht="15" hidden="false" customHeight="false" outlineLevel="0" collapsed="false">
      <c r="B2119" s="8"/>
      <c r="C2119" s="8"/>
      <c r="D2119" s="8"/>
      <c r="E2119" s="8"/>
      <c r="F2119" s="8"/>
      <c r="G2119" s="8"/>
      <c r="H2119" s="8"/>
      <c r="I2119" s="8"/>
      <c r="J2119" s="8"/>
      <c r="K2119" s="8"/>
    </row>
    <row r="2120" customFormat="false" ht="15" hidden="false" customHeight="false" outlineLevel="0" collapsed="false">
      <c r="B2120" s="8"/>
      <c r="C2120" s="8"/>
      <c r="D2120" s="8"/>
      <c r="E2120" s="8"/>
      <c r="F2120" s="8"/>
      <c r="G2120" s="8"/>
      <c r="H2120" s="8"/>
      <c r="I2120" s="8"/>
      <c r="J2120" s="8"/>
      <c r="K2120" s="8"/>
    </row>
    <row r="2121" customFormat="false" ht="15" hidden="false" customHeight="false" outlineLevel="0" collapsed="false">
      <c r="B2121" s="8"/>
      <c r="C2121" s="8"/>
      <c r="D2121" s="8"/>
      <c r="E2121" s="8"/>
      <c r="F2121" s="8"/>
      <c r="G2121" s="8"/>
      <c r="H2121" s="8"/>
      <c r="I2121" s="8"/>
      <c r="J2121" s="8"/>
      <c r="K2121" s="8"/>
    </row>
    <row r="2122" customFormat="false" ht="15" hidden="false" customHeight="false" outlineLevel="0" collapsed="false">
      <c r="B2122" s="8"/>
      <c r="C2122" s="8"/>
      <c r="D2122" s="8"/>
      <c r="E2122" s="8"/>
      <c r="F2122" s="8"/>
      <c r="G2122" s="8"/>
      <c r="H2122" s="8"/>
      <c r="I2122" s="8"/>
      <c r="J2122" s="8"/>
      <c r="K2122" s="8"/>
    </row>
    <row r="2123" customFormat="false" ht="15" hidden="false" customHeight="false" outlineLevel="0" collapsed="false">
      <c r="B2123" s="8"/>
      <c r="C2123" s="8"/>
      <c r="D2123" s="8"/>
      <c r="E2123" s="8"/>
      <c r="F2123" s="8"/>
      <c r="G2123" s="8"/>
      <c r="H2123" s="8"/>
      <c r="I2123" s="8"/>
      <c r="J2123" s="8"/>
      <c r="K2123" s="8"/>
    </row>
    <row r="2124" customFormat="false" ht="15" hidden="false" customHeight="false" outlineLevel="0" collapsed="false">
      <c r="B2124" s="8"/>
      <c r="C2124" s="8"/>
      <c r="D2124" s="8"/>
      <c r="E2124" s="8"/>
      <c r="F2124" s="8"/>
      <c r="G2124" s="8"/>
      <c r="H2124" s="8"/>
      <c r="I2124" s="8"/>
      <c r="J2124" s="8"/>
      <c r="K2124" s="8"/>
    </row>
    <row r="2125" customFormat="false" ht="15" hidden="false" customHeight="false" outlineLevel="0" collapsed="false">
      <c r="B2125" s="8"/>
      <c r="C2125" s="8"/>
      <c r="D2125" s="8"/>
      <c r="E2125" s="8"/>
      <c r="F2125" s="8"/>
      <c r="G2125" s="8"/>
      <c r="H2125" s="8"/>
      <c r="I2125" s="8"/>
      <c r="J2125" s="8"/>
      <c r="K2125" s="8"/>
    </row>
    <row r="2133" customFormat="false" ht="15" hidden="false" customHeight="false" outlineLevel="0" collapsed="false">
      <c r="B2133" s="8"/>
      <c r="C2133" s="8"/>
      <c r="D2133" s="8"/>
      <c r="E2133" s="8"/>
      <c r="F2133" s="8"/>
      <c r="G2133" s="8"/>
      <c r="H2133" s="8"/>
      <c r="I2133" s="8"/>
      <c r="J2133" s="8"/>
      <c r="K2133" s="8"/>
    </row>
    <row r="2134" customFormat="false" ht="15" hidden="false" customHeight="false" outlineLevel="0" collapsed="false">
      <c r="B2134" s="8"/>
      <c r="C2134" s="8"/>
      <c r="D2134" s="8"/>
      <c r="E2134" s="8"/>
      <c r="F2134" s="8"/>
      <c r="G2134" s="8"/>
      <c r="H2134" s="8"/>
      <c r="I2134" s="8"/>
      <c r="J2134" s="8"/>
      <c r="K2134" s="8"/>
    </row>
    <row r="2135" customFormat="false" ht="15" hidden="false" customHeight="false" outlineLevel="0" collapsed="false">
      <c r="B2135" s="8"/>
      <c r="C2135" s="8"/>
      <c r="D2135" s="8"/>
      <c r="E2135" s="8"/>
      <c r="F2135" s="8"/>
      <c r="G2135" s="8"/>
      <c r="H2135" s="8"/>
      <c r="I2135" s="8"/>
      <c r="J2135" s="8"/>
      <c r="K2135" s="8"/>
    </row>
    <row r="2136" customFormat="false" ht="15" hidden="false" customHeight="false" outlineLevel="0" collapsed="false">
      <c r="B2136" s="8"/>
      <c r="C2136" s="8"/>
      <c r="D2136" s="8"/>
      <c r="E2136" s="8"/>
      <c r="F2136" s="8"/>
      <c r="G2136" s="8"/>
      <c r="H2136" s="8"/>
      <c r="I2136" s="8"/>
      <c r="J2136" s="8"/>
      <c r="K2136" s="8"/>
    </row>
    <row r="2137" customFormat="false" ht="15" hidden="false" customHeight="false" outlineLevel="0" collapsed="false">
      <c r="B2137" s="8"/>
      <c r="C2137" s="8"/>
      <c r="D2137" s="8"/>
      <c r="E2137" s="8"/>
      <c r="F2137" s="8"/>
      <c r="G2137" s="8"/>
      <c r="H2137" s="8"/>
      <c r="I2137" s="8"/>
      <c r="J2137" s="8"/>
      <c r="K2137" s="8"/>
    </row>
    <row r="2138" customFormat="false" ht="15" hidden="false" customHeight="false" outlineLevel="0" collapsed="false">
      <c r="B2138" s="8"/>
      <c r="C2138" s="8"/>
      <c r="D2138" s="8"/>
      <c r="E2138" s="8"/>
      <c r="F2138" s="8"/>
      <c r="G2138" s="8"/>
      <c r="H2138" s="8"/>
      <c r="I2138" s="8"/>
      <c r="J2138" s="8"/>
      <c r="K2138" s="8"/>
    </row>
    <row r="2139" customFormat="false" ht="15" hidden="false" customHeight="false" outlineLevel="0" collapsed="false">
      <c r="B2139" s="8"/>
      <c r="C2139" s="8"/>
      <c r="D2139" s="8"/>
      <c r="E2139" s="8"/>
      <c r="F2139" s="8"/>
      <c r="G2139" s="8"/>
      <c r="H2139" s="8"/>
      <c r="I2139" s="8"/>
      <c r="J2139" s="8"/>
      <c r="K2139" s="8"/>
    </row>
    <row r="2140" customFormat="false" ht="15" hidden="false" customHeight="false" outlineLevel="0" collapsed="false">
      <c r="B2140" s="8"/>
      <c r="C2140" s="8"/>
      <c r="D2140" s="8"/>
      <c r="E2140" s="8"/>
      <c r="F2140" s="8"/>
      <c r="G2140" s="8"/>
      <c r="H2140" s="8"/>
      <c r="I2140" s="8"/>
      <c r="J2140" s="8"/>
      <c r="K2140" s="8"/>
    </row>
    <row r="2141" customFormat="false" ht="15" hidden="false" customHeight="false" outlineLevel="0" collapsed="false">
      <c r="B2141" s="8"/>
      <c r="C2141" s="8"/>
      <c r="D2141" s="8"/>
      <c r="E2141" s="8"/>
      <c r="F2141" s="8"/>
      <c r="G2141" s="8"/>
      <c r="H2141" s="8"/>
      <c r="I2141" s="8"/>
      <c r="J2141" s="8"/>
      <c r="K2141" s="8"/>
    </row>
    <row r="2142" customFormat="false" ht="15" hidden="false" customHeight="false" outlineLevel="0" collapsed="false">
      <c r="B2142" s="8"/>
      <c r="C2142" s="8"/>
      <c r="D2142" s="8"/>
      <c r="E2142" s="8"/>
      <c r="F2142" s="8"/>
      <c r="G2142" s="8"/>
      <c r="H2142" s="8"/>
      <c r="I2142" s="8"/>
      <c r="J2142" s="8"/>
      <c r="K2142" s="8"/>
    </row>
    <row r="2143" customFormat="false" ht="15" hidden="false" customHeight="false" outlineLevel="0" collapsed="false">
      <c r="B2143" s="8"/>
      <c r="C2143" s="8"/>
      <c r="D2143" s="8"/>
      <c r="E2143" s="8"/>
      <c r="F2143" s="8"/>
      <c r="G2143" s="8"/>
      <c r="H2143" s="8"/>
      <c r="I2143" s="8"/>
      <c r="J2143" s="8"/>
      <c r="K2143" s="8"/>
    </row>
    <row r="2144" customFormat="false" ht="15" hidden="false" customHeight="false" outlineLevel="0" collapsed="false">
      <c r="B2144" s="8"/>
      <c r="C2144" s="8"/>
      <c r="D2144" s="8"/>
      <c r="E2144" s="8"/>
      <c r="F2144" s="8"/>
      <c r="G2144" s="8"/>
      <c r="H2144" s="8"/>
      <c r="I2144" s="8"/>
      <c r="J2144" s="8"/>
      <c r="K2144" s="8"/>
    </row>
    <row r="2145" customFormat="false" ht="15" hidden="false" customHeight="false" outlineLevel="0" collapsed="false">
      <c r="B2145" s="8"/>
      <c r="C2145" s="8"/>
      <c r="D2145" s="8"/>
      <c r="E2145" s="8"/>
      <c r="F2145" s="8"/>
      <c r="G2145" s="8"/>
      <c r="H2145" s="8"/>
      <c r="I2145" s="8"/>
      <c r="J2145" s="8"/>
      <c r="K2145" s="8"/>
    </row>
    <row r="2146" customFormat="false" ht="15" hidden="false" customHeight="false" outlineLevel="0" collapsed="false">
      <c r="B2146" s="8"/>
      <c r="C2146" s="8"/>
      <c r="D2146" s="8"/>
      <c r="E2146" s="8"/>
      <c r="F2146" s="8"/>
      <c r="G2146" s="8"/>
      <c r="H2146" s="8"/>
      <c r="I2146" s="8"/>
      <c r="J2146" s="8"/>
      <c r="K2146" s="8"/>
    </row>
    <row r="2147" customFormat="false" ht="15" hidden="false" customHeight="false" outlineLevel="0" collapsed="false">
      <c r="B2147" s="8"/>
      <c r="C2147" s="8"/>
      <c r="D2147" s="8"/>
      <c r="E2147" s="8"/>
      <c r="F2147" s="8"/>
      <c r="G2147" s="8"/>
      <c r="H2147" s="8"/>
      <c r="I2147" s="8"/>
      <c r="J2147" s="8"/>
      <c r="K2147" s="8"/>
    </row>
    <row r="2148" customFormat="false" ht="15" hidden="false" customHeight="false" outlineLevel="0" collapsed="false">
      <c r="B2148" s="8"/>
      <c r="C2148" s="8"/>
      <c r="D2148" s="8"/>
      <c r="E2148" s="8"/>
      <c r="F2148" s="8"/>
      <c r="G2148" s="8"/>
      <c r="H2148" s="8"/>
      <c r="I2148" s="8"/>
      <c r="J2148" s="8"/>
      <c r="K2148" s="8"/>
    </row>
    <row r="2149" customFormat="false" ht="15" hidden="false" customHeight="false" outlineLevel="0" collapsed="false">
      <c r="B2149" s="8"/>
      <c r="C2149" s="8"/>
      <c r="D2149" s="8"/>
      <c r="E2149" s="8"/>
      <c r="F2149" s="8"/>
      <c r="G2149" s="8"/>
      <c r="H2149" s="8"/>
      <c r="I2149" s="8"/>
      <c r="J2149" s="8"/>
      <c r="K2149" s="8"/>
    </row>
    <row r="2150" customFormat="false" ht="15" hidden="false" customHeight="false" outlineLevel="0" collapsed="false">
      <c r="B2150" s="8"/>
      <c r="C2150" s="8"/>
      <c r="D2150" s="8"/>
      <c r="E2150" s="8"/>
      <c r="F2150" s="8"/>
      <c r="G2150" s="8"/>
      <c r="H2150" s="8"/>
      <c r="I2150" s="8"/>
      <c r="J2150" s="8"/>
      <c r="K2150" s="8"/>
    </row>
    <row r="2151" customFormat="false" ht="15" hidden="false" customHeight="false" outlineLevel="0" collapsed="false">
      <c r="B2151" s="8"/>
      <c r="C2151" s="8"/>
      <c r="D2151" s="8"/>
      <c r="E2151" s="8"/>
      <c r="F2151" s="8"/>
      <c r="G2151" s="8"/>
      <c r="H2151" s="8"/>
      <c r="I2151" s="8"/>
      <c r="J2151" s="8"/>
      <c r="K2151" s="8"/>
    </row>
    <row r="2152" customFormat="false" ht="15" hidden="false" customHeight="false" outlineLevel="0" collapsed="false">
      <c r="B2152" s="8"/>
      <c r="C2152" s="8"/>
      <c r="D2152" s="8"/>
      <c r="E2152" s="8"/>
      <c r="F2152" s="8"/>
      <c r="G2152" s="8"/>
      <c r="H2152" s="8"/>
      <c r="I2152" s="8"/>
      <c r="J2152" s="8"/>
      <c r="K2152" s="8"/>
    </row>
    <row r="2153" customFormat="false" ht="15" hidden="false" customHeight="false" outlineLevel="0" collapsed="false">
      <c r="B2153" s="8"/>
      <c r="C2153" s="8"/>
      <c r="D2153" s="8"/>
      <c r="E2153" s="8"/>
      <c r="F2153" s="8"/>
      <c r="G2153" s="8"/>
      <c r="H2153" s="8"/>
      <c r="I2153" s="8"/>
      <c r="J2153" s="8"/>
      <c r="K2153" s="8"/>
    </row>
    <row r="2154" customFormat="false" ht="15" hidden="false" customHeight="false" outlineLevel="0" collapsed="false">
      <c r="B2154" s="8"/>
      <c r="C2154" s="8"/>
      <c r="D2154" s="8"/>
      <c r="E2154" s="8"/>
      <c r="F2154" s="8"/>
      <c r="G2154" s="8"/>
      <c r="H2154" s="8"/>
      <c r="I2154" s="8"/>
      <c r="J2154" s="8"/>
      <c r="K2154" s="8"/>
    </row>
    <row r="2155" customFormat="false" ht="15" hidden="false" customHeight="false" outlineLevel="0" collapsed="false">
      <c r="B2155" s="8"/>
      <c r="C2155" s="8"/>
      <c r="D2155" s="8"/>
      <c r="E2155" s="8"/>
      <c r="F2155" s="8"/>
      <c r="G2155" s="8"/>
      <c r="H2155" s="8"/>
      <c r="I2155" s="8"/>
      <c r="J2155" s="8"/>
      <c r="K2155" s="8"/>
    </row>
    <row r="2156" customFormat="false" ht="15" hidden="false" customHeight="false" outlineLevel="0" collapsed="false">
      <c r="B2156" s="8"/>
      <c r="C2156" s="8"/>
      <c r="D2156" s="8"/>
      <c r="E2156" s="8"/>
      <c r="F2156" s="8"/>
      <c r="G2156" s="8"/>
      <c r="H2156" s="8"/>
      <c r="I2156" s="8"/>
      <c r="J2156" s="8"/>
      <c r="K2156" s="8"/>
    </row>
    <row r="2157" customFormat="false" ht="15" hidden="false" customHeight="false" outlineLevel="0" collapsed="false">
      <c r="B2157" s="8"/>
      <c r="C2157" s="8"/>
      <c r="D2157" s="8"/>
      <c r="E2157" s="8"/>
      <c r="F2157" s="8"/>
      <c r="G2157" s="8"/>
      <c r="H2157" s="8"/>
      <c r="I2157" s="8"/>
      <c r="J2157" s="8"/>
      <c r="K2157" s="8"/>
    </row>
    <row r="2165" customFormat="false" ht="15" hidden="false" customHeight="false" outlineLevel="0" collapsed="false">
      <c r="B2165" s="8"/>
      <c r="C2165" s="8"/>
      <c r="D2165" s="8"/>
      <c r="E2165" s="8"/>
      <c r="F2165" s="8"/>
      <c r="G2165" s="8"/>
      <c r="H2165" s="8"/>
      <c r="I2165" s="8"/>
      <c r="J2165" s="8"/>
      <c r="K2165" s="8"/>
    </row>
    <row r="2166" customFormat="false" ht="15" hidden="false" customHeight="false" outlineLevel="0" collapsed="false">
      <c r="B2166" s="8"/>
      <c r="C2166" s="8"/>
      <c r="D2166" s="8"/>
      <c r="E2166" s="8"/>
      <c r="F2166" s="8"/>
      <c r="G2166" s="8"/>
      <c r="H2166" s="8"/>
      <c r="I2166" s="8"/>
      <c r="J2166" s="8"/>
      <c r="K2166" s="8"/>
    </row>
    <row r="2167" customFormat="false" ht="15" hidden="false" customHeight="false" outlineLevel="0" collapsed="false">
      <c r="B2167" s="8"/>
      <c r="C2167" s="8"/>
      <c r="D2167" s="8"/>
      <c r="E2167" s="8"/>
      <c r="F2167" s="8"/>
      <c r="G2167" s="8"/>
      <c r="H2167" s="8"/>
      <c r="I2167" s="8"/>
      <c r="J2167" s="8"/>
      <c r="K2167" s="8"/>
    </row>
    <row r="2168" customFormat="false" ht="15" hidden="false" customHeight="false" outlineLevel="0" collapsed="false">
      <c r="B2168" s="8"/>
      <c r="C2168" s="8"/>
      <c r="D2168" s="8"/>
      <c r="E2168" s="8"/>
      <c r="F2168" s="8"/>
      <c r="G2168" s="8"/>
      <c r="H2168" s="8"/>
      <c r="I2168" s="8"/>
      <c r="J2168" s="8"/>
      <c r="K2168" s="8"/>
    </row>
    <row r="2169" customFormat="false" ht="15" hidden="false" customHeight="false" outlineLevel="0" collapsed="false">
      <c r="B2169" s="8"/>
      <c r="C2169" s="8"/>
      <c r="D2169" s="8"/>
      <c r="E2169" s="8"/>
      <c r="F2169" s="8"/>
      <c r="G2169" s="8"/>
      <c r="H2169" s="8"/>
      <c r="I2169" s="8"/>
      <c r="J2169" s="8"/>
      <c r="K2169" s="8"/>
    </row>
    <row r="2170" customFormat="false" ht="15" hidden="false" customHeight="false" outlineLevel="0" collapsed="false">
      <c r="B2170" s="8"/>
      <c r="C2170" s="8"/>
      <c r="D2170" s="8"/>
      <c r="E2170" s="8"/>
      <c r="F2170" s="8"/>
      <c r="G2170" s="8"/>
      <c r="H2170" s="8"/>
      <c r="I2170" s="8"/>
      <c r="J2170" s="8"/>
      <c r="K2170" s="8"/>
    </row>
    <row r="2171" customFormat="false" ht="15" hidden="false" customHeight="false" outlineLevel="0" collapsed="false">
      <c r="B2171" s="8"/>
      <c r="C2171" s="8"/>
      <c r="D2171" s="8"/>
      <c r="E2171" s="8"/>
      <c r="F2171" s="8"/>
      <c r="G2171" s="8"/>
      <c r="H2171" s="8"/>
      <c r="I2171" s="8"/>
      <c r="J2171" s="8"/>
      <c r="K2171" s="8"/>
    </row>
    <row r="2172" customFormat="false" ht="15" hidden="false" customHeight="false" outlineLevel="0" collapsed="false">
      <c r="B2172" s="8"/>
      <c r="C2172" s="8"/>
      <c r="D2172" s="8"/>
      <c r="E2172" s="8"/>
      <c r="F2172" s="8"/>
      <c r="G2172" s="8"/>
      <c r="H2172" s="8"/>
      <c r="I2172" s="8"/>
      <c r="J2172" s="8"/>
      <c r="K2172" s="8"/>
    </row>
    <row r="2173" customFormat="false" ht="15" hidden="false" customHeight="false" outlineLevel="0" collapsed="false">
      <c r="B2173" s="8"/>
      <c r="C2173" s="8"/>
      <c r="D2173" s="8"/>
      <c r="E2173" s="8"/>
      <c r="F2173" s="8"/>
      <c r="G2173" s="8"/>
      <c r="H2173" s="8"/>
      <c r="I2173" s="8"/>
      <c r="J2173" s="8"/>
      <c r="K2173" s="8"/>
    </row>
    <row r="2174" customFormat="false" ht="15" hidden="false" customHeight="false" outlineLevel="0" collapsed="false">
      <c r="B2174" s="8"/>
      <c r="C2174" s="8"/>
      <c r="D2174" s="8"/>
      <c r="E2174" s="8"/>
      <c r="F2174" s="8"/>
      <c r="G2174" s="8"/>
      <c r="H2174" s="8"/>
      <c r="I2174" s="8"/>
      <c r="J2174" s="8"/>
      <c r="K2174" s="8"/>
    </row>
    <row r="2175" customFormat="false" ht="15" hidden="false" customHeight="false" outlineLevel="0" collapsed="false">
      <c r="B2175" s="8"/>
      <c r="C2175" s="8"/>
      <c r="D2175" s="8"/>
      <c r="E2175" s="8"/>
      <c r="F2175" s="8"/>
      <c r="G2175" s="8"/>
      <c r="H2175" s="8"/>
      <c r="I2175" s="8"/>
      <c r="J2175" s="8"/>
      <c r="K2175" s="8"/>
    </row>
    <row r="2176" customFormat="false" ht="15" hidden="false" customHeight="false" outlineLevel="0" collapsed="false">
      <c r="B2176" s="8"/>
      <c r="C2176" s="8"/>
      <c r="D2176" s="8"/>
      <c r="E2176" s="8"/>
      <c r="F2176" s="8"/>
      <c r="G2176" s="8"/>
      <c r="H2176" s="8"/>
      <c r="I2176" s="8"/>
      <c r="J2176" s="8"/>
      <c r="K2176" s="8"/>
    </row>
    <row r="2177" customFormat="false" ht="15" hidden="false" customHeight="false" outlineLevel="0" collapsed="false">
      <c r="B2177" s="8"/>
      <c r="C2177" s="8"/>
      <c r="D2177" s="8"/>
      <c r="E2177" s="8"/>
      <c r="F2177" s="8"/>
      <c r="G2177" s="8"/>
      <c r="H2177" s="8"/>
      <c r="I2177" s="8"/>
      <c r="J2177" s="8"/>
      <c r="K2177" s="8"/>
    </row>
    <row r="2178" customFormat="false" ht="15" hidden="false" customHeight="false" outlineLevel="0" collapsed="false">
      <c r="B2178" s="8"/>
      <c r="C2178" s="8"/>
      <c r="D2178" s="8"/>
      <c r="E2178" s="8"/>
      <c r="F2178" s="8"/>
      <c r="G2178" s="8"/>
      <c r="H2178" s="8"/>
      <c r="I2178" s="8"/>
      <c r="J2178" s="8"/>
      <c r="K2178" s="8"/>
    </row>
    <row r="2179" customFormat="false" ht="15" hidden="false" customHeight="false" outlineLevel="0" collapsed="false">
      <c r="B2179" s="8"/>
      <c r="C2179" s="8"/>
      <c r="D2179" s="8"/>
      <c r="E2179" s="8"/>
      <c r="F2179" s="8"/>
      <c r="G2179" s="8"/>
      <c r="H2179" s="8"/>
      <c r="I2179" s="8"/>
      <c r="J2179" s="8"/>
      <c r="K2179" s="8"/>
    </row>
    <row r="2180" customFormat="false" ht="15" hidden="false" customHeight="false" outlineLevel="0" collapsed="false">
      <c r="B2180" s="8"/>
      <c r="C2180" s="8"/>
      <c r="D2180" s="8"/>
      <c r="E2180" s="8"/>
      <c r="F2180" s="8"/>
      <c r="G2180" s="8"/>
      <c r="H2180" s="8"/>
      <c r="I2180" s="8"/>
      <c r="J2180" s="8"/>
      <c r="K2180" s="8"/>
    </row>
    <row r="2181" customFormat="false" ht="15" hidden="false" customHeight="false" outlineLevel="0" collapsed="false">
      <c r="B2181" s="8"/>
      <c r="C2181" s="8"/>
      <c r="D2181" s="8"/>
      <c r="E2181" s="8"/>
      <c r="F2181" s="8"/>
      <c r="G2181" s="8"/>
      <c r="H2181" s="8"/>
      <c r="I2181" s="8"/>
      <c r="J2181" s="8"/>
      <c r="K2181" s="8"/>
    </row>
    <row r="2182" customFormat="false" ht="15" hidden="false" customHeight="false" outlineLevel="0" collapsed="false">
      <c r="B2182" s="8"/>
      <c r="C2182" s="8"/>
      <c r="D2182" s="8"/>
      <c r="E2182" s="8"/>
      <c r="F2182" s="8"/>
      <c r="G2182" s="8"/>
      <c r="H2182" s="8"/>
      <c r="I2182" s="8"/>
      <c r="J2182" s="8"/>
      <c r="K2182" s="8"/>
    </row>
    <row r="2183" customFormat="false" ht="15" hidden="false" customHeight="false" outlineLevel="0" collapsed="false">
      <c r="B2183" s="8"/>
      <c r="C2183" s="8"/>
      <c r="D2183" s="8"/>
      <c r="E2183" s="8"/>
      <c r="F2183" s="8"/>
      <c r="G2183" s="8"/>
      <c r="H2183" s="8"/>
      <c r="I2183" s="8"/>
      <c r="J2183" s="8"/>
      <c r="K2183" s="8"/>
    </row>
    <row r="2184" customFormat="false" ht="15" hidden="false" customHeight="false" outlineLevel="0" collapsed="false">
      <c r="B2184" s="8"/>
      <c r="C2184" s="8"/>
      <c r="D2184" s="8"/>
      <c r="E2184" s="8"/>
      <c r="F2184" s="8"/>
      <c r="G2184" s="8"/>
      <c r="H2184" s="8"/>
      <c r="I2184" s="8"/>
      <c r="J2184" s="8"/>
      <c r="K2184" s="8"/>
    </row>
    <row r="2185" customFormat="false" ht="15" hidden="false" customHeight="false" outlineLevel="0" collapsed="false">
      <c r="B2185" s="8"/>
      <c r="C2185" s="8"/>
      <c r="D2185" s="8"/>
      <c r="E2185" s="8"/>
      <c r="F2185" s="8"/>
      <c r="G2185" s="8"/>
      <c r="H2185" s="8"/>
      <c r="I2185" s="8"/>
      <c r="J2185" s="8"/>
      <c r="K2185" s="8"/>
    </row>
    <row r="2186" customFormat="false" ht="15" hidden="false" customHeight="false" outlineLevel="0" collapsed="false">
      <c r="B2186" s="8"/>
      <c r="C2186" s="8"/>
      <c r="D2186" s="8"/>
      <c r="E2186" s="8"/>
      <c r="F2186" s="8"/>
      <c r="G2186" s="8"/>
      <c r="H2186" s="8"/>
      <c r="I2186" s="8"/>
      <c r="J2186" s="8"/>
      <c r="K2186" s="8"/>
    </row>
    <row r="2187" customFormat="false" ht="15" hidden="false" customHeight="false" outlineLevel="0" collapsed="false">
      <c r="B2187" s="8"/>
      <c r="C2187" s="8"/>
      <c r="D2187" s="8"/>
      <c r="E2187" s="8"/>
      <c r="F2187" s="8"/>
      <c r="G2187" s="8"/>
      <c r="H2187" s="8"/>
      <c r="I2187" s="8"/>
      <c r="J2187" s="8"/>
      <c r="K2187" s="8"/>
    </row>
    <row r="2188" customFormat="false" ht="15" hidden="false" customHeight="false" outlineLevel="0" collapsed="false">
      <c r="B2188" s="8"/>
      <c r="C2188" s="8"/>
      <c r="D2188" s="8"/>
      <c r="E2188" s="8"/>
      <c r="F2188" s="8"/>
      <c r="G2188" s="8"/>
      <c r="H2188" s="8"/>
      <c r="I2188" s="8"/>
      <c r="J2188" s="8"/>
      <c r="K2188" s="8"/>
    </row>
    <row r="2190" customFormat="false" ht="15" hidden="false" customHeight="false" outlineLevel="0" collapsed="false">
      <c r="A2190" s="7" t="s">
        <v>41</v>
      </c>
    </row>
    <row r="2191" customFormat="false" ht="15" hidden="false" customHeight="false" outlineLevel="0" collapsed="false">
      <c r="B2191" s="13" t="n">
        <f aca="false">IFERROR(__xludf.DUMMYFUNCTION("IMPORTRANGE(Links!$B$8,""Corte!B6:J14"")"),1220)</f>
        <v>1220</v>
      </c>
      <c r="C2191" s="13"/>
      <c r="D2191" s="13"/>
      <c r="E2191" s="13"/>
      <c r="F2191" s="13"/>
      <c r="G2191" s="13"/>
      <c r="H2191" s="13"/>
      <c r="I2191" s="13"/>
      <c r="J2191" s="13"/>
    </row>
    <row r="2192" customFormat="false" ht="15" hidden="false" customHeight="false" outlineLevel="0" collapsed="false">
      <c r="B2192" s="13"/>
      <c r="C2192" s="13"/>
      <c r="D2192" s="13"/>
      <c r="E2192" s="13"/>
      <c r="F2192" s="13"/>
      <c r="G2192" s="13"/>
      <c r="H2192" s="13"/>
      <c r="I2192" s="13"/>
      <c r="J2192" s="13"/>
    </row>
    <row r="2193" customFormat="false" ht="15" hidden="false" customHeight="false" outlineLevel="0" collapsed="false">
      <c r="B2193" s="13"/>
      <c r="C2193" s="13"/>
      <c r="D2193" s="13"/>
      <c r="E2193" s="13"/>
      <c r="F2193" s="13"/>
      <c r="G2193" s="13"/>
      <c r="H2193" s="13"/>
      <c r="I2193" s="13"/>
      <c r="J2193" s="13"/>
    </row>
    <row r="2194" customFormat="false" ht="15" hidden="false" customHeight="false" outlineLevel="0" collapsed="false">
      <c r="B2194" s="13"/>
      <c r="C2194" s="13"/>
      <c r="D2194" s="13"/>
      <c r="E2194" s="13"/>
      <c r="F2194" s="13"/>
      <c r="G2194" s="13"/>
      <c r="H2194" s="13"/>
      <c r="I2194" s="13"/>
      <c r="J2194" s="13"/>
    </row>
    <row r="2195" customFormat="false" ht="15" hidden="false" customHeight="false" outlineLevel="0" collapsed="false">
      <c r="B2195" s="13"/>
      <c r="C2195" s="13"/>
      <c r="D2195" s="13"/>
      <c r="E2195" s="13"/>
      <c r="F2195" s="13"/>
      <c r="G2195" s="13"/>
      <c r="H2195" s="13"/>
      <c r="I2195" s="13"/>
      <c r="J2195" s="13"/>
    </row>
    <row r="2196" customFormat="false" ht="15" hidden="false" customHeight="false" outlineLevel="0" collapsed="false">
      <c r="B2196" s="13"/>
      <c r="C2196" s="13"/>
      <c r="D2196" s="13"/>
      <c r="E2196" s="13"/>
      <c r="F2196" s="13"/>
      <c r="G2196" s="13"/>
      <c r="H2196" s="13"/>
      <c r="I2196" s="13"/>
      <c r="J2196" s="13"/>
    </row>
    <row r="2197" customFormat="false" ht="15" hidden="false" customHeight="false" outlineLevel="0" collapsed="false">
      <c r="B2197" s="13"/>
      <c r="C2197" s="13"/>
      <c r="D2197" s="13"/>
      <c r="E2197" s="13"/>
      <c r="F2197" s="13"/>
      <c r="G2197" s="13"/>
      <c r="H2197" s="13"/>
      <c r="I2197" s="13"/>
      <c r="J2197" s="13"/>
    </row>
    <row r="2198" customFormat="false" ht="15" hidden="false" customHeight="false" outlineLevel="0" collapsed="false">
      <c r="B2198" s="13"/>
      <c r="C2198" s="13"/>
      <c r="D2198" s="13"/>
      <c r="E2198" s="13"/>
      <c r="F2198" s="13"/>
      <c r="G2198" s="13"/>
      <c r="H2198" s="13"/>
      <c r="I2198" s="13"/>
      <c r="J2198" s="13"/>
    </row>
    <row r="2199" customFormat="false" ht="15" hidden="false" customHeight="false" outlineLevel="0" collapsed="false">
      <c r="B2199" s="13"/>
      <c r="C2199" s="13"/>
      <c r="D2199" s="13"/>
      <c r="E2199" s="13"/>
      <c r="F2199" s="13"/>
      <c r="G2199" s="13"/>
      <c r="H2199" s="13"/>
      <c r="I2199" s="13"/>
      <c r="J2199" s="13"/>
    </row>
    <row r="2201" customFormat="false" ht="15" hidden="false" customHeight="false" outlineLevel="0" collapsed="false">
      <c r="A2201" s="7" t="s">
        <v>42</v>
      </c>
    </row>
    <row r="2202" customFormat="false" ht="15" hidden="false" customHeight="false" outlineLevel="0" collapsed="false">
      <c r="B2202" s="13" t="n">
        <f aca="false">IFERROR(__xludf.DUMMYFUNCTION("IMPORTRANGE(Links!$B$8,""Piezas!D6:H13"")"),76.2)</f>
        <v>76.2</v>
      </c>
      <c r="C2202" s="13"/>
      <c r="D2202" s="13"/>
      <c r="E2202" s="13"/>
      <c r="F2202" s="13"/>
    </row>
    <row r="2203" customFormat="false" ht="15" hidden="false" customHeight="false" outlineLevel="0" collapsed="false">
      <c r="B2203" s="13"/>
      <c r="C2203" s="13"/>
      <c r="D2203" s="13"/>
      <c r="E2203" s="13"/>
      <c r="F2203" s="13"/>
    </row>
    <row r="2204" customFormat="false" ht="15" hidden="false" customHeight="false" outlineLevel="0" collapsed="false">
      <c r="B2204" s="13"/>
      <c r="C2204" s="13"/>
      <c r="D2204" s="13"/>
      <c r="E2204" s="13"/>
      <c r="F2204" s="13"/>
    </row>
    <row r="2205" customFormat="false" ht="15" hidden="false" customHeight="false" outlineLevel="0" collapsed="false">
      <c r="B2205" s="13"/>
      <c r="C2205" s="13"/>
      <c r="D2205" s="13"/>
      <c r="E2205" s="13"/>
      <c r="F2205" s="13"/>
    </row>
    <row r="2206" customFormat="false" ht="15" hidden="false" customHeight="false" outlineLevel="0" collapsed="false">
      <c r="B2206" s="13"/>
      <c r="C2206" s="13"/>
      <c r="D2206" s="13"/>
      <c r="E2206" s="13"/>
      <c r="F2206" s="13"/>
    </row>
    <row r="2207" customFormat="false" ht="15" hidden="false" customHeight="false" outlineLevel="0" collapsed="false">
      <c r="B2207" s="13"/>
      <c r="C2207" s="13"/>
      <c r="D2207" s="13"/>
      <c r="E2207" s="13"/>
      <c r="F2207" s="13"/>
    </row>
    <row r="2208" customFormat="false" ht="15" hidden="false" customHeight="false" outlineLevel="0" collapsed="false">
      <c r="B2208" s="13"/>
      <c r="C2208" s="13"/>
      <c r="D2208" s="13"/>
      <c r="E2208" s="13"/>
      <c r="F2208" s="13"/>
    </row>
    <row r="2209" customFormat="false" ht="15" hidden="false" customHeight="false" outlineLevel="0" collapsed="false">
      <c r="B2209" s="13"/>
      <c r="C2209" s="13"/>
      <c r="D2209" s="13"/>
      <c r="E2209" s="13"/>
      <c r="F2209" s="13"/>
    </row>
    <row r="2211" customFormat="false" ht="15" hidden="false" customHeight="false" outlineLevel="0" collapsed="false">
      <c r="A2211" s="7" t="s">
        <v>43</v>
      </c>
    </row>
    <row r="2212" customFormat="false" ht="15" hidden="false" customHeight="false" outlineLevel="0" collapsed="false">
      <c r="B2212" s="13" t="n">
        <f aca="false">IFERROR(__xludf.DUMMYFUNCTION("IMPORTRANGE(Links!$B$8,""Piezas!D18:L25"")"),0.9)</f>
        <v>0.9</v>
      </c>
      <c r="C2212" s="13"/>
      <c r="D2212" s="13"/>
      <c r="E2212" s="13"/>
      <c r="F2212" s="13"/>
      <c r="G2212" s="13"/>
      <c r="H2212" s="13"/>
      <c r="I2212" s="13"/>
      <c r="J2212" s="13"/>
    </row>
    <row r="2213" customFormat="false" ht="15" hidden="false" customHeight="false" outlineLevel="0" collapsed="false">
      <c r="B2213" s="13"/>
      <c r="C2213" s="13"/>
      <c r="D2213" s="13"/>
      <c r="E2213" s="13"/>
      <c r="F2213" s="13"/>
      <c r="G2213" s="13"/>
      <c r="H2213" s="13"/>
      <c r="I2213" s="13"/>
      <c r="J2213" s="13"/>
    </row>
    <row r="2214" customFormat="false" ht="15" hidden="false" customHeight="false" outlineLevel="0" collapsed="false">
      <c r="B2214" s="13"/>
      <c r="C2214" s="13"/>
      <c r="D2214" s="13"/>
      <c r="E2214" s="13"/>
      <c r="F2214" s="13"/>
      <c r="G2214" s="13"/>
      <c r="H2214" s="13"/>
      <c r="I2214" s="13"/>
      <c r="J2214" s="13"/>
    </row>
    <row r="2215" customFormat="false" ht="15" hidden="false" customHeight="false" outlineLevel="0" collapsed="false">
      <c r="B2215" s="13"/>
      <c r="C2215" s="13"/>
      <c r="D2215" s="13"/>
      <c r="E2215" s="13"/>
      <c r="F2215" s="13"/>
      <c r="G2215" s="13"/>
      <c r="H2215" s="13"/>
      <c r="I2215" s="13"/>
      <c r="J2215" s="13"/>
    </row>
    <row r="2216" customFormat="false" ht="15" hidden="false" customHeight="false" outlineLevel="0" collapsed="false">
      <c r="B2216" s="13"/>
      <c r="C2216" s="13"/>
      <c r="D2216" s="13"/>
      <c r="E2216" s="13"/>
      <c r="F2216" s="13"/>
      <c r="G2216" s="13"/>
      <c r="H2216" s="13"/>
      <c r="I2216" s="13"/>
      <c r="J2216" s="13"/>
    </row>
    <row r="2217" customFormat="false" ht="15" hidden="false" customHeight="false" outlineLevel="0" collapsed="false">
      <c r="B2217" s="13"/>
      <c r="C2217" s="13"/>
      <c r="D2217" s="13"/>
      <c r="E2217" s="13"/>
      <c r="F2217" s="13"/>
      <c r="G2217" s="13"/>
      <c r="H2217" s="13"/>
      <c r="I2217" s="13"/>
      <c r="J2217" s="13"/>
    </row>
    <row r="2218" customFormat="false" ht="15" hidden="false" customHeight="false" outlineLevel="0" collapsed="false">
      <c r="B2218" s="13"/>
      <c r="C2218" s="13"/>
      <c r="D2218" s="13"/>
      <c r="E2218" s="13"/>
      <c r="F2218" s="13"/>
      <c r="G2218" s="13"/>
      <c r="H2218" s="13"/>
      <c r="I2218" s="13"/>
      <c r="J2218" s="13"/>
    </row>
    <row r="2219" customFormat="false" ht="15" hidden="false" customHeight="false" outlineLevel="0" collapsed="false">
      <c r="B2219" s="13"/>
      <c r="C2219" s="13"/>
      <c r="D2219" s="13"/>
      <c r="E2219" s="13"/>
      <c r="F2219" s="13"/>
      <c r="G2219" s="13"/>
      <c r="H2219" s="13"/>
      <c r="I2219" s="13"/>
      <c r="J2219" s="13"/>
    </row>
  </sheetData>
  <mergeCells count="12">
    <mergeCell ref="B3:F3"/>
    <mergeCell ref="G3:L3"/>
    <mergeCell ref="B4:F4"/>
    <mergeCell ref="G4:L4"/>
    <mergeCell ref="B5:F5"/>
    <mergeCell ref="G5:L5"/>
    <mergeCell ref="B6:F6"/>
    <mergeCell ref="G6:L6"/>
    <mergeCell ref="B7:F7"/>
    <mergeCell ref="G7:L7"/>
    <mergeCell ref="B8:F8"/>
    <mergeCell ref="G8:L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2" min="11" style="0" width="13"/>
  </cols>
  <sheetData>
    <row r="1" customFormat="false" ht="15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</row>
    <row r="3" customFormat="false" ht="15" hidden="false" customHeight="false" outlineLevel="0" collapsed="false">
      <c r="A3" s="4" t="s">
        <v>46</v>
      </c>
      <c r="C3" s="14" t="n">
        <v>2035</v>
      </c>
    </row>
    <row r="5" customFormat="false" ht="15" hidden="false" customHeight="false" outlineLevel="0" collapsed="false">
      <c r="A5" s="15" t="s">
        <v>47</v>
      </c>
      <c r="B5" s="16"/>
      <c r="C5" s="16"/>
      <c r="D5" s="16"/>
      <c r="E5" s="16"/>
      <c r="F5" s="16"/>
      <c r="G5" s="16"/>
      <c r="H5" s="16"/>
      <c r="I5" s="16"/>
      <c r="J5" s="16"/>
    </row>
    <row r="6" customFormat="false" ht="30" hidden="false" customHeight="true" outlineLevel="0" collapsed="false">
      <c r="A6" s="3" t="s">
        <v>48</v>
      </c>
      <c r="B6" s="3" t="s">
        <v>49</v>
      </c>
      <c r="C6" s="3" t="s">
        <v>50</v>
      </c>
      <c r="D6" s="3" t="s">
        <v>51</v>
      </c>
      <c r="E6" s="3" t="s">
        <v>52</v>
      </c>
      <c r="F6" s="3" t="s">
        <v>53</v>
      </c>
      <c r="G6" s="3" t="s">
        <v>54</v>
      </c>
      <c r="H6" s="3" t="s">
        <v>55</v>
      </c>
      <c r="I6" s="3" t="s">
        <v>56</v>
      </c>
      <c r="J6" s="3" t="s">
        <v>57</v>
      </c>
    </row>
    <row r="7" customFormat="false" ht="15" hidden="false" customHeight="false" outlineLevel="0" collapsed="false">
      <c r="A7" s="5" t="s">
        <v>58</v>
      </c>
      <c r="B7" s="5" t="s">
        <v>59</v>
      </c>
      <c r="C7" s="17" t="n">
        <f aca="false">INDEX(Links!$B$489:$K$489,1,(Resumen!$C$3-2025))</f>
        <v>32072.63913</v>
      </c>
      <c r="D7" s="17" t="n">
        <f aca="false">INDEX(Links!$N$502:$N$610,(Resumen!$C$3-2026)*11+2)</f>
        <v>32072.63913</v>
      </c>
      <c r="E7" s="17" t="n">
        <f aca="false">D7-C7</f>
        <v>0</v>
      </c>
      <c r="F7" s="18" t="n">
        <f aca="false">IF(C7=0,0,D7/C7-1)</f>
        <v>0</v>
      </c>
      <c r="G7" s="6" t="str">
        <f aca="false">IF(ROUND(D7-C7,1)&gt;=0,"✔ Sí","✖ No")</f>
        <v>✔ Sí</v>
      </c>
      <c r="H7" s="17" t="n">
        <f aca="false">INDEX(Links!$C$16:$L$16,1,(Resumen!$C$3-2025))</f>
        <v>32072.63913</v>
      </c>
      <c r="I7" s="6" t="str">
        <f aca="false">IF(ROUND(H7-D7,1)&gt;=0,"✔ Sí","✖ No")</f>
        <v>✔ Sí</v>
      </c>
      <c r="J7" s="17" t="n">
        <f aca="false">H7-D7</f>
        <v>0</v>
      </c>
    </row>
    <row r="8" customFormat="false" ht="15" hidden="false" customHeight="false" outlineLevel="0" collapsed="false">
      <c r="A8" s="5" t="s">
        <v>58</v>
      </c>
      <c r="B8" s="5" t="s">
        <v>60</v>
      </c>
      <c r="C8" s="17" t="n">
        <f aca="false">INDEX(Links!$B$490:$K$490,1,(Resumen!$C$3-2025))</f>
        <v>7424.858444</v>
      </c>
      <c r="D8" s="17" t="n">
        <f aca="false">INDEX(Links!$N$502:$N$610,(Resumen!$C$3-2026)*11+3)</f>
        <v>7436.458444</v>
      </c>
      <c r="E8" s="17" t="n">
        <f aca="false">D8-C8</f>
        <v>11.5999999999995</v>
      </c>
      <c r="F8" s="18" t="n">
        <f aca="false">IF(C8=0,0,D8/C8-1)</f>
        <v>0.00156231934756601</v>
      </c>
      <c r="G8" s="6" t="str">
        <f aca="false">IF(ROUND(D8-C8,1)&gt;=0,"✔ Sí","✖ No")</f>
        <v>✔ Sí</v>
      </c>
      <c r="H8" s="17" t="n">
        <f aca="false">INDEX(Links!$C$17:$L$17,1,(Resumen!$C$3-2025))</f>
        <v>7424.858444</v>
      </c>
      <c r="I8" s="6" t="str">
        <f aca="false">IF(ROUND(H8-D8,1)&gt;=0,"✔ Sí","✖ No")</f>
        <v>✖ No</v>
      </c>
      <c r="J8" s="17" t="n">
        <f aca="false">H8-D8</f>
        <v>-11.5999999999995</v>
      </c>
    </row>
    <row r="9" customFormat="false" ht="15" hidden="false" customHeight="false" outlineLevel="0" collapsed="false">
      <c r="A9" s="5" t="s">
        <v>58</v>
      </c>
      <c r="B9" s="5" t="s">
        <v>61</v>
      </c>
      <c r="C9" s="17" t="n">
        <f aca="false">INDEX(Links!$B$491:$K$491,1,(Resumen!$C$3-2025))</f>
        <v>30750.77872</v>
      </c>
      <c r="D9" s="17" t="n">
        <f aca="false">INDEX(Links!$N$502:$N$610,(Resumen!$C$3-2026)*11+4)</f>
        <v>30814.97872</v>
      </c>
      <c r="E9" s="17" t="n">
        <f aca="false">D9-C9</f>
        <v>64.2000000000007</v>
      </c>
      <c r="F9" s="18" t="n">
        <f aca="false">IF(C9=0,0,D9/C9-1)</f>
        <v>0.00208775200734168</v>
      </c>
      <c r="G9" s="6" t="str">
        <f aca="false">IF(ROUND(D9-C9,1)&gt;=0,"✔ Sí","✖ No")</f>
        <v>✔ Sí</v>
      </c>
      <c r="H9" s="17" t="n">
        <f aca="false">INDEX(Links!$C$18:$L$18,1,(Resumen!$C$3-2025))</f>
        <v>30860.7706862536</v>
      </c>
      <c r="I9" s="6" t="str">
        <f aca="false">IF(ROUND(H9-D9,1)&gt;=0,"✔ Sí","✖ No")</f>
        <v>✔ Sí</v>
      </c>
      <c r="J9" s="17" t="n">
        <f aca="false">H9-D9</f>
        <v>45.7919662536006</v>
      </c>
    </row>
    <row r="10" customFormat="false" ht="15" hidden="false" customHeight="false" outlineLevel="0" collapsed="false">
      <c r="A10" s="5" t="s">
        <v>58</v>
      </c>
      <c r="B10" s="5" t="s">
        <v>62</v>
      </c>
      <c r="C10" s="17" t="n">
        <f aca="false">INDEX(Links!$B$492:$K$492,1,(Resumen!$C$3-2025))</f>
        <v>1840.848079</v>
      </c>
      <c r="D10" s="17" t="n">
        <f aca="false">INDEX(Links!$N$502:$N$610,(Resumen!$C$3-2026)*11+5)</f>
        <v>1844.928079</v>
      </c>
      <c r="E10" s="17" t="n">
        <f aca="false">D10-C10</f>
        <v>4.07999999999993</v>
      </c>
      <c r="F10" s="18" t="n">
        <f aca="false">IF(C10=0,0,D10/C10-1)</f>
        <v>0.00221636975182449</v>
      </c>
      <c r="G10" s="6" t="str">
        <f aca="false">IF(ROUND(D10-C10,1)&gt;=0,"✔ Sí","✖ No")</f>
        <v>✔ Sí</v>
      </c>
      <c r="H10" s="17" t="n">
        <f aca="false">INDEX(Links!$C$19:$L$19,1,(Resumen!$C$3-2025))</f>
        <v>1842.87697319699</v>
      </c>
      <c r="I10" s="6" t="str">
        <f aca="false">IF(ROUND(H10-D10,1)&gt;=0,"✔ Sí","✖ No")</f>
        <v>✖ No</v>
      </c>
      <c r="J10" s="17" t="n">
        <f aca="false">H10-D10</f>
        <v>-2.05110580300993</v>
      </c>
    </row>
    <row r="11" customFormat="false" ht="15" hidden="false" customHeight="false" outlineLevel="0" collapsed="false">
      <c r="A11" s="5" t="s">
        <v>58</v>
      </c>
      <c r="B11" s="5" t="s">
        <v>63</v>
      </c>
      <c r="C11" s="17" t="n">
        <f aca="false">INDEX(Links!$B$496:$K$496,1,(Resumen!$C$3-2025))</f>
        <v>170548</v>
      </c>
      <c r="D11" s="17" t="n">
        <f aca="false">INDEX(Links!$N$502:$N$610,(Resumen!$C$3-2026)*11+6)</f>
        <v>170548</v>
      </c>
      <c r="E11" s="17" t="n">
        <f aca="false">D11-C11</f>
        <v>0</v>
      </c>
      <c r="F11" s="18" t="n">
        <f aca="false">IF(C11=0,0,D11/C11-1)</f>
        <v>0</v>
      </c>
      <c r="G11" s="6" t="str">
        <f aca="false">IF(ROUND(D11-C11,1)&gt;=0,"✔ Sí","✖ No")</f>
        <v>✔ Sí</v>
      </c>
      <c r="H11" s="17" t="n">
        <f aca="false">INDEX(Links!$C$20:$L$20,1,(Resumen!$C$3-2025))</f>
        <v>170548</v>
      </c>
      <c r="I11" s="6" t="str">
        <f aca="false">IF(ROUND(H11-D11,1)&gt;=0,"✔ Sí","✖ No")</f>
        <v>✔ Sí</v>
      </c>
      <c r="J11" s="17" t="n">
        <f aca="false">H11-D11</f>
        <v>0</v>
      </c>
    </row>
    <row r="12" customFormat="false" ht="15" hidden="false" customHeight="false" outlineLevel="0" collapsed="false">
      <c r="A12" s="5" t="s">
        <v>58</v>
      </c>
      <c r="B12" s="5" t="s">
        <v>64</v>
      </c>
      <c r="C12" s="17" t="n">
        <f aca="false">INDEX(Links!$B$497:$K$497,1,(Resumen!$C$3-2025))</f>
        <v>6669</v>
      </c>
      <c r="D12" s="17" t="n">
        <f aca="false">INDEX(Links!$N$502:$N$610,(Resumen!$C$3-2026)*11+7)</f>
        <v>6689.88</v>
      </c>
      <c r="E12" s="17" t="n">
        <f aca="false">D12-C12</f>
        <v>20.8800000000001</v>
      </c>
      <c r="F12" s="18" t="n">
        <f aca="false">IF(C12=0,0,D12/C12-1)</f>
        <v>0.00313090418353568</v>
      </c>
      <c r="G12" s="6" t="str">
        <f aca="false">IF(ROUND(D12-C12,1)&gt;=0,"✔ Sí","✖ No")</f>
        <v>✔ Sí</v>
      </c>
      <c r="H12" s="17" t="n">
        <f aca="false">INDEX(Links!$C$21:$L$21,1,(Resumen!$C$3-2025))</f>
        <v>6669</v>
      </c>
      <c r="I12" s="6" t="str">
        <f aca="false">IF(ROUND(H12-D12,1)&gt;=0,"✔ Sí","✖ No")</f>
        <v>✖ No</v>
      </c>
      <c r="J12" s="17" t="n">
        <f aca="false">H12-D12</f>
        <v>-20.8800000000001</v>
      </c>
    </row>
    <row r="13" customFormat="false" ht="15" hidden="false" customHeight="false" outlineLevel="0" collapsed="false">
      <c r="A13" s="5" t="s">
        <v>58</v>
      </c>
      <c r="B13" s="5" t="s">
        <v>65</v>
      </c>
      <c r="C13" s="17" t="n">
        <f aca="false">INDEX(Links!$B$498:$K$498,1,(Resumen!$C$3-2025))</f>
        <v>32915</v>
      </c>
      <c r="D13" s="17" t="n">
        <f aca="false">INDEX(Links!$N$502:$N$610,(Resumen!$C$3-2026)*11+8)</f>
        <v>33037.68</v>
      </c>
      <c r="E13" s="17" t="n">
        <f aca="false">D13-C13</f>
        <v>122.68</v>
      </c>
      <c r="F13" s="18" t="n">
        <f aca="false">IF(C13=0,0,D13/C13-1)</f>
        <v>0.00372717605954742</v>
      </c>
      <c r="G13" s="6" t="str">
        <f aca="false">IF(ROUND(D13-C13,1)&gt;=0,"✔ Sí","✖ No")</f>
        <v>✔ Sí</v>
      </c>
      <c r="H13" s="17" t="n">
        <f aca="false">INDEX(Links!$C$22:$L$22,1,(Resumen!$C$3-2025))</f>
        <v>32915</v>
      </c>
      <c r="I13" s="6" t="str">
        <f aca="false">IF(ROUND(H13-D13,1)&gt;=0,"✔ Sí","✖ No")</f>
        <v>✖ No</v>
      </c>
      <c r="J13" s="17" t="n">
        <f aca="false">H13-D13</f>
        <v>-122.68</v>
      </c>
    </row>
    <row r="14" customFormat="false" ht="15" hidden="false" customHeight="false" outlineLevel="0" collapsed="false">
      <c r="A14" s="5" t="s">
        <v>58</v>
      </c>
      <c r="B14" s="5" t="s">
        <v>66</v>
      </c>
      <c r="C14" s="17" t="n">
        <f aca="false">INDEX(Links!$B$499:$K$499,1,(Resumen!$C$3-2025))</f>
        <v>2011</v>
      </c>
      <c r="D14" s="17" t="n">
        <f aca="false">INDEX(Links!$N$502:$N$610,(Resumen!$C$3-2026)*11+9)</f>
        <v>2018</v>
      </c>
      <c r="E14" s="17" t="n">
        <f aca="false">D14-C14</f>
        <v>7</v>
      </c>
      <c r="F14" s="18" t="n">
        <f aca="false">IF(C14=0,0,D14/C14-1)</f>
        <v>0.00348085529587272</v>
      </c>
      <c r="G14" s="6" t="str">
        <f aca="false">IF(ROUND(D14-C14,1)&gt;=0,"✔ Sí","✖ No")</f>
        <v>✔ Sí</v>
      </c>
      <c r="H14" s="17" t="n">
        <f aca="false">INDEX(Links!$C$23:$L$23,1,(Resumen!$C$3-2025))</f>
        <v>2011</v>
      </c>
      <c r="I14" s="6" t="str">
        <f aca="false">IF(ROUND(H14-D14,1)&gt;=0,"✔ Sí","✖ No")</f>
        <v>✖ No</v>
      </c>
      <c r="J14" s="17" t="n">
        <f aca="false">H14-D14</f>
        <v>-7</v>
      </c>
    </row>
    <row r="15" customFormat="false" ht="15" hidden="false" customHeight="false" outlineLevel="0" collapsed="false">
      <c r="A15" s="5" t="s">
        <v>67</v>
      </c>
      <c r="B15" s="5" t="s">
        <v>68</v>
      </c>
      <c r="C15" s="17" t="n">
        <f aca="false">INDEX(Links!$B$1011:$K$1011,1,(Resumen!$C$3-2025))</f>
        <v>453.2705332</v>
      </c>
      <c r="D15" s="17" t="n">
        <f aca="false">INDEX(Links!$N$1024:$N$1132,(Resumen!$C$3-2026)*11+2)</f>
        <v>453.6705332</v>
      </c>
      <c r="E15" s="17" t="n">
        <f aca="false">D15-C15</f>
        <v>0.400000000000034</v>
      </c>
      <c r="F15" s="18" t="n">
        <f aca="false">IF(C15=0,0,D15/C15-1)</f>
        <v>0.000882475190205012</v>
      </c>
      <c r="G15" s="6" t="str">
        <f aca="false">IF(ROUND(D15-C15,1)&gt;=0,"✔ Sí","✖ No")</f>
        <v>✔ Sí</v>
      </c>
      <c r="H15" s="17" t="n">
        <f aca="false">INDEX(Links!$C$24:$L$24,1,(Resumen!$C$3-2025))</f>
        <v>453.2705332</v>
      </c>
      <c r="I15" s="6" t="str">
        <f aca="false">IF(ROUND(H15-D15,1)&gt;=0,"✔ Sí","✖ No")</f>
        <v>✖ No</v>
      </c>
      <c r="J15" s="17" t="n">
        <f aca="false">H15-D15</f>
        <v>-0.400000000000034</v>
      </c>
    </row>
    <row r="16" customFormat="false" ht="15" hidden="false" customHeight="false" outlineLevel="0" collapsed="false">
      <c r="A16" s="5" t="s">
        <v>67</v>
      </c>
      <c r="B16" s="5" t="s">
        <v>69</v>
      </c>
      <c r="C16" s="17" t="n">
        <f aca="false">INDEX(Links!$B$1012:$K$1012,1,(Resumen!$C$3-2025))</f>
        <v>997.1951731</v>
      </c>
      <c r="D16" s="17" t="n">
        <f aca="false">INDEX(Links!$N$1024:$N$1132,(Resumen!$C$3-2026)*11+3)</f>
        <v>997.9951731</v>
      </c>
      <c r="E16" s="17" t="n">
        <f aca="false">D16-C16</f>
        <v>0.799999999999955</v>
      </c>
      <c r="F16" s="18" t="n">
        <f aca="false">IF(C16=0,0,D16/C16-1)</f>
        <v>0.000802250172865282</v>
      </c>
      <c r="G16" s="6" t="str">
        <f aca="false">IF(ROUND(D16-C16,1)&gt;=0,"✔ Sí","✖ No")</f>
        <v>✔ Sí</v>
      </c>
      <c r="H16" s="17" t="n">
        <f aca="false">INDEX(Links!$C$25:$L$25,1,(Resumen!$C$3-2025))</f>
        <v>998.259982820404</v>
      </c>
      <c r="I16" s="6" t="str">
        <f aca="false">IF(ROUND(H16-D16,1)&gt;=0,"✔ Sí","✖ No")</f>
        <v>✔ Sí</v>
      </c>
      <c r="J16" s="17" t="n">
        <f aca="false">H16-D16</f>
        <v>0.26480972040406</v>
      </c>
    </row>
    <row r="17" customFormat="false" ht="15" hidden="false" customHeight="false" outlineLevel="0" collapsed="false">
      <c r="A17" s="5" t="s">
        <v>67</v>
      </c>
      <c r="B17" s="5" t="s">
        <v>70</v>
      </c>
      <c r="C17" s="17" t="n">
        <f aca="false">INDEX(Links!$B$1013:$K$1013,1,(Resumen!$C$3-2025))</f>
        <v>217.569856</v>
      </c>
      <c r="D17" s="17" t="n">
        <f aca="false">INDEX(Links!$N$1024:$N$1132,(Resumen!$C$3-2026)*11+4)</f>
        <v>217.809856</v>
      </c>
      <c r="E17" s="17" t="n">
        <f aca="false">D17-C17</f>
        <v>0.240000000000009</v>
      </c>
      <c r="F17" s="18" t="n">
        <f aca="false">IF(C17=0,0,D17/C17-1)</f>
        <v>0.00110309398743191</v>
      </c>
      <c r="G17" s="6" t="str">
        <f aca="false">IF(ROUND(D17-C17,1)&gt;=0,"✔ Sí","✖ No")</f>
        <v>✔ Sí</v>
      </c>
      <c r="H17" s="17" t="n">
        <f aca="false">INDEX(Links!$C$26:$L$26,1,(Resumen!$C$3-2025))</f>
        <v>217.569856</v>
      </c>
      <c r="I17" s="6" t="str">
        <f aca="false">IF(ROUND(H17-D17,1)&gt;=0,"✔ Sí","✖ No")</f>
        <v>✖ No</v>
      </c>
      <c r="J17" s="17" t="n">
        <f aca="false">H17-D17</f>
        <v>-0.240000000000009</v>
      </c>
    </row>
    <row r="18" customFormat="false" ht="15" hidden="false" customHeight="false" outlineLevel="0" collapsed="false">
      <c r="A18" s="5" t="s">
        <v>67</v>
      </c>
      <c r="B18" s="5" t="s">
        <v>71</v>
      </c>
      <c r="C18" s="17" t="n">
        <f aca="false">INDEX(Links!$B$1014:$K$1014,1,(Resumen!$C$3-2025))</f>
        <v>145.0465706</v>
      </c>
      <c r="D18" s="17" t="n">
        <f aca="false">INDEX(Links!$N$1024:$N$1132,(Resumen!$C$3-2026)*11+5)</f>
        <v>145.2065706</v>
      </c>
      <c r="E18" s="17" t="n">
        <f aca="false">D18-C18</f>
        <v>0.159999999999997</v>
      </c>
      <c r="F18" s="18" t="n">
        <f aca="false">IF(C18=0,0,D18/C18-1)</f>
        <v>0.00110309398793884</v>
      </c>
      <c r="G18" s="6" t="str">
        <f aca="false">IF(ROUND(D18-C18,1)&gt;=0,"✔ Sí","✖ No")</f>
        <v>✔ Sí</v>
      </c>
      <c r="H18" s="17" t="n">
        <f aca="false">INDEX(Links!$C$27:$L$27,1,(Resumen!$C$3-2025))</f>
        <v>145.176074484914</v>
      </c>
      <c r="I18" s="6" t="str">
        <f aca="false">IF(ROUND(H18-D18,1)&gt;=0,"✔ Sí","✖ No")</f>
        <v>✔ Sí</v>
      </c>
      <c r="J18" s="17" t="n">
        <f aca="false">H18-D18</f>
        <v>-0.030496115085981</v>
      </c>
    </row>
    <row r="19" customFormat="false" ht="15" hidden="false" customHeight="false" outlineLevel="0" collapsed="false">
      <c r="A19" s="5" t="s">
        <v>67</v>
      </c>
      <c r="B19" s="5" t="s">
        <v>72</v>
      </c>
      <c r="C19" s="17" t="n">
        <f aca="false">INDEX(Links!$B$1018:$K$1018,1,(Resumen!$C$3-2025))</f>
        <v>322</v>
      </c>
      <c r="D19" s="17" t="n">
        <f aca="false">INDEX(Links!$N$1024:$N$1132,(Resumen!$C$3-2026)*11+6)</f>
        <v>323.64</v>
      </c>
      <c r="E19" s="17" t="n">
        <f aca="false">D19-C19</f>
        <v>1.63999999999999</v>
      </c>
      <c r="F19" s="18" t="n">
        <f aca="false">IF(C19=0,0,D19/C19-1)</f>
        <v>0.0050931677018633</v>
      </c>
      <c r="G19" s="6" t="str">
        <f aca="false">IF(ROUND(D19-C19,1)&gt;=0,"✔ Sí","✖ No")</f>
        <v>✔ Sí</v>
      </c>
      <c r="H19" s="17" t="n">
        <f aca="false">INDEX(Links!$C$28:$L$28,1,(Resumen!$C$3-2025))</f>
        <v>322</v>
      </c>
      <c r="I19" s="6" t="str">
        <f aca="false">IF(ROUND(H19-D19,1)&gt;=0,"✔ Sí","✖ No")</f>
        <v>✖ No</v>
      </c>
      <c r="J19" s="17" t="n">
        <f aca="false">H19-D19</f>
        <v>-1.63999999999999</v>
      </c>
    </row>
    <row r="20" customFormat="false" ht="15" hidden="false" customHeight="false" outlineLevel="0" collapsed="false">
      <c r="A20" s="5" t="s">
        <v>67</v>
      </c>
      <c r="B20" s="5" t="s">
        <v>73</v>
      </c>
      <c r="C20" s="17" t="n">
        <f aca="false">INDEX(Links!$B$1019:$K$1019,1,(Resumen!$C$3-2025))</f>
        <v>708</v>
      </c>
      <c r="D20" s="17" t="n">
        <f aca="false">INDEX(Links!$N$1024:$N$1132,(Resumen!$C$3-2026)*11+7)</f>
        <v>710.44</v>
      </c>
      <c r="E20" s="17" t="n">
        <f aca="false">D20-C20</f>
        <v>2.44000000000005</v>
      </c>
      <c r="F20" s="18" t="n">
        <f aca="false">IF(C20=0,0,D20/C20-1)</f>
        <v>0.00344632768361586</v>
      </c>
      <c r="G20" s="6" t="str">
        <f aca="false">IF(ROUND(D20-C20,1)&gt;=0,"✔ Sí","✖ No")</f>
        <v>✔ Sí</v>
      </c>
      <c r="H20" s="17" t="n">
        <f aca="false">INDEX(Links!$C$29:$L$29,1,(Resumen!$C$3-2025))</f>
        <v>708</v>
      </c>
      <c r="I20" s="6" t="str">
        <f aca="false">IF(ROUND(H20-D20,1)&gt;=0,"✔ Sí","✖ No")</f>
        <v>✖ No</v>
      </c>
      <c r="J20" s="17" t="n">
        <f aca="false">H20-D20</f>
        <v>-2.44000000000005</v>
      </c>
    </row>
    <row r="21" customFormat="false" ht="15" hidden="false" customHeight="false" outlineLevel="0" collapsed="false">
      <c r="A21" s="5" t="s">
        <v>67</v>
      </c>
      <c r="B21" s="5" t="s">
        <v>74</v>
      </c>
      <c r="C21" s="17" t="n">
        <f aca="false">INDEX(Links!$B$1020:$K$1020,1,(Resumen!$C$3-2025))</f>
        <v>155</v>
      </c>
      <c r="D21" s="17" t="n">
        <f aca="false">INDEX(Links!$N$1024:$N$1132,(Resumen!$C$3-2026)*11+8)</f>
        <v>156.32</v>
      </c>
      <c r="E21" s="17" t="n">
        <f aca="false">D21-C21</f>
        <v>1.31999999999999</v>
      </c>
      <c r="F21" s="18" t="n">
        <f aca="false">IF(C21=0,0,D21/C21-1)</f>
        <v>0.00851612903225796</v>
      </c>
      <c r="G21" s="6" t="str">
        <f aca="false">IF(ROUND(D21-C21,1)&gt;=0,"✔ Sí","✖ No")</f>
        <v>✔ Sí</v>
      </c>
      <c r="H21" s="17" t="n">
        <f aca="false">INDEX(Links!$C$30:$L$30,1,(Resumen!$C$3-2025))</f>
        <v>155</v>
      </c>
      <c r="I21" s="6" t="str">
        <f aca="false">IF(ROUND(H21-D21,1)&gt;=0,"✔ Sí","✖ No")</f>
        <v>✖ No</v>
      </c>
      <c r="J21" s="17" t="n">
        <f aca="false">H21-D21</f>
        <v>-1.31999999999999</v>
      </c>
    </row>
    <row r="22" customFormat="false" ht="15" hidden="false" customHeight="false" outlineLevel="0" collapsed="false">
      <c r="A22" s="5" t="s">
        <v>67</v>
      </c>
      <c r="B22" s="5" t="s">
        <v>75</v>
      </c>
      <c r="C22" s="17" t="n">
        <f aca="false">INDEX(Links!$B$1021:$K$1021,1,(Resumen!$C$3-2025))</f>
        <v>102</v>
      </c>
      <c r="D22" s="17" t="n">
        <f aca="false">INDEX(Links!$N$1024:$N$1132,(Resumen!$C$3-2026)*11+9)</f>
        <v>102.24</v>
      </c>
      <c r="E22" s="17" t="n">
        <f aca="false">D22-C22</f>
        <v>0.239999999999995</v>
      </c>
      <c r="F22" s="18" t="n">
        <f aca="false">IF(C22=0,0,D22/C22-1)</f>
        <v>0.00235294117647045</v>
      </c>
      <c r="G22" s="6" t="str">
        <f aca="false">IF(ROUND(D22-C22,1)&gt;=0,"✔ Sí","✖ No")</f>
        <v>✔ Sí</v>
      </c>
      <c r="H22" s="17" t="n">
        <f aca="false">INDEX(Links!$C$31:$L$31,1,(Resumen!$C$3-2025))</f>
        <v>102</v>
      </c>
      <c r="I22" s="6" t="str">
        <f aca="false">IF(ROUND(H22-D22,1)&gt;=0,"✔ Sí","✖ No")</f>
        <v>✖ No</v>
      </c>
      <c r="J22" s="17" t="n">
        <f aca="false">H22-D22</f>
        <v>-0.239999999999995</v>
      </c>
    </row>
    <row r="23" customFormat="false" ht="15" hidden="false" customHeight="false" outlineLevel="0" collapsed="false">
      <c r="A23" s="5" t="s">
        <v>76</v>
      </c>
      <c r="B23" s="5" t="s">
        <v>77</v>
      </c>
      <c r="C23" s="17" t="n">
        <f aca="false">INDEX(Links!$B$1421:$K$1421,1,(Resumen!$C$3-2025))</f>
        <v>56575.8368575054</v>
      </c>
      <c r="D23" s="17" t="n">
        <f aca="false">INDEX(Links!$N$1440:$N$1757,(Resumen!$C$3-2026)*32+2)</f>
        <v>56575.8368575054</v>
      </c>
      <c r="E23" s="17" t="n">
        <f aca="false">D23-C23</f>
        <v>0</v>
      </c>
      <c r="F23" s="18" t="n">
        <f aca="false">IF(C23=0,0,D23/C23-1)</f>
        <v>0</v>
      </c>
      <c r="G23" s="6" t="str">
        <f aca="false">IF(ROUND(D23-C23,1)&gt;=0,"✔ Sí","✖ No")</f>
        <v>✔ Sí</v>
      </c>
      <c r="H23" s="17" t="n">
        <f aca="false">INDEX(Links!$C$32:$L$32,1,(Resumen!$C$3-2025))</f>
        <v>56487.4910822847</v>
      </c>
      <c r="I23" s="6" t="str">
        <f aca="false">IF(ROUND(H23-D23,1)&gt;=0,"✔ Sí","✖ No")</f>
        <v>✖ No</v>
      </c>
      <c r="J23" s="17" t="n">
        <f aca="false">H23-D23</f>
        <v>-88.3457752206959</v>
      </c>
    </row>
    <row r="24" customFormat="false" ht="15" hidden="false" customHeight="false" outlineLevel="0" collapsed="false">
      <c r="A24" s="5" t="s">
        <v>76</v>
      </c>
      <c r="B24" s="5" t="s">
        <v>78</v>
      </c>
      <c r="C24" s="17" t="n">
        <f aca="false">INDEX(Links!$B$1422:$K$1422,1,(Resumen!$C$3-2025))</f>
        <v>4790.71011839089</v>
      </c>
      <c r="D24" s="17" t="n">
        <f aca="false">INDEX(Links!$N$1440:$N$1757,(Resumen!$C$3-2026)*32+3)</f>
        <v>4860.71011839089</v>
      </c>
      <c r="E24" s="17" t="n">
        <f aca="false">D24-C24</f>
        <v>70</v>
      </c>
      <c r="F24" s="18" t="n">
        <f aca="false">IF(C24=0,0,D24/C24-1)</f>
        <v>0.0146116125313613</v>
      </c>
      <c r="G24" s="6" t="str">
        <f aca="false">IF(ROUND(D24-C24,1)&gt;=0,"✔ Sí","✖ No")</f>
        <v>✔ Sí</v>
      </c>
      <c r="H24" s="17" t="n">
        <f aca="false">INDEX(Links!$C$33:$L$33,1,(Resumen!$C$3-2025))</f>
        <v>4783.22920387376</v>
      </c>
      <c r="I24" s="6" t="str">
        <f aca="false">IF(ROUND(H24-D24,1)&gt;=0,"✔ Sí","✖ No")</f>
        <v>✖ No</v>
      </c>
      <c r="J24" s="17" t="n">
        <f aca="false">H24-D24</f>
        <v>-77.4809145171303</v>
      </c>
    </row>
    <row r="25" customFormat="false" ht="15" hidden="false" customHeight="false" outlineLevel="0" collapsed="false">
      <c r="A25" s="5" t="s">
        <v>76</v>
      </c>
      <c r="B25" s="5" t="s">
        <v>79</v>
      </c>
      <c r="C25" s="17" t="n">
        <f aca="false">INDEX(Links!$B$1423:$K$1423,1,(Resumen!$C$3-2025))</f>
        <v>29139.3203107948</v>
      </c>
      <c r="D25" s="17" t="n">
        <f aca="false">INDEX(Links!$N$1440:$N$1757,(Resumen!$C$3-2026)*32+4)</f>
        <v>29554.3203107948</v>
      </c>
      <c r="E25" s="17" t="n">
        <f aca="false">D25-C25</f>
        <v>415</v>
      </c>
      <c r="F25" s="18" t="n">
        <f aca="false">IF(C25=0,0,D25/C25-1)</f>
        <v>0.0142419245052281</v>
      </c>
      <c r="G25" s="6" t="str">
        <f aca="false">IF(ROUND(D25-C25,1)&gt;=0,"✔ Sí","✖ No")</f>
        <v>✔ Sí</v>
      </c>
      <c r="H25" s="17" t="n">
        <f aca="false">INDEX(Links!$C$34:$L$34,1,(Resumen!$C$3-2025))</f>
        <v>30068.838280126</v>
      </c>
      <c r="I25" s="6" t="str">
        <f aca="false">IF(ROUND(H25-D25,1)&gt;=0,"✔ Sí","✖ No")</f>
        <v>✔ Sí</v>
      </c>
      <c r="J25" s="17" t="n">
        <f aca="false">H25-D25</f>
        <v>514.517969331202</v>
      </c>
    </row>
    <row r="26" customFormat="false" ht="15" hidden="false" customHeight="false" outlineLevel="0" collapsed="false">
      <c r="A26" s="5" t="s">
        <v>76</v>
      </c>
      <c r="B26" s="5" t="s">
        <v>80</v>
      </c>
      <c r="C26" s="17" t="n">
        <f aca="false">INDEX(Links!$B$1424:$K$1424,1,(Resumen!$C$3-2025))</f>
        <v>1725.36955653994</v>
      </c>
      <c r="D26" s="17" t="n">
        <f aca="false">INDEX(Links!$N$1440:$N$1757,(Resumen!$C$3-2026)*32+5)</f>
        <v>1751.36955653994</v>
      </c>
      <c r="E26" s="17" t="n">
        <f aca="false">D26-C26</f>
        <v>26</v>
      </c>
      <c r="F26" s="18" t="n">
        <f aca="false">IF(C26=0,0,D26/C26-1)</f>
        <v>0.0150692354002933</v>
      </c>
      <c r="G26" s="6" t="str">
        <f aca="false">IF(ROUND(D26-C26,1)&gt;=0,"✔ Sí","✖ No")</f>
        <v>✔ Sí</v>
      </c>
      <c r="H26" s="17" t="n">
        <f aca="false">INDEX(Links!$C$35:$L$35,1,(Resumen!$C$3-2025))</f>
        <v>1741.3814292141</v>
      </c>
      <c r="I26" s="6" t="str">
        <f aca="false">IF(ROUND(H26-D26,1)&gt;=0,"✔ Sí","✖ No")</f>
        <v>✖ No</v>
      </c>
      <c r="J26" s="17" t="n">
        <f aca="false">H26-D26</f>
        <v>-9.98812732583997</v>
      </c>
    </row>
    <row r="27" customFormat="false" ht="15" hidden="false" customHeight="false" outlineLevel="0" collapsed="false">
      <c r="A27" s="5" t="s">
        <v>76</v>
      </c>
      <c r="B27" s="5" t="s">
        <v>81</v>
      </c>
      <c r="C27" s="17" t="n">
        <f aca="false">INDEX(Links!$B$1425:$K$1425,1,(Resumen!$C$3-2025))</f>
        <v>2435.83311933763</v>
      </c>
      <c r="D27" s="17" t="n">
        <f aca="false">INDEX(Links!$N$1440:$N$1757,(Resumen!$C$3-2026)*32+6)</f>
        <v>2471.83311933763</v>
      </c>
      <c r="E27" s="17" t="n">
        <f aca="false">D27-C27</f>
        <v>36</v>
      </c>
      <c r="F27" s="18" t="n">
        <f aca="false">IF(C27=0,0,D27/C27-1)</f>
        <v>0.0147793375967353</v>
      </c>
      <c r="G27" s="6" t="str">
        <f aca="false">IF(ROUND(D27-C27,1)&gt;=0,"✔ Sí","✖ No")</f>
        <v>✔ Sí</v>
      </c>
      <c r="H27" s="17" t="n">
        <f aca="false">INDEX(Links!$C$36:$L$36,1,(Resumen!$C$3-2025))</f>
        <v>2458.50580352832</v>
      </c>
      <c r="I27" s="6" t="str">
        <f aca="false">IF(ROUND(H27-D27,1)&gt;=0,"✔ Sí","✖ No")</f>
        <v>✖ No</v>
      </c>
      <c r="J27" s="17" t="n">
        <f aca="false">H27-D27</f>
        <v>-13.3273158093098</v>
      </c>
    </row>
    <row r="28" customFormat="false" ht="15" hidden="false" customHeight="false" outlineLevel="0" collapsed="false">
      <c r="A28" s="5" t="s">
        <v>76</v>
      </c>
      <c r="B28" s="5" t="s">
        <v>82</v>
      </c>
      <c r="C28" s="17" t="n">
        <f aca="false">INDEX(Links!$B$1426:$K$1426,1,(Resumen!$C$3-2025))</f>
        <v>462.458588756731</v>
      </c>
      <c r="D28" s="17" t="n">
        <f aca="false">INDEX(Links!$N$1440:$N$1757,(Resumen!$C$3-2026)*32+7)</f>
        <v>468.458588756731</v>
      </c>
      <c r="E28" s="17" t="n">
        <f aca="false">D28-C28</f>
        <v>6</v>
      </c>
      <c r="F28" s="18" t="n">
        <f aca="false">IF(C28=0,0,D28/C28-1)</f>
        <v>0.0129741346487484</v>
      </c>
      <c r="G28" s="6" t="str">
        <f aca="false">IF(ROUND(D28-C28,1)&gt;=0,"✔ Sí","✖ No")</f>
        <v>✔ Sí</v>
      </c>
      <c r="H28" s="17" t="n">
        <f aca="false">INDEX(Links!$C$37:$L$37,1,(Resumen!$C$3-2025))</f>
        <v>466.916593765414</v>
      </c>
      <c r="I28" s="6" t="str">
        <f aca="false">IF(ROUND(H28-D28,1)&gt;=0,"✔ Sí","✖ No")</f>
        <v>✖ No</v>
      </c>
      <c r="J28" s="17" t="n">
        <f aca="false">H28-D28</f>
        <v>-1.54199499131698</v>
      </c>
    </row>
    <row r="29" customFormat="false" ht="15" hidden="false" customHeight="false" outlineLevel="0" collapsed="false">
      <c r="A29" s="5" t="s">
        <v>76</v>
      </c>
      <c r="B29" s="5" t="s">
        <v>83</v>
      </c>
      <c r="C29" s="17" t="n">
        <f aca="false">INDEX(Links!$B$1427:$K$1427,1,(Resumen!$C$3-2025))</f>
        <v>241.066833405312</v>
      </c>
      <c r="D29" s="17" t="n">
        <f aca="false">INDEX(Links!$N$1440:$N$1757,(Resumen!$C$3-2026)*32+8)</f>
        <v>244.066833405312</v>
      </c>
      <c r="E29" s="17" t="n">
        <f aca="false">D29-C29</f>
        <v>3</v>
      </c>
      <c r="F29" s="18" t="n">
        <f aca="false">IF(C29=0,0,D29/C29-1)</f>
        <v>0.0124446816578705</v>
      </c>
      <c r="G29" s="6" t="str">
        <f aca="false">IF(ROUND(D29-C29,1)&gt;=0,"✔ Sí","✖ No")</f>
        <v>✔ Sí</v>
      </c>
      <c r="H29" s="17" t="n">
        <f aca="false">INDEX(Links!$C$38:$L$38,1,(Resumen!$C$3-2025))</f>
        <v>243.56826057903</v>
      </c>
      <c r="I29" s="6" t="str">
        <f aca="false">IF(ROUND(H29-D29,1)&gt;=0,"✔ Sí","✖ No")</f>
        <v>✖ No</v>
      </c>
      <c r="J29" s="17" t="n">
        <f aca="false">H29-D29</f>
        <v>-0.498572826281986</v>
      </c>
    </row>
    <row r="30" customFormat="false" ht="15" hidden="false" customHeight="false" outlineLevel="0" collapsed="false">
      <c r="A30" s="5" t="s">
        <v>76</v>
      </c>
      <c r="B30" s="5" t="s">
        <v>84</v>
      </c>
      <c r="C30" s="17" t="n">
        <f aca="false">INDEX(Links!$B$1428:$K$1428,1,(Resumen!$C$3-2025))</f>
        <v>139.356355954645</v>
      </c>
      <c r="D30" s="17" t="n">
        <f aca="false">INDEX(Links!$N$1440:$N$1757,(Resumen!$C$3-2026)*32+9)</f>
        <v>141.356355954645</v>
      </c>
      <c r="E30" s="17" t="n">
        <f aca="false">D30-C30</f>
        <v>2</v>
      </c>
      <c r="F30" s="18" t="n">
        <f aca="false">IF(C30=0,0,D30/C30-1)</f>
        <v>0.0143516955957927</v>
      </c>
      <c r="G30" s="6" t="str">
        <f aca="false">IF(ROUND(D30-C30,1)&gt;=0,"✔ Sí","✖ No")</f>
        <v>✔ Sí</v>
      </c>
      <c r="H30" s="17" t="n">
        <f aca="false">INDEX(Links!$C$39:$L$39,1,(Resumen!$C$3-2025))</f>
        <v>140.865463166495</v>
      </c>
      <c r="I30" s="6" t="str">
        <f aca="false">IF(ROUND(H30-D30,1)&gt;=0,"✔ Sí","✖ No")</f>
        <v>✖ No</v>
      </c>
      <c r="J30" s="17" t="n">
        <f aca="false">H30-D30</f>
        <v>-0.490892788150006</v>
      </c>
    </row>
    <row r="31" customFormat="false" ht="15" hidden="false" customHeight="false" outlineLevel="0" collapsed="false">
      <c r="A31" s="5" t="s">
        <v>76</v>
      </c>
      <c r="B31" s="5" t="s">
        <v>85</v>
      </c>
      <c r="C31" s="17" t="n">
        <f aca="false">INDEX(Links!$B$1429:$K$1429,1,(Resumen!$C$3-2025))</f>
        <v>1201.24282190818</v>
      </c>
      <c r="D31" s="17" t="n">
        <f aca="false">INDEX(Links!$N$1440:$N$1757,(Resumen!$C$3-2026)*32+10)</f>
        <v>1218.24282190818</v>
      </c>
      <c r="E31" s="17" t="n">
        <f aca="false">D31-C31</f>
        <v>17</v>
      </c>
      <c r="F31" s="18" t="n">
        <f aca="false">IF(C31=0,0,D31/C31-1)</f>
        <v>0.0141520096436418</v>
      </c>
      <c r="G31" s="6" t="str">
        <f aca="false">IF(ROUND(D31-C31,1)&gt;=0,"✔ Sí","✖ No")</f>
        <v>✔ Sí</v>
      </c>
      <c r="H31" s="17" t="n">
        <f aca="false">INDEX(Links!$C$40:$L$40,1,(Resumen!$C$3-2025))</f>
        <v>1212.31741440213</v>
      </c>
      <c r="I31" s="6" t="str">
        <f aca="false">IF(ROUND(H31-D31,1)&gt;=0,"✔ Sí","✖ No")</f>
        <v>✖ No</v>
      </c>
      <c r="J31" s="17" t="n">
        <f aca="false">H31-D31</f>
        <v>-5.92540750605008</v>
      </c>
    </row>
    <row r="32" customFormat="false" ht="15" hidden="false" customHeight="false" outlineLevel="0" collapsed="false">
      <c r="A32" s="5" t="s">
        <v>76</v>
      </c>
      <c r="B32" s="5" t="s">
        <v>86</v>
      </c>
      <c r="C32" s="17" t="n">
        <f aca="false">INDEX(Links!$B$1430:$K$1430,1,(Resumen!$C$3-2025))</f>
        <v>6552.91332717418</v>
      </c>
      <c r="D32" s="17" t="n">
        <f aca="false">INDEX(Links!$N$1440:$N$1757,(Resumen!$C$3-2026)*32+11)</f>
        <v>6648.91332717417</v>
      </c>
      <c r="E32" s="17" t="n">
        <f aca="false">D32-C32</f>
        <v>95.99999999999</v>
      </c>
      <c r="F32" s="18" t="n">
        <f aca="false">IF(C32=0,0,D32/C32-1)</f>
        <v>0.0146499724942017</v>
      </c>
      <c r="G32" s="6" t="str">
        <f aca="false">IF(ROUND(D32-C32,1)&gt;=0,"✔ Sí","✖ No")</f>
        <v>✔ Sí</v>
      </c>
      <c r="H32" s="17" t="n">
        <f aca="false">INDEX(Links!$C$41:$L$41,1,(Resumen!$C$3-2025))</f>
        <v>6542.68065117681</v>
      </c>
      <c r="I32" s="6" t="str">
        <f aca="false">IF(ROUND(H32-D32,1)&gt;=0,"✔ Sí","✖ No")</f>
        <v>✖ No</v>
      </c>
      <c r="J32" s="17" t="n">
        <f aca="false">H32-D32</f>
        <v>-106.23267599736</v>
      </c>
    </row>
    <row r="33" customFormat="false" ht="15" hidden="false" customHeight="false" outlineLevel="0" collapsed="false">
      <c r="A33" s="5" t="s">
        <v>76</v>
      </c>
      <c r="B33" s="5" t="s">
        <v>87</v>
      </c>
      <c r="C33" s="17" t="n">
        <f aca="false">INDEX(Links!$B$1431:$K$1431,1,(Resumen!$C$3-2025))</f>
        <v>2239.47576029921</v>
      </c>
      <c r="D33" s="17" t="n">
        <f aca="false">INDEX(Links!$N$1440:$N$1757,(Resumen!$C$3-2026)*32+12)</f>
        <v>2270.47576029921</v>
      </c>
      <c r="E33" s="17" t="n">
        <f aca="false">D33-C33</f>
        <v>31</v>
      </c>
      <c r="F33" s="18" t="n">
        <f aca="false">IF(C33=0,0,D33/C33-1)</f>
        <v>0.0138425253577463</v>
      </c>
      <c r="G33" s="6" t="str">
        <f aca="false">IF(ROUND(D33-C33,1)&gt;=0,"✔ Sí","✖ No")</f>
        <v>✔ Sí</v>
      </c>
      <c r="H33" s="17" t="n">
        <f aca="false">INDEX(Links!$C$42:$L$42,1,(Resumen!$C$3-2025))</f>
        <v>2330.94823134952</v>
      </c>
      <c r="I33" s="6" t="str">
        <f aca="false">IF(ROUND(H33-D33,1)&gt;=0,"✔ Sí","✖ No")</f>
        <v>✔ Sí</v>
      </c>
      <c r="J33" s="17" t="n">
        <f aca="false">H33-D33</f>
        <v>60.4724710503101</v>
      </c>
    </row>
    <row r="34" customFormat="false" ht="15" hidden="false" customHeight="false" outlineLevel="0" collapsed="false">
      <c r="A34" s="5" t="s">
        <v>76</v>
      </c>
      <c r="B34" s="5" t="s">
        <v>88</v>
      </c>
      <c r="C34" s="17" t="n">
        <f aca="false">INDEX(Links!$B$1432:$K$1432,1,(Resumen!$C$3-2025))</f>
        <v>366.61985757759</v>
      </c>
      <c r="D34" s="17" t="n">
        <f aca="false">INDEX(Links!$N$1440:$N$1757,(Resumen!$C$3-2026)*32+13)</f>
        <v>372.61985757759</v>
      </c>
      <c r="E34" s="17" t="n">
        <f aca="false">D34-C34</f>
        <v>6</v>
      </c>
      <c r="F34" s="18" t="n">
        <f aca="false">IF(C34=0,0,D34/C34-1)</f>
        <v>0.0163657256310241</v>
      </c>
      <c r="G34" s="6" t="str">
        <f aca="false">IF(ROUND(D34-C34,1)&gt;=0,"✔ Sí","✖ No")</f>
        <v>✔ Sí</v>
      </c>
      <c r="H34" s="17" t="n">
        <f aca="false">INDEX(Links!$C$43:$L$43,1,(Resumen!$C$3-2025))</f>
        <v>370.076373535804</v>
      </c>
      <c r="I34" s="6" t="str">
        <f aca="false">IF(ROUND(H34-D34,1)&gt;=0,"✔ Sí","✖ No")</f>
        <v>✖ No</v>
      </c>
      <c r="J34" s="17" t="n">
        <f aca="false">H34-D34</f>
        <v>-2.54348404178597</v>
      </c>
    </row>
    <row r="35" customFormat="false" ht="15" hidden="false" customHeight="false" outlineLevel="0" collapsed="false">
      <c r="A35" s="5" t="s">
        <v>76</v>
      </c>
      <c r="B35" s="5" t="s">
        <v>89</v>
      </c>
      <c r="C35" s="17" t="n">
        <f aca="false">INDEX(Links!$B$1433:$K$1433,1,(Resumen!$C$3-2025))</f>
        <v>125.86907204172</v>
      </c>
      <c r="D35" s="17" t="n">
        <f aca="false">INDEX(Links!$N$1440:$N$1757,(Resumen!$C$3-2026)*32+14)</f>
        <v>127.86907204172</v>
      </c>
      <c r="E35" s="17" t="n">
        <f aca="false">D35-C35</f>
        <v>2</v>
      </c>
      <c r="F35" s="18" t="n">
        <f aca="false">IF(C35=0,0,D35/C35-1)</f>
        <v>0.0158895268516566</v>
      </c>
      <c r="G35" s="6" t="str">
        <f aca="false">IF(ROUND(D35-C35,1)&gt;=0,"✔ Sí","✖ No")</f>
        <v>✔ Sí</v>
      </c>
      <c r="H35" s="17" t="n">
        <f aca="false">INDEX(Links!$C$44:$L$44,1,(Resumen!$C$3-2025))</f>
        <v>127.111453828946</v>
      </c>
      <c r="I35" s="6" t="str">
        <f aca="false">IF(ROUND(H35-D35,1)&gt;=0,"✔ Sí","✖ No")</f>
        <v>✖ No</v>
      </c>
      <c r="J35" s="17" t="n">
        <f aca="false">H35-D35</f>
        <v>-0.757618212774005</v>
      </c>
    </row>
    <row r="36" customFormat="false" ht="15" hidden="false" customHeight="false" outlineLevel="0" collapsed="false">
      <c r="A36" s="5" t="s">
        <v>76</v>
      </c>
      <c r="B36" s="5" t="s">
        <v>90</v>
      </c>
      <c r="C36" s="17" t="n">
        <f aca="false">INDEX(Links!$B$1434:$K$1434,1,(Resumen!$C$3-2025))</f>
        <v>300.325058646191</v>
      </c>
      <c r="D36" s="17" t="n">
        <f aca="false">INDEX(Links!$N$1440:$N$1757,(Resumen!$C$3-2026)*32+15)</f>
        <v>305.325058646191</v>
      </c>
      <c r="E36" s="17" t="n">
        <f aca="false">D36-C36</f>
        <v>5</v>
      </c>
      <c r="F36" s="18" t="n">
        <f aca="false">IF(C36=0,0,D36/C36-1)</f>
        <v>0.0166486273990558</v>
      </c>
      <c r="G36" s="6" t="str">
        <f aca="false">IF(ROUND(D36-C36,1)&gt;=0,"✔ Sí","✖ No")</f>
        <v>✔ Sí</v>
      </c>
      <c r="H36" s="17" t="n">
        <f aca="false">INDEX(Links!$C$45:$L$45,1,(Resumen!$C$3-2025))</f>
        <v>299.856087233694</v>
      </c>
      <c r="I36" s="6" t="str">
        <f aca="false">IF(ROUND(H36-D36,1)&gt;=0,"✔ Sí","✖ No")</f>
        <v>✖ No</v>
      </c>
      <c r="J36" s="17" t="n">
        <f aca="false">H36-D36</f>
        <v>-5.46897141249701</v>
      </c>
    </row>
    <row r="37" customFormat="false" ht="15" hidden="false" customHeight="false" outlineLevel="0" collapsed="false">
      <c r="A37" s="5" t="s">
        <v>76</v>
      </c>
      <c r="B37" s="5" t="s">
        <v>91</v>
      </c>
      <c r="C37" s="17" t="n">
        <f aca="false">INDEX(Links!$B$1435:$K$1435,1,(Resumen!$C$3-2025))</f>
        <v>660.71512861809</v>
      </c>
      <c r="D37" s="17" t="n">
        <f aca="false">INDEX(Links!$N$1440:$N$1757,(Resumen!$C$3-2026)*32+16)</f>
        <v>670.71512861809</v>
      </c>
      <c r="E37" s="17" t="n">
        <f aca="false">D37-C37</f>
        <v>10</v>
      </c>
      <c r="F37" s="18" t="n">
        <f aca="false">IF(C37=0,0,D37/C37-1)</f>
        <v>0.0151351158265671</v>
      </c>
      <c r="G37" s="6" t="str">
        <f aca="false">IF(ROUND(D37-C37,1)&gt;=0,"✔ Sí","✖ No")</f>
        <v>✔ Sí</v>
      </c>
      <c r="H37" s="17" t="n">
        <f aca="false">INDEX(Links!$C$46:$L$46,1,(Resumen!$C$3-2025))</f>
        <v>670.043702304348</v>
      </c>
      <c r="I37" s="6" t="str">
        <f aca="false">IF(ROUND(H37-D37,1)&gt;=0,"✔ Sí","✖ No")</f>
        <v>✖ No</v>
      </c>
      <c r="J37" s="17" t="n">
        <f aca="false">H37-D37</f>
        <v>-0.671426313742018</v>
      </c>
    </row>
    <row r="38" customFormat="false" ht="15" hidden="false" customHeight="false" outlineLevel="0" collapsed="false">
      <c r="A38" s="5" t="s">
        <v>76</v>
      </c>
      <c r="B38" s="5" t="s">
        <v>92</v>
      </c>
      <c r="C38" s="17" t="n">
        <f aca="false">INDEX(Links!$B$1436:$K$1436,1,(Resumen!$C$3-2025))</f>
        <v>144.156028161701</v>
      </c>
      <c r="D38" s="17" t="n">
        <f aca="false">INDEX(Links!$N$1440:$N$1757,(Resumen!$C$3-2026)*32+17)</f>
        <v>147.156028161701</v>
      </c>
      <c r="E38" s="17" t="n">
        <f aca="false">D38-C38</f>
        <v>3</v>
      </c>
      <c r="F38" s="18" t="n">
        <f aca="false">IF(C38=0,0,D38/C38-1)</f>
        <v>0.0208107842471552</v>
      </c>
      <c r="G38" s="6" t="str">
        <f aca="false">IF(ROUND(D38-C38,1)&gt;=0,"✔ Sí","✖ No")</f>
        <v>✔ Sí</v>
      </c>
      <c r="H38" s="17" t="n">
        <f aca="false">INDEX(Links!$C$47:$L$47,1,(Resumen!$C$3-2025))</f>
        <v>143.930921797349</v>
      </c>
      <c r="I38" s="6" t="str">
        <f aca="false">IF(ROUND(H38-D38,1)&gt;=0,"✔ Sí","✖ No")</f>
        <v>✖ No</v>
      </c>
      <c r="J38" s="17" t="n">
        <f aca="false">H38-D38</f>
        <v>-3.225106364352</v>
      </c>
    </row>
    <row r="39" customFormat="false" ht="15" hidden="false" customHeight="false" outlineLevel="0" collapsed="false">
      <c r="A39" s="5" t="s">
        <v>76</v>
      </c>
      <c r="B39" s="5" t="s">
        <v>93</v>
      </c>
      <c r="C39" s="17" t="n">
        <f aca="false">INDEX(Links!$B$1437:$K$1437,1,(Resumen!$C$3-2025))</f>
        <v>96.1040185823099</v>
      </c>
      <c r="D39" s="17" t="n">
        <f aca="false">INDEX(Links!$N$1440:$N$1757,(Resumen!$C$3-2026)*32+18)</f>
        <v>98.1040185823099</v>
      </c>
      <c r="E39" s="17" t="n">
        <f aca="false">D39-C39</f>
        <v>2</v>
      </c>
      <c r="F39" s="18" t="n">
        <f aca="false">IF(C39=0,0,D39/C39-1)</f>
        <v>0.0208107842887659</v>
      </c>
      <c r="G39" s="6" t="str">
        <f aca="false">IF(ROUND(D39-C39,1)&gt;=0,"✔ Sí","✖ No")</f>
        <v>✔ Sí</v>
      </c>
      <c r="H39" s="17" t="n">
        <f aca="false">INDEX(Links!$C$48:$L$48,1,(Resumen!$C$3-2025))</f>
        <v>98.5440255727726</v>
      </c>
      <c r="I39" s="6" t="str">
        <f aca="false">IF(ROUND(H39-D39,1)&gt;=0,"✔ Sí","✖ No")</f>
        <v>✔ Sí</v>
      </c>
      <c r="J39" s="17" t="n">
        <f aca="false">H39-D39</f>
        <v>0.440006990462692</v>
      </c>
    </row>
    <row r="41" customFormat="false" ht="15" hidden="false" customHeight="false" outlineLevel="0" collapsed="false">
      <c r="A41" s="15" t="s">
        <v>94</v>
      </c>
      <c r="B41" s="16"/>
      <c r="C41" s="16"/>
      <c r="D41" s="16"/>
      <c r="E41" s="16"/>
      <c r="F41" s="16"/>
      <c r="G41" s="16"/>
      <c r="H41" s="16"/>
      <c r="I41" s="16"/>
      <c r="J41" s="16"/>
    </row>
    <row r="42" customFormat="false" ht="30" hidden="false" customHeight="true" outlineLevel="0" collapsed="false">
      <c r="A42" s="3" t="s">
        <v>48</v>
      </c>
      <c r="B42" s="3"/>
      <c r="C42" s="3" t="s">
        <v>95</v>
      </c>
      <c r="D42" s="3" t="s">
        <v>96</v>
      </c>
      <c r="E42" s="3" t="s">
        <v>52</v>
      </c>
      <c r="F42" s="3" t="s">
        <v>53</v>
      </c>
      <c r="G42" s="3" t="s">
        <v>97</v>
      </c>
      <c r="H42" s="3" t="s">
        <v>98</v>
      </c>
      <c r="I42" s="3" t="s">
        <v>99</v>
      </c>
      <c r="J42" s="3" t="s">
        <v>100</v>
      </c>
    </row>
    <row r="43" customFormat="false" ht="15" hidden="false" customHeight="false" outlineLevel="0" collapsed="false">
      <c r="A43" s="4" t="s">
        <v>58</v>
      </c>
      <c r="C43" s="19" t="n">
        <f aca="false">SUMIF($A$7:$A$39,$A43,C$7:C$39)</f>
        <v>284232.124373</v>
      </c>
      <c r="D43" s="19" t="n">
        <f aca="false">SUMIF($A$7:$A$39,$A43,D$7:D$39)</f>
        <v>284462.564373</v>
      </c>
      <c r="E43" s="19" t="n">
        <f aca="false">SUMIF($A$7:$A$39,$A43,E$7:E$39)</f>
        <v>230.440000000001</v>
      </c>
      <c r="F43" s="20" t="n">
        <f aca="false">IF(C43=0,0,D43/C43-1)</f>
        <v>0.000810745796268941</v>
      </c>
      <c r="G43" s="21" t="n">
        <f aca="false">COUNTIFS($A$7:$A$39,$A43,$G$7:$G$39,"✖ No")</f>
        <v>0</v>
      </c>
      <c r="H43" s="19" t="n">
        <f aca="false">SUMIF($A$7:$A$39,$A43,H$7:H$39)</f>
        <v>284344.145233451</v>
      </c>
      <c r="I43" s="21" t="n">
        <f aca="false">COUNTIFS($A$7:$A$39,$A43,$I$7:$I$39,"✖ No")</f>
        <v>5</v>
      </c>
      <c r="J43" s="19" t="n">
        <f aca="false">SUMIF($A$7:$A$39,$A43,J$7:J$39)</f>
        <v>-118.419139549409</v>
      </c>
    </row>
    <row r="44" customFormat="false" ht="15" hidden="false" customHeight="false" outlineLevel="0" collapsed="false">
      <c r="A44" s="4" t="s">
        <v>67</v>
      </c>
      <c r="C44" s="19" t="n">
        <f aca="false">SUMIF($A$7:$A$39,$A44,C$7:C$39)</f>
        <v>3100.0821329</v>
      </c>
      <c r="D44" s="19" t="n">
        <f aca="false">SUMIF($A$7:$A$39,$A44,D$7:D$39)</f>
        <v>3107.3221329</v>
      </c>
      <c r="E44" s="19" t="n">
        <f aca="false">SUMIF($A$7:$A$39,$A44,E$7:E$39)</f>
        <v>7.24000000000002</v>
      </c>
      <c r="F44" s="20" t="n">
        <f aca="false">IF(C44=0,0,D44/C44-1)</f>
        <v>0.00233542199516723</v>
      </c>
      <c r="G44" s="21" t="n">
        <f aca="false">COUNTIFS($A$7:$A$39,$A44,$G$7:$G$39,"✖ No")</f>
        <v>0</v>
      </c>
      <c r="H44" s="19" t="n">
        <f aca="false">SUMIF($A$7:$A$39,$A44,H$7:H$39)</f>
        <v>3101.27644650532</v>
      </c>
      <c r="I44" s="21" t="n">
        <f aca="false">COUNTIFS($A$7:$A$39,$A44,$I$7:$I$39,"✖ No")</f>
        <v>6</v>
      </c>
      <c r="J44" s="19" t="n">
        <f aca="false">SUMIF($A$7:$A$39,$A44,J$7:J$39)</f>
        <v>-6.04568639468199</v>
      </c>
    </row>
    <row r="45" customFormat="false" ht="15" hidden="false" customHeight="false" outlineLevel="0" collapsed="false">
      <c r="A45" s="4" t="s">
        <v>76</v>
      </c>
      <c r="C45" s="19" t="n">
        <f aca="false">SUMIF($A$7:$A$39,$A45,C$7:C$39)</f>
        <v>107197.372813695</v>
      </c>
      <c r="D45" s="19" t="n">
        <f aca="false">SUMIF($A$7:$A$39,$A45,D$7:D$39)</f>
        <v>107927.372813695</v>
      </c>
      <c r="E45" s="19" t="n">
        <f aca="false">SUMIF($A$7:$A$39,$A45,E$7:E$39)</f>
        <v>729.99999999999</v>
      </c>
      <c r="F45" s="20" t="n">
        <f aca="false">IF(C45=0,0,D45/C45-1)</f>
        <v>0.00680986838426279</v>
      </c>
      <c r="G45" s="21" t="n">
        <f aca="false">COUNTIFS($A$7:$A$39,$A45,$G$7:$G$39,"✖ No")</f>
        <v>0</v>
      </c>
      <c r="H45" s="19" t="n">
        <f aca="false">SUMIF($A$7:$A$39,$A45,H$7:H$39)</f>
        <v>108186.304977739</v>
      </c>
      <c r="I45" s="21" t="n">
        <f aca="false">COUNTIFS($A$7:$A$39,$A45,$I$7:$I$39,"✖ No")</f>
        <v>14</v>
      </c>
      <c r="J45" s="19" t="n">
        <f aca="false">SUMIF($A$7:$A$39,$A45,J$7:J$39)</f>
        <v>258.932164044689</v>
      </c>
    </row>
    <row r="47" customFormat="false" ht="15" hidden="false" customHeight="false" outlineLevel="0" collapsed="false">
      <c r="A47" s="15" t="s">
        <v>101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</row>
    <row r="48" customFormat="false" ht="30" hidden="false" customHeight="true" outlineLevel="0" collapsed="false">
      <c r="A48" s="3" t="s">
        <v>48</v>
      </c>
      <c r="B48" s="3" t="s">
        <v>102</v>
      </c>
      <c r="C48" s="3" t="s">
        <v>103</v>
      </c>
      <c r="D48" s="3" t="s">
        <v>104</v>
      </c>
      <c r="E48" s="3" t="s">
        <v>105</v>
      </c>
      <c r="F48" s="3" t="s">
        <v>106</v>
      </c>
      <c r="G48" s="3" t="s">
        <v>107</v>
      </c>
      <c r="H48" s="3" t="s">
        <v>108</v>
      </c>
      <c r="I48" s="3" t="s">
        <v>109</v>
      </c>
      <c r="J48" s="3" t="s">
        <v>110</v>
      </c>
      <c r="K48" s="3" t="s">
        <v>111</v>
      </c>
      <c r="L48" s="3" t="s">
        <v>112</v>
      </c>
    </row>
    <row r="49" customFormat="false" ht="15" hidden="false" customHeight="false" outlineLevel="0" collapsed="false">
      <c r="A49" s="4" t="s">
        <v>58</v>
      </c>
      <c r="B49" s="5" t="s">
        <v>113</v>
      </c>
      <c r="C49" s="22" t="n">
        <f aca="false">SUM(Links!$N$503:$N$510)</f>
        <v>6855.37310673</v>
      </c>
      <c r="D49" s="22" t="n">
        <f aca="false">SUM(Links!$N$514:$N$521)</f>
        <v>10831.977605</v>
      </c>
      <c r="E49" s="22" t="n">
        <f aca="false">SUM(Links!$N$525:$N$532)</f>
        <v>22887.8921864</v>
      </c>
      <c r="F49" s="22" t="n">
        <f aca="false">SUM(Links!$N$536:$N$543)</f>
        <v>50634.9495301</v>
      </c>
      <c r="G49" s="22" t="n">
        <f aca="false">SUM(Links!$N$547:$N$554)</f>
        <v>88193.2855279</v>
      </c>
      <c r="H49" s="22" t="n">
        <f aca="false">SUM(Links!$N$558:$N$565)</f>
        <v>123837.252099</v>
      </c>
      <c r="I49" s="22" t="n">
        <f aca="false">SUM(Links!$N$569:$N$576)</f>
        <v>170779.469169</v>
      </c>
      <c r="J49" s="22" t="n">
        <f aca="false">SUM(Links!$N$580:$N$587)</f>
        <v>218185.936249</v>
      </c>
      <c r="K49" s="22" t="n">
        <f aca="false">SUM(Links!$N$591:$N$598)</f>
        <v>246197.636987</v>
      </c>
      <c r="L49" s="22" t="n">
        <f aca="false">SUM(Links!$N$602:$N$609)</f>
        <v>284462.564373</v>
      </c>
    </row>
    <row r="50" customFormat="false" ht="15" hidden="false" customHeight="false" outlineLevel="0" collapsed="false">
      <c r="A50" s="5" t="s">
        <v>58</v>
      </c>
      <c r="B50" s="5" t="s">
        <v>114</v>
      </c>
      <c r="C50" s="22" t="n">
        <f aca="false">SUM(Links!$B$489:$B$492)+SUM(Links!$B$496:$B$499)</f>
        <v>6821.37310673</v>
      </c>
      <c r="D50" s="22" t="n">
        <f aca="false">SUM(Links!$C$489:$C$492)+SUM(Links!$C$496:$C$499)</f>
        <v>10731.257605</v>
      </c>
      <c r="E50" s="22" t="n">
        <f aca="false">SUM(Links!$D$489:$D$492)+SUM(Links!$D$496:$D$499)</f>
        <v>22716.3321864</v>
      </c>
      <c r="F50" s="22" t="n">
        <f aca="false">SUM(Links!$E$489:$E$492)+SUM(Links!$E$496:$E$499)</f>
        <v>50354.5095301</v>
      </c>
      <c r="G50" s="22" t="n">
        <f aca="false">SUM(Links!$F$489:$F$492)+SUM(Links!$F$496:$F$499)</f>
        <v>87907.2855279</v>
      </c>
      <c r="H50" s="22" t="n">
        <f aca="false">SUM(Links!$G$489:$G$492)+SUM(Links!$G$496:$G$499)</f>
        <v>123514.892099</v>
      </c>
      <c r="I50" s="22" t="n">
        <f aca="false">SUM(Links!$H$489:$H$492)+SUM(Links!$H$496:$H$499)</f>
        <v>170497.389169</v>
      </c>
      <c r="J50" s="22" t="n">
        <f aca="false">SUM(Links!$I$489:$I$492)+SUM(Links!$I$496:$I$499)</f>
        <v>217952.016249</v>
      </c>
      <c r="K50" s="22" t="n">
        <f aca="false">SUM(Links!$J$489:$J$492)+SUM(Links!$J$496:$J$499)</f>
        <v>245976.996987</v>
      </c>
      <c r="L50" s="22" t="n">
        <f aca="false">SUM(Links!$K$489:$K$492)+SUM(Links!$K$496:$K$499)</f>
        <v>284232.124373</v>
      </c>
    </row>
    <row r="51" customFormat="false" ht="15" hidden="false" customHeight="false" outlineLevel="0" collapsed="false">
      <c r="A51" s="5" t="s">
        <v>58</v>
      </c>
      <c r="B51" s="5" t="s">
        <v>53</v>
      </c>
      <c r="C51" s="18" t="n">
        <f aca="false">IF(C50=0,0,C49/C50-1)</f>
        <v>0.00498433372108842</v>
      </c>
      <c r="D51" s="18" t="n">
        <f aca="false">IF(D50=0,0,D49/D50-1)</f>
        <v>0.00938566603350122</v>
      </c>
      <c r="E51" s="18" t="n">
        <f aca="false">IF(E50=0,0,E49/E50-1)</f>
        <v>0.00755227554308746</v>
      </c>
      <c r="F51" s="18" t="n">
        <f aca="false">IF(F50=0,0,F49/F50-1)</f>
        <v>0.00556931251276249</v>
      </c>
      <c r="G51" s="18" t="n">
        <f aca="false">IF(G50=0,0,G49/G50-1)</f>
        <v>0.00325342772538728</v>
      </c>
      <c r="H51" s="18" t="n">
        <f aca="false">IF(H50=0,0,H49/H50-1)</f>
        <v>0.00260988771897752</v>
      </c>
      <c r="I51" s="18" t="n">
        <f aca="false">IF(I50=0,0,I49/I50-1)</f>
        <v>0.0016544534867946</v>
      </c>
      <c r="J51" s="18" t="n">
        <f aca="false">IF(J50=0,0,J49/J50-1)</f>
        <v>0.00107326375789407</v>
      </c>
      <c r="K51" s="18" t="n">
        <f aca="false">IF(K50=0,0,K49/K50-1)</f>
        <v>0.000896994445426236</v>
      </c>
      <c r="L51" s="18" t="n">
        <f aca="false">IF(L50=0,0,L49/L50-1)</f>
        <v>0.000810745796268941</v>
      </c>
    </row>
    <row r="52" customFormat="false" ht="15" hidden="false" customHeight="false" outlineLevel="0" collapsed="false">
      <c r="A52" s="5" t="s">
        <v>58</v>
      </c>
      <c r="B52" s="5" t="s">
        <v>97</v>
      </c>
      <c r="C52" s="22" t="n">
        <f aca="false">SUMPRODUCT(--(ROUND(Links!$N$503:$N$506-Links!$B$489:$B$492,1)&lt;0))+SUMPRODUCT(--(ROUND(Links!$N$507:$N$510-Links!$B$496:$B$499,1)&lt;0))</f>
        <v>0</v>
      </c>
      <c r="D52" s="22" t="n">
        <f aca="false">SUMPRODUCT(--(ROUND(Links!$N$514:$N$517-Links!$C$489:$C$492,1)&lt;0))+SUMPRODUCT(--(ROUND(Links!$N$518:$N$521-Links!$C$496:$C$499,1)&lt;0))</f>
        <v>0</v>
      </c>
      <c r="E52" s="22" t="n">
        <f aca="false">SUMPRODUCT(--(ROUND(Links!$N$525:$N$528-Links!$D$489:$D$492,1)&lt;0))+SUMPRODUCT(--(ROUND(Links!$N$529:$N$532-Links!$D$496:$D$499,1)&lt;0))</f>
        <v>0</v>
      </c>
      <c r="F52" s="22" t="n">
        <f aca="false">SUMPRODUCT(--(ROUND(Links!$N$536:$N$539-Links!$E$489:$E$492,1)&lt;0))+SUMPRODUCT(--(ROUND(Links!$N$540:$N$543-Links!$E$496:$E$499,1)&lt;0))</f>
        <v>0</v>
      </c>
      <c r="G52" s="22" t="n">
        <f aca="false">SUMPRODUCT(--(ROUND(Links!$N$547:$N$550-Links!$F$489:$F$492,1)&lt;0))+SUMPRODUCT(--(ROUND(Links!$N$551:$N$554-Links!$F$496:$F$499,1)&lt;0))</f>
        <v>0</v>
      </c>
      <c r="H52" s="22" t="n">
        <f aca="false">SUMPRODUCT(--(ROUND(Links!$N$558:$N$561-Links!$G$489:$G$492,1)&lt;0))+SUMPRODUCT(--(ROUND(Links!$N$562:$N$565-Links!$G$496:$G$499,1)&lt;0))</f>
        <v>0</v>
      </c>
      <c r="I52" s="22" t="n">
        <f aca="false">SUMPRODUCT(--(ROUND(Links!$N$569:$N$572-Links!$H$489:$H$492,1)&lt;0))+SUMPRODUCT(--(ROUND(Links!$N$573:$N$576-Links!$H$496:$H$499,1)&lt;0))</f>
        <v>0</v>
      </c>
      <c r="J52" s="22" t="n">
        <f aca="false">SUMPRODUCT(--(ROUND(Links!$N$580:$N$583-Links!$I$489:$I$492,1)&lt;0))+SUMPRODUCT(--(ROUND(Links!$N$584:$N$587-Links!$I$496:$I$499,1)&lt;0))</f>
        <v>0</v>
      </c>
      <c r="K52" s="22" t="n">
        <f aca="false">SUMPRODUCT(--(ROUND(Links!$N$591:$N$594-Links!$J$489:$J$492,1)&lt;0))+SUMPRODUCT(--(ROUND(Links!$N$595:$N$598-Links!$J$496:$J$499,1)&lt;0))</f>
        <v>0</v>
      </c>
      <c r="L52" s="22" t="n">
        <f aca="false">SUMPRODUCT(--(ROUND(Links!$N$602:$N$605-Links!$K$489:$K$492,1)&lt;0))+SUMPRODUCT(--(ROUND(Links!$N$606:$N$609-Links!$K$496:$K$499,1)&lt;0))</f>
        <v>0</v>
      </c>
    </row>
    <row r="53" customFormat="false" ht="15" hidden="false" customHeight="false" outlineLevel="0" collapsed="false">
      <c r="A53" s="5" t="s">
        <v>58</v>
      </c>
      <c r="B53" s="5" t="s">
        <v>99</v>
      </c>
      <c r="C53" s="22" t="n">
        <f aca="false">SUMPRODUCT(--(ROUND(Links!$C$16:$C$23-Links!$N$503:$N$510,1)&lt;0))</f>
        <v>5</v>
      </c>
      <c r="D53" s="22" t="n">
        <f aca="false">SUMPRODUCT(--(ROUND(Links!$D$16:$D$23-Links!$N$514:$N$521,1)&lt;0))</f>
        <v>5</v>
      </c>
      <c r="E53" s="22" t="n">
        <f aca="false">SUMPRODUCT(--(ROUND(Links!$E$16:$E$23-Links!$N$525:$N$532,1)&lt;0))</f>
        <v>5</v>
      </c>
      <c r="F53" s="22" t="n">
        <f aca="false">SUMPRODUCT(--(ROUND(Links!$F$16:$F$23-Links!$N$536:$N$543,1)&lt;0))</f>
        <v>5</v>
      </c>
      <c r="G53" s="22" t="n">
        <f aca="false">SUMPRODUCT(--(ROUND(Links!$G$16:$G$23-Links!$N$547:$N$554,1)&lt;0))</f>
        <v>5</v>
      </c>
      <c r="H53" s="22" t="n">
        <f aca="false">SUMPRODUCT(--(ROUND(Links!$H$16:$H$23-Links!$N$558:$N$565,1)&lt;0))</f>
        <v>5</v>
      </c>
      <c r="I53" s="22" t="n">
        <f aca="false">SUMPRODUCT(--(ROUND(Links!$I$16:$I$23-Links!$N$569:$N$576,1)&lt;0))</f>
        <v>5</v>
      </c>
      <c r="J53" s="22" t="n">
        <f aca="false">SUMPRODUCT(--(ROUND(Links!$J$16:$J$23-Links!$N$580:$N$587,1)&lt;0))</f>
        <v>5</v>
      </c>
      <c r="K53" s="22" t="n">
        <f aca="false">SUMPRODUCT(--(ROUND(Links!$K$16:$K$23-Links!$N$591:$N$598,1)&lt;0))</f>
        <v>5</v>
      </c>
      <c r="L53" s="22" t="n">
        <f aca="false">SUMPRODUCT(--(ROUND(Links!$L$16:$L$23-Links!$N$602:$N$609,1)&lt;0))</f>
        <v>5</v>
      </c>
    </row>
    <row r="54" customFormat="false" ht="15" hidden="false" customHeight="false" outlineLevel="0" collapsed="false">
      <c r="A54" s="4" t="s">
        <v>67</v>
      </c>
      <c r="B54" s="5" t="s">
        <v>113</v>
      </c>
      <c r="C54" s="22" t="n">
        <f aca="false">SUM(Links!$N$1025:$N$1032)</f>
        <v>144.20716545</v>
      </c>
      <c r="D54" s="22" t="n">
        <f aca="false">SUM(Links!$N$1036:$N$1043)</f>
        <v>235.48858982</v>
      </c>
      <c r="E54" s="22" t="n">
        <f aca="false">SUM(Links!$N$1047:$N$1054)</f>
        <v>363.35415996</v>
      </c>
      <c r="F54" s="22" t="n">
        <f aca="false">SUM(Links!$N$1058:$N$1065)</f>
        <v>612.55941175</v>
      </c>
      <c r="G54" s="22" t="n">
        <f aca="false">SUM(Links!$N$1069:$N$1076)</f>
        <v>1009.18401399</v>
      </c>
      <c r="H54" s="22" t="n">
        <f aca="false">SUM(Links!$N$1080:$N$1087)</f>
        <v>1397.09793087</v>
      </c>
      <c r="I54" s="22" t="n">
        <f aca="false">SUM(Links!$N$1091:$N$1098)</f>
        <v>1865.11293261</v>
      </c>
      <c r="J54" s="22" t="n">
        <f aca="false">SUM(Links!$N$1102:$N$1109)</f>
        <v>2346.9946828</v>
      </c>
      <c r="K54" s="22" t="n">
        <f aca="false">SUM(Links!$N$1113:$N$1120)</f>
        <v>2690.0296624</v>
      </c>
      <c r="L54" s="22" t="n">
        <f aca="false">SUM(Links!$N$1124:$N$1131)</f>
        <v>3107.3221329</v>
      </c>
    </row>
    <row r="55" customFormat="false" ht="15" hidden="false" customHeight="false" outlineLevel="0" collapsed="false">
      <c r="A55" s="5" t="s">
        <v>67</v>
      </c>
      <c r="B55" s="5" t="s">
        <v>114</v>
      </c>
      <c r="C55" s="22" t="n">
        <f aca="false">SUM(Links!$B$1011:$B$1014)+SUM(Links!$B$1018:$B$1021)</f>
        <v>136.20716545</v>
      </c>
      <c r="D55" s="22" t="n">
        <f aca="false">SUM(Links!$C$1011:$C$1014)+SUM(Links!$C$1018:$C$1021)</f>
        <v>233.84858982</v>
      </c>
      <c r="E55" s="22" t="n">
        <f aca="false">SUM(Links!$D$1011:$D$1014)+SUM(Links!$D$1018:$D$1021)</f>
        <v>358.63415996</v>
      </c>
      <c r="F55" s="22" t="n">
        <f aca="false">SUM(Links!$E$1011:$E$1014)+SUM(Links!$E$1018:$E$1021)</f>
        <v>603.51941175</v>
      </c>
      <c r="G55" s="22" t="n">
        <f aca="false">SUM(Links!$F$1011:$F$1014)+SUM(Links!$F$1018:$F$1021)</f>
        <v>996.50401399</v>
      </c>
      <c r="H55" s="22" t="n">
        <f aca="false">SUM(Links!$G$1011:$G$1014)+SUM(Links!$G$1018:$G$1021)</f>
        <v>1388.53793087</v>
      </c>
      <c r="I55" s="22" t="n">
        <f aca="false">SUM(Links!$H$1011:$H$1014)+SUM(Links!$H$1018:$H$1021)</f>
        <v>1855.07293261</v>
      </c>
      <c r="J55" s="22" t="n">
        <f aca="false">SUM(Links!$I$1011:$I$1014)+SUM(Links!$I$1018:$I$1021)</f>
        <v>2339.3946828</v>
      </c>
      <c r="K55" s="22" t="n">
        <f aca="false">SUM(Links!$J$1011:$J$1014)+SUM(Links!$J$1018:$J$1021)</f>
        <v>2682.1096624</v>
      </c>
      <c r="L55" s="22" t="n">
        <f aca="false">SUM(Links!$K$1011:$K$1014)+SUM(Links!$K$1018:$K$1021)</f>
        <v>3100.0821329</v>
      </c>
    </row>
    <row r="56" customFormat="false" ht="15" hidden="false" customHeight="false" outlineLevel="0" collapsed="false">
      <c r="A56" s="5" t="s">
        <v>67</v>
      </c>
      <c r="B56" s="5" t="s">
        <v>53</v>
      </c>
      <c r="C56" s="18" t="n">
        <f aca="false">IF(C55=0,0,C54/C55-1)</f>
        <v>0.058734061263001</v>
      </c>
      <c r="D56" s="18" t="n">
        <f aca="false">IF(D55=0,0,D54/D55-1)</f>
        <v>0.00701308483947805</v>
      </c>
      <c r="E56" s="18" t="n">
        <f aca="false">IF(E55=0,0,E54/E55-1)</f>
        <v>0.0131610441139416</v>
      </c>
      <c r="F56" s="18" t="n">
        <f aca="false">IF(F55=0,0,F54/F55-1)</f>
        <v>0.0149788056920774</v>
      </c>
      <c r="G56" s="18" t="n">
        <f aca="false">IF(G55=0,0,G54/G55-1)</f>
        <v>0.0127244846202166</v>
      </c>
      <c r="H56" s="18" t="n">
        <f aca="false">IF(H55=0,0,H54/H55-1)</f>
        <v>0.00616475777124559</v>
      </c>
      <c r="I56" s="18" t="n">
        <f aca="false">IF(I55=0,0,I54/I55-1)</f>
        <v>0.00541218613215078</v>
      </c>
      <c r="J56" s="18" t="n">
        <f aca="false">IF(J55=0,0,J54/J55-1)</f>
        <v>0.00324870363084839</v>
      </c>
      <c r="K56" s="18" t="n">
        <f aca="false">IF(K55=0,0,K54/K55-1)</f>
        <v>0.00295289939521459</v>
      </c>
      <c r="L56" s="18" t="n">
        <f aca="false">IF(L55=0,0,L54/L55-1)</f>
        <v>0.00233542199516723</v>
      </c>
    </row>
    <row r="57" customFormat="false" ht="15" hidden="false" customHeight="false" outlineLevel="0" collapsed="false">
      <c r="A57" s="5" t="s">
        <v>67</v>
      </c>
      <c r="B57" s="5" t="s">
        <v>97</v>
      </c>
      <c r="C57" s="22" t="n">
        <f aca="false">SUMPRODUCT(--(ROUND(Links!$N$1025:$N$1028-Links!$B$1011:$B$1014,1)&lt;0))+SUMPRODUCT(--(ROUND(Links!$N$1029:$N$1032-Links!$B$1018:$B$1021,1)&lt;0))</f>
        <v>0</v>
      </c>
      <c r="D57" s="22" t="n">
        <f aca="false">SUMPRODUCT(--(ROUND(Links!$N$1036:$N$1039-Links!$C$1011:$C$1014,1)&lt;0))+SUMPRODUCT(--(ROUND(Links!$N$1040:$N$1043-Links!$C$1018:$C$1021,1)&lt;0))</f>
        <v>0</v>
      </c>
      <c r="E57" s="22" t="n">
        <f aca="false">SUMPRODUCT(--(ROUND(Links!$N$1047:$N$1050-Links!$D$1011:$D$1014,1)&lt;0))+SUMPRODUCT(--(ROUND(Links!$N$1051:$N$1054-Links!$D$1018:$D$1021,1)&lt;0))</f>
        <v>0</v>
      </c>
      <c r="F57" s="22" t="n">
        <f aca="false">SUMPRODUCT(--(ROUND(Links!$N$1058:$N$1061-Links!$E$1011:$E$1014,1)&lt;0))+SUMPRODUCT(--(ROUND(Links!$N$1062:$N$1065-Links!$E$1018:$E$1021,1)&lt;0))</f>
        <v>0</v>
      </c>
      <c r="G57" s="22" t="n">
        <f aca="false">SUMPRODUCT(--(ROUND(Links!$N$1069:$N$1072-Links!$F$1011:$F$1014,1)&lt;0))+SUMPRODUCT(--(ROUND(Links!$N$1073:$N$1076-Links!$F$1018:$F$1021,1)&lt;0))</f>
        <v>0</v>
      </c>
      <c r="H57" s="22" t="n">
        <f aca="false">SUMPRODUCT(--(ROUND(Links!$N$1080:$N$1083-Links!$G$1011:$G$1014,1)&lt;0))+SUMPRODUCT(--(ROUND(Links!$N$1084:$N$1087-Links!$G$1018:$G$1021,1)&lt;0))</f>
        <v>0</v>
      </c>
      <c r="I57" s="22" t="n">
        <f aca="false">SUMPRODUCT(--(ROUND(Links!$N$1091:$N$1094-Links!$H$1011:$H$1014,1)&lt;0))+SUMPRODUCT(--(ROUND(Links!$N$1095:$N$1098-Links!$H$1018:$H$1021,1)&lt;0))</f>
        <v>0</v>
      </c>
      <c r="J57" s="22" t="n">
        <f aca="false">SUMPRODUCT(--(ROUND(Links!$N$1102:$N$1105-Links!$I$1011:$I$1014,1)&lt;0))+SUMPRODUCT(--(ROUND(Links!$N$1106:$N$1109-Links!$I$1018:$I$1021,1)&lt;0))</f>
        <v>0</v>
      </c>
      <c r="K57" s="22" t="n">
        <f aca="false">SUMPRODUCT(--(ROUND(Links!$N$1113:$N$1116-Links!$J$1011:$J$1014,1)&lt;0))+SUMPRODUCT(--(ROUND(Links!$N$1117:$N$1120-Links!$J$1018:$J$1021,1)&lt;0))</f>
        <v>0</v>
      </c>
      <c r="L57" s="22" t="n">
        <f aca="false">SUMPRODUCT(--(ROUND(Links!$N$1124:$N$1127-Links!$K$1011:$K$1014,1)&lt;0))+SUMPRODUCT(--(ROUND(Links!$N$1128:$N$1131-Links!$K$1018:$K$1021,1)&lt;0))</f>
        <v>0</v>
      </c>
    </row>
    <row r="58" customFormat="false" ht="15" hidden="false" customHeight="false" outlineLevel="0" collapsed="false">
      <c r="A58" s="5" t="s">
        <v>67</v>
      </c>
      <c r="B58" s="5" t="s">
        <v>99</v>
      </c>
      <c r="C58" s="22" t="n">
        <f aca="false">SUMPRODUCT(--(ROUND(Links!$C$24:$C$31-Links!$N$1025:$N$1032,1)&lt;0))</f>
        <v>8</v>
      </c>
      <c r="D58" s="22" t="n">
        <f aca="false">SUMPRODUCT(--(ROUND(Links!$D$24:$D$31-Links!$N$1036:$N$1043,1)&lt;0))</f>
        <v>7</v>
      </c>
      <c r="E58" s="22" t="n">
        <f aca="false">SUMPRODUCT(--(ROUND(Links!$E$24:$E$31-Links!$N$1047:$N$1054,1)&lt;0))</f>
        <v>6</v>
      </c>
      <c r="F58" s="22" t="n">
        <f aca="false">SUMPRODUCT(--(ROUND(Links!$F$24:$F$31-Links!$N$1058:$N$1065,1)&lt;0))</f>
        <v>7</v>
      </c>
      <c r="G58" s="22" t="n">
        <f aca="false">SUMPRODUCT(--(ROUND(Links!$G$24:$G$31-Links!$N$1069:$N$1076,1)&lt;0))</f>
        <v>7</v>
      </c>
      <c r="H58" s="22" t="n">
        <f aca="false">SUMPRODUCT(--(ROUND(Links!$H$24:$H$31-Links!$N$1080:$N$1087,1)&lt;0))</f>
        <v>6</v>
      </c>
      <c r="I58" s="22" t="n">
        <f aca="false">SUMPRODUCT(--(ROUND(Links!$I$24:$I$31-Links!$N$1091:$N$1098,1)&lt;0))</f>
        <v>7</v>
      </c>
      <c r="J58" s="22" t="n">
        <f aca="false">SUMPRODUCT(--(ROUND(Links!$J$24:$J$31-Links!$N$1102:$N$1109,1)&lt;0))</f>
        <v>7</v>
      </c>
      <c r="K58" s="22" t="n">
        <f aca="false">SUMPRODUCT(--(ROUND(Links!$K$24:$K$31-Links!$N$1113:$N$1120,1)&lt;0))</f>
        <v>7</v>
      </c>
      <c r="L58" s="22" t="n">
        <f aca="false">SUMPRODUCT(--(ROUND(Links!$L$24:$L$31-Links!$N$1124:$N$1131,1)&lt;0))</f>
        <v>6</v>
      </c>
    </row>
    <row r="59" customFormat="false" ht="15" hidden="false" customHeight="false" outlineLevel="0" collapsed="false">
      <c r="A59" s="4" t="s">
        <v>76</v>
      </c>
      <c r="B59" s="5" t="s">
        <v>113</v>
      </c>
      <c r="C59" s="22" t="n">
        <f aca="false">SUM(Links!$N$1441:$N$1457)</f>
        <v>1968.5956955673</v>
      </c>
      <c r="D59" s="22" t="n">
        <f aca="false">SUM(Links!$N$1473:$N$1489)</f>
        <v>8865.1039959129</v>
      </c>
      <c r="E59" s="22" t="n">
        <f aca="false">SUM(Links!$N$1505:$N$1521)</f>
        <v>17794.6617850856</v>
      </c>
      <c r="F59" s="22" t="n">
        <f aca="false">SUM(Links!$N$1537:$N$1553)</f>
        <v>33024.6027253915</v>
      </c>
      <c r="G59" s="22" t="n">
        <f aca="false">SUM(Links!$N$1569:$N$1585)</f>
        <v>48661.3762617174</v>
      </c>
      <c r="H59" s="22" t="n">
        <f aca="false">SUM(Links!$N$1601:$N$1617)</f>
        <v>66252.1903026554</v>
      </c>
      <c r="I59" s="22" t="n">
        <f aca="false">SUM(Links!$N$1633:$N$1649)</f>
        <v>82312.116272374</v>
      </c>
      <c r="J59" s="22" t="n">
        <f aca="false">SUM(Links!$N$1665:$N$1681)</f>
        <v>93600.6241775075</v>
      </c>
      <c r="K59" s="22" t="n">
        <f aca="false">SUM(Links!$N$1697:$N$1713)</f>
        <v>100694.138346913</v>
      </c>
      <c r="L59" s="22" t="n">
        <f aca="false">SUM(Links!$N$1729:$N$1745)</f>
        <v>107927.372813695</v>
      </c>
    </row>
    <row r="60" customFormat="false" ht="15" hidden="false" customHeight="false" outlineLevel="0" collapsed="false">
      <c r="A60" s="5" t="s">
        <v>76</v>
      </c>
      <c r="B60" s="5" t="s">
        <v>114</v>
      </c>
      <c r="C60" s="22" t="n">
        <f aca="false">SUM(Links!$B$1421:$B$1437)</f>
        <v>1968.5956955673</v>
      </c>
      <c r="D60" s="22" t="n">
        <f aca="false">SUM(Links!$C$1421:$C$1437)</f>
        <v>8838.1039959129</v>
      </c>
      <c r="E60" s="22" t="n">
        <f aca="false">SUM(Links!$D$1421:$D$1437)</f>
        <v>17721.6617850856</v>
      </c>
      <c r="F60" s="22" t="n">
        <f aca="false">SUM(Links!$E$1421:$E$1437)</f>
        <v>32873.6027253915</v>
      </c>
      <c r="G60" s="22" t="n">
        <f aca="false">SUM(Links!$F$1421:$F$1437)</f>
        <v>48386.3762617174</v>
      </c>
      <c r="H60" s="22" t="n">
        <f aca="false">SUM(Links!$G$1421:$G$1437)</f>
        <v>65859.1903026554</v>
      </c>
      <c r="I60" s="22" t="n">
        <f aca="false">SUM(Links!$H$1421:$H$1437)</f>
        <v>81795.116272374</v>
      </c>
      <c r="J60" s="22" t="n">
        <f aca="false">SUM(Links!$I$1421:$I$1437)</f>
        <v>92988.6241775076</v>
      </c>
      <c r="K60" s="22" t="n">
        <f aca="false">SUM(Links!$J$1421:$J$1437)</f>
        <v>100019.138346913</v>
      </c>
      <c r="L60" s="22" t="n">
        <f aca="false">SUM(Links!$K$1421:$K$1437)</f>
        <v>107197.372813695</v>
      </c>
    </row>
    <row r="61" customFormat="false" ht="15" hidden="false" customHeight="false" outlineLevel="0" collapsed="false">
      <c r="A61" s="5" t="s">
        <v>76</v>
      </c>
      <c r="B61" s="5" t="s">
        <v>53</v>
      </c>
      <c r="C61" s="18" t="n">
        <f aca="false">IF(C60=0,0,C59/C60-1)</f>
        <v>0</v>
      </c>
      <c r="D61" s="18" t="n">
        <f aca="false">IF(D60=0,0,D59/D60-1)</f>
        <v>0.00305495386934651</v>
      </c>
      <c r="E61" s="18" t="n">
        <f aca="false">IF(E60=0,0,E59/E60-1)</f>
        <v>0.0041192525218734</v>
      </c>
      <c r="F61" s="18" t="n">
        <f aca="false">IF(F60=0,0,F59/F60-1)</f>
        <v>0.00459335112312975</v>
      </c>
      <c r="G61" s="18" t="n">
        <f aca="false">IF(G60=0,0,G59/G60-1)</f>
        <v>0.00568341796278671</v>
      </c>
      <c r="H61" s="18" t="n">
        <f aca="false">IF(H60=0,0,H59/H60-1)</f>
        <v>0.0059672765212262</v>
      </c>
      <c r="I61" s="18" t="n">
        <f aca="false">IF(I60=0,0,I59/I60-1)</f>
        <v>0.00632067076325704</v>
      </c>
      <c r="J61" s="18" t="n">
        <f aca="false">IF(J60=0,0,J59/J60-1)</f>
        <v>0.00658145020870227</v>
      </c>
      <c r="K61" s="18" t="n">
        <f aca="false">IF(K60=0,0,K59/K60-1)</f>
        <v>0.00674870840877251</v>
      </c>
      <c r="L61" s="18" t="n">
        <f aca="false">IF(L60=0,0,L59/L60-1)</f>
        <v>0.00680986838426256</v>
      </c>
    </row>
    <row r="62" customFormat="false" ht="15" hidden="false" customHeight="false" outlineLevel="0" collapsed="false">
      <c r="A62" s="5" t="s">
        <v>76</v>
      </c>
      <c r="B62" s="5" t="s">
        <v>97</v>
      </c>
      <c r="C62" s="22" t="n">
        <f aca="false">SUMPRODUCT(--(ROUND(Links!$N$1441:$N$1457-Links!$B$1421:$B$1437,1)&lt;0))</f>
        <v>0</v>
      </c>
      <c r="D62" s="22" t="n">
        <f aca="false">SUMPRODUCT(--(ROUND(Links!$N$1473:$N$1489-Links!$C$1421:$C$1437,1)&lt;0))</f>
        <v>0</v>
      </c>
      <c r="E62" s="22" t="n">
        <f aca="false">SUMPRODUCT(--(ROUND(Links!$N$1505:$N$1521-Links!$D$1421:$D$1437,1)&lt;0))</f>
        <v>0</v>
      </c>
      <c r="F62" s="22" t="n">
        <f aca="false">SUMPRODUCT(--(ROUND(Links!$N$1537:$N$1553-Links!$E$1421:$E$1437,1)&lt;0))</f>
        <v>0</v>
      </c>
      <c r="G62" s="22" t="n">
        <f aca="false">SUMPRODUCT(--(ROUND(Links!$N$1569:$N$1585-Links!$F$1421:$F$1437,1)&lt;0))</f>
        <v>0</v>
      </c>
      <c r="H62" s="22" t="n">
        <f aca="false">SUMPRODUCT(--(ROUND(Links!$N$1601:$N$1617-Links!$G$1421:$G$1437,1)&lt;0))</f>
        <v>0</v>
      </c>
      <c r="I62" s="22" t="n">
        <f aca="false">SUMPRODUCT(--(ROUND(Links!$N$1633:$N$1649-Links!$H$1421:$H$1437,1)&lt;0))</f>
        <v>0</v>
      </c>
      <c r="J62" s="22" t="n">
        <f aca="false">SUMPRODUCT(--(ROUND(Links!$N$1665:$N$1681-Links!$I$1421:$I$1437,1)&lt;0))</f>
        <v>0</v>
      </c>
      <c r="K62" s="22" t="n">
        <f aca="false">SUMPRODUCT(--(ROUND(Links!$N$1697:$N$1713-Links!$J$1421:$J$1437,1)&lt;0))</f>
        <v>0</v>
      </c>
      <c r="L62" s="22" t="n">
        <f aca="false">SUMPRODUCT(--(ROUND(Links!$N$1729:$N$1745-Links!$K$1421:$K$1437,1)&lt;0))</f>
        <v>0</v>
      </c>
    </row>
    <row r="63" customFormat="false" ht="15" hidden="false" customHeight="false" outlineLevel="0" collapsed="false">
      <c r="A63" s="5" t="s">
        <v>76</v>
      </c>
      <c r="B63" s="5" t="s">
        <v>99</v>
      </c>
      <c r="C63" s="22" t="n">
        <f aca="false">SUMPRODUCT(--(ROUND(Links!$C$32:$C$48-Links!$N$1441:$N$1457,1)&lt;0))</f>
        <v>3</v>
      </c>
      <c r="D63" s="22" t="n">
        <f aca="false">SUMPRODUCT(--(ROUND(Links!$D$32:$D$48-Links!$N$1473:$N$1489,1)&lt;0))</f>
        <v>12</v>
      </c>
      <c r="E63" s="22" t="n">
        <f aca="false">SUMPRODUCT(--(ROUND(Links!$E$32:$E$48-Links!$N$1505:$N$1521,1)&lt;0))</f>
        <v>11</v>
      </c>
      <c r="F63" s="22" t="n">
        <f aca="false">SUMPRODUCT(--(ROUND(Links!$F$32:$F$48-Links!$N$1537:$N$1553,1)&lt;0))</f>
        <v>13</v>
      </c>
      <c r="G63" s="22" t="n">
        <f aca="false">SUMPRODUCT(--(ROUND(Links!$G$32:$G$48-Links!$N$1569:$N$1585,1)&lt;0))</f>
        <v>12</v>
      </c>
      <c r="H63" s="22" t="n">
        <f aca="false">SUMPRODUCT(--(ROUND(Links!$H$32:$H$48-Links!$N$1601:$N$1617,1)&lt;0))</f>
        <v>12</v>
      </c>
      <c r="I63" s="22" t="n">
        <f aca="false">SUMPRODUCT(--(ROUND(Links!$I$32:$I$48-Links!$N$1633:$N$1649,1)&lt;0))</f>
        <v>12</v>
      </c>
      <c r="J63" s="22" t="n">
        <f aca="false">SUMPRODUCT(--(ROUND(Links!$J$32:$J$48-Links!$N$1665:$N$1681,1)&lt;0))</f>
        <v>13</v>
      </c>
      <c r="K63" s="22" t="n">
        <f aca="false">SUMPRODUCT(--(ROUND(Links!$K$32:$K$48-Links!$N$1697:$N$1713,1)&lt;0))</f>
        <v>14</v>
      </c>
      <c r="L63" s="22" t="n">
        <f aca="false">SUMPRODUCT(--(ROUND(Links!$L$32:$L$48-Links!$N$1729:$N$1745,1)&lt;0))</f>
        <v>14</v>
      </c>
    </row>
    <row r="65" customFormat="false" ht="15" hidden="false" customHeight="false" outlineLevel="0" collapsed="false">
      <c r="A65" s="2" t="s">
        <v>115</v>
      </c>
    </row>
    <row r="66" customFormat="false" ht="15" hidden="false" customHeight="false" outlineLevel="0" collapsed="false">
      <c r="A66" s="2" t="s">
        <v>116</v>
      </c>
    </row>
  </sheetData>
  <conditionalFormatting sqref="G7:G39">
    <cfRule type="expression" priority="2" aboveAverage="0" equalAverage="0" bottom="0" percent="0" rank="0" text="" dxfId="0">
      <formula>LEFT(G7,1)="✖"</formula>
    </cfRule>
    <cfRule type="expression" priority="3" aboveAverage="0" equalAverage="0" bottom="0" percent="0" rank="0" text="" dxfId="1">
      <formula>LEFT(G7,1)="✔"</formula>
    </cfRule>
  </conditionalFormatting>
  <conditionalFormatting sqref="I7:I39">
    <cfRule type="expression" priority="4" aboveAverage="0" equalAverage="0" bottom="0" percent="0" rank="0" text="" dxfId="0">
      <formula>LEFT(I7,1)="✖"</formula>
    </cfRule>
    <cfRule type="expression" priority="5" aboveAverage="0" equalAverage="0" bottom="0" percent="0" rank="0" text="" dxfId="1">
      <formula>LEFT(I7,1)="✔"</formula>
    </cfRule>
  </conditionalFormatting>
  <conditionalFormatting sqref="C52:L52">
    <cfRule type="expression" priority="6" aboveAverage="0" equalAverage="0" bottom="0" percent="0" rank="0" text="" dxfId="2">
      <formula>C52&gt;0</formula>
    </cfRule>
    <cfRule type="expression" priority="7" aboveAverage="0" equalAverage="0" bottom="0" percent="0" rank="0" text="" dxfId="3">
      <formula>C52=0</formula>
    </cfRule>
  </conditionalFormatting>
  <conditionalFormatting sqref="C53:L53">
    <cfRule type="expression" priority="8" aboveAverage="0" equalAverage="0" bottom="0" percent="0" rank="0" text="" dxfId="2">
      <formula>C53&gt;0</formula>
    </cfRule>
    <cfRule type="expression" priority="9" aboveAverage="0" equalAverage="0" bottom="0" percent="0" rank="0" text="" dxfId="3">
      <formula>C53=0</formula>
    </cfRule>
  </conditionalFormatting>
  <conditionalFormatting sqref="C57:L57">
    <cfRule type="expression" priority="10" aboveAverage="0" equalAverage="0" bottom="0" percent="0" rank="0" text="" dxfId="2">
      <formula>C57&gt;0</formula>
    </cfRule>
    <cfRule type="expression" priority="11" aboveAverage="0" equalAverage="0" bottom="0" percent="0" rank="0" text="" dxfId="3">
      <formula>C57=0</formula>
    </cfRule>
  </conditionalFormatting>
  <conditionalFormatting sqref="C58:L58">
    <cfRule type="expression" priority="12" aboveAverage="0" equalAverage="0" bottom="0" percent="0" rank="0" text="" dxfId="2">
      <formula>C58&gt;0</formula>
    </cfRule>
    <cfRule type="expression" priority="13" aboveAverage="0" equalAverage="0" bottom="0" percent="0" rank="0" text="" dxfId="3">
      <formula>C58=0</formula>
    </cfRule>
  </conditionalFormatting>
  <conditionalFormatting sqref="C62:L62">
    <cfRule type="expression" priority="14" aboveAverage="0" equalAverage="0" bottom="0" percent="0" rank="0" text="" dxfId="2">
      <formula>C62&gt;0</formula>
    </cfRule>
    <cfRule type="expression" priority="15" aboveAverage="0" equalAverage="0" bottom="0" percent="0" rank="0" text="" dxfId="3">
      <formula>C62=0</formula>
    </cfRule>
  </conditionalFormatting>
  <conditionalFormatting sqref="C63:L63">
    <cfRule type="expression" priority="16" aboveAverage="0" equalAverage="0" bottom="0" percent="0" rank="0" text="" dxfId="2">
      <formula>C63&gt;0</formula>
    </cfRule>
    <cfRule type="expression" priority="17" aboveAverage="0" equalAverage="0" bottom="0" percent="0" rank="0" text="" dxfId="3">
      <formula>C63=0</formula>
    </cfRule>
  </conditionalFormatting>
  <dataValidations count="1">
    <dataValidation allowBlank="false" errorStyle="stop" operator="between" showDropDown="false" showErrorMessage="false" showInputMessage="false" sqref="C3" type="list">
      <formula1>"2026,2027,2028,2029,2030,2031,2032,2033,2034,2035"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5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45" min="2" style="0" width="6"/>
  </cols>
  <sheetData>
    <row r="1" customFormat="false" ht="15" hidden="false" customHeight="false" outlineLevel="0" collapsed="false">
      <c r="A1" s="1" t="s">
        <v>117</v>
      </c>
    </row>
    <row r="2" customFormat="false" ht="15" hidden="false" customHeight="false" outlineLevel="0" collapsed="false">
      <c r="A2" s="2" t="s">
        <v>118</v>
      </c>
    </row>
    <row r="4" customFormat="false" ht="15.75" hidden="false" customHeight="true" outlineLevel="0" collapsed="false">
      <c r="B4" s="1" t="s">
        <v>119</v>
      </c>
    </row>
    <row r="5" customFormat="false" ht="15.75" hidden="false" customHeight="true" outlineLevel="0" collapsed="false">
      <c r="B5" s="23" t="str">
        <f aca="false">"MATERIA PRIMA"&amp;CHAR(10)&amp;"Chapa: "&amp;TEXT(Materiales!$C$7,"#,##0")&amp;" hojas"&amp;CHAR(10)&amp;"Fleje: "&amp;TEXT(Materiales!$C$8,"#,##0")&amp;" kg"&amp;CHAR(10)&amp;"Polvo ABC: "&amp;TEXT(Materiales!$C$15,"#,##0")&amp;" kg"&amp;CHAR(10)&amp;"Componentes: "&amp;TEXT(Materiales!$C$17,"#,##0")&amp;" u"</f>
        <v>MATERIA PRIMA
Chapa: 10,604 hojas
Fleje: 100,701 kg
Polvo ABC: 230,062 kg
Componentes: 693,428 u</v>
      </c>
      <c r="C5" s="23"/>
      <c r="D5" s="23"/>
      <c r="E5" s="23"/>
      <c r="F5" s="23"/>
      <c r="G5" s="24" t="s">
        <v>120</v>
      </c>
      <c r="H5" s="25" t="str">
        <f aca="false">"CORTE"&amp;CHAR(10)&amp;TEXT(Materiales!$G$22,"#,##0")&amp;" planchuelas"&amp;CHAR(10)&amp;TEXT(Materiales!$G$23,"#,##0")&amp;" discos"</f>
        <v>CORTE
284,463 planchuelas
568,925 discos</v>
      </c>
      <c r="I5" s="25"/>
      <c r="J5" s="25"/>
      <c r="K5" s="25"/>
      <c r="L5" s="25"/>
      <c r="M5" s="24" t="s">
        <v>120</v>
      </c>
      <c r="N5" s="25" t="str">
        <f aca="false">"EMBUTIDO Y SOLDADURA"&amp;CHAR(10)&amp;TEXT(Materiales!$G$24,"#,##0")&amp;" casquetes"&amp;CHAR(10)&amp;TEXT(Materiales!$G$26,"#,##0")&amp;" recipientes"</f>
        <v>EMBUTIDO Y SOLDADURA
568,925 casquetes
284,463 recipientes</v>
      </c>
      <c r="O5" s="25"/>
      <c r="P5" s="25"/>
      <c r="Q5" s="25"/>
      <c r="R5" s="25"/>
      <c r="S5" s="24" t="s">
        <v>120</v>
      </c>
      <c r="T5" s="25" t="str">
        <f aca="false">"TERMINACIÓN"&amp;CHAR(10)&amp;"PH, secado, granallado, pintura"&amp;CHAR(10)&amp;TEXT(Materiales!$G$27,"#,##0")&amp;" recipientes pintados"</f>
        <v>TERMINACIÓN
PH, secado, granallado, pintura
284,463 recipientes pintados</v>
      </c>
      <c r="U5" s="25"/>
      <c r="V5" s="25"/>
      <c r="W5" s="25"/>
      <c r="X5" s="25"/>
      <c r="Y5" s="24" t="s">
        <v>120</v>
      </c>
      <c r="Z5" s="25" t="str">
        <f aca="false">"CARGA Y ARMADO"&amp;CHAR(10)&amp;"polvo, válvula, N₂, ensayo de pérdidas"</f>
        <v>CARGA Y ARMADO
polvo, válvula, N₂, ensayo de pérdidas</v>
      </c>
      <c r="AA5" s="25"/>
      <c r="AB5" s="25"/>
      <c r="AC5" s="25"/>
      <c r="AD5" s="25"/>
      <c r="AE5" s="24" t="s">
        <v>120</v>
      </c>
      <c r="AF5" s="26" t="str">
        <f aca="false">"PRODUCTO TERMINADO"&amp;CHAR(10)&amp;TEXT(Materiales!$C$51,"#,##0")&amp;" u"&amp;CHAR(10)&amp;"matafuegos 1 a 10 kg y cilindros vacíos"</f>
        <v>PRODUCTO TERMINADO
284,463 u
matafuegos 1 a 10 kg y cilindros vacíos</v>
      </c>
      <c r="AG5" s="26"/>
      <c r="AH5" s="26"/>
      <c r="AI5" s="26"/>
      <c r="AJ5" s="26"/>
      <c r="AL5" s="27" t="str">
        <f aca="false">"CHECKS "&amp;Resumen!$C$3&amp;""&amp;CHAR(10)&amp;"Producción ≥ demanda: "&amp;IF(Resumen!$G$43=0,"✔","✖ "&amp;Resumen!$G$43&amp;" productos")&amp;CHAR(10)&amp;"Sobrestock: "&amp;TEXT(Resumen!$F$43,"0.0%")&amp;CHAR(10)&amp;"MRP cubre la producción: "&amp;IF(Resumen!$I$43=0,"✔","✖ "&amp;Resumen!$I$43&amp;" productos")</f>
        <v>CHECKS 2035
Producción ≥ demanda: ✔
Sobrestock: 0.1%
MRP cubre la producción: ✖ 5 productos</v>
      </c>
      <c r="AM5" s="27"/>
      <c r="AN5" s="27"/>
      <c r="AO5" s="27"/>
      <c r="AP5" s="27"/>
      <c r="AQ5" s="27"/>
    </row>
    <row r="6" customFormat="false" ht="15.75" hidden="false" customHeight="true" outlineLevel="0" collapsed="false">
      <c r="B6" s="23"/>
      <c r="C6" s="23"/>
      <c r="D6" s="23"/>
      <c r="E6" s="23"/>
      <c r="F6" s="23"/>
      <c r="G6" s="24"/>
      <c r="H6" s="25"/>
      <c r="I6" s="25"/>
      <c r="J6" s="25"/>
      <c r="K6" s="25"/>
      <c r="L6" s="25"/>
      <c r="M6" s="24"/>
      <c r="N6" s="25"/>
      <c r="O6" s="25"/>
      <c r="P6" s="25"/>
      <c r="Q6" s="25"/>
      <c r="R6" s="25"/>
      <c r="S6" s="24"/>
      <c r="T6" s="25"/>
      <c r="U6" s="25"/>
      <c r="V6" s="25"/>
      <c r="W6" s="25"/>
      <c r="X6" s="25"/>
      <c r="Y6" s="24"/>
      <c r="Z6" s="25"/>
      <c r="AA6" s="25"/>
      <c r="AB6" s="25"/>
      <c r="AC6" s="25"/>
      <c r="AD6" s="25"/>
      <c r="AE6" s="24"/>
      <c r="AF6" s="26"/>
      <c r="AG6" s="26"/>
      <c r="AH6" s="26"/>
      <c r="AI6" s="26"/>
      <c r="AJ6" s="26"/>
      <c r="AL6" s="27"/>
      <c r="AM6" s="27"/>
      <c r="AN6" s="27"/>
      <c r="AO6" s="27"/>
      <c r="AP6" s="27"/>
      <c r="AQ6" s="27"/>
    </row>
    <row r="7" customFormat="false" ht="15.75" hidden="false" customHeight="true" outlineLevel="0" collapsed="false">
      <c r="B7" s="23"/>
      <c r="C7" s="23"/>
      <c r="D7" s="23"/>
      <c r="E7" s="23"/>
      <c r="F7" s="23"/>
      <c r="G7" s="24"/>
      <c r="H7" s="25"/>
      <c r="I7" s="25"/>
      <c r="J7" s="25"/>
      <c r="K7" s="25"/>
      <c r="L7" s="25"/>
      <c r="M7" s="24"/>
      <c r="N7" s="25"/>
      <c r="O7" s="25"/>
      <c r="P7" s="25"/>
      <c r="Q7" s="25"/>
      <c r="R7" s="25"/>
      <c r="S7" s="24"/>
      <c r="T7" s="25"/>
      <c r="U7" s="25"/>
      <c r="V7" s="25"/>
      <c r="W7" s="25"/>
      <c r="X7" s="25"/>
      <c r="Y7" s="24"/>
      <c r="Z7" s="25"/>
      <c r="AA7" s="25"/>
      <c r="AB7" s="25"/>
      <c r="AC7" s="25"/>
      <c r="AD7" s="25"/>
      <c r="AE7" s="24"/>
      <c r="AF7" s="26"/>
      <c r="AG7" s="26"/>
      <c r="AH7" s="26"/>
      <c r="AI7" s="26"/>
      <c r="AJ7" s="26"/>
      <c r="AL7" s="27"/>
      <c r="AM7" s="27"/>
      <c r="AN7" s="27"/>
      <c r="AO7" s="27"/>
      <c r="AP7" s="27"/>
      <c r="AQ7" s="27"/>
    </row>
    <row r="8" customFormat="false" ht="15.75" hidden="false" customHeight="true" outlineLevel="0" collapsed="false">
      <c r="B8" s="23"/>
      <c r="C8" s="23"/>
      <c r="D8" s="23"/>
      <c r="E8" s="23"/>
      <c r="F8" s="23"/>
      <c r="G8" s="24"/>
      <c r="H8" s="25"/>
      <c r="I8" s="25"/>
      <c r="J8" s="25"/>
      <c r="K8" s="25"/>
      <c r="L8" s="25"/>
      <c r="M8" s="24"/>
      <c r="N8" s="25"/>
      <c r="O8" s="25"/>
      <c r="P8" s="25"/>
      <c r="Q8" s="25"/>
      <c r="R8" s="25"/>
      <c r="S8" s="24"/>
      <c r="T8" s="25"/>
      <c r="U8" s="25"/>
      <c r="V8" s="25"/>
      <c r="W8" s="25"/>
      <c r="X8" s="25"/>
      <c r="Y8" s="24"/>
      <c r="Z8" s="25"/>
      <c r="AA8" s="25"/>
      <c r="AB8" s="25"/>
      <c r="AC8" s="25"/>
      <c r="AD8" s="25"/>
      <c r="AE8" s="24"/>
      <c r="AF8" s="26"/>
      <c r="AG8" s="26"/>
      <c r="AH8" s="26"/>
      <c r="AI8" s="26"/>
      <c r="AJ8" s="26"/>
      <c r="AL8" s="27"/>
      <c r="AM8" s="27"/>
      <c r="AN8" s="27"/>
      <c r="AO8" s="27"/>
      <c r="AP8" s="27"/>
      <c r="AQ8" s="27"/>
    </row>
    <row r="9" customFormat="false" ht="15.75" hidden="false" customHeight="true" outlineLevel="0" collapsed="false">
      <c r="B9" s="23"/>
      <c r="C9" s="23"/>
      <c r="D9" s="23"/>
      <c r="E9" s="23"/>
      <c r="F9" s="23"/>
      <c r="G9" s="24"/>
      <c r="H9" s="25"/>
      <c r="I9" s="25"/>
      <c r="J9" s="25"/>
      <c r="K9" s="25"/>
      <c r="L9" s="25"/>
      <c r="M9" s="24"/>
      <c r="N9" s="25"/>
      <c r="O9" s="25"/>
      <c r="P9" s="25"/>
      <c r="Q9" s="25"/>
      <c r="R9" s="25"/>
      <c r="S9" s="24"/>
      <c r="T9" s="25"/>
      <c r="U9" s="25"/>
      <c r="V9" s="25"/>
      <c r="W9" s="25"/>
      <c r="X9" s="25"/>
      <c r="Y9" s="24"/>
      <c r="Z9" s="25"/>
      <c r="AA9" s="25"/>
      <c r="AB9" s="25"/>
      <c r="AC9" s="25"/>
      <c r="AD9" s="25"/>
      <c r="AE9" s="24"/>
      <c r="AF9" s="26"/>
      <c r="AG9" s="26"/>
      <c r="AH9" s="26"/>
      <c r="AI9" s="26"/>
      <c r="AJ9" s="26"/>
      <c r="AL9" s="27"/>
      <c r="AM9" s="27"/>
      <c r="AN9" s="27"/>
      <c r="AO9" s="27"/>
      <c r="AP9" s="27"/>
      <c r="AQ9" s="27"/>
    </row>
    <row r="10" customFormat="false" ht="15.75" hidden="false" customHeight="true" outlineLevel="0" collapsed="false">
      <c r="B10" s="23"/>
      <c r="C10" s="23"/>
      <c r="D10" s="23"/>
      <c r="E10" s="23"/>
      <c r="F10" s="23"/>
      <c r="G10" s="24"/>
      <c r="H10" s="25"/>
      <c r="I10" s="25"/>
      <c r="J10" s="25"/>
      <c r="K10" s="25"/>
      <c r="L10" s="25"/>
      <c r="M10" s="24"/>
      <c r="N10" s="25"/>
      <c r="O10" s="25"/>
      <c r="P10" s="25"/>
      <c r="Q10" s="25"/>
      <c r="R10" s="25"/>
      <c r="S10" s="24"/>
      <c r="T10" s="25"/>
      <c r="U10" s="25"/>
      <c r="V10" s="25"/>
      <c r="W10" s="25"/>
      <c r="X10" s="25"/>
      <c r="Y10" s="24"/>
      <c r="Z10" s="25"/>
      <c r="AA10" s="25"/>
      <c r="AB10" s="25"/>
      <c r="AC10" s="25"/>
      <c r="AD10" s="25"/>
      <c r="AE10" s="24"/>
      <c r="AF10" s="26"/>
      <c r="AG10" s="26"/>
      <c r="AH10" s="26"/>
      <c r="AI10" s="26"/>
      <c r="AJ10" s="26"/>
      <c r="AL10" s="27"/>
      <c r="AM10" s="27"/>
      <c r="AN10" s="27"/>
      <c r="AO10" s="27"/>
      <c r="AP10" s="27"/>
      <c r="AQ10" s="27"/>
    </row>
    <row r="11" customFormat="false" ht="15.75" hidden="false" customHeight="true" outlineLevel="0" collapsed="false">
      <c r="B11" s="23"/>
      <c r="C11" s="23"/>
      <c r="D11" s="23"/>
      <c r="E11" s="23"/>
      <c r="F11" s="23"/>
      <c r="G11" s="24"/>
      <c r="H11" s="25"/>
      <c r="I11" s="25"/>
      <c r="J11" s="25"/>
      <c r="K11" s="25"/>
      <c r="L11" s="25"/>
      <c r="M11" s="24"/>
      <c r="N11" s="25"/>
      <c r="O11" s="25"/>
      <c r="P11" s="25"/>
      <c r="Q11" s="25"/>
      <c r="R11" s="25"/>
      <c r="S11" s="24"/>
      <c r="T11" s="25"/>
      <c r="U11" s="25"/>
      <c r="V11" s="25"/>
      <c r="W11" s="25"/>
      <c r="X11" s="25"/>
      <c r="Y11" s="24"/>
      <c r="Z11" s="25"/>
      <c r="AA11" s="25"/>
      <c r="AB11" s="25"/>
      <c r="AC11" s="25"/>
      <c r="AD11" s="25"/>
      <c r="AE11" s="24"/>
      <c r="AF11" s="26"/>
      <c r="AG11" s="26"/>
      <c r="AH11" s="26"/>
      <c r="AI11" s="26"/>
      <c r="AJ11" s="26"/>
      <c r="AL11" s="27"/>
      <c r="AM11" s="27"/>
      <c r="AN11" s="27"/>
      <c r="AO11" s="27"/>
      <c r="AP11" s="27"/>
      <c r="AQ11" s="27"/>
    </row>
    <row r="12" customFormat="false" ht="15.75" hidden="false" customHeight="true" outlineLevel="0" collapsed="false">
      <c r="J12" s="28" t="s">
        <v>121</v>
      </c>
      <c r="P12" s="28" t="s">
        <v>121</v>
      </c>
      <c r="V12" s="28" t="s">
        <v>121</v>
      </c>
      <c r="AB12" s="28" t="s">
        <v>121</v>
      </c>
    </row>
    <row r="13" customFormat="false" ht="15.75" hidden="false" customHeight="true" outlineLevel="0" collapsed="false">
      <c r="H13" s="29" t="str">
        <f aca="false">"SCRAP Y MERMAS"&amp;CHAR(10)&amp;"Chatarra: "&amp;TEXT(Materiales!$C$32+Materiales!$C$33,"#,##0")&amp;" kg (recortes y esqueleto de fleje)"&amp;CHAR(10)&amp;"Desechos: "&amp;TEXT(Materiales!$C$34+Materiales!$C$37+Materiales!$C$38,"#,##0")&amp;" kg (salpicadura, granalla, pintura)"&amp;CHAR(10)&amp;"Gases: "&amp;TEXT(Materiales!$C$35,"#,##0")&amp;" m³"</f>
        <v>SCRAP Y MERMAS
Chatarra: 42,322 kg (recortes y esqueleto de fleje)
Desechos: 23,236 kg (salpicadura, granalla, pintura)
Gases: 8,199 m³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</row>
    <row r="14" customFormat="false" ht="15.75" hidden="false" customHeight="true" outlineLevel="0" collapsed="false"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</row>
    <row r="15" customFormat="false" ht="15.75" hidden="false" customHeight="true" outlineLevel="0" collapsed="false"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</row>
    <row r="16" customFormat="false" ht="15.75" hidden="false" customHeight="true" outlineLevel="0" collapsed="false"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</row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>
      <c r="B19" s="1" t="s">
        <v>122</v>
      </c>
    </row>
    <row r="20" customFormat="false" ht="15.75" hidden="false" customHeight="true" outlineLevel="0" collapsed="false">
      <c r="B20" s="23" t="str">
        <f aca="false">"MATERIA PRIMA"&amp;CHAR(10)&amp;"Chapa: "&amp;TEXT(Materiales!$C$61,"#,##0")&amp;" hojas"&amp;CHAR(10)&amp;"Casquetes y cuplas: "&amp;TEXT(Materiales!$C$62,"#,##0")&amp;" u"&amp;CHAR(10)&amp;"Polvo ABC 90: "&amp;TEXT(Materiales!$C$68,"#,##0")&amp;" kg"&amp;CHAR(10)&amp;"Caños y barras: "&amp;TEXT(Materiales!$C$63,"#,##0.0")&amp;" barras"</f>
        <v>MATERIA PRIMA
Chapa: 515 hojas
Casquetes y cuplas: 9,322 u
Polvo ABC 90: 91,919 kg
Caños y barras: 783.5 barras</v>
      </c>
      <c r="C20" s="23"/>
      <c r="D20" s="23"/>
      <c r="E20" s="23"/>
      <c r="F20" s="23"/>
      <c r="G20" s="24" t="s">
        <v>120</v>
      </c>
      <c r="H20" s="25" t="str">
        <f aca="false">"CORTE Y ROLADO"&amp;CHAR(10)&amp;TEXT(Materiales!$G$75,"#,##0")&amp;" planchuelas"&amp;CHAR(10)&amp;TEXT(Materiales!$G$76,"#,##0")&amp;" virolas"</f>
        <v>CORTE Y ROLADO
3,107 planchuelas
3,107 virolas</v>
      </c>
      <c r="I20" s="25"/>
      <c r="J20" s="25"/>
      <c r="K20" s="25"/>
      <c r="L20" s="25"/>
      <c r="M20" s="24" t="s">
        <v>120</v>
      </c>
      <c r="N20" s="25" t="str">
        <f aca="false">"ARMADO Y SOLDADURA"&amp;CHAR(10)&amp;TEXT(Materiales!$G$77,"#,##0")&amp;" recipientes"&amp;CHAR(10)&amp;"accesorios del carro"</f>
        <v>ARMADO Y SOLDADURA
3,107 recipientes
accesorios del carro</v>
      </c>
      <c r="O20" s="25"/>
      <c r="P20" s="25"/>
      <c r="Q20" s="25"/>
      <c r="R20" s="25"/>
      <c r="S20" s="24" t="s">
        <v>120</v>
      </c>
      <c r="T20" s="25" t="str">
        <f aca="false">"PH, SECADO Y PINTURA"&amp;CHAR(10)&amp;TEXT(Materiales!$G$79,"#,##0")&amp;" recipientes"&amp;CHAR(10)&amp;"(pintura tercerizada)"</f>
        <v>PH, SECADO Y PINTURA
3,107 recipientes
(pintura tercerizada)</v>
      </c>
      <c r="U20" s="25"/>
      <c r="V20" s="25"/>
      <c r="W20" s="25"/>
      <c r="X20" s="25"/>
      <c r="Y20" s="24" t="s">
        <v>120</v>
      </c>
      <c r="Z20" s="25" t="str">
        <f aca="false">"CARGA Y ARMADO"&amp;CHAR(10)&amp;TEXT(Materiales!$G$80,"#,##0")&amp;" carros"</f>
        <v>CARGA Y ARMADO
1,815 carros</v>
      </c>
      <c r="AA20" s="25"/>
      <c r="AB20" s="25"/>
      <c r="AC20" s="25"/>
      <c r="AD20" s="25"/>
      <c r="AE20" s="24" t="s">
        <v>120</v>
      </c>
      <c r="AF20" s="26" t="str">
        <f aca="false">"PRODUCTO TERMINADO"&amp;CHAR(10)&amp;TEXT(Materiales!$C$101,"#,##0")&amp;" u"&amp;CHAR(10)&amp;"carros 25 a 100 kg y cilindros vacíos"</f>
        <v>PRODUCTO TERMINADO
3,107 u
carros 25 a 100 kg y cilindros vacíos</v>
      </c>
      <c r="AG20" s="26"/>
      <c r="AH20" s="26"/>
      <c r="AI20" s="26"/>
      <c r="AJ20" s="26"/>
      <c r="AL20" s="27" t="str">
        <f aca="false">"CHECKS "&amp;Resumen!$C$3&amp;""&amp;CHAR(10)&amp;"Producción ≥ demanda: "&amp;IF(Resumen!$G$44=0,"✔","✖ "&amp;Resumen!$G$44&amp;" productos")&amp;CHAR(10)&amp;"Sobrestock: "&amp;TEXT(Resumen!$F$44,"0.0%")&amp;CHAR(10)&amp;"MRP cubre la producción: "&amp;IF(Resumen!$I$44=0,"✔","✖ "&amp;Resumen!$I$44&amp;" productos")</f>
        <v>CHECKS 2035
Producción ≥ demanda: ✔
Sobrestock: 0.2%
MRP cubre la producción: ✖ 6 productos</v>
      </c>
      <c r="AM20" s="27"/>
      <c r="AN20" s="27"/>
      <c r="AO20" s="27"/>
      <c r="AP20" s="27"/>
      <c r="AQ20" s="27"/>
    </row>
    <row r="21" customFormat="false" ht="15.75" hidden="false" customHeight="true" outlineLevel="0" collapsed="false">
      <c r="B21" s="23"/>
      <c r="C21" s="23"/>
      <c r="D21" s="23"/>
      <c r="E21" s="23"/>
      <c r="F21" s="23"/>
      <c r="G21" s="24"/>
      <c r="H21" s="25"/>
      <c r="I21" s="25"/>
      <c r="J21" s="25"/>
      <c r="K21" s="25"/>
      <c r="L21" s="25"/>
      <c r="M21" s="24"/>
      <c r="N21" s="25"/>
      <c r="O21" s="25"/>
      <c r="P21" s="25"/>
      <c r="Q21" s="25"/>
      <c r="R21" s="25"/>
      <c r="S21" s="24"/>
      <c r="T21" s="25"/>
      <c r="U21" s="25"/>
      <c r="V21" s="25"/>
      <c r="W21" s="25"/>
      <c r="X21" s="25"/>
      <c r="Y21" s="24"/>
      <c r="Z21" s="25"/>
      <c r="AA21" s="25"/>
      <c r="AB21" s="25"/>
      <c r="AC21" s="25"/>
      <c r="AD21" s="25"/>
      <c r="AE21" s="24"/>
      <c r="AF21" s="26"/>
      <c r="AG21" s="26"/>
      <c r="AH21" s="26"/>
      <c r="AI21" s="26"/>
      <c r="AJ21" s="26"/>
      <c r="AL21" s="27"/>
      <c r="AM21" s="27"/>
      <c r="AN21" s="27"/>
      <c r="AO21" s="27"/>
      <c r="AP21" s="27"/>
      <c r="AQ21" s="27"/>
    </row>
    <row r="22" customFormat="false" ht="15.75" hidden="false" customHeight="true" outlineLevel="0" collapsed="false">
      <c r="B22" s="23"/>
      <c r="C22" s="23"/>
      <c r="D22" s="23"/>
      <c r="E22" s="23"/>
      <c r="F22" s="23"/>
      <c r="G22" s="24"/>
      <c r="H22" s="25"/>
      <c r="I22" s="25"/>
      <c r="J22" s="25"/>
      <c r="K22" s="25"/>
      <c r="L22" s="25"/>
      <c r="M22" s="24"/>
      <c r="N22" s="25"/>
      <c r="O22" s="25"/>
      <c r="P22" s="25"/>
      <c r="Q22" s="25"/>
      <c r="R22" s="25"/>
      <c r="S22" s="24"/>
      <c r="T22" s="25"/>
      <c r="U22" s="25"/>
      <c r="V22" s="25"/>
      <c r="W22" s="25"/>
      <c r="X22" s="25"/>
      <c r="Y22" s="24"/>
      <c r="Z22" s="25"/>
      <c r="AA22" s="25"/>
      <c r="AB22" s="25"/>
      <c r="AC22" s="25"/>
      <c r="AD22" s="25"/>
      <c r="AE22" s="24"/>
      <c r="AF22" s="26"/>
      <c r="AG22" s="26"/>
      <c r="AH22" s="26"/>
      <c r="AI22" s="26"/>
      <c r="AJ22" s="26"/>
      <c r="AL22" s="27"/>
      <c r="AM22" s="27"/>
      <c r="AN22" s="27"/>
      <c r="AO22" s="27"/>
      <c r="AP22" s="27"/>
      <c r="AQ22" s="27"/>
    </row>
    <row r="23" customFormat="false" ht="15.75" hidden="false" customHeight="true" outlineLevel="0" collapsed="false">
      <c r="B23" s="23"/>
      <c r="C23" s="23"/>
      <c r="D23" s="23"/>
      <c r="E23" s="23"/>
      <c r="F23" s="23"/>
      <c r="G23" s="24"/>
      <c r="H23" s="25"/>
      <c r="I23" s="25"/>
      <c r="J23" s="25"/>
      <c r="K23" s="25"/>
      <c r="L23" s="25"/>
      <c r="M23" s="24"/>
      <c r="N23" s="25"/>
      <c r="O23" s="25"/>
      <c r="P23" s="25"/>
      <c r="Q23" s="25"/>
      <c r="R23" s="25"/>
      <c r="S23" s="24"/>
      <c r="T23" s="25"/>
      <c r="U23" s="25"/>
      <c r="V23" s="25"/>
      <c r="W23" s="25"/>
      <c r="X23" s="25"/>
      <c r="Y23" s="24"/>
      <c r="Z23" s="25"/>
      <c r="AA23" s="25"/>
      <c r="AB23" s="25"/>
      <c r="AC23" s="25"/>
      <c r="AD23" s="25"/>
      <c r="AE23" s="24"/>
      <c r="AF23" s="26"/>
      <c r="AG23" s="26"/>
      <c r="AH23" s="26"/>
      <c r="AI23" s="26"/>
      <c r="AJ23" s="26"/>
      <c r="AL23" s="27"/>
      <c r="AM23" s="27"/>
      <c r="AN23" s="27"/>
      <c r="AO23" s="27"/>
      <c r="AP23" s="27"/>
      <c r="AQ23" s="27"/>
    </row>
    <row r="24" customFormat="false" ht="15.75" hidden="false" customHeight="true" outlineLevel="0" collapsed="false">
      <c r="B24" s="23"/>
      <c r="C24" s="23"/>
      <c r="D24" s="23"/>
      <c r="E24" s="23"/>
      <c r="F24" s="23"/>
      <c r="G24" s="24"/>
      <c r="H24" s="25"/>
      <c r="I24" s="25"/>
      <c r="J24" s="25"/>
      <c r="K24" s="25"/>
      <c r="L24" s="25"/>
      <c r="M24" s="24"/>
      <c r="N24" s="25"/>
      <c r="O24" s="25"/>
      <c r="P24" s="25"/>
      <c r="Q24" s="25"/>
      <c r="R24" s="25"/>
      <c r="S24" s="24"/>
      <c r="T24" s="25"/>
      <c r="U24" s="25"/>
      <c r="V24" s="25"/>
      <c r="W24" s="25"/>
      <c r="X24" s="25"/>
      <c r="Y24" s="24"/>
      <c r="Z24" s="25"/>
      <c r="AA24" s="25"/>
      <c r="AB24" s="25"/>
      <c r="AC24" s="25"/>
      <c r="AD24" s="25"/>
      <c r="AE24" s="24"/>
      <c r="AF24" s="26"/>
      <c r="AG24" s="26"/>
      <c r="AH24" s="26"/>
      <c r="AI24" s="26"/>
      <c r="AJ24" s="26"/>
      <c r="AL24" s="27"/>
      <c r="AM24" s="27"/>
      <c r="AN24" s="27"/>
      <c r="AO24" s="27"/>
      <c r="AP24" s="27"/>
      <c r="AQ24" s="27"/>
    </row>
    <row r="25" customFormat="false" ht="15.75" hidden="false" customHeight="true" outlineLevel="0" collapsed="false">
      <c r="B25" s="23"/>
      <c r="C25" s="23"/>
      <c r="D25" s="23"/>
      <c r="E25" s="23"/>
      <c r="F25" s="23"/>
      <c r="G25" s="24"/>
      <c r="H25" s="25"/>
      <c r="I25" s="25"/>
      <c r="J25" s="25"/>
      <c r="K25" s="25"/>
      <c r="L25" s="25"/>
      <c r="M25" s="24"/>
      <c r="N25" s="25"/>
      <c r="O25" s="25"/>
      <c r="P25" s="25"/>
      <c r="Q25" s="25"/>
      <c r="R25" s="25"/>
      <c r="S25" s="24"/>
      <c r="T25" s="25"/>
      <c r="U25" s="25"/>
      <c r="V25" s="25"/>
      <c r="W25" s="25"/>
      <c r="X25" s="25"/>
      <c r="Y25" s="24"/>
      <c r="Z25" s="25"/>
      <c r="AA25" s="25"/>
      <c r="AB25" s="25"/>
      <c r="AC25" s="25"/>
      <c r="AD25" s="25"/>
      <c r="AE25" s="24"/>
      <c r="AF25" s="26"/>
      <c r="AG25" s="26"/>
      <c r="AH25" s="26"/>
      <c r="AI25" s="26"/>
      <c r="AJ25" s="26"/>
      <c r="AL25" s="27"/>
      <c r="AM25" s="27"/>
      <c r="AN25" s="27"/>
      <c r="AO25" s="27"/>
      <c r="AP25" s="27"/>
      <c r="AQ25" s="27"/>
    </row>
    <row r="26" customFormat="false" ht="15.75" hidden="false" customHeight="true" outlineLevel="0" collapsed="false">
      <c r="B26" s="23"/>
      <c r="C26" s="23"/>
      <c r="D26" s="23"/>
      <c r="E26" s="23"/>
      <c r="F26" s="23"/>
      <c r="G26" s="24"/>
      <c r="H26" s="25"/>
      <c r="I26" s="25"/>
      <c r="J26" s="25"/>
      <c r="K26" s="25"/>
      <c r="L26" s="25"/>
      <c r="M26" s="24"/>
      <c r="N26" s="25"/>
      <c r="O26" s="25"/>
      <c r="P26" s="25"/>
      <c r="Q26" s="25"/>
      <c r="R26" s="25"/>
      <c r="S26" s="24"/>
      <c r="T26" s="25"/>
      <c r="U26" s="25"/>
      <c r="V26" s="25"/>
      <c r="W26" s="25"/>
      <c r="X26" s="25"/>
      <c r="Y26" s="24"/>
      <c r="Z26" s="25"/>
      <c r="AA26" s="25"/>
      <c r="AB26" s="25"/>
      <c r="AC26" s="25"/>
      <c r="AD26" s="25"/>
      <c r="AE26" s="24"/>
      <c r="AF26" s="26"/>
      <c r="AG26" s="26"/>
      <c r="AH26" s="26"/>
      <c r="AI26" s="26"/>
      <c r="AJ26" s="26"/>
      <c r="AL26" s="27"/>
      <c r="AM26" s="27"/>
      <c r="AN26" s="27"/>
      <c r="AO26" s="27"/>
      <c r="AP26" s="27"/>
      <c r="AQ26" s="27"/>
    </row>
    <row r="27" customFormat="false" ht="15.75" hidden="false" customHeight="true" outlineLevel="0" collapsed="false">
      <c r="J27" s="28" t="s">
        <v>121</v>
      </c>
      <c r="P27" s="28" t="s">
        <v>121</v>
      </c>
      <c r="V27" s="28" t="s">
        <v>121</v>
      </c>
      <c r="AB27" s="28" t="s">
        <v>121</v>
      </c>
    </row>
    <row r="28" customFormat="false" ht="15.75" hidden="false" customHeight="true" outlineLevel="0" collapsed="false">
      <c r="H28" s="29" t="str">
        <f aca="false">"SCRAP Y MERMAS"&amp;CHAR(10)&amp;"Chatarra de chapa: "&amp;TEXT(Materiales!$C$84,"#,##0")&amp;" kg"&amp;CHAR(10)&amp;"Recorte de caño y barra: "&amp;TEXT(Materiales!$C$85,"#,##0.0")&amp;" m"&amp;CHAR(10)&amp;"Desechos: "&amp;TEXT(Materiales!$C$86,"#,##0.0")&amp;" kg y "&amp;TEXT(Materiales!$C$88,"#,##0")&amp;" abrasivos"</f>
        <v>SCRAP Y MERMAS
Chatarra de chapa: 10,012 kg
Recorte de caño y barra: 223.5 m
Desechos: 69.5 kg y 176 abrasivos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</row>
    <row r="29" customFormat="false" ht="15.75" hidden="false" customHeight="true" outlineLevel="0" collapsed="false"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</row>
    <row r="30" customFormat="false" ht="15.75" hidden="false" customHeight="true" outlineLevel="0" collapsed="false"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</row>
    <row r="31" customFormat="false" ht="15.75" hidden="false" customHeight="true" outlineLevel="0" collapsed="false"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</row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>
      <c r="B34" s="1" t="s">
        <v>123</v>
      </c>
    </row>
    <row r="35" customFormat="false" ht="15.75" hidden="false" customHeight="true" outlineLevel="0" collapsed="false">
      <c r="B35" s="23" t="str">
        <f aca="false">"MATERIA PRIMA"&amp;CHAR(10)&amp;"Polvos: "&amp;TEXT(Materiales!$C$111,"#,##0")&amp;" kg"&amp;CHAR(10)&amp;"CO₂ y limpio: "&amp;TEXT(Materiales!$C$112,"#,##0")&amp;" kg"&amp;CHAR(10)&amp;"Líquidos: "&amp;TEXT(Materiales!$C$113,"#,##0")&amp;" L"&amp;CHAR(10)&amp;"Repuestos e identificación: "&amp;TEXT(Materiales!$C$116+Materiales!$C$117,"#,##0")&amp;" u"</f>
        <v>MATERIA PRIMA
Polvos: 54,828 kg
CO₂ y limpio: 2,651 kg
Líquidos: 7,926 L
Repuestos e identificación: 622,638 u</v>
      </c>
      <c r="C35" s="23"/>
      <c r="D35" s="23"/>
      <c r="E35" s="23"/>
      <c r="F35" s="23"/>
      <c r="G35" s="24" t="s">
        <v>120</v>
      </c>
      <c r="H35" s="25" t="str">
        <f aca="false">"RECEPCIÓN Y DESCARGA"&amp;CHAR(10)&amp;TEXT(Materiales!$C$121,"#,##0")&amp;" recibidos"&amp;CHAR(10)&amp;TEXT(Materiales!$C$122,"#,##0")&amp;" descargados"</f>
        <v>RECEPCIÓN Y DESCARGA
115,783 recibidos
106,704 descargados</v>
      </c>
      <c r="I35" s="25"/>
      <c r="J35" s="25"/>
      <c r="K35" s="25"/>
      <c r="L35" s="25"/>
      <c r="M35" s="24" t="s">
        <v>120</v>
      </c>
      <c r="N35" s="25" t="str">
        <f aca="false">"DESARME Y PH"&amp;CHAR(10)&amp;TEXT(Materiales!$C$123,"#,##0")&amp;" desarmados"&amp;CHAR(10)&amp;TEXT(Materiales!$C$124,"#,##0")&amp;" con PH"</f>
        <v>DESARME Y PH
109,297 desarmados
30,659 con PH</v>
      </c>
      <c r="O35" s="25"/>
      <c r="P35" s="25"/>
      <c r="Q35" s="25"/>
      <c r="R35" s="25"/>
      <c r="S35" s="24" t="s">
        <v>120</v>
      </c>
      <c r="T35" s="25" t="str">
        <f aca="false">"SECADO Y PINTURA"&amp;CHAR(10)&amp;TEXT(Materiales!$C$125,"#,##0")&amp;" secados"&amp;CHAR(10)&amp;TEXT(Materiales!$C$126,"#,##0")&amp;" pintados"</f>
        <v>SECADO Y PINTURA
28,526 secados
17,367 pintados</v>
      </c>
      <c r="U35" s="25"/>
      <c r="V35" s="25"/>
      <c r="W35" s="25"/>
      <c r="X35" s="25"/>
      <c r="Y35" s="24" t="s">
        <v>120</v>
      </c>
      <c r="Z35" s="25" t="str">
        <f aca="false">"CARGA Y ENSAYO"&amp;CHAR(10)&amp;TEXT(Materiales!$C$127,"#,##0")&amp;" cargados"&amp;CHAR(10)&amp;TEXT(Materiales!$C$128,"#,##0")&amp;" ensayados"</f>
        <v>CARGA Y ENSAYO
100,780 cargados
115,783 ensayados</v>
      </c>
      <c r="AA35" s="25"/>
      <c r="AB35" s="25"/>
      <c r="AC35" s="25"/>
      <c r="AD35" s="25"/>
      <c r="AE35" s="24" t="s">
        <v>120</v>
      </c>
      <c r="AF35" s="26" t="str">
        <f aca="false">"PRODUCTO TERMINADO"&amp;CHAR(10)&amp;TEXT(Materiales!$C$146,"#,##0")&amp;" recargas"&amp;CHAR(10)&amp;"precintadas y etiquetadas"</f>
        <v>PRODUCTO TERMINADO
107,927 recargas
precintadas y etiquetadas</v>
      </c>
      <c r="AG35" s="26"/>
      <c r="AH35" s="26"/>
      <c r="AI35" s="26"/>
      <c r="AJ35" s="26"/>
      <c r="AL35" s="27" t="str">
        <f aca="false">"CHECKS "&amp;Resumen!$C$3&amp;""&amp;CHAR(10)&amp;"Producción ≥ demanda: "&amp;IF(Resumen!$G$45=0,"✔","✖ "&amp;Resumen!$G$45&amp;" productos")&amp;CHAR(10)&amp;"Sobrestock: "&amp;TEXT(Resumen!$F$45,"0.0%")&amp;CHAR(10)&amp;"MRP cubre la producción: "&amp;IF(Resumen!$I$45=0,"✔","✖ "&amp;Resumen!$I$45&amp;" productos")</f>
        <v>CHECKS 2035
Producción ≥ demanda: ✔
Sobrestock: 0.7%
MRP cubre la producción: ✖ 14 productos</v>
      </c>
      <c r="AM35" s="27"/>
      <c r="AN35" s="27"/>
      <c r="AO35" s="27"/>
      <c r="AP35" s="27"/>
      <c r="AQ35" s="27"/>
    </row>
    <row r="36" customFormat="false" ht="15.75" hidden="false" customHeight="true" outlineLevel="0" collapsed="false">
      <c r="B36" s="23"/>
      <c r="C36" s="23"/>
      <c r="D36" s="23"/>
      <c r="E36" s="23"/>
      <c r="F36" s="23"/>
      <c r="G36" s="24"/>
      <c r="H36" s="25"/>
      <c r="I36" s="25"/>
      <c r="J36" s="25"/>
      <c r="K36" s="25"/>
      <c r="L36" s="25"/>
      <c r="M36" s="24"/>
      <c r="N36" s="25"/>
      <c r="O36" s="25"/>
      <c r="P36" s="25"/>
      <c r="Q36" s="25"/>
      <c r="R36" s="25"/>
      <c r="S36" s="24"/>
      <c r="T36" s="25"/>
      <c r="U36" s="25"/>
      <c r="V36" s="25"/>
      <c r="W36" s="25"/>
      <c r="X36" s="25"/>
      <c r="Y36" s="24"/>
      <c r="Z36" s="25"/>
      <c r="AA36" s="25"/>
      <c r="AB36" s="25"/>
      <c r="AC36" s="25"/>
      <c r="AD36" s="25"/>
      <c r="AE36" s="24"/>
      <c r="AF36" s="26"/>
      <c r="AG36" s="26"/>
      <c r="AH36" s="26"/>
      <c r="AI36" s="26"/>
      <c r="AJ36" s="26"/>
      <c r="AL36" s="27"/>
      <c r="AM36" s="27"/>
      <c r="AN36" s="27"/>
      <c r="AO36" s="27"/>
      <c r="AP36" s="27"/>
      <c r="AQ36" s="27"/>
    </row>
    <row r="37" customFormat="false" ht="15.75" hidden="false" customHeight="true" outlineLevel="0" collapsed="false">
      <c r="B37" s="23"/>
      <c r="C37" s="23"/>
      <c r="D37" s="23"/>
      <c r="E37" s="23"/>
      <c r="F37" s="23"/>
      <c r="G37" s="24"/>
      <c r="H37" s="25"/>
      <c r="I37" s="25"/>
      <c r="J37" s="25"/>
      <c r="K37" s="25"/>
      <c r="L37" s="25"/>
      <c r="M37" s="24"/>
      <c r="N37" s="25"/>
      <c r="O37" s="25"/>
      <c r="P37" s="25"/>
      <c r="Q37" s="25"/>
      <c r="R37" s="25"/>
      <c r="S37" s="24"/>
      <c r="T37" s="25"/>
      <c r="U37" s="25"/>
      <c r="V37" s="25"/>
      <c r="W37" s="25"/>
      <c r="X37" s="25"/>
      <c r="Y37" s="24"/>
      <c r="Z37" s="25"/>
      <c r="AA37" s="25"/>
      <c r="AB37" s="25"/>
      <c r="AC37" s="25"/>
      <c r="AD37" s="25"/>
      <c r="AE37" s="24"/>
      <c r="AF37" s="26"/>
      <c r="AG37" s="26"/>
      <c r="AH37" s="26"/>
      <c r="AI37" s="26"/>
      <c r="AJ37" s="26"/>
      <c r="AL37" s="27"/>
      <c r="AM37" s="27"/>
      <c r="AN37" s="27"/>
      <c r="AO37" s="27"/>
      <c r="AP37" s="27"/>
      <c r="AQ37" s="27"/>
    </row>
    <row r="38" customFormat="false" ht="15.75" hidden="false" customHeight="true" outlineLevel="0" collapsed="false">
      <c r="B38" s="23"/>
      <c r="C38" s="23"/>
      <c r="D38" s="23"/>
      <c r="E38" s="23"/>
      <c r="F38" s="23"/>
      <c r="G38" s="24"/>
      <c r="H38" s="25"/>
      <c r="I38" s="25"/>
      <c r="J38" s="25"/>
      <c r="K38" s="25"/>
      <c r="L38" s="25"/>
      <c r="M38" s="24"/>
      <c r="N38" s="25"/>
      <c r="O38" s="25"/>
      <c r="P38" s="25"/>
      <c r="Q38" s="25"/>
      <c r="R38" s="25"/>
      <c r="S38" s="24"/>
      <c r="T38" s="25"/>
      <c r="U38" s="25"/>
      <c r="V38" s="25"/>
      <c r="W38" s="25"/>
      <c r="X38" s="25"/>
      <c r="Y38" s="24"/>
      <c r="Z38" s="25"/>
      <c r="AA38" s="25"/>
      <c r="AB38" s="25"/>
      <c r="AC38" s="25"/>
      <c r="AD38" s="25"/>
      <c r="AE38" s="24"/>
      <c r="AF38" s="26"/>
      <c r="AG38" s="26"/>
      <c r="AH38" s="26"/>
      <c r="AI38" s="26"/>
      <c r="AJ38" s="26"/>
      <c r="AL38" s="27"/>
      <c r="AM38" s="27"/>
      <c r="AN38" s="27"/>
      <c r="AO38" s="27"/>
      <c r="AP38" s="27"/>
      <c r="AQ38" s="27"/>
    </row>
    <row r="39" customFormat="false" ht="15.75" hidden="false" customHeight="true" outlineLevel="0" collapsed="false">
      <c r="B39" s="23"/>
      <c r="C39" s="23"/>
      <c r="D39" s="23"/>
      <c r="E39" s="23"/>
      <c r="F39" s="23"/>
      <c r="G39" s="24"/>
      <c r="H39" s="25"/>
      <c r="I39" s="25"/>
      <c r="J39" s="25"/>
      <c r="K39" s="25"/>
      <c r="L39" s="25"/>
      <c r="M39" s="24"/>
      <c r="N39" s="25"/>
      <c r="O39" s="25"/>
      <c r="P39" s="25"/>
      <c r="Q39" s="25"/>
      <c r="R39" s="25"/>
      <c r="S39" s="24"/>
      <c r="T39" s="25"/>
      <c r="U39" s="25"/>
      <c r="V39" s="25"/>
      <c r="W39" s="25"/>
      <c r="X39" s="25"/>
      <c r="Y39" s="24"/>
      <c r="Z39" s="25"/>
      <c r="AA39" s="25"/>
      <c r="AB39" s="25"/>
      <c r="AC39" s="25"/>
      <c r="AD39" s="25"/>
      <c r="AE39" s="24"/>
      <c r="AF39" s="26"/>
      <c r="AG39" s="26"/>
      <c r="AH39" s="26"/>
      <c r="AI39" s="26"/>
      <c r="AJ39" s="26"/>
      <c r="AL39" s="27"/>
      <c r="AM39" s="27"/>
      <c r="AN39" s="27"/>
      <c r="AO39" s="27"/>
      <c r="AP39" s="27"/>
      <c r="AQ39" s="27"/>
    </row>
    <row r="40" customFormat="false" ht="15.75" hidden="false" customHeight="true" outlineLevel="0" collapsed="false">
      <c r="B40" s="23"/>
      <c r="C40" s="23"/>
      <c r="D40" s="23"/>
      <c r="E40" s="23"/>
      <c r="F40" s="23"/>
      <c r="G40" s="24"/>
      <c r="H40" s="25"/>
      <c r="I40" s="25"/>
      <c r="J40" s="25"/>
      <c r="K40" s="25"/>
      <c r="L40" s="25"/>
      <c r="M40" s="24"/>
      <c r="N40" s="25"/>
      <c r="O40" s="25"/>
      <c r="P40" s="25"/>
      <c r="Q40" s="25"/>
      <c r="R40" s="25"/>
      <c r="S40" s="24"/>
      <c r="T40" s="25"/>
      <c r="U40" s="25"/>
      <c r="V40" s="25"/>
      <c r="W40" s="25"/>
      <c r="X40" s="25"/>
      <c r="Y40" s="24"/>
      <c r="Z40" s="25"/>
      <c r="AA40" s="25"/>
      <c r="AB40" s="25"/>
      <c r="AC40" s="25"/>
      <c r="AD40" s="25"/>
      <c r="AE40" s="24"/>
      <c r="AF40" s="26"/>
      <c r="AG40" s="26"/>
      <c r="AH40" s="26"/>
      <c r="AI40" s="26"/>
      <c r="AJ40" s="26"/>
      <c r="AL40" s="27"/>
      <c r="AM40" s="27"/>
      <c r="AN40" s="27"/>
      <c r="AO40" s="27"/>
      <c r="AP40" s="27"/>
      <c r="AQ40" s="27"/>
    </row>
    <row r="41" customFormat="false" ht="15.75" hidden="false" customHeight="true" outlineLevel="0" collapsed="false">
      <c r="B41" s="23"/>
      <c r="C41" s="23"/>
      <c r="D41" s="23"/>
      <c r="E41" s="23"/>
      <c r="F41" s="23"/>
      <c r="G41" s="24"/>
      <c r="H41" s="25"/>
      <c r="I41" s="25"/>
      <c r="J41" s="25"/>
      <c r="K41" s="25"/>
      <c r="L41" s="25"/>
      <c r="M41" s="24"/>
      <c r="N41" s="25"/>
      <c r="O41" s="25"/>
      <c r="P41" s="25"/>
      <c r="Q41" s="25"/>
      <c r="R41" s="25"/>
      <c r="S41" s="24"/>
      <c r="T41" s="25"/>
      <c r="U41" s="25"/>
      <c r="V41" s="25"/>
      <c r="W41" s="25"/>
      <c r="X41" s="25"/>
      <c r="Y41" s="24"/>
      <c r="Z41" s="25"/>
      <c r="AA41" s="25"/>
      <c r="AB41" s="25"/>
      <c r="AC41" s="25"/>
      <c r="AD41" s="25"/>
      <c r="AE41" s="24"/>
      <c r="AF41" s="26"/>
      <c r="AG41" s="26"/>
      <c r="AH41" s="26"/>
      <c r="AI41" s="26"/>
      <c r="AJ41" s="26"/>
      <c r="AL41" s="27"/>
      <c r="AM41" s="27"/>
      <c r="AN41" s="27"/>
      <c r="AO41" s="27"/>
      <c r="AP41" s="27"/>
      <c r="AQ41" s="27"/>
    </row>
    <row r="42" customFormat="false" ht="15.75" hidden="false" customHeight="true" outlineLevel="0" collapsed="false">
      <c r="J42" s="28" t="s">
        <v>121</v>
      </c>
      <c r="P42" s="28" t="s">
        <v>121</v>
      </c>
      <c r="V42" s="28" t="s">
        <v>121</v>
      </c>
      <c r="AB42" s="28" t="s">
        <v>121</v>
      </c>
    </row>
    <row r="43" customFormat="false" ht="15.75" hidden="false" customHeight="true" outlineLevel="0" collapsed="false">
      <c r="H43" s="29" t="str">
        <f aca="false">"SCRAP Y MERMAS"&amp;CHAR(10)&amp;"Polvo a descarte: "&amp;TEXT(Materiales!$C$133,"#,##0")&amp;" kg"&amp;CHAR(10)&amp;"Líquidos: "&amp;TEXT(Materiales!$C$134,"#,##0")&amp;" L"&amp;CHAR(10)&amp;"Equipos inutilizados: "&amp;TEXT(Materiales!$C$135,"#,##0")&amp;" (chatarra)"</f>
        <v>SCRAP Y MERMAS
Polvo a descarte: 54,828 kg
Líquidos: 48,916 L
Equipos inutilizados: 9,114 (chatarra)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</row>
    <row r="44" customFormat="false" ht="15.75" hidden="false" customHeight="true" outlineLevel="0" collapsed="false"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</row>
    <row r="45" customFormat="false" ht="15.75" hidden="false" customHeight="true" outlineLevel="0" collapsed="false"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</row>
    <row r="46" customFormat="false" ht="15.75" hidden="false" customHeight="true" outlineLevel="0" collapsed="false"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</row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>
      <c r="B49" s="1" t="s">
        <v>124</v>
      </c>
    </row>
    <row r="50" customFormat="false" ht="15.75" hidden="false" customHeight="true" outlineLevel="0" collapsed="false">
      <c r="B50" s="23" t="str">
        <f aca="false">"COMPRA"&amp;CHAR(10)&amp;TEXT(Materiales!$C$159,"#,##0")&amp;" equipos"</f>
        <v>COMPRA
18,027 equipos</v>
      </c>
      <c r="C50" s="23"/>
      <c r="D50" s="23"/>
      <c r="E50" s="23"/>
      <c r="F50" s="23"/>
      <c r="G50" s="24" t="s">
        <v>120</v>
      </c>
      <c r="H50" s="26" t="str">
        <f aca="false">"VENTA"&amp;CHAR(10)&amp;TEXT(Materiales!$C$159,"#,##0")&amp;" equipos"</f>
        <v>VENTA
18,027 equipos</v>
      </c>
      <c r="I50" s="26"/>
      <c r="J50" s="26"/>
      <c r="K50" s="26"/>
      <c r="L50" s="26"/>
    </row>
    <row r="51" customFormat="false" ht="15.75" hidden="false" customHeight="true" outlineLevel="0" collapsed="false">
      <c r="B51" s="23"/>
      <c r="C51" s="23"/>
      <c r="D51" s="23"/>
      <c r="E51" s="23"/>
      <c r="F51" s="23"/>
      <c r="G51" s="24"/>
      <c r="H51" s="26"/>
      <c r="I51" s="26"/>
      <c r="J51" s="26"/>
      <c r="K51" s="26"/>
      <c r="L51" s="26"/>
    </row>
    <row r="52" customFormat="false" ht="15.75" hidden="false" customHeight="true" outlineLevel="0" collapsed="false">
      <c r="B52" s="23"/>
      <c r="C52" s="23"/>
      <c r="D52" s="23"/>
      <c r="E52" s="23"/>
      <c r="F52" s="23"/>
      <c r="G52" s="24"/>
      <c r="H52" s="26"/>
      <c r="I52" s="26"/>
      <c r="J52" s="26"/>
      <c r="K52" s="26"/>
      <c r="L52" s="26"/>
    </row>
    <row r="53" customFormat="false" ht="15.75" hidden="false" customHeight="true" outlineLevel="0" collapsed="false"/>
  </sheetData>
  <mergeCells count="42">
    <mergeCell ref="B5:F11"/>
    <mergeCell ref="G5:G11"/>
    <mergeCell ref="H5:L11"/>
    <mergeCell ref="M5:M11"/>
    <mergeCell ref="N5:R11"/>
    <mergeCell ref="S5:S11"/>
    <mergeCell ref="T5:X11"/>
    <mergeCell ref="Y5:Y11"/>
    <mergeCell ref="Z5:AD11"/>
    <mergeCell ref="AE5:AE11"/>
    <mergeCell ref="AF5:AJ11"/>
    <mergeCell ref="AL5:AQ11"/>
    <mergeCell ref="H13:AD16"/>
    <mergeCell ref="B20:F26"/>
    <mergeCell ref="G20:G26"/>
    <mergeCell ref="H20:L26"/>
    <mergeCell ref="M20:M26"/>
    <mergeCell ref="N20:R26"/>
    <mergeCell ref="S20:S26"/>
    <mergeCell ref="T20:X26"/>
    <mergeCell ref="Y20:Y26"/>
    <mergeCell ref="Z20:AD26"/>
    <mergeCell ref="AE20:AE26"/>
    <mergeCell ref="AF20:AJ26"/>
    <mergeCell ref="AL20:AQ26"/>
    <mergeCell ref="H28:AD31"/>
    <mergeCell ref="B35:F41"/>
    <mergeCell ref="G35:G41"/>
    <mergeCell ref="H35:L41"/>
    <mergeCell ref="M35:M41"/>
    <mergeCell ref="N35:R41"/>
    <mergeCell ref="S35:S41"/>
    <mergeCell ref="T35:X41"/>
    <mergeCell ref="Y35:Y41"/>
    <mergeCell ref="Z35:AD41"/>
    <mergeCell ref="AE35:AE41"/>
    <mergeCell ref="AF35:AJ41"/>
    <mergeCell ref="AL35:AQ41"/>
    <mergeCell ref="H43:AD46"/>
    <mergeCell ref="B50:F52"/>
    <mergeCell ref="G50:G52"/>
    <mergeCell ref="H50:L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P7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43" min="2" style="0" width="7"/>
  </cols>
  <sheetData>
    <row r="1" customFormat="false" ht="15" hidden="false" customHeight="false" outlineLevel="0" collapsed="false">
      <c r="A1" s="1" t="s">
        <v>125</v>
      </c>
    </row>
    <row r="2" customFormat="false" ht="15" hidden="false" customHeight="false" outlineLevel="0" collapsed="false">
      <c r="A2" s="2" t="s">
        <v>126</v>
      </c>
    </row>
    <row r="4" customFormat="false" ht="15" hidden="false" customHeight="true" outlineLevel="0" collapsed="false">
      <c r="B4" s="1" t="s">
        <v>119</v>
      </c>
      <c r="N4" s="7" t="str">
        <f aca="false">"Takt "&amp;TEXT(Linea!$C$8,"#,##0.0")&amp;" s/u · contenido "&amp;TEXT(Linea!$C$9,"#,##0.0")&amp;" s/u · eficiencia de balanceo "&amp;TEXT(Linea!$C$15,"0%")&amp;" · cuello: "&amp;Linea!$C$13&amp;" ("&amp;TEXT(Linea!$C$14,"0%")&amp;")"</f>
        <v>Takt 16.2 s/u · contenido 754.1 s/u · eficiencia de balanceo 78% · cuello: Soldadura longitudinal — 2,5 a 10 kg (79%)</v>
      </c>
    </row>
    <row r="5" customFormat="false" ht="15" hidden="false" customHeight="true" outlineLevel="0" collapsed="false">
      <c r="B5" s="30" t="str">
        <f aca="false">Linea!$A$19&amp;". "&amp;Linea!$B$19&amp;CHAR(10)&amp;Linea!$I$19&amp;" recurso(s)"</f>
        <v>1. Recepción de materia prima
4 recurso(s)</v>
      </c>
      <c r="C5" s="30"/>
      <c r="D5" s="30"/>
      <c r="E5" s="30"/>
      <c r="F5" s="30"/>
      <c r="G5" s="30"/>
      <c r="I5" s="30" t="str">
        <f aca="false">Linea!$A$20&amp;". "&amp;Linea!$B$20&amp;CHAR(10)&amp;Linea!$I$20&amp;" recurso(s)"</f>
        <v>2. Corte de chapa — 1.er corte en franjas (guillotina 1, manuales + carros)
1 recurso(s)</v>
      </c>
      <c r="J5" s="30"/>
      <c r="K5" s="30"/>
      <c r="L5" s="30"/>
      <c r="M5" s="30"/>
      <c r="N5" s="30"/>
      <c r="P5" s="30" t="str">
        <f aca="false">Linea!$A$21&amp;". "&amp;Linea!$B$21&amp;CHAR(10)&amp;Linea!$I$21&amp;" recurso(s)"</f>
        <v>3. Corte de chapa — 2.º corte en piezas (guillotina 2, manuales + carros)
1 recurso(s)</v>
      </c>
      <c r="Q5" s="30"/>
      <c r="R5" s="30"/>
      <c r="S5" s="30"/>
      <c r="T5" s="30"/>
      <c r="U5" s="30"/>
      <c r="W5" s="30" t="str">
        <f aca="false">Linea!$A$22&amp;". "&amp;Linea!$B$22&amp;CHAR(10)&amp;Linea!$I$22&amp;" recurso(s)"</f>
        <v>4. Corte de disco y embutido (cúpula y fondo)
2 recurso(s)</v>
      </c>
      <c r="X5" s="30"/>
      <c r="Y5" s="30"/>
      <c r="Z5" s="30"/>
      <c r="AA5" s="30"/>
      <c r="AB5" s="30"/>
      <c r="AD5" s="30" t="str">
        <f aca="false">Linea!$A$23&amp;". "&amp;Linea!$B$23&amp;CHAR(10)&amp;Linea!$I$23&amp;" recurso(s)"</f>
        <v>5. Preparación de cuello
4 recurso(s)</v>
      </c>
      <c r="AE5" s="30"/>
      <c r="AF5" s="30"/>
      <c r="AG5" s="30"/>
      <c r="AH5" s="30"/>
      <c r="AI5" s="30"/>
      <c r="AK5" s="30" t="str">
        <f aca="false">Linea!$A$24&amp;". "&amp;Linea!$B$24&amp;CHAR(10)&amp;Linea!$I$24&amp;" recurso(s)"</f>
        <v>6. Numerado de cúpula
2 recurso(s)</v>
      </c>
      <c r="AL5" s="30"/>
      <c r="AM5" s="30"/>
      <c r="AN5" s="30"/>
      <c r="AO5" s="30"/>
      <c r="AP5" s="30"/>
    </row>
    <row r="6" customFormat="false" ht="15" hidden="false" customHeight="true" outlineLevel="0" collapsed="false">
      <c r="B6" s="30"/>
      <c r="C6" s="30"/>
      <c r="D6" s="30"/>
      <c r="E6" s="30"/>
      <c r="F6" s="30"/>
      <c r="G6" s="30"/>
      <c r="H6" s="31" t="s">
        <v>120</v>
      </c>
      <c r="I6" s="30"/>
      <c r="J6" s="30"/>
      <c r="K6" s="30"/>
      <c r="L6" s="30"/>
      <c r="M6" s="30"/>
      <c r="N6" s="30"/>
      <c r="O6" s="31" t="s">
        <v>120</v>
      </c>
      <c r="P6" s="30"/>
      <c r="Q6" s="30"/>
      <c r="R6" s="30"/>
      <c r="S6" s="30"/>
      <c r="T6" s="30"/>
      <c r="U6" s="30"/>
      <c r="V6" s="31" t="s">
        <v>120</v>
      </c>
      <c r="W6" s="30"/>
      <c r="X6" s="30"/>
      <c r="Y6" s="30"/>
      <c r="Z6" s="30"/>
      <c r="AA6" s="30"/>
      <c r="AB6" s="30"/>
      <c r="AC6" s="31" t="s">
        <v>120</v>
      </c>
      <c r="AD6" s="30"/>
      <c r="AE6" s="30"/>
      <c r="AF6" s="30"/>
      <c r="AG6" s="30"/>
      <c r="AH6" s="30"/>
      <c r="AI6" s="30"/>
      <c r="AJ6" s="31" t="s">
        <v>120</v>
      </c>
      <c r="AK6" s="30"/>
      <c r="AL6" s="30"/>
      <c r="AM6" s="30"/>
      <c r="AN6" s="30"/>
      <c r="AO6" s="30"/>
      <c r="AP6" s="30"/>
    </row>
    <row r="7" customFormat="false" ht="15" hidden="false" customHeight="true" outlineLevel="0" collapsed="false">
      <c r="B7" s="30"/>
      <c r="C7" s="30"/>
      <c r="D7" s="30"/>
      <c r="E7" s="30"/>
      <c r="F7" s="30"/>
      <c r="G7" s="30"/>
      <c r="I7" s="30"/>
      <c r="J7" s="30"/>
      <c r="K7" s="30"/>
      <c r="L7" s="30"/>
      <c r="M7" s="30"/>
      <c r="N7" s="30"/>
      <c r="P7" s="30"/>
      <c r="Q7" s="30"/>
      <c r="R7" s="30"/>
      <c r="S7" s="30"/>
      <c r="T7" s="30"/>
      <c r="U7" s="30"/>
      <c r="W7" s="30"/>
      <c r="X7" s="30"/>
      <c r="Y7" s="30"/>
      <c r="Z7" s="30"/>
      <c r="AA7" s="30"/>
      <c r="AB7" s="30"/>
      <c r="AD7" s="30"/>
      <c r="AE7" s="30"/>
      <c r="AF7" s="30"/>
      <c r="AG7" s="30"/>
      <c r="AH7" s="30"/>
      <c r="AI7" s="30"/>
      <c r="AK7" s="30"/>
      <c r="AL7" s="30"/>
      <c r="AM7" s="30"/>
      <c r="AN7" s="30"/>
      <c r="AO7" s="30"/>
      <c r="AP7" s="30"/>
    </row>
    <row r="8" customFormat="false" ht="15" hidden="false" customHeight="true" outlineLevel="0" collapsed="false">
      <c r="B8" s="32" t="n">
        <f aca="false">Linea!$J$19</f>
        <v>0.7111564109325</v>
      </c>
      <c r="C8" s="32"/>
      <c r="D8" s="32"/>
      <c r="E8" s="32"/>
      <c r="F8" s="32"/>
      <c r="G8" s="32"/>
      <c r="I8" s="32" t="n">
        <f aca="false">Linea!$J$20</f>
        <v>0.344405789299173</v>
      </c>
      <c r="J8" s="32"/>
      <c r="K8" s="32"/>
      <c r="L8" s="32"/>
      <c r="M8" s="32"/>
      <c r="N8" s="32"/>
      <c r="P8" s="32" t="n">
        <f aca="false">Linea!$J$21</f>
        <v>0.255651656622165</v>
      </c>
      <c r="Q8" s="32"/>
      <c r="R8" s="32"/>
      <c r="S8" s="32"/>
      <c r="T8" s="32"/>
      <c r="U8" s="32"/>
      <c r="W8" s="32" t="n">
        <f aca="false">Linea!$J$22</f>
        <v>0.557769734064706</v>
      </c>
      <c r="X8" s="32"/>
      <c r="Y8" s="32"/>
      <c r="Z8" s="32"/>
      <c r="AA8" s="32"/>
      <c r="AB8" s="32"/>
      <c r="AD8" s="32" t="n">
        <f aca="false">Linea!$J$23</f>
        <v>0.7111564109325</v>
      </c>
      <c r="AE8" s="32"/>
      <c r="AF8" s="32"/>
      <c r="AG8" s="32"/>
      <c r="AH8" s="32"/>
      <c r="AI8" s="32"/>
      <c r="AK8" s="32" t="n">
        <f aca="false">Linea!$J$24</f>
        <v>0.474104273955</v>
      </c>
      <c r="AL8" s="32"/>
      <c r="AM8" s="32"/>
      <c r="AN8" s="32"/>
      <c r="AO8" s="32"/>
      <c r="AP8" s="32"/>
    </row>
    <row r="9" customFormat="false" ht="15" hidden="false" customHeight="true" outlineLevel="0" collapsed="false">
      <c r="AM9" s="31" t="s">
        <v>127</v>
      </c>
    </row>
    <row r="10" customFormat="false" ht="15" hidden="false" customHeight="true" outlineLevel="0" collapsed="false">
      <c r="B10" s="30" t="str">
        <f aca="false">Linea!$A$30&amp;". "&amp;Linea!$B$30&amp;CHAR(10)&amp;Linea!$I$30&amp;" recurso(s)"</f>
        <v>12. Bordoneado
2 recurso(s)</v>
      </c>
      <c r="C10" s="30"/>
      <c r="D10" s="30"/>
      <c r="E10" s="30"/>
      <c r="F10" s="30"/>
      <c r="G10" s="30"/>
      <c r="I10" s="30" t="str">
        <f aca="false">Linea!$A$29&amp;". "&amp;Linea!$B$29&amp;CHAR(10)&amp;Linea!$I$29&amp;" recurso(s)"</f>
        <v>11. Encastre de fondo
2 recurso(s)</v>
      </c>
      <c r="J10" s="30"/>
      <c r="K10" s="30"/>
      <c r="L10" s="30"/>
      <c r="M10" s="30"/>
      <c r="N10" s="30"/>
      <c r="P10" s="30" t="str">
        <f aca="false">Linea!$A$28&amp;". "&amp;Linea!$B$28&amp;CHAR(10)&amp;Linea!$I$28&amp;" recurso(s)"</f>
        <v>10. Soldadura longitudinal TIG — 1 kg
2 recurso(s)</v>
      </c>
      <c r="Q10" s="30"/>
      <c r="R10" s="30"/>
      <c r="S10" s="30"/>
      <c r="T10" s="30"/>
      <c r="U10" s="30"/>
      <c r="W10" s="30" t="str">
        <f aca="false">Linea!$A$27&amp;". "&amp;Linea!$B$27&amp;CHAR(10)&amp;Linea!$I$27&amp;" recurso(s)"</f>
        <v>9. Soldadura longitudinal — 2,5 a 10 kg
2 recurso(s)</v>
      </c>
      <c r="X10" s="30"/>
      <c r="Y10" s="30"/>
      <c r="Z10" s="30"/>
      <c r="AA10" s="30"/>
      <c r="AB10" s="30"/>
      <c r="AD10" s="30" t="str">
        <f aca="false">Linea!$A$26&amp;". "&amp;Linea!$B$26&amp;CHAR(10)&amp;Linea!$I$26&amp;" recurso(s)"</f>
        <v>8. Cilindrado
1 recurso(s)</v>
      </c>
      <c r="AE10" s="30"/>
      <c r="AF10" s="30"/>
      <c r="AG10" s="30"/>
      <c r="AH10" s="30"/>
      <c r="AI10" s="30"/>
      <c r="AK10" s="30" t="str">
        <f aca="false">Linea!$A$25&amp;". "&amp;Linea!$B$25&amp;CHAR(10)&amp;Linea!$I$25&amp;" recurso(s)"</f>
        <v>7. Soldadura del cuello a la cúpula
2 recurso(s)</v>
      </c>
      <c r="AL10" s="30"/>
      <c r="AM10" s="30"/>
      <c r="AN10" s="30"/>
      <c r="AO10" s="30"/>
      <c r="AP10" s="30"/>
    </row>
    <row r="11" customFormat="false" ht="15" hidden="false" customHeight="true" outlineLevel="0" collapsed="false">
      <c r="B11" s="30"/>
      <c r="C11" s="30"/>
      <c r="D11" s="30"/>
      <c r="E11" s="30"/>
      <c r="F11" s="30"/>
      <c r="G11" s="30"/>
      <c r="H11" s="31" t="s">
        <v>128</v>
      </c>
      <c r="I11" s="30"/>
      <c r="J11" s="30"/>
      <c r="K11" s="30"/>
      <c r="L11" s="30"/>
      <c r="M11" s="30"/>
      <c r="N11" s="30"/>
      <c r="O11" s="31" t="s">
        <v>128</v>
      </c>
      <c r="P11" s="30"/>
      <c r="Q11" s="30"/>
      <c r="R11" s="30"/>
      <c r="S11" s="30"/>
      <c r="T11" s="30"/>
      <c r="U11" s="30"/>
      <c r="V11" s="31" t="s">
        <v>128</v>
      </c>
      <c r="W11" s="30"/>
      <c r="X11" s="30"/>
      <c r="Y11" s="30"/>
      <c r="Z11" s="30"/>
      <c r="AA11" s="30"/>
      <c r="AB11" s="30"/>
      <c r="AC11" s="31" t="s">
        <v>128</v>
      </c>
      <c r="AD11" s="30"/>
      <c r="AE11" s="30"/>
      <c r="AF11" s="30"/>
      <c r="AG11" s="30"/>
      <c r="AH11" s="30"/>
      <c r="AI11" s="30"/>
      <c r="AJ11" s="31" t="s">
        <v>128</v>
      </c>
      <c r="AK11" s="30"/>
      <c r="AL11" s="30"/>
      <c r="AM11" s="30"/>
      <c r="AN11" s="30"/>
      <c r="AO11" s="30"/>
      <c r="AP11" s="30"/>
    </row>
    <row r="12" customFormat="false" ht="15" hidden="false" customHeight="true" outlineLevel="0" collapsed="false">
      <c r="B12" s="30"/>
      <c r="C12" s="30"/>
      <c r="D12" s="30"/>
      <c r="E12" s="30"/>
      <c r="F12" s="30"/>
      <c r="G12" s="30"/>
      <c r="I12" s="30"/>
      <c r="J12" s="30"/>
      <c r="K12" s="30"/>
      <c r="L12" s="30"/>
      <c r="M12" s="30"/>
      <c r="N12" s="30"/>
      <c r="P12" s="30"/>
      <c r="Q12" s="30"/>
      <c r="R12" s="30"/>
      <c r="S12" s="30"/>
      <c r="T12" s="30"/>
      <c r="U12" s="30"/>
      <c r="W12" s="30"/>
      <c r="X12" s="30"/>
      <c r="Y12" s="30"/>
      <c r="Z12" s="30"/>
      <c r="AA12" s="30"/>
      <c r="AB12" s="30"/>
      <c r="AD12" s="30"/>
      <c r="AE12" s="30"/>
      <c r="AF12" s="30"/>
      <c r="AG12" s="30"/>
      <c r="AH12" s="30"/>
      <c r="AI12" s="30"/>
      <c r="AK12" s="30"/>
      <c r="AL12" s="30"/>
      <c r="AM12" s="30"/>
      <c r="AN12" s="30"/>
      <c r="AO12" s="30"/>
      <c r="AP12" s="30"/>
    </row>
    <row r="13" customFormat="false" ht="15" hidden="false" customHeight="true" outlineLevel="0" collapsed="false">
      <c r="B13" s="32" t="n">
        <f aca="false">Linea!$J$30</f>
        <v>0.482685346786765</v>
      </c>
      <c r="C13" s="32"/>
      <c r="D13" s="32"/>
      <c r="E13" s="32"/>
      <c r="F13" s="32"/>
      <c r="G13" s="32"/>
      <c r="I13" s="32" t="n">
        <f aca="false">Linea!$J$29</f>
        <v>0.724028020180147</v>
      </c>
      <c r="J13" s="32"/>
      <c r="K13" s="32"/>
      <c r="L13" s="32"/>
      <c r="M13" s="32"/>
      <c r="N13" s="32"/>
      <c r="P13" s="32" t="n">
        <f aca="false">Linea!$J$28</f>
        <v>0.506551597825</v>
      </c>
      <c r="Q13" s="32"/>
      <c r="R13" s="32"/>
      <c r="S13" s="32"/>
      <c r="T13" s="32"/>
      <c r="U13" s="32"/>
      <c r="W13" s="32" t="n">
        <f aca="false">Linea!$J$27</f>
        <v>0.794917348221706</v>
      </c>
      <c r="X13" s="32"/>
      <c r="Y13" s="32"/>
      <c r="Z13" s="32"/>
      <c r="AA13" s="32"/>
      <c r="AB13" s="32"/>
      <c r="AD13" s="32" t="n">
        <f aca="false">Linea!$J$26</f>
        <v>0.720766632701858</v>
      </c>
      <c r="AE13" s="32"/>
      <c r="AF13" s="32"/>
      <c r="AG13" s="32"/>
      <c r="AH13" s="32"/>
      <c r="AI13" s="32"/>
      <c r="AK13" s="32" t="n">
        <f aca="false">Linea!$J$25</f>
        <v>0.608866790181935</v>
      </c>
      <c r="AL13" s="32"/>
      <c r="AM13" s="32"/>
      <c r="AN13" s="32"/>
      <c r="AO13" s="32"/>
      <c r="AP13" s="32"/>
    </row>
    <row r="14" customFormat="false" ht="15" hidden="false" customHeight="true" outlineLevel="0" collapsed="false">
      <c r="D14" s="31" t="s">
        <v>127</v>
      </c>
    </row>
    <row r="15" customFormat="false" ht="15" hidden="false" customHeight="true" outlineLevel="0" collapsed="false">
      <c r="B15" s="30" t="str">
        <f aca="false">Linea!$A$31&amp;". "&amp;Linea!$B$31&amp;CHAR(10)&amp;Linea!$I$31&amp;" recurso(s)"</f>
        <v>13. Soldadura circunferencial de cúpula y fondo
4 recurso(s)</v>
      </c>
      <c r="C15" s="30"/>
      <c r="D15" s="30"/>
      <c r="E15" s="30"/>
      <c r="F15" s="30"/>
      <c r="G15" s="30"/>
      <c r="I15" s="30" t="str">
        <f aca="false">Linea!$A$32&amp;". "&amp;Linea!$B$32&amp;CHAR(10)&amp;Linea!$I$32&amp;" recurso(s)"</f>
        <v>14. Control de calidad — Espesor
1 recurso(s)</v>
      </c>
      <c r="J15" s="30"/>
      <c r="K15" s="30"/>
      <c r="L15" s="30"/>
      <c r="M15" s="30"/>
      <c r="N15" s="30"/>
      <c r="P15" s="30" t="str">
        <f aca="false">Linea!$A$33&amp;". "&amp;Linea!$B$33&amp;CHAR(10)&amp;Linea!$I$33&amp;" recurso(s)"</f>
        <v>15. Prueba hidráulica
4 recurso(s)</v>
      </c>
      <c r="Q15" s="30"/>
      <c r="R15" s="30"/>
      <c r="S15" s="30"/>
      <c r="T15" s="30"/>
      <c r="U15" s="30"/>
      <c r="W15" s="30" t="str">
        <f aca="false">Linea!$A$34&amp;". "&amp;Linea!$B$34&amp;CHAR(10)&amp;Linea!$I$34&amp;" recurso(s)"</f>
        <v>16. Secado
8 recurso(s)</v>
      </c>
      <c r="X15" s="30"/>
      <c r="Y15" s="30"/>
      <c r="Z15" s="30"/>
      <c r="AA15" s="30"/>
      <c r="AB15" s="30"/>
      <c r="AD15" s="30" t="str">
        <f aca="false">Linea!$A$35&amp;". "&amp;Linea!$B$35&amp;CHAR(10)&amp;Linea!$I$35&amp;" recurso(s)"</f>
        <v>17. Granallado
2 recurso(s)</v>
      </c>
      <c r="AE15" s="30"/>
      <c r="AF15" s="30"/>
      <c r="AG15" s="30"/>
      <c r="AH15" s="30"/>
      <c r="AI15" s="30"/>
      <c r="AK15" s="30" t="str">
        <f aca="false">Linea!$A$36&amp;". "&amp;Linea!$B$36&amp;CHAR(10)&amp;Linea!$I$36&amp;" recurso(s)"</f>
        <v>18. Detección de defectos
2 recurso(s)</v>
      </c>
      <c r="AL15" s="30"/>
      <c r="AM15" s="30"/>
      <c r="AN15" s="30"/>
      <c r="AO15" s="30"/>
      <c r="AP15" s="30"/>
    </row>
    <row r="16" customFormat="false" ht="15" hidden="false" customHeight="true" outlineLevel="0" collapsed="false">
      <c r="B16" s="30"/>
      <c r="C16" s="30"/>
      <c r="D16" s="30"/>
      <c r="E16" s="30"/>
      <c r="F16" s="30"/>
      <c r="G16" s="30"/>
      <c r="H16" s="31" t="s">
        <v>120</v>
      </c>
      <c r="I16" s="30"/>
      <c r="J16" s="30"/>
      <c r="K16" s="30"/>
      <c r="L16" s="30"/>
      <c r="M16" s="30"/>
      <c r="N16" s="30"/>
      <c r="O16" s="31" t="s">
        <v>120</v>
      </c>
      <c r="P16" s="30"/>
      <c r="Q16" s="30"/>
      <c r="R16" s="30"/>
      <c r="S16" s="30"/>
      <c r="T16" s="30"/>
      <c r="U16" s="30"/>
      <c r="V16" s="31" t="s">
        <v>120</v>
      </c>
      <c r="W16" s="30"/>
      <c r="X16" s="30"/>
      <c r="Y16" s="30"/>
      <c r="Z16" s="30"/>
      <c r="AA16" s="30"/>
      <c r="AB16" s="30"/>
      <c r="AC16" s="31" t="s">
        <v>120</v>
      </c>
      <c r="AD16" s="30"/>
      <c r="AE16" s="30"/>
      <c r="AF16" s="30"/>
      <c r="AG16" s="30"/>
      <c r="AH16" s="30"/>
      <c r="AI16" s="30"/>
      <c r="AJ16" s="31" t="s">
        <v>120</v>
      </c>
      <c r="AK16" s="30"/>
      <c r="AL16" s="30"/>
      <c r="AM16" s="30"/>
      <c r="AN16" s="30"/>
      <c r="AO16" s="30"/>
      <c r="AP16" s="30"/>
    </row>
    <row r="17" customFormat="false" ht="15" hidden="false" customHeight="true" outlineLevel="0" collapsed="false">
      <c r="B17" s="30"/>
      <c r="C17" s="30"/>
      <c r="D17" s="30"/>
      <c r="E17" s="30"/>
      <c r="F17" s="30"/>
      <c r="G17" s="30"/>
      <c r="I17" s="30"/>
      <c r="J17" s="30"/>
      <c r="K17" s="30"/>
      <c r="L17" s="30"/>
      <c r="M17" s="30"/>
      <c r="N17" s="30"/>
      <c r="P17" s="30"/>
      <c r="Q17" s="30"/>
      <c r="R17" s="30"/>
      <c r="S17" s="30"/>
      <c r="T17" s="30"/>
      <c r="U17" s="30"/>
      <c r="W17" s="30"/>
      <c r="X17" s="30"/>
      <c r="Y17" s="30"/>
      <c r="Z17" s="30"/>
      <c r="AA17" s="30"/>
      <c r="AB17" s="30"/>
      <c r="AD17" s="30"/>
      <c r="AE17" s="30"/>
      <c r="AF17" s="30"/>
      <c r="AG17" s="30"/>
      <c r="AH17" s="30"/>
      <c r="AI17" s="30"/>
      <c r="AK17" s="30"/>
      <c r="AL17" s="30"/>
      <c r="AM17" s="30"/>
      <c r="AN17" s="30"/>
      <c r="AO17" s="30"/>
      <c r="AP17" s="30"/>
    </row>
    <row r="18" customFormat="false" ht="15" hidden="false" customHeight="true" outlineLevel="0" collapsed="false">
      <c r="B18" s="32" t="n">
        <f aca="false">Linea!$J$31</f>
        <v>0.724028020180147</v>
      </c>
      <c r="C18" s="32"/>
      <c r="D18" s="32"/>
      <c r="E18" s="32"/>
      <c r="F18" s="32"/>
      <c r="G18" s="32"/>
      <c r="I18" s="32" t="n">
        <f aca="false">Linea!$J$32</f>
        <v>0.1137850257492</v>
      </c>
      <c r="J18" s="32"/>
      <c r="K18" s="32"/>
      <c r="L18" s="32"/>
      <c r="M18" s="32"/>
      <c r="N18" s="32"/>
      <c r="P18" s="32" t="n">
        <f aca="false">Linea!$J$33</f>
        <v>0.724028020180147</v>
      </c>
      <c r="Q18" s="32"/>
      <c r="R18" s="32"/>
      <c r="S18" s="32"/>
      <c r="T18" s="32"/>
      <c r="U18" s="32"/>
      <c r="W18" s="32" t="n">
        <f aca="false">Linea!$J$34</f>
        <v>0.7111564109325</v>
      </c>
      <c r="X18" s="32"/>
      <c r="Y18" s="32"/>
      <c r="Z18" s="32"/>
      <c r="AA18" s="32"/>
      <c r="AB18" s="32"/>
      <c r="AD18" s="32" t="n">
        <f aca="false">Linea!$J$35</f>
        <v>0.7111564109325</v>
      </c>
      <c r="AE18" s="32"/>
      <c r="AF18" s="32"/>
      <c r="AG18" s="32"/>
      <c r="AH18" s="32"/>
      <c r="AI18" s="32"/>
      <c r="AK18" s="32" t="n">
        <f aca="false">Linea!$J$36</f>
        <v>0.474104273955</v>
      </c>
      <c r="AL18" s="32"/>
      <c r="AM18" s="32"/>
      <c r="AN18" s="32"/>
      <c r="AO18" s="32"/>
      <c r="AP18" s="32"/>
    </row>
    <row r="19" customFormat="false" ht="15" hidden="false" customHeight="true" outlineLevel="0" collapsed="false">
      <c r="AM19" s="31" t="s">
        <v>127</v>
      </c>
    </row>
    <row r="20" customFormat="false" ht="15" hidden="false" customHeight="true" outlineLevel="0" collapsed="false">
      <c r="B20" s="30" t="str">
        <f aca="false">Linea!$A$42&amp;". "&amp;Linea!$B$42&amp;CHAR(10)&amp;Linea!$I$42&amp;" recurso(s)"</f>
        <v>24. Control de calidad — Ensayo de pérdidas
1 recurso(s)</v>
      </c>
      <c r="C20" s="30"/>
      <c r="D20" s="30"/>
      <c r="E20" s="30"/>
      <c r="F20" s="30"/>
      <c r="G20" s="30"/>
      <c r="I20" s="30" t="str">
        <f aca="false">Linea!$A$41&amp;". "&amp;Linea!$B$41&amp;CHAR(10)&amp;Linea!$I$41&amp;" recurso(s)"</f>
        <v>23. Presurización
1 recurso(s)</v>
      </c>
      <c r="J20" s="30"/>
      <c r="K20" s="30"/>
      <c r="L20" s="30"/>
      <c r="M20" s="30"/>
      <c r="N20" s="30"/>
      <c r="P20" s="30" t="str">
        <f aca="false">Linea!$A$40&amp;". "&amp;Linea!$B$40&amp;CHAR(10)&amp;Linea!$I$40&amp;" recurso(s)"</f>
        <v>22. Ensamblaje
2 recurso(s)</v>
      </c>
      <c r="Q20" s="30"/>
      <c r="R20" s="30"/>
      <c r="S20" s="30"/>
      <c r="T20" s="30"/>
      <c r="U20" s="30"/>
      <c r="W20" s="30" t="str">
        <f aca="false">Linea!$A$39&amp;". "&amp;Linea!$B$39&amp;CHAR(10)&amp;Linea!$I$39&amp;" recurso(s)"</f>
        <v>21. Carga de polvo
1 recurso(s)</v>
      </c>
      <c r="X20" s="30"/>
      <c r="Y20" s="30"/>
      <c r="Z20" s="30"/>
      <c r="AA20" s="30"/>
      <c r="AB20" s="30"/>
      <c r="AD20" s="30" t="str">
        <f aca="false">Linea!$A$38&amp;". "&amp;Linea!$B$38&amp;CHAR(10)&amp;Linea!$I$38&amp;" recurso(s)"</f>
        <v>20. Pintura en polvo + horno
2 recurso(s)</v>
      </c>
      <c r="AE20" s="30"/>
      <c r="AF20" s="30"/>
      <c r="AG20" s="30"/>
      <c r="AH20" s="30"/>
      <c r="AI20" s="30"/>
      <c r="AK20" s="30" t="str">
        <f aca="false">Linea!$A$37&amp;". "&amp;Linea!$B$37&amp;CHAR(10)&amp;Linea!$I$37&amp;" recurso(s)"</f>
        <v>19. Corrección de defectos
1 recurso(s)</v>
      </c>
      <c r="AL20" s="30"/>
      <c r="AM20" s="30"/>
      <c r="AN20" s="30"/>
      <c r="AO20" s="30"/>
      <c r="AP20" s="30"/>
    </row>
    <row r="21" customFormat="false" ht="15" hidden="false" customHeight="true" outlineLevel="0" collapsed="false">
      <c r="B21" s="30"/>
      <c r="C21" s="30"/>
      <c r="D21" s="30"/>
      <c r="E21" s="30"/>
      <c r="F21" s="30"/>
      <c r="G21" s="30"/>
      <c r="H21" s="31" t="s">
        <v>128</v>
      </c>
      <c r="I21" s="30"/>
      <c r="J21" s="30"/>
      <c r="K21" s="30"/>
      <c r="L21" s="30"/>
      <c r="M21" s="30"/>
      <c r="N21" s="30"/>
      <c r="O21" s="31" t="s">
        <v>128</v>
      </c>
      <c r="P21" s="30"/>
      <c r="Q21" s="30"/>
      <c r="R21" s="30"/>
      <c r="S21" s="30"/>
      <c r="T21" s="30"/>
      <c r="U21" s="30"/>
      <c r="V21" s="31" t="s">
        <v>128</v>
      </c>
      <c r="W21" s="30"/>
      <c r="X21" s="30"/>
      <c r="Y21" s="30"/>
      <c r="Z21" s="30"/>
      <c r="AA21" s="30"/>
      <c r="AB21" s="30"/>
      <c r="AC21" s="31" t="s">
        <v>128</v>
      </c>
      <c r="AD21" s="30"/>
      <c r="AE21" s="30"/>
      <c r="AF21" s="30"/>
      <c r="AG21" s="30"/>
      <c r="AH21" s="30"/>
      <c r="AI21" s="30"/>
      <c r="AJ21" s="31" t="s">
        <v>128</v>
      </c>
      <c r="AK21" s="30"/>
      <c r="AL21" s="30"/>
      <c r="AM21" s="30"/>
      <c r="AN21" s="30"/>
      <c r="AO21" s="30"/>
      <c r="AP21" s="30"/>
    </row>
    <row r="22" customFormat="false" ht="15" hidden="false" customHeight="true" outlineLevel="0" collapsed="false">
      <c r="B22" s="30"/>
      <c r="C22" s="30"/>
      <c r="D22" s="30"/>
      <c r="E22" s="30"/>
      <c r="F22" s="30"/>
      <c r="G22" s="30"/>
      <c r="I22" s="30"/>
      <c r="J22" s="30"/>
      <c r="K22" s="30"/>
      <c r="L22" s="30"/>
      <c r="M22" s="30"/>
      <c r="N22" s="30"/>
      <c r="P22" s="30"/>
      <c r="Q22" s="30"/>
      <c r="R22" s="30"/>
      <c r="S22" s="30"/>
      <c r="T22" s="30"/>
      <c r="U22" s="30"/>
      <c r="W22" s="30"/>
      <c r="X22" s="30"/>
      <c r="Y22" s="30"/>
      <c r="Z22" s="30"/>
      <c r="AA22" s="30"/>
      <c r="AB22" s="30"/>
      <c r="AD22" s="30"/>
      <c r="AE22" s="30"/>
      <c r="AF22" s="30"/>
      <c r="AG22" s="30"/>
      <c r="AH22" s="30"/>
      <c r="AI22" s="30"/>
      <c r="AK22" s="30"/>
      <c r="AL22" s="30"/>
      <c r="AM22" s="30"/>
      <c r="AN22" s="30"/>
      <c r="AO22" s="30"/>
      <c r="AP22" s="30"/>
    </row>
    <row r="23" customFormat="false" ht="15" hidden="false" customHeight="true" outlineLevel="0" collapsed="false">
      <c r="B23" s="32" t="n">
        <f aca="false">Linea!$J$42</f>
        <v>0.48112669582</v>
      </c>
      <c r="C23" s="32"/>
      <c r="D23" s="32"/>
      <c r="E23" s="32"/>
      <c r="F23" s="32"/>
      <c r="G23" s="32"/>
      <c r="I23" s="32" t="n">
        <f aca="false">Linea!$J$41</f>
        <v>0.360845021865</v>
      </c>
      <c r="J23" s="32"/>
      <c r="K23" s="32"/>
      <c r="L23" s="32"/>
      <c r="M23" s="32"/>
      <c r="N23" s="32"/>
      <c r="P23" s="32" t="n">
        <f aca="false">Linea!$J$40</f>
        <v>0.612293589137444</v>
      </c>
      <c r="Q23" s="32"/>
      <c r="R23" s="32"/>
      <c r="S23" s="32"/>
      <c r="T23" s="32"/>
      <c r="U23" s="32"/>
      <c r="W23" s="32" t="n">
        <f aca="false">Linea!$J$39</f>
        <v>0.5412675327975</v>
      </c>
      <c r="X23" s="32"/>
      <c r="Y23" s="32"/>
      <c r="Z23" s="32"/>
      <c r="AA23" s="32"/>
      <c r="AB23" s="32"/>
      <c r="AD23" s="32" t="n">
        <f aca="false">Linea!$J$38</f>
        <v>0.626017967370159</v>
      </c>
      <c r="AE23" s="32"/>
      <c r="AF23" s="32"/>
      <c r="AG23" s="32"/>
      <c r="AH23" s="32"/>
      <c r="AI23" s="32"/>
      <c r="AK23" s="32" t="n">
        <f aca="false">Linea!$J$37</f>
        <v>0.4266938465595</v>
      </c>
      <c r="AL23" s="32"/>
      <c r="AM23" s="32"/>
      <c r="AN23" s="32"/>
      <c r="AO23" s="32"/>
      <c r="AP23" s="32"/>
    </row>
    <row r="24" customFormat="false" ht="15" hidden="false" customHeight="true" outlineLevel="0" collapsed="false">
      <c r="D24" s="31" t="s">
        <v>127</v>
      </c>
    </row>
    <row r="25" customFormat="false" ht="15" hidden="false" customHeight="true" outlineLevel="0" collapsed="false">
      <c r="B25" s="30" t="str">
        <f aca="false">Linea!$A$43&amp;". "&amp;Linea!$B$43&amp;CHAR(10)&amp;Linea!$I$43&amp;" recurso(s)"</f>
        <v>25. Etiquetado
1 recurso(s)</v>
      </c>
      <c r="C25" s="30"/>
      <c r="D25" s="30"/>
      <c r="E25" s="30"/>
      <c r="F25" s="30"/>
      <c r="G25" s="30"/>
      <c r="I25" s="30" t="str">
        <f aca="false">Linea!$A$44&amp;". "&amp;Linea!$B$44&amp;CHAR(10)&amp;Linea!$I$44&amp;" recurso(s)"</f>
        <v>26. Embalaje y paletizado
4 recurso(s)</v>
      </c>
      <c r="J25" s="30"/>
      <c r="K25" s="30"/>
      <c r="L25" s="30"/>
      <c r="M25" s="30"/>
      <c r="N25" s="30"/>
    </row>
    <row r="26" customFormat="false" ht="15" hidden="false" customHeight="true" outlineLevel="0" collapsed="false">
      <c r="B26" s="30"/>
      <c r="C26" s="30"/>
      <c r="D26" s="30"/>
      <c r="E26" s="30"/>
      <c r="F26" s="30"/>
      <c r="G26" s="30"/>
      <c r="H26" s="31" t="s">
        <v>120</v>
      </c>
      <c r="I26" s="30"/>
      <c r="J26" s="30"/>
      <c r="K26" s="30"/>
      <c r="L26" s="30"/>
      <c r="M26" s="30"/>
      <c r="N26" s="30"/>
    </row>
    <row r="27" customFormat="false" ht="15" hidden="false" customHeight="true" outlineLevel="0" collapsed="false">
      <c r="B27" s="30"/>
      <c r="C27" s="30"/>
      <c r="D27" s="30"/>
      <c r="E27" s="30"/>
      <c r="F27" s="30"/>
      <c r="G27" s="30"/>
      <c r="I27" s="30"/>
      <c r="J27" s="30"/>
      <c r="K27" s="30"/>
      <c r="L27" s="30"/>
      <c r="M27" s="30"/>
      <c r="N27" s="30"/>
    </row>
    <row r="28" customFormat="false" ht="15" hidden="false" customHeight="true" outlineLevel="0" collapsed="false">
      <c r="B28" s="32" t="n">
        <f aca="false">Linea!$J$43</f>
        <v>0.72169004373</v>
      </c>
      <c r="C28" s="32"/>
      <c r="D28" s="32"/>
      <c r="E28" s="32"/>
      <c r="F28" s="32"/>
      <c r="G28" s="32"/>
      <c r="I28" s="32" t="n">
        <f aca="false">Linea!$J$44</f>
        <v>0.538150871501612</v>
      </c>
      <c r="J28" s="32"/>
      <c r="K28" s="32"/>
      <c r="L28" s="32"/>
      <c r="M28" s="32"/>
      <c r="N28" s="32"/>
    </row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>
      <c r="B32" s="1" t="s">
        <v>122</v>
      </c>
      <c r="N32" s="7" t="str">
        <f aca="false">"Takt "&amp;TEXT(Linea!$C$52,"#,##0.0")&amp;" s/u · contenido "&amp;TEXT(Linea!$C$53,"#,##0.0")&amp;" s/u · eficiencia de balanceo "&amp;TEXT(Linea!$C$59,"0%")&amp;" · cuello: "&amp;Linea!$C$57&amp;" ("&amp;TEXT(Linea!$C$58,"0%")&amp;")"</f>
        <v>Takt 1,930.9 s/u · contenido 6,202.1 s/u · eficiencia de balanceo 43% · cuello: Soldadura de accesorios (52%)</v>
      </c>
    </row>
    <row r="33" customFormat="false" ht="15" hidden="false" customHeight="true" outlineLevel="0" collapsed="false">
      <c r="B33" s="30" t="str">
        <f aca="false">Linea!$A$63&amp;". "&amp;Linea!$B$63&amp;CHAR(10)&amp;Linea!$I$63&amp;" recurso(s)"</f>
        <v>1. Recepción de materia prima
1 recurso(s)</v>
      </c>
      <c r="C33" s="30"/>
      <c r="D33" s="30"/>
      <c r="E33" s="30"/>
      <c r="F33" s="30"/>
      <c r="G33" s="30"/>
      <c r="I33" s="30" t="str">
        <f aca="false">Linea!$A$64&amp;". "&amp;Linea!$B$64&amp;CHAR(10)&amp;Linea!$I$64&amp;" recurso(s)"</f>
        <v>2. Corte de chapa (guillotina)
1 recurso(s)</v>
      </c>
      <c r="J33" s="30"/>
      <c r="K33" s="30"/>
      <c r="L33" s="30"/>
      <c r="M33" s="30"/>
      <c r="N33" s="30"/>
      <c r="P33" s="30" t="str">
        <f aca="false">Linea!$A$65&amp;". "&amp;Linea!$B$65&amp;CHAR(10)&amp;Linea!$I$65&amp;" recurso(s)"</f>
        <v>3. Marcado del cuerpo
1 recurso(s)</v>
      </c>
      <c r="Q33" s="30"/>
      <c r="R33" s="30"/>
      <c r="S33" s="30"/>
      <c r="T33" s="30"/>
      <c r="U33" s="30"/>
      <c r="W33" s="30" t="str">
        <f aca="false">Linea!$A$66&amp;". "&amp;Linea!$B$66&amp;CHAR(10)&amp;Linea!$I$66&amp;" recurso(s)"</f>
        <v>4. Cilindrado
1 recurso(s)</v>
      </c>
      <c r="X33" s="30"/>
      <c r="Y33" s="30"/>
      <c r="Z33" s="30"/>
      <c r="AA33" s="30"/>
      <c r="AB33" s="30"/>
      <c r="AD33" s="30" t="str">
        <f aca="false">Linea!$A$67&amp;". "&amp;Linea!$B$67&amp;CHAR(10)&amp;Linea!$I$67&amp;" recurso(s)"</f>
        <v>5. Punteo del cuerpo
1 recurso(s)</v>
      </c>
      <c r="AE33" s="30"/>
      <c r="AF33" s="30"/>
      <c r="AG33" s="30"/>
      <c r="AH33" s="30"/>
      <c r="AI33" s="30"/>
      <c r="AK33" s="30" t="str">
        <f aca="false">Linea!$A$68&amp;". "&amp;Linea!$B$68&amp;CHAR(10)&amp;Linea!$I$68&amp;" recurso(s)"</f>
        <v>6. Soldadura longitudinal
1 recurso(s)</v>
      </c>
      <c r="AL33" s="30"/>
      <c r="AM33" s="30"/>
      <c r="AN33" s="30"/>
      <c r="AO33" s="30"/>
      <c r="AP33" s="30"/>
    </row>
    <row r="34" customFormat="false" ht="15" hidden="false" customHeight="true" outlineLevel="0" collapsed="false">
      <c r="B34" s="30"/>
      <c r="C34" s="30"/>
      <c r="D34" s="30"/>
      <c r="E34" s="30"/>
      <c r="F34" s="30"/>
      <c r="G34" s="30"/>
      <c r="H34" s="31" t="s">
        <v>120</v>
      </c>
      <c r="I34" s="30"/>
      <c r="J34" s="30"/>
      <c r="K34" s="30"/>
      <c r="L34" s="30"/>
      <c r="M34" s="30"/>
      <c r="N34" s="30"/>
      <c r="O34" s="31" t="s">
        <v>120</v>
      </c>
      <c r="P34" s="30"/>
      <c r="Q34" s="30"/>
      <c r="R34" s="30"/>
      <c r="S34" s="30"/>
      <c r="T34" s="30"/>
      <c r="U34" s="30"/>
      <c r="V34" s="31" t="s">
        <v>120</v>
      </c>
      <c r="W34" s="30"/>
      <c r="X34" s="30"/>
      <c r="Y34" s="30"/>
      <c r="Z34" s="30"/>
      <c r="AA34" s="30"/>
      <c r="AB34" s="30"/>
      <c r="AC34" s="31" t="s">
        <v>120</v>
      </c>
      <c r="AD34" s="30"/>
      <c r="AE34" s="30"/>
      <c r="AF34" s="30"/>
      <c r="AG34" s="30"/>
      <c r="AH34" s="30"/>
      <c r="AI34" s="30"/>
      <c r="AJ34" s="31" t="s">
        <v>120</v>
      </c>
      <c r="AK34" s="30"/>
      <c r="AL34" s="30"/>
      <c r="AM34" s="30"/>
      <c r="AN34" s="30"/>
      <c r="AO34" s="30"/>
      <c r="AP34" s="30"/>
    </row>
    <row r="35" customFormat="false" ht="15" hidden="false" customHeight="true" outlineLevel="0" collapsed="false">
      <c r="B35" s="30"/>
      <c r="C35" s="30"/>
      <c r="D35" s="30"/>
      <c r="E35" s="30"/>
      <c r="F35" s="30"/>
      <c r="G35" s="30"/>
      <c r="I35" s="30"/>
      <c r="J35" s="30"/>
      <c r="K35" s="30"/>
      <c r="L35" s="30"/>
      <c r="M35" s="30"/>
      <c r="N35" s="30"/>
      <c r="P35" s="30"/>
      <c r="Q35" s="30"/>
      <c r="R35" s="30"/>
      <c r="S35" s="30"/>
      <c r="T35" s="30"/>
      <c r="U35" s="30"/>
      <c r="W35" s="30"/>
      <c r="X35" s="30"/>
      <c r="Y35" s="30"/>
      <c r="Z35" s="30"/>
      <c r="AA35" s="30"/>
      <c r="AB35" s="30"/>
      <c r="AD35" s="30"/>
      <c r="AE35" s="30"/>
      <c r="AF35" s="30"/>
      <c r="AG35" s="30"/>
      <c r="AH35" s="30"/>
      <c r="AI35" s="30"/>
      <c r="AK35" s="30"/>
      <c r="AL35" s="30"/>
      <c r="AM35" s="30"/>
      <c r="AN35" s="30"/>
      <c r="AO35" s="30"/>
      <c r="AP35" s="30"/>
    </row>
    <row r="36" customFormat="false" ht="15" hidden="false" customHeight="true" outlineLevel="0" collapsed="false">
      <c r="B36" s="32" t="n">
        <f aca="false">Linea!$J$63</f>
        <v>0.103499128130054</v>
      </c>
      <c r="C36" s="32"/>
      <c r="D36" s="32"/>
      <c r="E36" s="32"/>
      <c r="F36" s="32"/>
      <c r="G36" s="32"/>
      <c r="I36" s="32" t="n">
        <f aca="false">Linea!$J$64</f>
        <v>0.1760359860402</v>
      </c>
      <c r="J36" s="32"/>
      <c r="K36" s="32"/>
      <c r="L36" s="32"/>
      <c r="M36" s="32"/>
      <c r="N36" s="32"/>
      <c r="P36" s="32" t="n">
        <f aca="false">Linea!$J$65</f>
        <v>0.0606967834955222</v>
      </c>
      <c r="Q36" s="32"/>
      <c r="R36" s="32"/>
      <c r="S36" s="32"/>
      <c r="T36" s="32"/>
      <c r="U36" s="32"/>
      <c r="W36" s="32" t="n">
        <f aca="false">Linea!$J$66</f>
        <v>0.143740445646261</v>
      </c>
      <c r="X36" s="32"/>
      <c r="Y36" s="32"/>
      <c r="Z36" s="32"/>
      <c r="AA36" s="32"/>
      <c r="AB36" s="32"/>
      <c r="AD36" s="32" t="n">
        <f aca="false">Linea!$J$67</f>
        <v>0.164919949919672</v>
      </c>
      <c r="AE36" s="32"/>
      <c r="AF36" s="32"/>
      <c r="AG36" s="32"/>
      <c r="AH36" s="32"/>
      <c r="AI36" s="32"/>
      <c r="AK36" s="32" t="n">
        <f aca="false">Linea!$J$68</f>
        <v>0.123449061117678</v>
      </c>
      <c r="AL36" s="32"/>
      <c r="AM36" s="32"/>
      <c r="AN36" s="32"/>
      <c r="AO36" s="32"/>
      <c r="AP36" s="32"/>
    </row>
    <row r="37" customFormat="false" ht="15" hidden="false" customHeight="true" outlineLevel="0" collapsed="false">
      <c r="AM37" s="31" t="s">
        <v>127</v>
      </c>
    </row>
    <row r="38" customFormat="false" ht="15" hidden="false" customHeight="true" outlineLevel="0" collapsed="false">
      <c r="B38" s="30" t="str">
        <f aca="false">Linea!$A$74&amp;". "&amp;Linea!$B$74&amp;CHAR(10)&amp;Linea!$I$74&amp;" recurso(s)"</f>
        <v>12. Secado
1 recurso(s)</v>
      </c>
      <c r="C38" s="30"/>
      <c r="D38" s="30"/>
      <c r="E38" s="30"/>
      <c r="F38" s="30"/>
      <c r="G38" s="30"/>
      <c r="I38" s="30" t="str">
        <f aca="false">Linea!$A$73&amp;". "&amp;Linea!$B$73&amp;CHAR(10)&amp;Linea!$I$73&amp;" recurso(s)"</f>
        <v>11. Prueba hidráulica
1 recurso(s)</v>
      </c>
      <c r="J38" s="30"/>
      <c r="K38" s="30"/>
      <c r="L38" s="30"/>
      <c r="M38" s="30"/>
      <c r="N38" s="30"/>
      <c r="P38" s="30" t="str">
        <f aca="false">Linea!$A$72&amp;". "&amp;Linea!$B$72&amp;CHAR(10)&amp;Linea!$I$72&amp;" recurso(s)"</f>
        <v>10. Fabricación de accesorios
1 recurso(s)</v>
      </c>
      <c r="Q38" s="30"/>
      <c r="R38" s="30"/>
      <c r="S38" s="30"/>
      <c r="T38" s="30"/>
      <c r="U38" s="30"/>
      <c r="W38" s="30" t="str">
        <f aca="false">Linea!$A$71&amp;". "&amp;Linea!$B$71&amp;CHAR(10)&amp;Linea!$I$71&amp;" recurso(s)"</f>
        <v>9. Soldadura de accesorios
1 recurso(s)</v>
      </c>
      <c r="X38" s="30"/>
      <c r="Y38" s="30"/>
      <c r="Z38" s="30"/>
      <c r="AA38" s="30"/>
      <c r="AB38" s="30"/>
      <c r="AD38" s="30" t="str">
        <f aca="false">Linea!$A$70&amp;". "&amp;Linea!$B$70&amp;CHAR(10)&amp;Linea!$I$70&amp;" recurso(s)"</f>
        <v>8. Armado y soldadura circunferencial
1 recurso(s)</v>
      </c>
      <c r="AE38" s="30"/>
      <c r="AF38" s="30"/>
      <c r="AG38" s="30"/>
      <c r="AH38" s="30"/>
      <c r="AI38" s="30"/>
      <c r="AK38" s="30" t="str">
        <f aca="false">Linea!$A$69&amp;". "&amp;Linea!$B$69&amp;CHAR(10)&amp;Linea!$I$69&amp;" recurso(s)"</f>
        <v>7. Soldadura de cupla en la cúpula
1 recurso(s)</v>
      </c>
      <c r="AL38" s="30"/>
      <c r="AM38" s="30"/>
      <c r="AN38" s="30"/>
      <c r="AO38" s="30"/>
      <c r="AP38" s="30"/>
    </row>
    <row r="39" customFormat="false" ht="15" hidden="false" customHeight="true" outlineLevel="0" collapsed="false">
      <c r="B39" s="30"/>
      <c r="C39" s="30"/>
      <c r="D39" s="30"/>
      <c r="E39" s="30"/>
      <c r="F39" s="30"/>
      <c r="G39" s="30"/>
      <c r="H39" s="31" t="s">
        <v>128</v>
      </c>
      <c r="I39" s="30"/>
      <c r="J39" s="30"/>
      <c r="K39" s="30"/>
      <c r="L39" s="30"/>
      <c r="M39" s="30"/>
      <c r="N39" s="30"/>
      <c r="O39" s="31" t="s">
        <v>128</v>
      </c>
      <c r="P39" s="30"/>
      <c r="Q39" s="30"/>
      <c r="R39" s="30"/>
      <c r="S39" s="30"/>
      <c r="T39" s="30"/>
      <c r="U39" s="30"/>
      <c r="V39" s="31" t="s">
        <v>128</v>
      </c>
      <c r="W39" s="30"/>
      <c r="X39" s="30"/>
      <c r="Y39" s="30"/>
      <c r="Z39" s="30"/>
      <c r="AA39" s="30"/>
      <c r="AB39" s="30"/>
      <c r="AC39" s="31" t="s">
        <v>128</v>
      </c>
      <c r="AD39" s="30"/>
      <c r="AE39" s="30"/>
      <c r="AF39" s="30"/>
      <c r="AG39" s="30"/>
      <c r="AH39" s="30"/>
      <c r="AI39" s="30"/>
      <c r="AJ39" s="31" t="s">
        <v>128</v>
      </c>
      <c r="AK39" s="30"/>
      <c r="AL39" s="30"/>
      <c r="AM39" s="30"/>
      <c r="AN39" s="30"/>
      <c r="AO39" s="30"/>
      <c r="AP39" s="30"/>
    </row>
    <row r="40" customFormat="false" ht="15" hidden="false" customHeight="true" outlineLevel="0" collapsed="false">
      <c r="B40" s="30"/>
      <c r="C40" s="30"/>
      <c r="D40" s="30"/>
      <c r="E40" s="30"/>
      <c r="F40" s="30"/>
      <c r="G40" s="30"/>
      <c r="I40" s="30"/>
      <c r="J40" s="30"/>
      <c r="K40" s="30"/>
      <c r="L40" s="30"/>
      <c r="M40" s="30"/>
      <c r="N40" s="30"/>
      <c r="P40" s="30"/>
      <c r="Q40" s="30"/>
      <c r="R40" s="30"/>
      <c r="S40" s="30"/>
      <c r="T40" s="30"/>
      <c r="U40" s="30"/>
      <c r="W40" s="30"/>
      <c r="X40" s="30"/>
      <c r="Y40" s="30"/>
      <c r="Z40" s="30"/>
      <c r="AA40" s="30"/>
      <c r="AB40" s="30"/>
      <c r="AD40" s="30"/>
      <c r="AE40" s="30"/>
      <c r="AF40" s="30"/>
      <c r="AG40" s="30"/>
      <c r="AH40" s="30"/>
      <c r="AI40" s="30"/>
      <c r="AK40" s="30"/>
      <c r="AL40" s="30"/>
      <c r="AM40" s="30"/>
      <c r="AN40" s="30"/>
      <c r="AO40" s="30"/>
      <c r="AP40" s="30"/>
    </row>
    <row r="41" customFormat="false" ht="15" hidden="false" customHeight="true" outlineLevel="0" collapsed="false">
      <c r="B41" s="32" t="n">
        <f aca="false">Linea!$J$74</f>
        <v>0.31256646257</v>
      </c>
      <c r="C41" s="32"/>
      <c r="D41" s="32"/>
      <c r="E41" s="32"/>
      <c r="F41" s="32"/>
      <c r="G41" s="32"/>
      <c r="I41" s="32" t="n">
        <f aca="false">Linea!$J$73</f>
        <v>0.301255909756842</v>
      </c>
      <c r="J41" s="32"/>
      <c r="K41" s="32"/>
      <c r="L41" s="32"/>
      <c r="M41" s="32"/>
      <c r="N41" s="32"/>
      <c r="P41" s="32" t="n">
        <f aca="false">Linea!$J$72</f>
        <v>0.375138767952333</v>
      </c>
      <c r="Q41" s="32"/>
      <c r="R41" s="32"/>
      <c r="S41" s="32"/>
      <c r="T41" s="32"/>
      <c r="U41" s="32"/>
      <c r="W41" s="32" t="n">
        <f aca="false">Linea!$J$71</f>
        <v>0.5230763973169</v>
      </c>
      <c r="X41" s="32"/>
      <c r="Y41" s="32"/>
      <c r="Z41" s="32"/>
      <c r="AA41" s="32"/>
      <c r="AB41" s="32"/>
      <c r="AD41" s="32" t="n">
        <f aca="false">Linea!$J$70</f>
        <v>0.5137553109188</v>
      </c>
      <c r="AE41" s="32"/>
      <c r="AF41" s="32"/>
      <c r="AG41" s="32"/>
      <c r="AH41" s="32"/>
      <c r="AI41" s="32"/>
      <c r="AK41" s="32" t="n">
        <f aca="false">Linea!$J$69</f>
        <v>0.1244069196656</v>
      </c>
      <c r="AL41" s="32"/>
      <c r="AM41" s="32"/>
      <c r="AN41" s="32"/>
      <c r="AO41" s="32"/>
      <c r="AP41" s="32"/>
    </row>
    <row r="42" customFormat="false" ht="15" hidden="false" customHeight="true" outlineLevel="0" collapsed="false">
      <c r="D42" s="31" t="s">
        <v>127</v>
      </c>
    </row>
    <row r="43" customFormat="false" ht="15" hidden="false" customHeight="true" outlineLevel="0" collapsed="false">
      <c r="B43" s="30" t="str">
        <f aca="false">Linea!$A$75&amp;". "&amp;Linea!$B$75&amp;CHAR(10)&amp;Linea!$I$75&amp;" recurso(s)"</f>
        <v>13. Pulmón de despacho y carga a pintura
1 recurso(s)</v>
      </c>
      <c r="C43" s="30"/>
      <c r="D43" s="30"/>
      <c r="E43" s="30"/>
      <c r="F43" s="30"/>
      <c r="G43" s="30"/>
      <c r="I43" s="30" t="str">
        <f aca="false">Linea!$A$76&amp;". "&amp;Linea!$B$76&amp;CHAR(10)&amp;Linea!$I$76&amp;" recurso(s)"</f>
        <v>14. Recepción de pintados y cambio de juego
1 recurso(s)</v>
      </c>
      <c r="J43" s="30"/>
      <c r="K43" s="30"/>
      <c r="L43" s="30"/>
      <c r="M43" s="30"/>
      <c r="N43" s="30"/>
      <c r="P43" s="30" t="str">
        <f aca="false">Linea!$A$77&amp;". "&amp;Linea!$B$77&amp;CHAR(10)&amp;Linea!$I$77&amp;" recurso(s)"</f>
        <v>15. Carga de polvo y presurización
1 recurso(s)</v>
      </c>
      <c r="Q43" s="30"/>
      <c r="R43" s="30"/>
      <c r="S43" s="30"/>
      <c r="T43" s="30"/>
      <c r="U43" s="30"/>
      <c r="W43" s="30" t="str">
        <f aca="false">Linea!$A$78&amp;". "&amp;Linea!$B$78&amp;CHAR(10)&amp;Linea!$I$78&amp;" recurso(s)"</f>
        <v>16. Montaje, manga, precinto y etiquetado
1 recurso(s)</v>
      </c>
      <c r="X43" s="30"/>
      <c r="Y43" s="30"/>
      <c r="Z43" s="30"/>
      <c r="AA43" s="30"/>
      <c r="AB43" s="30"/>
      <c r="AD43" s="30" t="str">
        <f aca="false">Linea!$A$79&amp;". "&amp;Linea!$B$79&amp;CHAR(10)&amp;Linea!$I$79&amp;" recurso(s)"</f>
        <v>17. Calidad: pérdidas, inspección final, liberación y ensayos de lote
1 recurso(s)</v>
      </c>
      <c r="AE43" s="30"/>
      <c r="AF43" s="30"/>
      <c r="AG43" s="30"/>
      <c r="AH43" s="30"/>
      <c r="AI43" s="30"/>
      <c r="AK43" s="30" t="str">
        <f aca="false">Linea!$A$80&amp;". "&amp;Linea!$B$80&amp;CHAR(10)&amp;Linea!$I$80&amp;" recurso(s)"</f>
        <v>18. Depósito de producto terminado y despacho
1 recurso(s)</v>
      </c>
      <c r="AL43" s="30"/>
      <c r="AM43" s="30"/>
      <c r="AN43" s="30"/>
      <c r="AO43" s="30"/>
      <c r="AP43" s="30"/>
    </row>
    <row r="44" customFormat="false" ht="15" hidden="false" customHeight="true" outlineLevel="0" collapsed="false">
      <c r="B44" s="30"/>
      <c r="C44" s="30"/>
      <c r="D44" s="30"/>
      <c r="E44" s="30"/>
      <c r="F44" s="30"/>
      <c r="G44" s="30"/>
      <c r="H44" s="31" t="s">
        <v>120</v>
      </c>
      <c r="I44" s="30"/>
      <c r="J44" s="30"/>
      <c r="K44" s="30"/>
      <c r="L44" s="30"/>
      <c r="M44" s="30"/>
      <c r="N44" s="30"/>
      <c r="O44" s="31" t="s">
        <v>120</v>
      </c>
      <c r="P44" s="30"/>
      <c r="Q44" s="30"/>
      <c r="R44" s="30"/>
      <c r="S44" s="30"/>
      <c r="T44" s="30"/>
      <c r="U44" s="30"/>
      <c r="V44" s="31" t="s">
        <v>120</v>
      </c>
      <c r="W44" s="30"/>
      <c r="X44" s="30"/>
      <c r="Y44" s="30"/>
      <c r="Z44" s="30"/>
      <c r="AA44" s="30"/>
      <c r="AB44" s="30"/>
      <c r="AC44" s="31" t="s">
        <v>120</v>
      </c>
      <c r="AD44" s="30"/>
      <c r="AE44" s="30"/>
      <c r="AF44" s="30"/>
      <c r="AG44" s="30"/>
      <c r="AH44" s="30"/>
      <c r="AI44" s="30"/>
      <c r="AJ44" s="31" t="s">
        <v>120</v>
      </c>
      <c r="AK44" s="30"/>
      <c r="AL44" s="30"/>
      <c r="AM44" s="30"/>
      <c r="AN44" s="30"/>
      <c r="AO44" s="30"/>
      <c r="AP44" s="30"/>
    </row>
    <row r="45" customFormat="false" ht="15" hidden="false" customHeight="true" outlineLevel="0" collapsed="false">
      <c r="B45" s="30"/>
      <c r="C45" s="30"/>
      <c r="D45" s="30"/>
      <c r="E45" s="30"/>
      <c r="F45" s="30"/>
      <c r="G45" s="30"/>
      <c r="I45" s="30"/>
      <c r="J45" s="30"/>
      <c r="K45" s="30"/>
      <c r="L45" s="30"/>
      <c r="M45" s="30"/>
      <c r="N45" s="30"/>
      <c r="P45" s="30"/>
      <c r="Q45" s="30"/>
      <c r="R45" s="30"/>
      <c r="S45" s="30"/>
      <c r="T45" s="30"/>
      <c r="U45" s="30"/>
      <c r="W45" s="30"/>
      <c r="X45" s="30"/>
      <c r="Y45" s="30"/>
      <c r="Z45" s="30"/>
      <c r="AA45" s="30"/>
      <c r="AB45" s="30"/>
      <c r="AD45" s="30"/>
      <c r="AE45" s="30"/>
      <c r="AF45" s="30"/>
      <c r="AG45" s="30"/>
      <c r="AH45" s="30"/>
      <c r="AI45" s="30"/>
      <c r="AK45" s="30"/>
      <c r="AL45" s="30"/>
      <c r="AM45" s="30"/>
      <c r="AN45" s="30"/>
      <c r="AO45" s="30"/>
      <c r="AP45" s="30"/>
    </row>
    <row r="46" customFormat="false" ht="15" hidden="false" customHeight="true" outlineLevel="0" collapsed="false">
      <c r="B46" s="32" t="n">
        <f aca="false">Linea!$J$75</f>
        <v>0.0586068830154389</v>
      </c>
      <c r="C46" s="32"/>
      <c r="D46" s="32"/>
      <c r="E46" s="32"/>
      <c r="F46" s="32"/>
      <c r="G46" s="32"/>
      <c r="I46" s="32" t="n">
        <f aca="false">Linea!$J$76</f>
        <v>0.106149079648839</v>
      </c>
      <c r="J46" s="32"/>
      <c r="K46" s="32"/>
      <c r="L46" s="32"/>
      <c r="M46" s="32"/>
      <c r="N46" s="32"/>
      <c r="P46" s="32" t="n">
        <f aca="false">Linea!$J$77</f>
        <v>0.312273272324367</v>
      </c>
      <c r="Q46" s="32"/>
      <c r="R46" s="32"/>
      <c r="S46" s="32"/>
      <c r="T46" s="32"/>
      <c r="U46" s="32"/>
      <c r="W46" s="32" t="n">
        <f aca="false">Linea!$J$78</f>
        <v>0.161355457465767</v>
      </c>
      <c r="X46" s="32"/>
      <c r="Y46" s="32"/>
      <c r="Z46" s="32"/>
      <c r="AA46" s="32"/>
      <c r="AB46" s="32"/>
      <c r="AD46" s="32" t="n">
        <f aca="false">Linea!$J$79</f>
        <v>0.457145496388132</v>
      </c>
      <c r="AE46" s="32"/>
      <c r="AF46" s="32"/>
      <c r="AG46" s="32"/>
      <c r="AH46" s="32"/>
      <c r="AI46" s="32"/>
      <c r="AK46" s="32" t="n">
        <f aca="false">Linea!$J$80</f>
        <v>0.0644826992298222</v>
      </c>
      <c r="AL46" s="32"/>
      <c r="AM46" s="32"/>
      <c r="AN46" s="32"/>
      <c r="AO46" s="32"/>
      <c r="AP46" s="32"/>
    </row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>
      <c r="B50" s="1" t="s">
        <v>123</v>
      </c>
      <c r="N50" s="7" t="str">
        <f aca="false">"Takt "&amp;TEXT(Linea!$C$88,"#,##0.0")&amp;" s/u · contenido "&amp;TEXT(Linea!$C$89,"#,##0.0")&amp;" s/u · eficiencia de balanceo "&amp;TEXT(Linea!$C$95,"0%")&amp;" · cuello: "&amp;Linea!$C$93&amp;" ("&amp;TEXT(Linea!$C$94,"0%")&amp;")"</f>
        <v>Takt 48.6 s/u · contenido 1,184.2 s/u · eficiencia de balanceo 59% · cuello: Ensayo de pérdidas (87%)</v>
      </c>
    </row>
    <row r="51" customFormat="false" ht="15" hidden="false" customHeight="true" outlineLevel="0" collapsed="false">
      <c r="B51" s="30" t="str">
        <f aca="false">Linea!$A$99&amp;". "&amp;Linea!$B$99&amp;CHAR(10)&amp;Linea!$I$99&amp;" recurso(s)"</f>
        <v>1. Recepción y registro
2 recurso(s)</v>
      </c>
      <c r="C51" s="30"/>
      <c r="D51" s="30"/>
      <c r="E51" s="30"/>
      <c r="F51" s="30"/>
      <c r="G51" s="30"/>
      <c r="I51" s="30" t="str">
        <f aca="false">Linea!$A$100&amp;". "&amp;Linea!$B$100&amp;CHAR(10)&amp;Linea!$I$100&amp;" recurso(s)"</f>
        <v>2. Inspección visual
4 recurso(s)</v>
      </c>
      <c r="J51" s="30"/>
      <c r="K51" s="30"/>
      <c r="L51" s="30"/>
      <c r="M51" s="30"/>
      <c r="N51" s="30"/>
      <c r="P51" s="30" t="str">
        <f aca="false">Linea!$A$101&amp;". "&amp;Linea!$B$101&amp;CHAR(10)&amp;Linea!$I$101&amp;" recurso(s)"</f>
        <v>3. Descarga ABC — ruta recuperable
2 recurso(s)</v>
      </c>
      <c r="Q51" s="30"/>
      <c r="R51" s="30"/>
      <c r="S51" s="30"/>
      <c r="T51" s="30"/>
      <c r="U51" s="30"/>
      <c r="W51" s="30" t="str">
        <f aca="false">Linea!$A$102&amp;". "&amp;Linea!$B$102&amp;CHAR(10)&amp;Linea!$I$102&amp;" recurso(s)"</f>
        <v>4. Descarga a descarte (ABC, BC y Clase D)
1 recurso(s)</v>
      </c>
      <c r="X51" s="30"/>
      <c r="Y51" s="30"/>
      <c r="Z51" s="30"/>
      <c r="AA51" s="30"/>
      <c r="AB51" s="30"/>
      <c r="AD51" s="30" t="str">
        <f aca="false">Linea!$A$103&amp;". "&amp;Linea!$B$103&amp;CHAR(10)&amp;Linea!$I$103&amp;" recurso(s)"</f>
        <v>5. Descarga y carga de agua / AFFF / sales K
1 recurso(s)</v>
      </c>
      <c r="AE51" s="30"/>
      <c r="AF51" s="30"/>
      <c r="AG51" s="30"/>
      <c r="AH51" s="30"/>
      <c r="AI51" s="30"/>
      <c r="AK51" s="30" t="str">
        <f aca="false">Linea!$A$104&amp;". "&amp;Linea!$B$104&amp;CHAR(10)&amp;Linea!$I$104&amp;" recurso(s)"</f>
        <v>6. Recuperación y carga de CO₂
1 recurso(s)</v>
      </c>
      <c r="AL51" s="30"/>
      <c r="AM51" s="30"/>
      <c r="AN51" s="30"/>
      <c r="AO51" s="30"/>
      <c r="AP51" s="30"/>
    </row>
    <row r="52" customFormat="false" ht="15" hidden="false" customHeight="true" outlineLevel="0" collapsed="false">
      <c r="B52" s="30"/>
      <c r="C52" s="30"/>
      <c r="D52" s="30"/>
      <c r="E52" s="30"/>
      <c r="F52" s="30"/>
      <c r="G52" s="30"/>
      <c r="H52" s="31" t="s">
        <v>120</v>
      </c>
      <c r="I52" s="30"/>
      <c r="J52" s="30"/>
      <c r="K52" s="30"/>
      <c r="L52" s="30"/>
      <c r="M52" s="30"/>
      <c r="N52" s="30"/>
      <c r="O52" s="31" t="s">
        <v>120</v>
      </c>
      <c r="P52" s="30"/>
      <c r="Q52" s="30"/>
      <c r="R52" s="30"/>
      <c r="S52" s="30"/>
      <c r="T52" s="30"/>
      <c r="U52" s="30"/>
      <c r="V52" s="31" t="s">
        <v>120</v>
      </c>
      <c r="W52" s="30"/>
      <c r="X52" s="30"/>
      <c r="Y52" s="30"/>
      <c r="Z52" s="30"/>
      <c r="AA52" s="30"/>
      <c r="AB52" s="30"/>
      <c r="AC52" s="31" t="s">
        <v>120</v>
      </c>
      <c r="AD52" s="30"/>
      <c r="AE52" s="30"/>
      <c r="AF52" s="30"/>
      <c r="AG52" s="30"/>
      <c r="AH52" s="30"/>
      <c r="AI52" s="30"/>
      <c r="AJ52" s="31" t="s">
        <v>120</v>
      </c>
      <c r="AK52" s="30"/>
      <c r="AL52" s="30"/>
      <c r="AM52" s="30"/>
      <c r="AN52" s="30"/>
      <c r="AO52" s="30"/>
      <c r="AP52" s="30"/>
    </row>
    <row r="53" customFormat="false" ht="15" hidden="false" customHeight="true" outlineLevel="0" collapsed="false">
      <c r="B53" s="30"/>
      <c r="C53" s="30"/>
      <c r="D53" s="30"/>
      <c r="E53" s="30"/>
      <c r="F53" s="30"/>
      <c r="G53" s="30"/>
      <c r="I53" s="30"/>
      <c r="J53" s="30"/>
      <c r="K53" s="30"/>
      <c r="L53" s="30"/>
      <c r="M53" s="30"/>
      <c r="N53" s="30"/>
      <c r="P53" s="30"/>
      <c r="Q53" s="30"/>
      <c r="R53" s="30"/>
      <c r="S53" s="30"/>
      <c r="T53" s="30"/>
      <c r="U53" s="30"/>
      <c r="W53" s="30"/>
      <c r="X53" s="30"/>
      <c r="Y53" s="30"/>
      <c r="Z53" s="30"/>
      <c r="AA53" s="30"/>
      <c r="AB53" s="30"/>
      <c r="AD53" s="30"/>
      <c r="AE53" s="30"/>
      <c r="AF53" s="30"/>
      <c r="AG53" s="30"/>
      <c r="AH53" s="30"/>
      <c r="AI53" s="30"/>
      <c r="AK53" s="30"/>
      <c r="AL53" s="30"/>
      <c r="AM53" s="30"/>
      <c r="AN53" s="30"/>
      <c r="AO53" s="30"/>
      <c r="AP53" s="30"/>
    </row>
    <row r="54" customFormat="false" ht="15" hidden="false" customHeight="true" outlineLevel="0" collapsed="false">
      <c r="B54" s="32" t="n">
        <f aca="false">Linea!$J$99</f>
        <v>0.818139192380714</v>
      </c>
      <c r="C54" s="32"/>
      <c r="D54" s="32"/>
      <c r="E54" s="32"/>
      <c r="F54" s="32"/>
      <c r="G54" s="32"/>
      <c r="I54" s="32" t="n">
        <f aca="false">Linea!$J$100</f>
        <v>0.490883515428428</v>
      </c>
      <c r="J54" s="32"/>
      <c r="K54" s="32"/>
      <c r="L54" s="32"/>
      <c r="M54" s="32"/>
      <c r="N54" s="32"/>
      <c r="P54" s="32" t="n">
        <f aca="false">Linea!$J$101</f>
        <v>0.706947897705735</v>
      </c>
      <c r="Q54" s="32"/>
      <c r="R54" s="32"/>
      <c r="S54" s="32"/>
      <c r="T54" s="32"/>
      <c r="U54" s="32"/>
      <c r="W54" s="32" t="n">
        <f aca="false">Linea!$J$102</f>
        <v>0.160454463889964</v>
      </c>
      <c r="X54" s="32"/>
      <c r="Y54" s="32"/>
      <c r="Z54" s="32"/>
      <c r="AA54" s="32"/>
      <c r="AB54" s="32"/>
      <c r="AD54" s="32" t="n">
        <f aca="false">Linea!$J$103</f>
        <v>0.192689818048709</v>
      </c>
      <c r="AE54" s="32"/>
      <c r="AF54" s="32"/>
      <c r="AG54" s="32"/>
      <c r="AH54" s="32"/>
      <c r="AI54" s="32"/>
      <c r="AK54" s="32" t="n">
        <f aca="false">Linea!$J$104</f>
        <v>0.241427758247903</v>
      </c>
      <c r="AL54" s="32"/>
      <c r="AM54" s="32"/>
      <c r="AN54" s="32"/>
      <c r="AO54" s="32"/>
      <c r="AP54" s="32"/>
    </row>
    <row r="55" customFormat="false" ht="15" hidden="false" customHeight="true" outlineLevel="0" collapsed="false">
      <c r="AM55" s="31" t="s">
        <v>127</v>
      </c>
    </row>
    <row r="56" customFormat="false" ht="15" hidden="false" customHeight="true" outlineLevel="0" collapsed="false">
      <c r="B56" s="30" t="str">
        <f aca="false">Linea!$A$110&amp;". "&amp;Linea!$B$110&amp;CHAR(10)&amp;Linea!$I$110&amp;" recurso(s)"</f>
        <v>12. Secado
2 recurso(s)</v>
      </c>
      <c r="C56" s="30"/>
      <c r="D56" s="30"/>
      <c r="E56" s="30"/>
      <c r="F56" s="30"/>
      <c r="G56" s="30"/>
      <c r="I56" s="30" t="str">
        <f aca="false">Linea!$A$109&amp;". "&amp;Linea!$B$109&amp;CHAR(10)&amp;Linea!$I$109&amp;" recurso(s)"</f>
        <v>11. Prueba hidráulica
2 recurso(s)</v>
      </c>
      <c r="J56" s="30"/>
      <c r="K56" s="30"/>
      <c r="L56" s="30"/>
      <c r="M56" s="30"/>
      <c r="N56" s="30"/>
      <c r="P56" s="30" t="str">
        <f aca="false">Linea!$A$108&amp;". "&amp;Linea!$B$108&amp;CHAR(10)&amp;Linea!$I$108&amp;" recurso(s)"</f>
        <v>10. Laboratorio — Puffer y mufla
1 recurso(s)</v>
      </c>
      <c r="Q56" s="30"/>
      <c r="R56" s="30"/>
      <c r="S56" s="30"/>
      <c r="T56" s="30"/>
      <c r="U56" s="30"/>
      <c r="W56" s="30" t="str">
        <f aca="false">Linea!$A$107&amp;". "&amp;Linea!$B$107&amp;CHAR(10)&amp;Linea!$I$107&amp;" recurso(s)"</f>
        <v>9. Desarme e inspección interior — zona general
1 recurso(s)</v>
      </c>
      <c r="X56" s="30"/>
      <c r="Y56" s="30"/>
      <c r="Z56" s="30"/>
      <c r="AA56" s="30"/>
      <c r="AB56" s="30"/>
      <c r="AD56" s="30" t="str">
        <f aca="false">Linea!$A$106&amp;". "&amp;Linea!$B$106&amp;CHAR(10)&amp;Linea!$I$106&amp;" recurso(s)"</f>
        <v>8. Desarme y limpieza — recinto
4 recurso(s)</v>
      </c>
      <c r="AE56" s="30"/>
      <c r="AF56" s="30"/>
      <c r="AG56" s="30"/>
      <c r="AH56" s="30"/>
      <c r="AI56" s="30"/>
      <c r="AK56" s="30" t="str">
        <f aca="false">Linea!$A$105&amp;". "&amp;Linea!$B$105&amp;CHAR(10)&amp;Linea!$I$105&amp;" recurso(s)"</f>
        <v>7. Recuperación y carga de halogenado
1 recurso(s)</v>
      </c>
      <c r="AL56" s="30"/>
      <c r="AM56" s="30"/>
      <c r="AN56" s="30"/>
      <c r="AO56" s="30"/>
      <c r="AP56" s="30"/>
    </row>
    <row r="57" customFormat="false" ht="15" hidden="false" customHeight="true" outlineLevel="0" collapsed="false">
      <c r="B57" s="30"/>
      <c r="C57" s="30"/>
      <c r="D57" s="30"/>
      <c r="E57" s="30"/>
      <c r="F57" s="30"/>
      <c r="G57" s="30"/>
      <c r="H57" s="31" t="s">
        <v>128</v>
      </c>
      <c r="I57" s="30"/>
      <c r="J57" s="30"/>
      <c r="K57" s="30"/>
      <c r="L57" s="30"/>
      <c r="M57" s="30"/>
      <c r="N57" s="30"/>
      <c r="O57" s="31" t="s">
        <v>128</v>
      </c>
      <c r="P57" s="30"/>
      <c r="Q57" s="30"/>
      <c r="R57" s="30"/>
      <c r="S57" s="30"/>
      <c r="T57" s="30"/>
      <c r="U57" s="30"/>
      <c r="V57" s="31" t="s">
        <v>128</v>
      </c>
      <c r="W57" s="30"/>
      <c r="X57" s="30"/>
      <c r="Y57" s="30"/>
      <c r="Z57" s="30"/>
      <c r="AA57" s="30"/>
      <c r="AB57" s="30"/>
      <c r="AC57" s="31" t="s">
        <v>128</v>
      </c>
      <c r="AD57" s="30"/>
      <c r="AE57" s="30"/>
      <c r="AF57" s="30"/>
      <c r="AG57" s="30"/>
      <c r="AH57" s="30"/>
      <c r="AI57" s="30"/>
      <c r="AJ57" s="31" t="s">
        <v>128</v>
      </c>
      <c r="AK57" s="30"/>
      <c r="AL57" s="30"/>
      <c r="AM57" s="30"/>
      <c r="AN57" s="30"/>
      <c r="AO57" s="30"/>
      <c r="AP57" s="30"/>
    </row>
    <row r="58" customFormat="false" ht="15" hidden="false" customHeight="true" outlineLevel="0" collapsed="false">
      <c r="B58" s="30"/>
      <c r="C58" s="30"/>
      <c r="D58" s="30"/>
      <c r="E58" s="30"/>
      <c r="F58" s="30"/>
      <c r="G58" s="30"/>
      <c r="I58" s="30"/>
      <c r="J58" s="30"/>
      <c r="K58" s="30"/>
      <c r="L58" s="30"/>
      <c r="M58" s="30"/>
      <c r="N58" s="30"/>
      <c r="P58" s="30"/>
      <c r="Q58" s="30"/>
      <c r="R58" s="30"/>
      <c r="S58" s="30"/>
      <c r="T58" s="30"/>
      <c r="U58" s="30"/>
      <c r="W58" s="30"/>
      <c r="X58" s="30"/>
      <c r="Y58" s="30"/>
      <c r="Z58" s="30"/>
      <c r="AA58" s="30"/>
      <c r="AB58" s="30"/>
      <c r="AD58" s="30"/>
      <c r="AE58" s="30"/>
      <c r="AF58" s="30"/>
      <c r="AG58" s="30"/>
      <c r="AH58" s="30"/>
      <c r="AI58" s="30"/>
      <c r="AK58" s="30"/>
      <c r="AL58" s="30"/>
      <c r="AM58" s="30"/>
      <c r="AN58" s="30"/>
      <c r="AO58" s="30"/>
      <c r="AP58" s="30"/>
    </row>
    <row r="59" customFormat="false" ht="15" hidden="false" customHeight="true" outlineLevel="0" collapsed="false">
      <c r="B59" s="32" t="n">
        <f aca="false">Linea!$J$110</f>
        <v>0.488531185600817</v>
      </c>
      <c r="C59" s="32"/>
      <c r="D59" s="32"/>
      <c r="E59" s="32"/>
      <c r="F59" s="32"/>
      <c r="G59" s="32"/>
      <c r="I59" s="32" t="n">
        <f aca="false">Linea!$J$109</f>
        <v>0.863657312636971</v>
      </c>
      <c r="J59" s="32"/>
      <c r="K59" s="32"/>
      <c r="L59" s="32"/>
      <c r="M59" s="32"/>
      <c r="N59" s="32"/>
      <c r="P59" s="32" t="n">
        <f aca="false">Linea!$J$108</f>
        <v>0.643837628420217</v>
      </c>
      <c r="Q59" s="32"/>
      <c r="R59" s="32"/>
      <c r="S59" s="32"/>
      <c r="T59" s="32"/>
      <c r="U59" s="32"/>
      <c r="W59" s="32" t="n">
        <f aca="false">Linea!$J$107</f>
        <v>0.265291253368301</v>
      </c>
      <c r="X59" s="32"/>
      <c r="Y59" s="32"/>
      <c r="Z59" s="32"/>
      <c r="AA59" s="32"/>
      <c r="AB59" s="32"/>
      <c r="AD59" s="32" t="n">
        <f aca="false">Linea!$J$106</f>
        <v>0.511785688008206</v>
      </c>
      <c r="AE59" s="32"/>
      <c r="AF59" s="32"/>
      <c r="AG59" s="32"/>
      <c r="AH59" s="32"/>
      <c r="AI59" s="32"/>
      <c r="AK59" s="32" t="n">
        <f aca="false">Linea!$J$105</f>
        <v>0.0196390091701007</v>
      </c>
      <c r="AL59" s="32"/>
      <c r="AM59" s="32"/>
      <c r="AN59" s="32"/>
      <c r="AO59" s="32"/>
      <c r="AP59" s="32"/>
    </row>
    <row r="60" customFormat="false" ht="15" hidden="false" customHeight="true" outlineLevel="0" collapsed="false">
      <c r="D60" s="31" t="s">
        <v>127</v>
      </c>
    </row>
    <row r="61" customFormat="false" ht="15" hidden="false" customHeight="true" outlineLevel="0" collapsed="false">
      <c r="B61" s="30" t="str">
        <f aca="false">Linea!$A$111&amp;". "&amp;Linea!$B$111&amp;CHAR(10)&amp;Linea!$I$111&amp;" recurso(s)"</f>
        <v>13. Inspección interior con videoscopio
1 recurso(s)</v>
      </c>
      <c r="C61" s="30"/>
      <c r="D61" s="30"/>
      <c r="E61" s="30"/>
      <c r="F61" s="30"/>
      <c r="G61" s="30"/>
      <c r="I61" s="30" t="str">
        <f aca="false">Linea!$A$112&amp;". "&amp;Linea!$B$112&amp;CHAR(10)&amp;Linea!$I$112&amp;" recurso(s)"</f>
        <v>14. Pintura
4 recurso(s)</v>
      </c>
      <c r="J61" s="30"/>
      <c r="K61" s="30"/>
      <c r="L61" s="30"/>
      <c r="M61" s="30"/>
      <c r="N61" s="30"/>
      <c r="P61" s="30" t="str">
        <f aca="false">Linea!$A$113&amp;". "&amp;Linea!$B$113&amp;CHAR(10)&amp;Linea!$I$113&amp;" recurso(s)"</f>
        <v>15. Carga de polvo ABC, BC y Clase D
4 recurso(s)</v>
      </c>
      <c r="Q61" s="30"/>
      <c r="R61" s="30"/>
      <c r="S61" s="30"/>
      <c r="T61" s="30"/>
      <c r="U61" s="30"/>
      <c r="W61" s="30" t="str">
        <f aca="false">Linea!$A$114&amp;". "&amp;Linea!$B$114&amp;CHAR(10)&amp;Linea!$I$114&amp;" recurso(s)"</f>
        <v>16. Ensamblaje y marbete — recinto
4 recurso(s)</v>
      </c>
      <c r="X61" s="30"/>
      <c r="Y61" s="30"/>
      <c r="Z61" s="30"/>
      <c r="AA61" s="30"/>
      <c r="AB61" s="30"/>
      <c r="AD61" s="30" t="str">
        <f aca="false">Linea!$A$115&amp;". "&amp;Linea!$B$115&amp;CHAR(10)&amp;Linea!$I$115&amp;" recurso(s)"</f>
        <v>17. Presurización — recinto
2 recurso(s)</v>
      </c>
      <c r="AE61" s="30"/>
      <c r="AF61" s="30"/>
      <c r="AG61" s="30"/>
      <c r="AH61" s="30"/>
      <c r="AI61" s="30"/>
      <c r="AK61" s="30" t="str">
        <f aca="false">Linea!$A$116&amp;". "&amp;Linea!$B$116&amp;CHAR(10)&amp;Linea!$I$116&amp;" recurso(s)"</f>
        <v>18. Ensamblaje y presurización — zona general
1 recurso(s)</v>
      </c>
      <c r="AL61" s="30"/>
      <c r="AM61" s="30"/>
      <c r="AN61" s="30"/>
      <c r="AO61" s="30"/>
      <c r="AP61" s="30"/>
    </row>
    <row r="62" customFormat="false" ht="15" hidden="false" customHeight="true" outlineLevel="0" collapsed="false">
      <c r="B62" s="30"/>
      <c r="C62" s="30"/>
      <c r="D62" s="30"/>
      <c r="E62" s="30"/>
      <c r="F62" s="30"/>
      <c r="G62" s="30"/>
      <c r="H62" s="31" t="s">
        <v>120</v>
      </c>
      <c r="I62" s="30"/>
      <c r="J62" s="30"/>
      <c r="K62" s="30"/>
      <c r="L62" s="30"/>
      <c r="M62" s="30"/>
      <c r="N62" s="30"/>
      <c r="O62" s="31" t="s">
        <v>120</v>
      </c>
      <c r="P62" s="30"/>
      <c r="Q62" s="30"/>
      <c r="R62" s="30"/>
      <c r="S62" s="30"/>
      <c r="T62" s="30"/>
      <c r="U62" s="30"/>
      <c r="V62" s="31" t="s">
        <v>120</v>
      </c>
      <c r="W62" s="30"/>
      <c r="X62" s="30"/>
      <c r="Y62" s="30"/>
      <c r="Z62" s="30"/>
      <c r="AA62" s="30"/>
      <c r="AB62" s="30"/>
      <c r="AC62" s="31" t="s">
        <v>120</v>
      </c>
      <c r="AD62" s="30"/>
      <c r="AE62" s="30"/>
      <c r="AF62" s="30"/>
      <c r="AG62" s="30"/>
      <c r="AH62" s="30"/>
      <c r="AI62" s="30"/>
      <c r="AJ62" s="31" t="s">
        <v>120</v>
      </c>
      <c r="AK62" s="30"/>
      <c r="AL62" s="30"/>
      <c r="AM62" s="30"/>
      <c r="AN62" s="30"/>
      <c r="AO62" s="30"/>
      <c r="AP62" s="30"/>
    </row>
    <row r="63" customFormat="false" ht="15" hidden="false" customHeight="true" outlineLevel="0" collapsed="false">
      <c r="B63" s="30"/>
      <c r="C63" s="30"/>
      <c r="D63" s="30"/>
      <c r="E63" s="30"/>
      <c r="F63" s="30"/>
      <c r="G63" s="30"/>
      <c r="I63" s="30"/>
      <c r="J63" s="30"/>
      <c r="K63" s="30"/>
      <c r="L63" s="30"/>
      <c r="M63" s="30"/>
      <c r="N63" s="30"/>
      <c r="P63" s="30"/>
      <c r="Q63" s="30"/>
      <c r="R63" s="30"/>
      <c r="S63" s="30"/>
      <c r="T63" s="30"/>
      <c r="U63" s="30"/>
      <c r="W63" s="30"/>
      <c r="X63" s="30"/>
      <c r="Y63" s="30"/>
      <c r="Z63" s="30"/>
      <c r="AA63" s="30"/>
      <c r="AB63" s="30"/>
      <c r="AD63" s="30"/>
      <c r="AE63" s="30"/>
      <c r="AF63" s="30"/>
      <c r="AG63" s="30"/>
      <c r="AH63" s="30"/>
      <c r="AI63" s="30"/>
      <c r="AK63" s="30"/>
      <c r="AL63" s="30"/>
      <c r="AM63" s="30"/>
      <c r="AN63" s="30"/>
      <c r="AO63" s="30"/>
      <c r="AP63" s="30"/>
    </row>
    <row r="64" customFormat="false" ht="15" hidden="false" customHeight="true" outlineLevel="0" collapsed="false">
      <c r="B64" s="32" t="n">
        <f aca="false">Linea!$J$111</f>
        <v>0.46139056417855</v>
      </c>
      <c r="C64" s="32"/>
      <c r="D64" s="32"/>
      <c r="E64" s="32"/>
      <c r="F64" s="32"/>
      <c r="G64" s="32"/>
      <c r="I64" s="32" t="n">
        <f aca="false">Linea!$J$112</f>
        <v>0.503155603314139</v>
      </c>
      <c r="J64" s="32"/>
      <c r="K64" s="32"/>
      <c r="L64" s="32"/>
      <c r="M64" s="32"/>
      <c r="N64" s="32"/>
      <c r="P64" s="32" t="n">
        <f aca="false">Linea!$J$113</f>
        <v>0.488151071623876</v>
      </c>
      <c r="Q64" s="32"/>
      <c r="R64" s="32"/>
      <c r="S64" s="32"/>
      <c r="T64" s="32"/>
      <c r="U64" s="32"/>
      <c r="W64" s="32" t="n">
        <f aca="false">Linea!$J$114</f>
        <v>0.584897929152236</v>
      </c>
      <c r="X64" s="32"/>
      <c r="Y64" s="32"/>
      <c r="Z64" s="32"/>
      <c r="AA64" s="32"/>
      <c r="AB64" s="32"/>
      <c r="AD64" s="32" t="n">
        <f aca="false">Linea!$J$115</f>
        <v>0.711625813801887</v>
      </c>
      <c r="AE64" s="32"/>
      <c r="AF64" s="32"/>
      <c r="AG64" s="32"/>
      <c r="AH64" s="32"/>
      <c r="AI64" s="32"/>
      <c r="AK64" s="32" t="n">
        <f aca="false">Linea!$J$116</f>
        <v>0.256247233367109</v>
      </c>
      <c r="AL64" s="32"/>
      <c r="AM64" s="32"/>
      <c r="AN64" s="32"/>
      <c r="AO64" s="32"/>
      <c r="AP64" s="32"/>
    </row>
    <row r="65" customFormat="false" ht="15" hidden="false" customHeight="true" outlineLevel="0" collapsed="false">
      <c r="AM65" s="31" t="s">
        <v>127</v>
      </c>
    </row>
    <row r="66" customFormat="false" ht="15" hidden="false" customHeight="true" outlineLevel="0" collapsed="false">
      <c r="I66" s="30" t="str">
        <f aca="false">Linea!$A$121&amp;". "&amp;Linea!$B$121&amp;CHAR(10)&amp;Linea!$I$121&amp;" recurso(s)"</f>
        <v>23. PH de mangueras (CO₂ y rodantes)
1 recurso(s)</v>
      </c>
      <c r="J66" s="30"/>
      <c r="K66" s="30"/>
      <c r="L66" s="30"/>
      <c r="M66" s="30"/>
      <c r="N66" s="30"/>
      <c r="P66" s="30" t="str">
        <f aca="false">Linea!$A$120&amp;". "&amp;Linea!$B$120&amp;CHAR(10)&amp;Linea!$I$120&amp;" recurso(s)"</f>
        <v>22. Inutilización y disposición final
1 recurso(s)</v>
      </c>
      <c r="Q66" s="30"/>
      <c r="R66" s="30"/>
      <c r="S66" s="30"/>
      <c r="T66" s="30"/>
      <c r="U66" s="30"/>
      <c r="W66" s="30" t="str">
        <f aca="false">Linea!$A$119&amp;". "&amp;Linea!$B$119&amp;CHAR(10)&amp;Linea!$I$119&amp;" recurso(s)"</f>
        <v>21. Precinto, etiqueta y despacho
4 recurso(s)</v>
      </c>
      <c r="X66" s="30"/>
      <c r="Y66" s="30"/>
      <c r="Z66" s="30"/>
      <c r="AA66" s="30"/>
      <c r="AB66" s="30"/>
      <c r="AD66" s="30" t="str">
        <f aca="false">Linea!$A$118&amp;". "&amp;Linea!$B$118&amp;CHAR(10)&amp;Linea!$I$118&amp;" recurso(s)"</f>
        <v>20. Ensayo de pérdidas
2 recurso(s)</v>
      </c>
      <c r="AE66" s="30"/>
      <c r="AF66" s="30"/>
      <c r="AG66" s="30"/>
      <c r="AH66" s="30"/>
      <c r="AI66" s="30"/>
      <c r="AK66" s="30" t="str">
        <f aca="false">Linea!$A$117&amp;". "&amp;Linea!$B$117&amp;CHAR(10)&amp;Linea!$I$117&amp;" recurso(s)"</f>
        <v>19. Control de peso (CO₂ y halogenados sin recarga)
1 recurso(s)</v>
      </c>
      <c r="AL66" s="30"/>
      <c r="AM66" s="30"/>
      <c r="AN66" s="30"/>
      <c r="AO66" s="30"/>
      <c r="AP66" s="30"/>
    </row>
    <row r="67" customFormat="false" ht="15" hidden="false" customHeight="true" outlineLevel="0" collapsed="false">
      <c r="I67" s="30"/>
      <c r="J67" s="30"/>
      <c r="K67" s="30"/>
      <c r="L67" s="30"/>
      <c r="M67" s="30"/>
      <c r="N67" s="30"/>
      <c r="O67" s="31" t="s">
        <v>128</v>
      </c>
      <c r="P67" s="30"/>
      <c r="Q67" s="30"/>
      <c r="R67" s="30"/>
      <c r="S67" s="30"/>
      <c r="T67" s="30"/>
      <c r="U67" s="30"/>
      <c r="V67" s="31" t="s">
        <v>128</v>
      </c>
      <c r="W67" s="30"/>
      <c r="X67" s="30"/>
      <c r="Y67" s="30"/>
      <c r="Z67" s="30"/>
      <c r="AA67" s="30"/>
      <c r="AB67" s="30"/>
      <c r="AC67" s="31" t="s">
        <v>128</v>
      </c>
      <c r="AD67" s="30"/>
      <c r="AE67" s="30"/>
      <c r="AF67" s="30"/>
      <c r="AG67" s="30"/>
      <c r="AH67" s="30"/>
      <c r="AI67" s="30"/>
      <c r="AJ67" s="31" t="s">
        <v>128</v>
      </c>
      <c r="AK67" s="30"/>
      <c r="AL67" s="30"/>
      <c r="AM67" s="30"/>
      <c r="AN67" s="30"/>
      <c r="AO67" s="30"/>
      <c r="AP67" s="30"/>
    </row>
    <row r="68" customFormat="false" ht="15" hidden="false" customHeight="true" outlineLevel="0" collapsed="false">
      <c r="I68" s="30"/>
      <c r="J68" s="30"/>
      <c r="K68" s="30"/>
      <c r="L68" s="30"/>
      <c r="M68" s="30"/>
      <c r="N68" s="30"/>
      <c r="P68" s="30"/>
      <c r="Q68" s="30"/>
      <c r="R68" s="30"/>
      <c r="S68" s="30"/>
      <c r="T68" s="30"/>
      <c r="U68" s="30"/>
      <c r="W68" s="30"/>
      <c r="X68" s="30"/>
      <c r="Y68" s="30"/>
      <c r="Z68" s="30"/>
      <c r="AA68" s="30"/>
      <c r="AB68" s="30"/>
      <c r="AD68" s="30"/>
      <c r="AE68" s="30"/>
      <c r="AF68" s="30"/>
      <c r="AG68" s="30"/>
      <c r="AH68" s="30"/>
      <c r="AI68" s="30"/>
      <c r="AK68" s="30"/>
      <c r="AL68" s="30"/>
      <c r="AM68" s="30"/>
      <c r="AN68" s="30"/>
      <c r="AO68" s="30"/>
      <c r="AP68" s="30"/>
    </row>
    <row r="69" customFormat="false" ht="15" hidden="false" customHeight="true" outlineLevel="0" collapsed="false">
      <c r="I69" s="32" t="n">
        <f aca="false">Linea!$J$121</f>
        <v>0.194236835985356</v>
      </c>
      <c r="J69" s="32"/>
      <c r="K69" s="32"/>
      <c r="L69" s="32"/>
      <c r="M69" s="32"/>
      <c r="N69" s="32"/>
      <c r="P69" s="32" t="n">
        <f aca="false">Linea!$J$120</f>
        <v>0.671765090059277</v>
      </c>
      <c r="Q69" s="32"/>
      <c r="R69" s="32"/>
      <c r="S69" s="32"/>
      <c r="T69" s="32"/>
      <c r="U69" s="32"/>
      <c r="W69" s="32" t="n">
        <f aca="false">Linea!$J$119</f>
        <v>0.469066470298276</v>
      </c>
      <c r="X69" s="32"/>
      <c r="Y69" s="32"/>
      <c r="Z69" s="32"/>
      <c r="AA69" s="32"/>
      <c r="AB69" s="32"/>
      <c r="AD69" s="32" t="n">
        <f aca="false">Linea!$J$118</f>
        <v>0.872681805206095</v>
      </c>
      <c r="AE69" s="32"/>
      <c r="AF69" s="32"/>
      <c r="AG69" s="32"/>
      <c r="AH69" s="32"/>
      <c r="AI69" s="32"/>
      <c r="AK69" s="32" t="n">
        <f aca="false">Linea!$J$117</f>
        <v>0.0446368096716545</v>
      </c>
      <c r="AL69" s="32"/>
      <c r="AM69" s="32"/>
      <c r="AN69" s="32"/>
      <c r="AO69" s="32"/>
      <c r="AP69" s="32"/>
    </row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</sheetData>
  <mergeCells count="134">
    <mergeCell ref="B5:G7"/>
    <mergeCell ref="I5:N7"/>
    <mergeCell ref="P5:U7"/>
    <mergeCell ref="W5:AB7"/>
    <mergeCell ref="AD5:AI7"/>
    <mergeCell ref="AK5:AP7"/>
    <mergeCell ref="B8:G8"/>
    <mergeCell ref="I8:N8"/>
    <mergeCell ref="P8:U8"/>
    <mergeCell ref="W8:AB8"/>
    <mergeCell ref="AD8:AI8"/>
    <mergeCell ref="AK8:AP8"/>
    <mergeCell ref="B10:G12"/>
    <mergeCell ref="I10:N12"/>
    <mergeCell ref="P10:U12"/>
    <mergeCell ref="W10:AB12"/>
    <mergeCell ref="AD10:AI12"/>
    <mergeCell ref="AK10:AP12"/>
    <mergeCell ref="B13:G13"/>
    <mergeCell ref="I13:N13"/>
    <mergeCell ref="P13:U13"/>
    <mergeCell ref="W13:AB13"/>
    <mergeCell ref="AD13:AI13"/>
    <mergeCell ref="AK13:AP13"/>
    <mergeCell ref="B15:G17"/>
    <mergeCell ref="I15:N17"/>
    <mergeCell ref="P15:U17"/>
    <mergeCell ref="W15:AB17"/>
    <mergeCell ref="AD15:AI17"/>
    <mergeCell ref="AK15:AP17"/>
    <mergeCell ref="B18:G18"/>
    <mergeCell ref="I18:N18"/>
    <mergeCell ref="P18:U18"/>
    <mergeCell ref="W18:AB18"/>
    <mergeCell ref="AD18:AI18"/>
    <mergeCell ref="AK18:AP18"/>
    <mergeCell ref="B20:G22"/>
    <mergeCell ref="I20:N22"/>
    <mergeCell ref="P20:U22"/>
    <mergeCell ref="W20:AB22"/>
    <mergeCell ref="AD20:AI22"/>
    <mergeCell ref="AK20:AP22"/>
    <mergeCell ref="B23:G23"/>
    <mergeCell ref="I23:N23"/>
    <mergeCell ref="P23:U23"/>
    <mergeCell ref="W23:AB23"/>
    <mergeCell ref="AD23:AI23"/>
    <mergeCell ref="AK23:AP23"/>
    <mergeCell ref="B25:G27"/>
    <mergeCell ref="I25:N27"/>
    <mergeCell ref="B28:G28"/>
    <mergeCell ref="I28:N28"/>
    <mergeCell ref="B33:G35"/>
    <mergeCell ref="I33:N35"/>
    <mergeCell ref="P33:U35"/>
    <mergeCell ref="W33:AB35"/>
    <mergeCell ref="AD33:AI35"/>
    <mergeCell ref="AK33:AP35"/>
    <mergeCell ref="B36:G36"/>
    <mergeCell ref="I36:N36"/>
    <mergeCell ref="P36:U36"/>
    <mergeCell ref="W36:AB36"/>
    <mergeCell ref="AD36:AI36"/>
    <mergeCell ref="AK36:AP36"/>
    <mergeCell ref="B38:G40"/>
    <mergeCell ref="I38:N40"/>
    <mergeCell ref="P38:U40"/>
    <mergeCell ref="W38:AB40"/>
    <mergeCell ref="AD38:AI40"/>
    <mergeCell ref="AK38:AP40"/>
    <mergeCell ref="B41:G41"/>
    <mergeCell ref="I41:N41"/>
    <mergeCell ref="P41:U41"/>
    <mergeCell ref="W41:AB41"/>
    <mergeCell ref="AD41:AI41"/>
    <mergeCell ref="AK41:AP41"/>
    <mergeCell ref="B43:G45"/>
    <mergeCell ref="I43:N45"/>
    <mergeCell ref="P43:U45"/>
    <mergeCell ref="W43:AB45"/>
    <mergeCell ref="AD43:AI45"/>
    <mergeCell ref="AK43:AP45"/>
    <mergeCell ref="B46:G46"/>
    <mergeCell ref="I46:N46"/>
    <mergeCell ref="P46:U46"/>
    <mergeCell ref="W46:AB46"/>
    <mergeCell ref="AD46:AI46"/>
    <mergeCell ref="AK46:AP46"/>
    <mergeCell ref="B51:G53"/>
    <mergeCell ref="I51:N53"/>
    <mergeCell ref="P51:U53"/>
    <mergeCell ref="W51:AB53"/>
    <mergeCell ref="AD51:AI53"/>
    <mergeCell ref="AK51:AP53"/>
    <mergeCell ref="B54:G54"/>
    <mergeCell ref="I54:N54"/>
    <mergeCell ref="P54:U54"/>
    <mergeCell ref="W54:AB54"/>
    <mergeCell ref="AD54:AI54"/>
    <mergeCell ref="AK54:AP54"/>
    <mergeCell ref="B56:G58"/>
    <mergeCell ref="I56:N58"/>
    <mergeCell ref="P56:U58"/>
    <mergeCell ref="W56:AB58"/>
    <mergeCell ref="AD56:AI58"/>
    <mergeCell ref="AK56:AP58"/>
    <mergeCell ref="B59:G59"/>
    <mergeCell ref="I59:N59"/>
    <mergeCell ref="P59:U59"/>
    <mergeCell ref="W59:AB59"/>
    <mergeCell ref="AD59:AI59"/>
    <mergeCell ref="AK59:AP59"/>
    <mergeCell ref="B61:G63"/>
    <mergeCell ref="I61:N63"/>
    <mergeCell ref="P61:U63"/>
    <mergeCell ref="W61:AB63"/>
    <mergeCell ref="AD61:AI63"/>
    <mergeCell ref="AK61:AP63"/>
    <mergeCell ref="B64:G64"/>
    <mergeCell ref="I64:N64"/>
    <mergeCell ref="P64:U64"/>
    <mergeCell ref="W64:AB64"/>
    <mergeCell ref="AD64:AI64"/>
    <mergeCell ref="AK64:AP64"/>
    <mergeCell ref="I66:N68"/>
    <mergeCell ref="P66:U68"/>
    <mergeCell ref="W66:AB68"/>
    <mergeCell ref="AD66:AI68"/>
    <mergeCell ref="AK66:AP68"/>
    <mergeCell ref="I69:N69"/>
    <mergeCell ref="P69:U69"/>
    <mergeCell ref="W69:AB69"/>
    <mergeCell ref="AD69:AI69"/>
    <mergeCell ref="AK69:AP69"/>
  </mergeCells>
  <conditionalFormatting sqref="B5:G8">
    <cfRule type="expression" priority="2" aboveAverage="0" equalAverage="0" bottom="0" percent="0" rank="0" text="" dxfId="2">
      <formula>$B$8&gt;=0.9</formula>
    </cfRule>
    <cfRule type="expression" priority="3" aboveAverage="0" equalAverage="0" bottom="0" percent="0" rank="0" text="" dxfId="4">
      <formula>AND($B$8&gt;=0.75,$B$8&lt;0.9)</formula>
    </cfRule>
    <cfRule type="expression" priority="4" aboveAverage="0" equalAverage="0" bottom="0" percent="0" rank="0" text="" dxfId="3">
      <formula>$B$8&lt;0.75</formula>
    </cfRule>
    <cfRule type="expression" priority="5" aboveAverage="0" equalAverage="0" bottom="0" percent="0" rank="0" text="" dxfId="5">
      <formula>$B$8=MAX(Linea!$J$19:$J$44)</formula>
    </cfRule>
  </conditionalFormatting>
  <conditionalFormatting sqref="I5:N8">
    <cfRule type="expression" priority="6" aboveAverage="0" equalAverage="0" bottom="0" percent="0" rank="0" text="" dxfId="2">
      <formula>$I$8&gt;=0.9</formula>
    </cfRule>
    <cfRule type="expression" priority="7" aboveAverage="0" equalAverage="0" bottom="0" percent="0" rank="0" text="" dxfId="4">
      <formula>AND($I$8&gt;=0.75,$I$8&lt;0.9)</formula>
    </cfRule>
    <cfRule type="expression" priority="8" aboveAverage="0" equalAverage="0" bottom="0" percent="0" rank="0" text="" dxfId="3">
      <formula>$I$8&lt;0.75</formula>
    </cfRule>
    <cfRule type="expression" priority="9" aboveAverage="0" equalAverage="0" bottom="0" percent="0" rank="0" text="" dxfId="5">
      <formula>$I$8=MAX(Linea!$J$19:$J$44)</formula>
    </cfRule>
  </conditionalFormatting>
  <conditionalFormatting sqref="P5:U8">
    <cfRule type="expression" priority="10" aboveAverage="0" equalAverage="0" bottom="0" percent="0" rank="0" text="" dxfId="2">
      <formula>$P$8&gt;=0.9</formula>
    </cfRule>
    <cfRule type="expression" priority="11" aboveAverage="0" equalAverage="0" bottom="0" percent="0" rank="0" text="" dxfId="4">
      <formula>AND($P$8&gt;=0.75,$P$8&lt;0.9)</formula>
    </cfRule>
    <cfRule type="expression" priority="12" aboveAverage="0" equalAverage="0" bottom="0" percent="0" rank="0" text="" dxfId="3">
      <formula>$P$8&lt;0.75</formula>
    </cfRule>
    <cfRule type="expression" priority="13" aboveAverage="0" equalAverage="0" bottom="0" percent="0" rank="0" text="" dxfId="5">
      <formula>$P$8=MAX(Linea!$J$19:$J$44)</formula>
    </cfRule>
  </conditionalFormatting>
  <conditionalFormatting sqref="W5:AB8">
    <cfRule type="expression" priority="14" aboveAverage="0" equalAverage="0" bottom="0" percent="0" rank="0" text="" dxfId="2">
      <formula>$W$8&gt;=0.9</formula>
    </cfRule>
    <cfRule type="expression" priority="15" aboveAverage="0" equalAverage="0" bottom="0" percent="0" rank="0" text="" dxfId="4">
      <formula>AND($W$8&gt;=0.75,$W$8&lt;0.9)</formula>
    </cfRule>
    <cfRule type="expression" priority="16" aboveAverage="0" equalAverage="0" bottom="0" percent="0" rank="0" text="" dxfId="3">
      <formula>$W$8&lt;0.75</formula>
    </cfRule>
    <cfRule type="expression" priority="17" aboveAverage="0" equalAverage="0" bottom="0" percent="0" rank="0" text="" dxfId="5">
      <formula>$W$8=MAX(Linea!$J$19:$J$44)</formula>
    </cfRule>
  </conditionalFormatting>
  <conditionalFormatting sqref="AD5:AI8">
    <cfRule type="expression" priority="18" aboveAverage="0" equalAverage="0" bottom="0" percent="0" rank="0" text="" dxfId="2">
      <formula>$AD$8&gt;=0.9</formula>
    </cfRule>
    <cfRule type="expression" priority="19" aboveAverage="0" equalAverage="0" bottom="0" percent="0" rank="0" text="" dxfId="4">
      <formula>AND($AD$8&gt;=0.75,$AD$8&lt;0.9)</formula>
    </cfRule>
    <cfRule type="expression" priority="20" aboveAverage="0" equalAverage="0" bottom="0" percent="0" rank="0" text="" dxfId="3">
      <formula>$AD$8&lt;0.75</formula>
    </cfRule>
    <cfRule type="expression" priority="21" aboveAverage="0" equalAverage="0" bottom="0" percent="0" rank="0" text="" dxfId="5">
      <formula>$AD$8=MAX(Linea!$J$19:$J$44)</formula>
    </cfRule>
  </conditionalFormatting>
  <conditionalFormatting sqref="AK5:AP8">
    <cfRule type="expression" priority="22" aboveAverage="0" equalAverage="0" bottom="0" percent="0" rank="0" text="" dxfId="2">
      <formula>$AK$8&gt;=0.9</formula>
    </cfRule>
    <cfRule type="expression" priority="23" aboveAverage="0" equalAverage="0" bottom="0" percent="0" rank="0" text="" dxfId="4">
      <formula>AND($AK$8&gt;=0.75,$AK$8&lt;0.9)</formula>
    </cfRule>
    <cfRule type="expression" priority="24" aboveAverage="0" equalAverage="0" bottom="0" percent="0" rank="0" text="" dxfId="3">
      <formula>$AK$8&lt;0.75</formula>
    </cfRule>
    <cfRule type="expression" priority="25" aboveAverage="0" equalAverage="0" bottom="0" percent="0" rank="0" text="" dxfId="5">
      <formula>$AK$8=MAX(Linea!$J$19:$J$44)</formula>
    </cfRule>
  </conditionalFormatting>
  <conditionalFormatting sqref="AK10:AP13">
    <cfRule type="expression" priority="26" aboveAverage="0" equalAverage="0" bottom="0" percent="0" rank="0" text="" dxfId="2">
      <formula>$AK$13&gt;=0.9</formula>
    </cfRule>
    <cfRule type="expression" priority="27" aboveAverage="0" equalAverage="0" bottom="0" percent="0" rank="0" text="" dxfId="4">
      <formula>AND($AK$13&gt;=0.75,$AK$13&lt;0.9)</formula>
    </cfRule>
    <cfRule type="expression" priority="28" aboveAverage="0" equalAverage="0" bottom="0" percent="0" rank="0" text="" dxfId="3">
      <formula>$AK$13&lt;0.75</formula>
    </cfRule>
    <cfRule type="expression" priority="29" aboveAverage="0" equalAverage="0" bottom="0" percent="0" rank="0" text="" dxfId="5">
      <formula>$AK$13=MAX(Linea!$J$19:$J$44)</formula>
    </cfRule>
  </conditionalFormatting>
  <conditionalFormatting sqref="AD10:AI13">
    <cfRule type="expression" priority="30" aboveAverage="0" equalAverage="0" bottom="0" percent="0" rank="0" text="" dxfId="2">
      <formula>$AD$13&gt;=0.9</formula>
    </cfRule>
    <cfRule type="expression" priority="31" aboveAverage="0" equalAverage="0" bottom="0" percent="0" rank="0" text="" dxfId="4">
      <formula>AND($AD$13&gt;=0.75,$AD$13&lt;0.9)</formula>
    </cfRule>
    <cfRule type="expression" priority="32" aboveAverage="0" equalAverage="0" bottom="0" percent="0" rank="0" text="" dxfId="3">
      <formula>$AD$13&lt;0.75</formula>
    </cfRule>
    <cfRule type="expression" priority="33" aboveAverage="0" equalAverage="0" bottom="0" percent="0" rank="0" text="" dxfId="5">
      <formula>$AD$13=MAX(Linea!$J$19:$J$44)</formula>
    </cfRule>
  </conditionalFormatting>
  <conditionalFormatting sqref="W10:AB13">
    <cfRule type="expression" priority="34" aboveAverage="0" equalAverage="0" bottom="0" percent="0" rank="0" text="" dxfId="2">
      <formula>$W$13&gt;=0.9</formula>
    </cfRule>
    <cfRule type="expression" priority="35" aboveAverage="0" equalAverage="0" bottom="0" percent="0" rank="0" text="" dxfId="4">
      <formula>AND($W$13&gt;=0.75,$W$13&lt;0.9)</formula>
    </cfRule>
    <cfRule type="expression" priority="36" aboveAverage="0" equalAverage="0" bottom="0" percent="0" rank="0" text="" dxfId="3">
      <formula>$W$13&lt;0.75</formula>
    </cfRule>
    <cfRule type="expression" priority="37" aboveAverage="0" equalAverage="0" bottom="0" percent="0" rank="0" text="" dxfId="5">
      <formula>$W$13=MAX(Linea!$J$19:$J$44)</formula>
    </cfRule>
  </conditionalFormatting>
  <conditionalFormatting sqref="P10:U13">
    <cfRule type="expression" priority="38" aboveAverage="0" equalAverage="0" bottom="0" percent="0" rank="0" text="" dxfId="2">
      <formula>$P$13&gt;=0.9</formula>
    </cfRule>
    <cfRule type="expression" priority="39" aboveAverage="0" equalAverage="0" bottom="0" percent="0" rank="0" text="" dxfId="4">
      <formula>AND($P$13&gt;=0.75,$P$13&lt;0.9)</formula>
    </cfRule>
    <cfRule type="expression" priority="40" aboveAverage="0" equalAverage="0" bottom="0" percent="0" rank="0" text="" dxfId="3">
      <formula>$P$13&lt;0.75</formula>
    </cfRule>
    <cfRule type="expression" priority="41" aboveAverage="0" equalAverage="0" bottom="0" percent="0" rank="0" text="" dxfId="5">
      <formula>$P$13=MAX(Linea!$J$19:$J$44)</formula>
    </cfRule>
  </conditionalFormatting>
  <conditionalFormatting sqref="I10:N13">
    <cfRule type="expression" priority="42" aboveAverage="0" equalAverage="0" bottom="0" percent="0" rank="0" text="" dxfId="2">
      <formula>$I$13&gt;=0.9</formula>
    </cfRule>
    <cfRule type="expression" priority="43" aboveAverage="0" equalAverage="0" bottom="0" percent="0" rank="0" text="" dxfId="4">
      <formula>AND($I$13&gt;=0.75,$I$13&lt;0.9)</formula>
    </cfRule>
    <cfRule type="expression" priority="44" aboveAverage="0" equalAverage="0" bottom="0" percent="0" rank="0" text="" dxfId="3">
      <formula>$I$13&lt;0.75</formula>
    </cfRule>
    <cfRule type="expression" priority="45" aboveAverage="0" equalAverage="0" bottom="0" percent="0" rank="0" text="" dxfId="5">
      <formula>$I$13=MAX(Linea!$J$19:$J$44)</formula>
    </cfRule>
  </conditionalFormatting>
  <conditionalFormatting sqref="B10:G13">
    <cfRule type="expression" priority="46" aboveAverage="0" equalAverage="0" bottom="0" percent="0" rank="0" text="" dxfId="2">
      <formula>$B$13&gt;=0.9</formula>
    </cfRule>
    <cfRule type="expression" priority="47" aboveAverage="0" equalAverage="0" bottom="0" percent="0" rank="0" text="" dxfId="4">
      <formula>AND($B$13&gt;=0.75,$B$13&lt;0.9)</formula>
    </cfRule>
    <cfRule type="expression" priority="48" aboveAverage="0" equalAverage="0" bottom="0" percent="0" rank="0" text="" dxfId="3">
      <formula>$B$13&lt;0.75</formula>
    </cfRule>
    <cfRule type="expression" priority="49" aboveAverage="0" equalAverage="0" bottom="0" percent="0" rank="0" text="" dxfId="5">
      <formula>$B$13=MAX(Linea!$J$19:$J$44)</formula>
    </cfRule>
  </conditionalFormatting>
  <conditionalFormatting sqref="B15:G18">
    <cfRule type="expression" priority="50" aboveAverage="0" equalAverage="0" bottom="0" percent="0" rank="0" text="" dxfId="2">
      <formula>$B$18&gt;=0.9</formula>
    </cfRule>
    <cfRule type="expression" priority="51" aboveAverage="0" equalAverage="0" bottom="0" percent="0" rank="0" text="" dxfId="4">
      <formula>AND($B$18&gt;=0.75,$B$18&lt;0.9)</formula>
    </cfRule>
    <cfRule type="expression" priority="52" aboveAverage="0" equalAverage="0" bottom="0" percent="0" rank="0" text="" dxfId="3">
      <formula>$B$18&lt;0.75</formula>
    </cfRule>
    <cfRule type="expression" priority="53" aboveAverage="0" equalAverage="0" bottom="0" percent="0" rank="0" text="" dxfId="5">
      <formula>$B$18=MAX(Linea!$J$19:$J$44)</formula>
    </cfRule>
  </conditionalFormatting>
  <conditionalFormatting sqref="I15:N18">
    <cfRule type="expression" priority="54" aboveAverage="0" equalAverage="0" bottom="0" percent="0" rank="0" text="" dxfId="2">
      <formula>$I$18&gt;=0.9</formula>
    </cfRule>
    <cfRule type="expression" priority="55" aboveAverage="0" equalAverage="0" bottom="0" percent="0" rank="0" text="" dxfId="4">
      <formula>AND($I$18&gt;=0.75,$I$18&lt;0.9)</formula>
    </cfRule>
    <cfRule type="expression" priority="56" aboveAverage="0" equalAverage="0" bottom="0" percent="0" rank="0" text="" dxfId="3">
      <formula>$I$18&lt;0.75</formula>
    </cfRule>
    <cfRule type="expression" priority="57" aboveAverage="0" equalAverage="0" bottom="0" percent="0" rank="0" text="" dxfId="5">
      <formula>$I$18=MAX(Linea!$J$19:$J$44)</formula>
    </cfRule>
  </conditionalFormatting>
  <conditionalFormatting sqref="P15:U18">
    <cfRule type="expression" priority="58" aboveAverage="0" equalAverage="0" bottom="0" percent="0" rank="0" text="" dxfId="2">
      <formula>$P$18&gt;=0.9</formula>
    </cfRule>
    <cfRule type="expression" priority="59" aboveAverage="0" equalAverage="0" bottom="0" percent="0" rank="0" text="" dxfId="4">
      <formula>AND($P$18&gt;=0.75,$P$18&lt;0.9)</formula>
    </cfRule>
    <cfRule type="expression" priority="60" aboveAverage="0" equalAverage="0" bottom="0" percent="0" rank="0" text="" dxfId="3">
      <formula>$P$18&lt;0.75</formula>
    </cfRule>
    <cfRule type="expression" priority="61" aboveAverage="0" equalAverage="0" bottom="0" percent="0" rank="0" text="" dxfId="5">
      <formula>$P$18=MAX(Linea!$J$19:$J$44)</formula>
    </cfRule>
  </conditionalFormatting>
  <conditionalFormatting sqref="W15:AB18">
    <cfRule type="expression" priority="62" aboveAverage="0" equalAverage="0" bottom="0" percent="0" rank="0" text="" dxfId="2">
      <formula>$W$18&gt;=0.9</formula>
    </cfRule>
    <cfRule type="expression" priority="63" aboveAverage="0" equalAverage="0" bottom="0" percent="0" rank="0" text="" dxfId="4">
      <formula>AND($W$18&gt;=0.75,$W$18&lt;0.9)</formula>
    </cfRule>
    <cfRule type="expression" priority="64" aboveAverage="0" equalAverage="0" bottom="0" percent="0" rank="0" text="" dxfId="3">
      <formula>$W$18&lt;0.75</formula>
    </cfRule>
    <cfRule type="expression" priority="65" aboveAverage="0" equalAverage="0" bottom="0" percent="0" rank="0" text="" dxfId="5">
      <formula>$W$18=MAX(Linea!$J$19:$J$44)</formula>
    </cfRule>
  </conditionalFormatting>
  <conditionalFormatting sqref="AD15:AI18">
    <cfRule type="expression" priority="66" aboveAverage="0" equalAverage="0" bottom="0" percent="0" rank="0" text="" dxfId="2">
      <formula>$AD$18&gt;=0.9</formula>
    </cfRule>
    <cfRule type="expression" priority="67" aboveAverage="0" equalAverage="0" bottom="0" percent="0" rank="0" text="" dxfId="4">
      <formula>AND($AD$18&gt;=0.75,$AD$18&lt;0.9)</formula>
    </cfRule>
    <cfRule type="expression" priority="68" aboveAverage="0" equalAverage="0" bottom="0" percent="0" rank="0" text="" dxfId="3">
      <formula>$AD$18&lt;0.75</formula>
    </cfRule>
    <cfRule type="expression" priority="69" aboveAverage="0" equalAverage="0" bottom="0" percent="0" rank="0" text="" dxfId="5">
      <formula>$AD$18=MAX(Linea!$J$19:$J$44)</formula>
    </cfRule>
  </conditionalFormatting>
  <conditionalFormatting sqref="AK15:AP18">
    <cfRule type="expression" priority="70" aboveAverage="0" equalAverage="0" bottom="0" percent="0" rank="0" text="" dxfId="2">
      <formula>$AK$18&gt;=0.9</formula>
    </cfRule>
    <cfRule type="expression" priority="71" aboveAverage="0" equalAverage="0" bottom="0" percent="0" rank="0" text="" dxfId="4">
      <formula>AND($AK$18&gt;=0.75,$AK$18&lt;0.9)</formula>
    </cfRule>
    <cfRule type="expression" priority="72" aboveAverage="0" equalAverage="0" bottom="0" percent="0" rank="0" text="" dxfId="3">
      <formula>$AK$18&lt;0.75</formula>
    </cfRule>
    <cfRule type="expression" priority="73" aboveAverage="0" equalAverage="0" bottom="0" percent="0" rank="0" text="" dxfId="5">
      <formula>$AK$18=MAX(Linea!$J$19:$J$44)</formula>
    </cfRule>
  </conditionalFormatting>
  <conditionalFormatting sqref="AK20:AP23">
    <cfRule type="expression" priority="74" aboveAverage="0" equalAverage="0" bottom="0" percent="0" rank="0" text="" dxfId="2">
      <formula>$AK$23&gt;=0.9</formula>
    </cfRule>
    <cfRule type="expression" priority="75" aboveAverage="0" equalAverage="0" bottom="0" percent="0" rank="0" text="" dxfId="4">
      <formula>AND($AK$23&gt;=0.75,$AK$23&lt;0.9)</formula>
    </cfRule>
    <cfRule type="expression" priority="76" aboveAverage="0" equalAverage="0" bottom="0" percent="0" rank="0" text="" dxfId="3">
      <formula>$AK$23&lt;0.75</formula>
    </cfRule>
    <cfRule type="expression" priority="77" aboveAverage="0" equalAverage="0" bottom="0" percent="0" rank="0" text="" dxfId="5">
      <formula>$AK$23=MAX(Linea!$J$19:$J$44)</formula>
    </cfRule>
  </conditionalFormatting>
  <conditionalFormatting sqref="AD20:AI23">
    <cfRule type="expression" priority="78" aboveAverage="0" equalAverage="0" bottom="0" percent="0" rank="0" text="" dxfId="2">
      <formula>$AD$23&gt;=0.9</formula>
    </cfRule>
    <cfRule type="expression" priority="79" aboveAverage="0" equalAverage="0" bottom="0" percent="0" rank="0" text="" dxfId="4">
      <formula>AND($AD$23&gt;=0.75,$AD$23&lt;0.9)</formula>
    </cfRule>
    <cfRule type="expression" priority="80" aboveAverage="0" equalAverage="0" bottom="0" percent="0" rank="0" text="" dxfId="3">
      <formula>$AD$23&lt;0.75</formula>
    </cfRule>
    <cfRule type="expression" priority="81" aboveAverage="0" equalAverage="0" bottom="0" percent="0" rank="0" text="" dxfId="5">
      <formula>$AD$23=MAX(Linea!$J$19:$J$44)</formula>
    </cfRule>
  </conditionalFormatting>
  <conditionalFormatting sqref="W20:AB23">
    <cfRule type="expression" priority="82" aboveAverage="0" equalAverage="0" bottom="0" percent="0" rank="0" text="" dxfId="2">
      <formula>$W$23&gt;=0.9</formula>
    </cfRule>
    <cfRule type="expression" priority="83" aboveAverage="0" equalAverage="0" bottom="0" percent="0" rank="0" text="" dxfId="4">
      <formula>AND($W$23&gt;=0.75,$W$23&lt;0.9)</formula>
    </cfRule>
    <cfRule type="expression" priority="84" aboveAverage="0" equalAverage="0" bottom="0" percent="0" rank="0" text="" dxfId="3">
      <formula>$W$23&lt;0.75</formula>
    </cfRule>
    <cfRule type="expression" priority="85" aboveAverage="0" equalAverage="0" bottom="0" percent="0" rank="0" text="" dxfId="5">
      <formula>$W$23=MAX(Linea!$J$19:$J$44)</formula>
    </cfRule>
  </conditionalFormatting>
  <conditionalFormatting sqref="P20:U23">
    <cfRule type="expression" priority="86" aboveAverage="0" equalAverage="0" bottom="0" percent="0" rank="0" text="" dxfId="2">
      <formula>$P$23&gt;=0.9</formula>
    </cfRule>
    <cfRule type="expression" priority="87" aboveAverage="0" equalAverage="0" bottom="0" percent="0" rank="0" text="" dxfId="4">
      <formula>AND($P$23&gt;=0.75,$P$23&lt;0.9)</formula>
    </cfRule>
    <cfRule type="expression" priority="88" aboveAverage="0" equalAverage="0" bottom="0" percent="0" rank="0" text="" dxfId="3">
      <formula>$P$23&lt;0.75</formula>
    </cfRule>
    <cfRule type="expression" priority="89" aboveAverage="0" equalAverage="0" bottom="0" percent="0" rank="0" text="" dxfId="5">
      <formula>$P$23=MAX(Linea!$J$19:$J$44)</formula>
    </cfRule>
  </conditionalFormatting>
  <conditionalFormatting sqref="I20:N23">
    <cfRule type="expression" priority="90" aboveAverage="0" equalAverage="0" bottom="0" percent="0" rank="0" text="" dxfId="2">
      <formula>$I$23&gt;=0.9</formula>
    </cfRule>
    <cfRule type="expression" priority="91" aboveAverage="0" equalAverage="0" bottom="0" percent="0" rank="0" text="" dxfId="4">
      <formula>AND($I$23&gt;=0.75,$I$23&lt;0.9)</formula>
    </cfRule>
    <cfRule type="expression" priority="92" aboveAverage="0" equalAverage="0" bottom="0" percent="0" rank="0" text="" dxfId="3">
      <formula>$I$23&lt;0.75</formula>
    </cfRule>
    <cfRule type="expression" priority="93" aboveAverage="0" equalAverage="0" bottom="0" percent="0" rank="0" text="" dxfId="5">
      <formula>$I$23=MAX(Linea!$J$19:$J$44)</formula>
    </cfRule>
  </conditionalFormatting>
  <conditionalFormatting sqref="B20:G23">
    <cfRule type="expression" priority="94" aboveAverage="0" equalAverage="0" bottom="0" percent="0" rank="0" text="" dxfId="2">
      <formula>$B$23&gt;=0.9</formula>
    </cfRule>
    <cfRule type="expression" priority="95" aboveAverage="0" equalAverage="0" bottom="0" percent="0" rank="0" text="" dxfId="4">
      <formula>AND($B$23&gt;=0.75,$B$23&lt;0.9)</formula>
    </cfRule>
    <cfRule type="expression" priority="96" aboveAverage="0" equalAverage="0" bottom="0" percent="0" rank="0" text="" dxfId="3">
      <formula>$B$23&lt;0.75</formula>
    </cfRule>
    <cfRule type="expression" priority="97" aboveAverage="0" equalAverage="0" bottom="0" percent="0" rank="0" text="" dxfId="5">
      <formula>$B$23=MAX(Linea!$J$19:$J$44)</formula>
    </cfRule>
  </conditionalFormatting>
  <conditionalFormatting sqref="B25:G28">
    <cfRule type="expression" priority="98" aboveAverage="0" equalAverage="0" bottom="0" percent="0" rank="0" text="" dxfId="2">
      <formula>$B$28&gt;=0.9</formula>
    </cfRule>
    <cfRule type="expression" priority="99" aboveAverage="0" equalAverage="0" bottom="0" percent="0" rank="0" text="" dxfId="4">
      <formula>AND($B$28&gt;=0.75,$B$28&lt;0.9)</formula>
    </cfRule>
    <cfRule type="expression" priority="100" aboveAverage="0" equalAverage="0" bottom="0" percent="0" rank="0" text="" dxfId="3">
      <formula>$B$28&lt;0.75</formula>
    </cfRule>
    <cfRule type="expression" priority="101" aboveAverage="0" equalAverage="0" bottom="0" percent="0" rank="0" text="" dxfId="5">
      <formula>$B$28=MAX(Linea!$J$19:$J$44)</formula>
    </cfRule>
  </conditionalFormatting>
  <conditionalFormatting sqref="I25:N28">
    <cfRule type="expression" priority="102" aboveAverage="0" equalAverage="0" bottom="0" percent="0" rank="0" text="" dxfId="2">
      <formula>$I$28&gt;=0.9</formula>
    </cfRule>
    <cfRule type="expression" priority="103" aboveAverage="0" equalAverage="0" bottom="0" percent="0" rank="0" text="" dxfId="4">
      <formula>AND($I$28&gt;=0.75,$I$28&lt;0.9)</formula>
    </cfRule>
    <cfRule type="expression" priority="104" aboveAverage="0" equalAverage="0" bottom="0" percent="0" rank="0" text="" dxfId="3">
      <formula>$I$28&lt;0.75</formula>
    </cfRule>
    <cfRule type="expression" priority="105" aboveAverage="0" equalAverage="0" bottom="0" percent="0" rank="0" text="" dxfId="5">
      <formula>$I$28=MAX(Linea!$J$19:$J$44)</formula>
    </cfRule>
  </conditionalFormatting>
  <conditionalFormatting sqref="B33:G36">
    <cfRule type="expression" priority="106" aboveAverage="0" equalAverage="0" bottom="0" percent="0" rank="0" text="" dxfId="2">
      <formula>$B$36&gt;=0.9</formula>
    </cfRule>
    <cfRule type="expression" priority="107" aboveAverage="0" equalAverage="0" bottom="0" percent="0" rank="0" text="" dxfId="4">
      <formula>AND($B$36&gt;=0.75,$B$36&lt;0.9)</formula>
    </cfRule>
    <cfRule type="expression" priority="108" aboveAverage="0" equalAverage="0" bottom="0" percent="0" rank="0" text="" dxfId="3">
      <formula>$B$36&lt;0.75</formula>
    </cfRule>
    <cfRule type="expression" priority="109" aboveAverage="0" equalAverage="0" bottom="0" percent="0" rank="0" text="" dxfId="5">
      <formula>$B$36=MAX(Linea!$J$63:$J$80)</formula>
    </cfRule>
  </conditionalFormatting>
  <conditionalFormatting sqref="I33:N36">
    <cfRule type="expression" priority="110" aboveAverage="0" equalAverage="0" bottom="0" percent="0" rank="0" text="" dxfId="2">
      <formula>$I$36&gt;=0.9</formula>
    </cfRule>
    <cfRule type="expression" priority="111" aboveAverage="0" equalAverage="0" bottom="0" percent="0" rank="0" text="" dxfId="4">
      <formula>AND($I$36&gt;=0.75,$I$36&lt;0.9)</formula>
    </cfRule>
    <cfRule type="expression" priority="112" aboveAverage="0" equalAverage="0" bottom="0" percent="0" rank="0" text="" dxfId="3">
      <formula>$I$36&lt;0.75</formula>
    </cfRule>
    <cfRule type="expression" priority="113" aboveAverage="0" equalAverage="0" bottom="0" percent="0" rank="0" text="" dxfId="5">
      <formula>$I$36=MAX(Linea!$J$63:$J$80)</formula>
    </cfRule>
  </conditionalFormatting>
  <conditionalFormatting sqref="P33:U36">
    <cfRule type="expression" priority="114" aboveAverage="0" equalAverage="0" bottom="0" percent="0" rank="0" text="" dxfId="2">
      <formula>$P$36&gt;=0.9</formula>
    </cfRule>
    <cfRule type="expression" priority="115" aboveAverage="0" equalAverage="0" bottom="0" percent="0" rank="0" text="" dxfId="4">
      <formula>AND($P$36&gt;=0.75,$P$36&lt;0.9)</formula>
    </cfRule>
    <cfRule type="expression" priority="116" aboveAverage="0" equalAverage="0" bottom="0" percent="0" rank="0" text="" dxfId="3">
      <formula>$P$36&lt;0.75</formula>
    </cfRule>
    <cfRule type="expression" priority="117" aboveAverage="0" equalAverage="0" bottom="0" percent="0" rank="0" text="" dxfId="5">
      <formula>$P$36=MAX(Linea!$J$63:$J$80)</formula>
    </cfRule>
  </conditionalFormatting>
  <conditionalFormatting sqref="W33:AB36">
    <cfRule type="expression" priority="118" aboveAverage="0" equalAverage="0" bottom="0" percent="0" rank="0" text="" dxfId="2">
      <formula>$W$36&gt;=0.9</formula>
    </cfRule>
    <cfRule type="expression" priority="119" aboveAverage="0" equalAverage="0" bottom="0" percent="0" rank="0" text="" dxfId="4">
      <formula>AND($W$36&gt;=0.75,$W$36&lt;0.9)</formula>
    </cfRule>
    <cfRule type="expression" priority="120" aboveAverage="0" equalAverage="0" bottom="0" percent="0" rank="0" text="" dxfId="3">
      <formula>$W$36&lt;0.75</formula>
    </cfRule>
    <cfRule type="expression" priority="121" aboveAverage="0" equalAverage="0" bottom="0" percent="0" rank="0" text="" dxfId="5">
      <formula>$W$36=MAX(Linea!$J$63:$J$80)</formula>
    </cfRule>
  </conditionalFormatting>
  <conditionalFormatting sqref="AD33:AI36">
    <cfRule type="expression" priority="122" aboveAverage="0" equalAverage="0" bottom="0" percent="0" rank="0" text="" dxfId="2">
      <formula>$AD$36&gt;=0.9</formula>
    </cfRule>
    <cfRule type="expression" priority="123" aboveAverage="0" equalAverage="0" bottom="0" percent="0" rank="0" text="" dxfId="4">
      <formula>AND($AD$36&gt;=0.75,$AD$36&lt;0.9)</formula>
    </cfRule>
    <cfRule type="expression" priority="124" aboveAverage="0" equalAverage="0" bottom="0" percent="0" rank="0" text="" dxfId="3">
      <formula>$AD$36&lt;0.75</formula>
    </cfRule>
    <cfRule type="expression" priority="125" aboveAverage="0" equalAverage="0" bottom="0" percent="0" rank="0" text="" dxfId="5">
      <formula>$AD$36=MAX(Linea!$J$63:$J$80)</formula>
    </cfRule>
  </conditionalFormatting>
  <conditionalFormatting sqref="AK33:AP36">
    <cfRule type="expression" priority="126" aboveAverage="0" equalAverage="0" bottom="0" percent="0" rank="0" text="" dxfId="2">
      <formula>$AK$36&gt;=0.9</formula>
    </cfRule>
    <cfRule type="expression" priority="127" aboveAverage="0" equalAverage="0" bottom="0" percent="0" rank="0" text="" dxfId="4">
      <formula>AND($AK$36&gt;=0.75,$AK$36&lt;0.9)</formula>
    </cfRule>
    <cfRule type="expression" priority="128" aboveAverage="0" equalAverage="0" bottom="0" percent="0" rank="0" text="" dxfId="3">
      <formula>$AK$36&lt;0.75</formula>
    </cfRule>
    <cfRule type="expression" priority="129" aboveAverage="0" equalAverage="0" bottom="0" percent="0" rank="0" text="" dxfId="5">
      <formula>$AK$36=MAX(Linea!$J$63:$J$80)</formula>
    </cfRule>
  </conditionalFormatting>
  <conditionalFormatting sqref="AK38:AP41">
    <cfRule type="expression" priority="130" aboveAverage="0" equalAverage="0" bottom="0" percent="0" rank="0" text="" dxfId="2">
      <formula>$AK$41&gt;=0.9</formula>
    </cfRule>
    <cfRule type="expression" priority="131" aboveAverage="0" equalAverage="0" bottom="0" percent="0" rank="0" text="" dxfId="4">
      <formula>AND($AK$41&gt;=0.75,$AK$41&lt;0.9)</formula>
    </cfRule>
    <cfRule type="expression" priority="132" aboveAverage="0" equalAverage="0" bottom="0" percent="0" rank="0" text="" dxfId="3">
      <formula>$AK$41&lt;0.75</formula>
    </cfRule>
    <cfRule type="expression" priority="133" aboveAverage="0" equalAverage="0" bottom="0" percent="0" rank="0" text="" dxfId="5">
      <formula>$AK$41=MAX(Linea!$J$63:$J$80)</formula>
    </cfRule>
  </conditionalFormatting>
  <conditionalFormatting sqref="AD38:AI41">
    <cfRule type="expression" priority="134" aboveAverage="0" equalAverage="0" bottom="0" percent="0" rank="0" text="" dxfId="2">
      <formula>$AD$41&gt;=0.9</formula>
    </cfRule>
    <cfRule type="expression" priority="135" aboveAverage="0" equalAverage="0" bottom="0" percent="0" rank="0" text="" dxfId="4">
      <formula>AND($AD$41&gt;=0.75,$AD$41&lt;0.9)</formula>
    </cfRule>
    <cfRule type="expression" priority="136" aboveAverage="0" equalAverage="0" bottom="0" percent="0" rank="0" text="" dxfId="3">
      <formula>$AD$41&lt;0.75</formula>
    </cfRule>
    <cfRule type="expression" priority="137" aboveAverage="0" equalAverage="0" bottom="0" percent="0" rank="0" text="" dxfId="5">
      <formula>$AD$41=MAX(Linea!$J$63:$J$80)</formula>
    </cfRule>
  </conditionalFormatting>
  <conditionalFormatting sqref="W38:AB41">
    <cfRule type="expression" priority="138" aboveAverage="0" equalAverage="0" bottom="0" percent="0" rank="0" text="" dxfId="2">
      <formula>$W$41&gt;=0.9</formula>
    </cfRule>
    <cfRule type="expression" priority="139" aboveAverage="0" equalAverage="0" bottom="0" percent="0" rank="0" text="" dxfId="4">
      <formula>AND($W$41&gt;=0.75,$W$41&lt;0.9)</formula>
    </cfRule>
    <cfRule type="expression" priority="140" aboveAverage="0" equalAverage="0" bottom="0" percent="0" rank="0" text="" dxfId="3">
      <formula>$W$41&lt;0.75</formula>
    </cfRule>
    <cfRule type="expression" priority="141" aboveAverage="0" equalAverage="0" bottom="0" percent="0" rank="0" text="" dxfId="5">
      <formula>$W$41=MAX(Linea!$J$63:$J$80)</formula>
    </cfRule>
  </conditionalFormatting>
  <conditionalFormatting sqref="P38:U41">
    <cfRule type="expression" priority="142" aboveAverage="0" equalAverage="0" bottom="0" percent="0" rank="0" text="" dxfId="2">
      <formula>$P$41&gt;=0.9</formula>
    </cfRule>
    <cfRule type="expression" priority="143" aboveAverage="0" equalAverage="0" bottom="0" percent="0" rank="0" text="" dxfId="4">
      <formula>AND($P$41&gt;=0.75,$P$41&lt;0.9)</formula>
    </cfRule>
    <cfRule type="expression" priority="144" aboveAverage="0" equalAverage="0" bottom="0" percent="0" rank="0" text="" dxfId="3">
      <formula>$P$41&lt;0.75</formula>
    </cfRule>
    <cfRule type="expression" priority="145" aboveAverage="0" equalAverage="0" bottom="0" percent="0" rank="0" text="" dxfId="5">
      <formula>$P$41=MAX(Linea!$J$63:$J$80)</formula>
    </cfRule>
  </conditionalFormatting>
  <conditionalFormatting sqref="I38:N41">
    <cfRule type="expression" priority="146" aboveAverage="0" equalAverage="0" bottom="0" percent="0" rank="0" text="" dxfId="2">
      <formula>$I$41&gt;=0.9</formula>
    </cfRule>
    <cfRule type="expression" priority="147" aboveAverage="0" equalAverage="0" bottom="0" percent="0" rank="0" text="" dxfId="4">
      <formula>AND($I$41&gt;=0.75,$I$41&lt;0.9)</formula>
    </cfRule>
    <cfRule type="expression" priority="148" aboveAverage="0" equalAverage="0" bottom="0" percent="0" rank="0" text="" dxfId="3">
      <formula>$I$41&lt;0.75</formula>
    </cfRule>
    <cfRule type="expression" priority="149" aboveAverage="0" equalAverage="0" bottom="0" percent="0" rank="0" text="" dxfId="5">
      <formula>$I$41=MAX(Linea!$J$63:$J$80)</formula>
    </cfRule>
  </conditionalFormatting>
  <conditionalFormatting sqref="B38:G41">
    <cfRule type="expression" priority="150" aboveAverage="0" equalAverage="0" bottom="0" percent="0" rank="0" text="" dxfId="2">
      <formula>$B$41&gt;=0.9</formula>
    </cfRule>
    <cfRule type="expression" priority="151" aboveAverage="0" equalAverage="0" bottom="0" percent="0" rank="0" text="" dxfId="4">
      <formula>AND($B$41&gt;=0.75,$B$41&lt;0.9)</formula>
    </cfRule>
    <cfRule type="expression" priority="152" aboveAverage="0" equalAverage="0" bottom="0" percent="0" rank="0" text="" dxfId="3">
      <formula>$B$41&lt;0.75</formula>
    </cfRule>
    <cfRule type="expression" priority="153" aboveAverage="0" equalAverage="0" bottom="0" percent="0" rank="0" text="" dxfId="5">
      <formula>$B$41=MAX(Linea!$J$63:$J$80)</formula>
    </cfRule>
  </conditionalFormatting>
  <conditionalFormatting sqref="B43:G46">
    <cfRule type="expression" priority="154" aboveAverage="0" equalAverage="0" bottom="0" percent="0" rank="0" text="" dxfId="2">
      <formula>$B$46&gt;=0.9</formula>
    </cfRule>
    <cfRule type="expression" priority="155" aboveAverage="0" equalAverage="0" bottom="0" percent="0" rank="0" text="" dxfId="4">
      <formula>AND($B$46&gt;=0.75,$B$46&lt;0.9)</formula>
    </cfRule>
    <cfRule type="expression" priority="156" aboveAverage="0" equalAverage="0" bottom="0" percent="0" rank="0" text="" dxfId="3">
      <formula>$B$46&lt;0.75</formula>
    </cfRule>
    <cfRule type="expression" priority="157" aboveAverage="0" equalAverage="0" bottom="0" percent="0" rank="0" text="" dxfId="5">
      <formula>$B$46=MAX(Linea!$J$63:$J$80)</formula>
    </cfRule>
  </conditionalFormatting>
  <conditionalFormatting sqref="I43:N46">
    <cfRule type="expression" priority="158" aboveAverage="0" equalAverage="0" bottom="0" percent="0" rank="0" text="" dxfId="2">
      <formula>$I$46&gt;=0.9</formula>
    </cfRule>
    <cfRule type="expression" priority="159" aboveAverage="0" equalAverage="0" bottom="0" percent="0" rank="0" text="" dxfId="4">
      <formula>AND($I$46&gt;=0.75,$I$46&lt;0.9)</formula>
    </cfRule>
    <cfRule type="expression" priority="160" aboveAverage="0" equalAverage="0" bottom="0" percent="0" rank="0" text="" dxfId="3">
      <formula>$I$46&lt;0.75</formula>
    </cfRule>
    <cfRule type="expression" priority="161" aboveAverage="0" equalAverage="0" bottom="0" percent="0" rank="0" text="" dxfId="5">
      <formula>$I$46=MAX(Linea!$J$63:$J$80)</formula>
    </cfRule>
  </conditionalFormatting>
  <conditionalFormatting sqref="P43:U46">
    <cfRule type="expression" priority="162" aboveAverage="0" equalAverage="0" bottom="0" percent="0" rank="0" text="" dxfId="2">
      <formula>$P$46&gt;=0.9</formula>
    </cfRule>
    <cfRule type="expression" priority="163" aboveAverage="0" equalAverage="0" bottom="0" percent="0" rank="0" text="" dxfId="4">
      <formula>AND($P$46&gt;=0.75,$P$46&lt;0.9)</formula>
    </cfRule>
    <cfRule type="expression" priority="164" aboveAverage="0" equalAverage="0" bottom="0" percent="0" rank="0" text="" dxfId="3">
      <formula>$P$46&lt;0.75</formula>
    </cfRule>
    <cfRule type="expression" priority="165" aboveAverage="0" equalAverage="0" bottom="0" percent="0" rank="0" text="" dxfId="5">
      <formula>$P$46=MAX(Linea!$J$63:$J$80)</formula>
    </cfRule>
  </conditionalFormatting>
  <conditionalFormatting sqref="W43:AB46">
    <cfRule type="expression" priority="166" aboveAverage="0" equalAverage="0" bottom="0" percent="0" rank="0" text="" dxfId="2">
      <formula>$W$46&gt;=0.9</formula>
    </cfRule>
    <cfRule type="expression" priority="167" aboveAverage="0" equalAverage="0" bottom="0" percent="0" rank="0" text="" dxfId="4">
      <formula>AND($W$46&gt;=0.75,$W$46&lt;0.9)</formula>
    </cfRule>
    <cfRule type="expression" priority="168" aboveAverage="0" equalAverage="0" bottom="0" percent="0" rank="0" text="" dxfId="3">
      <formula>$W$46&lt;0.75</formula>
    </cfRule>
    <cfRule type="expression" priority="169" aboveAverage="0" equalAverage="0" bottom="0" percent="0" rank="0" text="" dxfId="5">
      <formula>$W$46=MAX(Linea!$J$63:$J$80)</formula>
    </cfRule>
  </conditionalFormatting>
  <conditionalFormatting sqref="AD43:AI46">
    <cfRule type="expression" priority="170" aboveAverage="0" equalAverage="0" bottom="0" percent="0" rank="0" text="" dxfId="2">
      <formula>$AD$46&gt;=0.9</formula>
    </cfRule>
    <cfRule type="expression" priority="171" aboveAverage="0" equalAverage="0" bottom="0" percent="0" rank="0" text="" dxfId="4">
      <formula>AND($AD$46&gt;=0.75,$AD$46&lt;0.9)</formula>
    </cfRule>
    <cfRule type="expression" priority="172" aboveAverage="0" equalAverage="0" bottom="0" percent="0" rank="0" text="" dxfId="3">
      <formula>$AD$46&lt;0.75</formula>
    </cfRule>
    <cfRule type="expression" priority="173" aboveAverage="0" equalAverage="0" bottom="0" percent="0" rank="0" text="" dxfId="5">
      <formula>$AD$46=MAX(Linea!$J$63:$J$80)</formula>
    </cfRule>
  </conditionalFormatting>
  <conditionalFormatting sqref="AK43:AP46">
    <cfRule type="expression" priority="174" aboveAverage="0" equalAverage="0" bottom="0" percent="0" rank="0" text="" dxfId="2">
      <formula>$AK$46&gt;=0.9</formula>
    </cfRule>
    <cfRule type="expression" priority="175" aboveAverage="0" equalAverage="0" bottom="0" percent="0" rank="0" text="" dxfId="4">
      <formula>AND($AK$46&gt;=0.75,$AK$46&lt;0.9)</formula>
    </cfRule>
    <cfRule type="expression" priority="176" aboveAverage="0" equalAverage="0" bottom="0" percent="0" rank="0" text="" dxfId="3">
      <formula>$AK$46&lt;0.75</formula>
    </cfRule>
    <cfRule type="expression" priority="177" aboveAverage="0" equalAverage="0" bottom="0" percent="0" rank="0" text="" dxfId="5">
      <formula>$AK$46=MAX(Linea!$J$63:$J$80)</formula>
    </cfRule>
  </conditionalFormatting>
  <conditionalFormatting sqref="B51:G54">
    <cfRule type="expression" priority="178" aboveAverage="0" equalAverage="0" bottom="0" percent="0" rank="0" text="" dxfId="2">
      <formula>$B$54&gt;=0.9</formula>
    </cfRule>
    <cfRule type="expression" priority="179" aboveAverage="0" equalAverage="0" bottom="0" percent="0" rank="0" text="" dxfId="4">
      <formula>AND($B$54&gt;=0.75,$B$54&lt;0.9)</formula>
    </cfRule>
    <cfRule type="expression" priority="180" aboveAverage="0" equalAverage="0" bottom="0" percent="0" rank="0" text="" dxfId="3">
      <formula>$B$54&lt;0.75</formula>
    </cfRule>
    <cfRule type="expression" priority="181" aboveAverage="0" equalAverage="0" bottom="0" percent="0" rank="0" text="" dxfId="5">
      <formula>$B$54=MAX(Linea!$J$99:$J$121)</formula>
    </cfRule>
  </conditionalFormatting>
  <conditionalFormatting sqref="I51:N54">
    <cfRule type="expression" priority="182" aboveAverage="0" equalAverage="0" bottom="0" percent="0" rank="0" text="" dxfId="2">
      <formula>$I$54&gt;=0.9</formula>
    </cfRule>
    <cfRule type="expression" priority="183" aboveAverage="0" equalAverage="0" bottom="0" percent="0" rank="0" text="" dxfId="4">
      <formula>AND($I$54&gt;=0.75,$I$54&lt;0.9)</formula>
    </cfRule>
    <cfRule type="expression" priority="184" aboveAverage="0" equalAverage="0" bottom="0" percent="0" rank="0" text="" dxfId="3">
      <formula>$I$54&lt;0.75</formula>
    </cfRule>
    <cfRule type="expression" priority="185" aboveAverage="0" equalAverage="0" bottom="0" percent="0" rank="0" text="" dxfId="5">
      <formula>$I$54=MAX(Linea!$J$99:$J$121)</formula>
    </cfRule>
  </conditionalFormatting>
  <conditionalFormatting sqref="P51:U54">
    <cfRule type="expression" priority="186" aboveAverage="0" equalAverage="0" bottom="0" percent="0" rank="0" text="" dxfId="2">
      <formula>$P$54&gt;=0.9</formula>
    </cfRule>
    <cfRule type="expression" priority="187" aboveAverage="0" equalAverage="0" bottom="0" percent="0" rank="0" text="" dxfId="4">
      <formula>AND($P$54&gt;=0.75,$P$54&lt;0.9)</formula>
    </cfRule>
    <cfRule type="expression" priority="188" aboveAverage="0" equalAverage="0" bottom="0" percent="0" rank="0" text="" dxfId="3">
      <formula>$P$54&lt;0.75</formula>
    </cfRule>
    <cfRule type="expression" priority="189" aboveAverage="0" equalAverage="0" bottom="0" percent="0" rank="0" text="" dxfId="5">
      <formula>$P$54=MAX(Linea!$J$99:$J$121)</formula>
    </cfRule>
  </conditionalFormatting>
  <conditionalFormatting sqref="W51:AB54">
    <cfRule type="expression" priority="190" aboveAverage="0" equalAverage="0" bottom="0" percent="0" rank="0" text="" dxfId="2">
      <formula>$W$54&gt;=0.9</formula>
    </cfRule>
    <cfRule type="expression" priority="191" aboveAverage="0" equalAverage="0" bottom="0" percent="0" rank="0" text="" dxfId="4">
      <formula>AND($W$54&gt;=0.75,$W$54&lt;0.9)</formula>
    </cfRule>
    <cfRule type="expression" priority="192" aboveAverage="0" equalAverage="0" bottom="0" percent="0" rank="0" text="" dxfId="3">
      <formula>$W$54&lt;0.75</formula>
    </cfRule>
    <cfRule type="expression" priority="193" aboveAverage="0" equalAverage="0" bottom="0" percent="0" rank="0" text="" dxfId="5">
      <formula>$W$54=MAX(Linea!$J$99:$J$121)</formula>
    </cfRule>
  </conditionalFormatting>
  <conditionalFormatting sqref="AD51:AI54">
    <cfRule type="expression" priority="194" aboveAverage="0" equalAverage="0" bottom="0" percent="0" rank="0" text="" dxfId="2">
      <formula>$AD$54&gt;=0.9</formula>
    </cfRule>
    <cfRule type="expression" priority="195" aboveAverage="0" equalAverage="0" bottom="0" percent="0" rank="0" text="" dxfId="4">
      <formula>AND($AD$54&gt;=0.75,$AD$54&lt;0.9)</formula>
    </cfRule>
    <cfRule type="expression" priority="196" aboveAverage="0" equalAverage="0" bottom="0" percent="0" rank="0" text="" dxfId="3">
      <formula>$AD$54&lt;0.75</formula>
    </cfRule>
    <cfRule type="expression" priority="197" aboveAverage="0" equalAverage="0" bottom="0" percent="0" rank="0" text="" dxfId="5">
      <formula>$AD$54=MAX(Linea!$J$99:$J$121)</formula>
    </cfRule>
  </conditionalFormatting>
  <conditionalFormatting sqref="AK51:AP54">
    <cfRule type="expression" priority="198" aboveAverage="0" equalAverage="0" bottom="0" percent="0" rank="0" text="" dxfId="2">
      <formula>$AK$54&gt;=0.9</formula>
    </cfRule>
    <cfRule type="expression" priority="199" aboveAverage="0" equalAverage="0" bottom="0" percent="0" rank="0" text="" dxfId="4">
      <formula>AND($AK$54&gt;=0.75,$AK$54&lt;0.9)</formula>
    </cfRule>
    <cfRule type="expression" priority="200" aboveAverage="0" equalAverage="0" bottom="0" percent="0" rank="0" text="" dxfId="3">
      <formula>$AK$54&lt;0.75</formula>
    </cfRule>
    <cfRule type="expression" priority="201" aboveAverage="0" equalAverage="0" bottom="0" percent="0" rank="0" text="" dxfId="5">
      <formula>$AK$54=MAX(Linea!$J$99:$J$121)</formula>
    </cfRule>
  </conditionalFormatting>
  <conditionalFormatting sqref="AK56:AP59">
    <cfRule type="expression" priority="202" aboveAverage="0" equalAverage="0" bottom="0" percent="0" rank="0" text="" dxfId="2">
      <formula>$AK$59&gt;=0.9</formula>
    </cfRule>
    <cfRule type="expression" priority="203" aboveAverage="0" equalAverage="0" bottom="0" percent="0" rank="0" text="" dxfId="4">
      <formula>AND($AK$59&gt;=0.75,$AK$59&lt;0.9)</formula>
    </cfRule>
    <cfRule type="expression" priority="204" aboveAverage="0" equalAverage="0" bottom="0" percent="0" rank="0" text="" dxfId="3">
      <formula>$AK$59&lt;0.75</formula>
    </cfRule>
    <cfRule type="expression" priority="205" aboveAverage="0" equalAverage="0" bottom="0" percent="0" rank="0" text="" dxfId="5">
      <formula>$AK$59=MAX(Linea!$J$99:$J$121)</formula>
    </cfRule>
  </conditionalFormatting>
  <conditionalFormatting sqref="AD56:AI59">
    <cfRule type="expression" priority="206" aboveAverage="0" equalAverage="0" bottom="0" percent="0" rank="0" text="" dxfId="2">
      <formula>$AD$59&gt;=0.9</formula>
    </cfRule>
    <cfRule type="expression" priority="207" aboveAverage="0" equalAverage="0" bottom="0" percent="0" rank="0" text="" dxfId="4">
      <formula>AND($AD$59&gt;=0.75,$AD$59&lt;0.9)</formula>
    </cfRule>
    <cfRule type="expression" priority="208" aboveAverage="0" equalAverage="0" bottom="0" percent="0" rank="0" text="" dxfId="3">
      <formula>$AD$59&lt;0.75</formula>
    </cfRule>
    <cfRule type="expression" priority="209" aboveAverage="0" equalAverage="0" bottom="0" percent="0" rank="0" text="" dxfId="5">
      <formula>$AD$59=MAX(Linea!$J$99:$J$121)</formula>
    </cfRule>
  </conditionalFormatting>
  <conditionalFormatting sqref="W56:AB59">
    <cfRule type="expression" priority="210" aboveAverage="0" equalAverage="0" bottom="0" percent="0" rank="0" text="" dxfId="2">
      <formula>$W$59&gt;=0.9</formula>
    </cfRule>
    <cfRule type="expression" priority="211" aboveAverage="0" equalAverage="0" bottom="0" percent="0" rank="0" text="" dxfId="4">
      <formula>AND($W$59&gt;=0.75,$W$59&lt;0.9)</formula>
    </cfRule>
    <cfRule type="expression" priority="212" aboveAverage="0" equalAverage="0" bottom="0" percent="0" rank="0" text="" dxfId="3">
      <formula>$W$59&lt;0.75</formula>
    </cfRule>
    <cfRule type="expression" priority="213" aboveAverage="0" equalAverage="0" bottom="0" percent="0" rank="0" text="" dxfId="5">
      <formula>$W$59=MAX(Linea!$J$99:$J$121)</formula>
    </cfRule>
  </conditionalFormatting>
  <conditionalFormatting sqref="P56:U59">
    <cfRule type="expression" priority="214" aboveAverage="0" equalAverage="0" bottom="0" percent="0" rank="0" text="" dxfId="2">
      <formula>$P$59&gt;=0.9</formula>
    </cfRule>
    <cfRule type="expression" priority="215" aboveAverage="0" equalAverage="0" bottom="0" percent="0" rank="0" text="" dxfId="4">
      <formula>AND($P$59&gt;=0.75,$P$59&lt;0.9)</formula>
    </cfRule>
    <cfRule type="expression" priority="216" aboveAverage="0" equalAverage="0" bottom="0" percent="0" rank="0" text="" dxfId="3">
      <formula>$P$59&lt;0.75</formula>
    </cfRule>
    <cfRule type="expression" priority="217" aboveAverage="0" equalAverage="0" bottom="0" percent="0" rank="0" text="" dxfId="5">
      <formula>$P$59=MAX(Linea!$J$99:$J$121)</formula>
    </cfRule>
  </conditionalFormatting>
  <conditionalFormatting sqref="I56:N59">
    <cfRule type="expression" priority="218" aboveAverage="0" equalAverage="0" bottom="0" percent="0" rank="0" text="" dxfId="2">
      <formula>$I$59&gt;=0.9</formula>
    </cfRule>
    <cfRule type="expression" priority="219" aboveAverage="0" equalAverage="0" bottom="0" percent="0" rank="0" text="" dxfId="4">
      <formula>AND($I$59&gt;=0.75,$I$59&lt;0.9)</formula>
    </cfRule>
    <cfRule type="expression" priority="220" aboveAverage="0" equalAverage="0" bottom="0" percent="0" rank="0" text="" dxfId="3">
      <formula>$I$59&lt;0.75</formula>
    </cfRule>
    <cfRule type="expression" priority="221" aboveAverage="0" equalAverage="0" bottom="0" percent="0" rank="0" text="" dxfId="5">
      <formula>$I$59=MAX(Linea!$J$99:$J$121)</formula>
    </cfRule>
  </conditionalFormatting>
  <conditionalFormatting sqref="B56:G59">
    <cfRule type="expression" priority="222" aboveAverage="0" equalAverage="0" bottom="0" percent="0" rank="0" text="" dxfId="2">
      <formula>$B$59&gt;=0.9</formula>
    </cfRule>
    <cfRule type="expression" priority="223" aboveAverage="0" equalAverage="0" bottom="0" percent="0" rank="0" text="" dxfId="4">
      <formula>AND($B$59&gt;=0.75,$B$59&lt;0.9)</formula>
    </cfRule>
    <cfRule type="expression" priority="224" aboveAverage="0" equalAverage="0" bottom="0" percent="0" rank="0" text="" dxfId="3">
      <formula>$B$59&lt;0.75</formula>
    </cfRule>
    <cfRule type="expression" priority="225" aboveAverage="0" equalAverage="0" bottom="0" percent="0" rank="0" text="" dxfId="5">
      <formula>$B$59=MAX(Linea!$J$99:$J$121)</formula>
    </cfRule>
  </conditionalFormatting>
  <conditionalFormatting sqref="B61:G64">
    <cfRule type="expression" priority="226" aboveAverage="0" equalAverage="0" bottom="0" percent="0" rank="0" text="" dxfId="2">
      <formula>$B$64&gt;=0.9</formula>
    </cfRule>
    <cfRule type="expression" priority="227" aboveAverage="0" equalAverage="0" bottom="0" percent="0" rank="0" text="" dxfId="4">
      <formula>AND($B$64&gt;=0.75,$B$64&lt;0.9)</formula>
    </cfRule>
    <cfRule type="expression" priority="228" aboveAverage="0" equalAverage="0" bottom="0" percent="0" rank="0" text="" dxfId="3">
      <formula>$B$64&lt;0.75</formula>
    </cfRule>
    <cfRule type="expression" priority="229" aboveAverage="0" equalAverage="0" bottom="0" percent="0" rank="0" text="" dxfId="5">
      <formula>$B$64=MAX(Linea!$J$99:$J$121)</formula>
    </cfRule>
  </conditionalFormatting>
  <conditionalFormatting sqref="I61:N64">
    <cfRule type="expression" priority="230" aboveAverage="0" equalAverage="0" bottom="0" percent="0" rank="0" text="" dxfId="2">
      <formula>$I$64&gt;=0.9</formula>
    </cfRule>
    <cfRule type="expression" priority="231" aboveAverage="0" equalAverage="0" bottom="0" percent="0" rank="0" text="" dxfId="4">
      <formula>AND($I$64&gt;=0.75,$I$64&lt;0.9)</formula>
    </cfRule>
    <cfRule type="expression" priority="232" aboveAverage="0" equalAverage="0" bottom="0" percent="0" rank="0" text="" dxfId="3">
      <formula>$I$64&lt;0.75</formula>
    </cfRule>
    <cfRule type="expression" priority="233" aboveAverage="0" equalAverage="0" bottom="0" percent="0" rank="0" text="" dxfId="5">
      <formula>$I$64=MAX(Linea!$J$99:$J$121)</formula>
    </cfRule>
  </conditionalFormatting>
  <conditionalFormatting sqref="P61:U64">
    <cfRule type="expression" priority="234" aboveAverage="0" equalAverage="0" bottom="0" percent="0" rank="0" text="" dxfId="2">
      <formula>$P$64&gt;=0.9</formula>
    </cfRule>
    <cfRule type="expression" priority="235" aboveAverage="0" equalAverage="0" bottom="0" percent="0" rank="0" text="" dxfId="4">
      <formula>AND($P$64&gt;=0.75,$P$64&lt;0.9)</formula>
    </cfRule>
    <cfRule type="expression" priority="236" aboveAverage="0" equalAverage="0" bottom="0" percent="0" rank="0" text="" dxfId="3">
      <formula>$P$64&lt;0.75</formula>
    </cfRule>
    <cfRule type="expression" priority="237" aboveAverage="0" equalAverage="0" bottom="0" percent="0" rank="0" text="" dxfId="5">
      <formula>$P$64=MAX(Linea!$J$99:$J$121)</formula>
    </cfRule>
  </conditionalFormatting>
  <conditionalFormatting sqref="W61:AB64">
    <cfRule type="expression" priority="238" aboveAverage="0" equalAverage="0" bottom="0" percent="0" rank="0" text="" dxfId="2">
      <formula>$W$64&gt;=0.9</formula>
    </cfRule>
    <cfRule type="expression" priority="239" aboveAverage="0" equalAverage="0" bottom="0" percent="0" rank="0" text="" dxfId="4">
      <formula>AND($W$64&gt;=0.75,$W$64&lt;0.9)</formula>
    </cfRule>
    <cfRule type="expression" priority="240" aboveAverage="0" equalAverage="0" bottom="0" percent="0" rank="0" text="" dxfId="3">
      <formula>$W$64&lt;0.75</formula>
    </cfRule>
    <cfRule type="expression" priority="241" aboveAverage="0" equalAverage="0" bottom="0" percent="0" rank="0" text="" dxfId="5">
      <formula>$W$64=MAX(Linea!$J$99:$J$121)</formula>
    </cfRule>
  </conditionalFormatting>
  <conditionalFormatting sqref="AD61:AI64">
    <cfRule type="expression" priority="242" aboveAverage="0" equalAverage="0" bottom="0" percent="0" rank="0" text="" dxfId="2">
      <formula>$AD$64&gt;=0.9</formula>
    </cfRule>
    <cfRule type="expression" priority="243" aboveAverage="0" equalAverage="0" bottom="0" percent="0" rank="0" text="" dxfId="4">
      <formula>AND($AD$64&gt;=0.75,$AD$64&lt;0.9)</formula>
    </cfRule>
    <cfRule type="expression" priority="244" aboveAverage="0" equalAverage="0" bottom="0" percent="0" rank="0" text="" dxfId="3">
      <formula>$AD$64&lt;0.75</formula>
    </cfRule>
    <cfRule type="expression" priority="245" aboveAverage="0" equalAverage="0" bottom="0" percent="0" rank="0" text="" dxfId="5">
      <formula>$AD$64=MAX(Linea!$J$99:$J$121)</formula>
    </cfRule>
  </conditionalFormatting>
  <conditionalFormatting sqref="AK61:AP64">
    <cfRule type="expression" priority="246" aboveAverage="0" equalAverage="0" bottom="0" percent="0" rank="0" text="" dxfId="2">
      <formula>$AK$64&gt;=0.9</formula>
    </cfRule>
    <cfRule type="expression" priority="247" aboveAverage="0" equalAverage="0" bottom="0" percent="0" rank="0" text="" dxfId="4">
      <formula>AND($AK$64&gt;=0.75,$AK$64&lt;0.9)</formula>
    </cfRule>
    <cfRule type="expression" priority="248" aboveAverage="0" equalAverage="0" bottom="0" percent="0" rank="0" text="" dxfId="3">
      <formula>$AK$64&lt;0.75</formula>
    </cfRule>
    <cfRule type="expression" priority="249" aboveAverage="0" equalAverage="0" bottom="0" percent="0" rank="0" text="" dxfId="5">
      <formula>$AK$64=MAX(Linea!$J$99:$J$121)</formula>
    </cfRule>
  </conditionalFormatting>
  <conditionalFormatting sqref="AK66:AP69">
    <cfRule type="expression" priority="250" aboveAverage="0" equalAverage="0" bottom="0" percent="0" rank="0" text="" dxfId="2">
      <formula>$AK$69&gt;=0.9</formula>
    </cfRule>
    <cfRule type="expression" priority="251" aboveAverage="0" equalAverage="0" bottom="0" percent="0" rank="0" text="" dxfId="4">
      <formula>AND($AK$69&gt;=0.75,$AK$69&lt;0.9)</formula>
    </cfRule>
    <cfRule type="expression" priority="252" aboveAverage="0" equalAverage="0" bottom="0" percent="0" rank="0" text="" dxfId="3">
      <formula>$AK$69&lt;0.75</formula>
    </cfRule>
    <cfRule type="expression" priority="253" aboveAverage="0" equalAverage="0" bottom="0" percent="0" rank="0" text="" dxfId="5">
      <formula>$AK$69=MAX(Linea!$J$99:$J$121)</formula>
    </cfRule>
  </conditionalFormatting>
  <conditionalFormatting sqref="AD66:AI69">
    <cfRule type="expression" priority="254" aboveAverage="0" equalAverage="0" bottom="0" percent="0" rank="0" text="" dxfId="2">
      <formula>$AD$69&gt;=0.9</formula>
    </cfRule>
    <cfRule type="expression" priority="255" aboveAverage="0" equalAverage="0" bottom="0" percent="0" rank="0" text="" dxfId="4">
      <formula>AND($AD$69&gt;=0.75,$AD$69&lt;0.9)</formula>
    </cfRule>
    <cfRule type="expression" priority="256" aboveAverage="0" equalAverage="0" bottom="0" percent="0" rank="0" text="" dxfId="3">
      <formula>$AD$69&lt;0.75</formula>
    </cfRule>
    <cfRule type="expression" priority="257" aboveAverage="0" equalAverage="0" bottom="0" percent="0" rank="0" text="" dxfId="5">
      <formula>$AD$69=MAX(Linea!$J$99:$J$121)</formula>
    </cfRule>
  </conditionalFormatting>
  <conditionalFormatting sqref="W66:AB69">
    <cfRule type="expression" priority="258" aboveAverage="0" equalAverage="0" bottom="0" percent="0" rank="0" text="" dxfId="2">
      <formula>$W$69&gt;=0.9</formula>
    </cfRule>
    <cfRule type="expression" priority="259" aboveAverage="0" equalAverage="0" bottom="0" percent="0" rank="0" text="" dxfId="4">
      <formula>AND($W$69&gt;=0.75,$W$69&lt;0.9)</formula>
    </cfRule>
    <cfRule type="expression" priority="260" aboveAverage="0" equalAverage="0" bottom="0" percent="0" rank="0" text="" dxfId="3">
      <formula>$W$69&lt;0.75</formula>
    </cfRule>
    <cfRule type="expression" priority="261" aboveAverage="0" equalAverage="0" bottom="0" percent="0" rank="0" text="" dxfId="5">
      <formula>$W$69=MAX(Linea!$J$99:$J$121)</formula>
    </cfRule>
  </conditionalFormatting>
  <conditionalFormatting sqref="P66:U69">
    <cfRule type="expression" priority="262" aboveAverage="0" equalAverage="0" bottom="0" percent="0" rank="0" text="" dxfId="2">
      <formula>$P$69&gt;=0.9</formula>
    </cfRule>
    <cfRule type="expression" priority="263" aboveAverage="0" equalAverage="0" bottom="0" percent="0" rank="0" text="" dxfId="4">
      <formula>AND($P$69&gt;=0.75,$P$69&lt;0.9)</formula>
    </cfRule>
    <cfRule type="expression" priority="264" aboveAverage="0" equalAverage="0" bottom="0" percent="0" rank="0" text="" dxfId="3">
      <formula>$P$69&lt;0.75</formula>
    </cfRule>
    <cfRule type="expression" priority="265" aboveAverage="0" equalAverage="0" bottom="0" percent="0" rank="0" text="" dxfId="5">
      <formula>$P$69=MAX(Linea!$J$99:$J$121)</formula>
    </cfRule>
  </conditionalFormatting>
  <conditionalFormatting sqref="I66:N69">
    <cfRule type="expression" priority="266" aboveAverage="0" equalAverage="0" bottom="0" percent="0" rank="0" text="" dxfId="2">
      <formula>$I$69&gt;=0.9</formula>
    </cfRule>
    <cfRule type="expression" priority="267" aboveAverage="0" equalAverage="0" bottom="0" percent="0" rank="0" text="" dxfId="4">
      <formula>AND($I$69&gt;=0.75,$I$69&lt;0.9)</formula>
    </cfRule>
    <cfRule type="expression" priority="268" aboveAverage="0" equalAverage="0" bottom="0" percent="0" rank="0" text="" dxfId="3">
      <formula>$I$69&lt;0.75</formula>
    </cfRule>
    <cfRule type="expression" priority="269" aboveAverage="0" equalAverage="0" bottom="0" percent="0" rank="0" text="" dxfId="5">
      <formula>$I$69=MAX(Linea!$J$99:$J$121)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7" min="3" style="0" width="13"/>
    <col collapsed="false" customWidth="true" hidden="false" outlineLevel="0" max="8" min="8" style="0" width="15"/>
  </cols>
  <sheetData>
    <row r="1" customFormat="false" ht="15" hidden="false" customHeight="false" outlineLevel="0" collapsed="false">
      <c r="A1" s="1" t="s">
        <v>129</v>
      </c>
    </row>
    <row r="2" customFormat="false" ht="15" hidden="false" customHeight="false" outlineLevel="0" collapsed="false">
      <c r="A2" s="2" t="s">
        <v>130</v>
      </c>
    </row>
    <row r="4" customFormat="false" ht="15" hidden="false" customHeight="false" outlineLevel="0" collapsed="false">
      <c r="A4" s="33" t="s">
        <v>131</v>
      </c>
      <c r="B4" s="16"/>
      <c r="C4" s="16"/>
      <c r="D4" s="16"/>
      <c r="E4" s="16"/>
      <c r="F4" s="16"/>
      <c r="G4" s="16"/>
      <c r="H4" s="16"/>
    </row>
    <row r="5" customFormat="false" ht="15" hidden="false" customHeight="false" outlineLevel="0" collapsed="false">
      <c r="A5" s="15" t="s">
        <v>132</v>
      </c>
      <c r="B5" s="16"/>
      <c r="C5" s="16"/>
      <c r="D5" s="16"/>
      <c r="E5" s="16"/>
      <c r="F5" s="16"/>
      <c r="G5" s="16"/>
      <c r="H5" s="16"/>
    </row>
    <row r="6" customFormat="false" ht="30" hidden="false" customHeight="true" outlineLevel="0" collapsed="false">
      <c r="A6" s="3" t="s">
        <v>133</v>
      </c>
      <c r="B6" s="3" t="s">
        <v>134</v>
      </c>
      <c r="C6" s="3" t="s">
        <v>135</v>
      </c>
      <c r="D6" s="3" t="s">
        <v>136</v>
      </c>
      <c r="E6" s="3" t="s">
        <v>137</v>
      </c>
      <c r="F6" s="3" t="s">
        <v>138</v>
      </c>
      <c r="G6" s="3"/>
      <c r="H6" s="3"/>
    </row>
    <row r="7" customFormat="false" ht="15" hidden="false" customHeight="false" outlineLevel="0" collapsed="false">
      <c r="A7" s="5" t="s">
        <v>139</v>
      </c>
      <c r="B7" s="5" t="str">
        <f aca="false">IFERROR(INDEX(MP_detalle!$F$7:$F$66,MATCH("Chapa en hojas",MP_detalle!$B$7:$B$66,0)),"")</f>
        <v>Paquete de 50 hojas</v>
      </c>
      <c r="C7" s="17" t="n">
        <f aca="false">SUMIFS(MP_detalle!$H$7:$H$66,MP_detalle!$B$7:$B$66,"Chapa en hojas")</f>
        <v>10604.462021637</v>
      </c>
      <c r="D7" s="5" t="s">
        <v>140</v>
      </c>
      <c r="E7" s="17" t="n">
        <f aca="false">SUMIFS(MP_detalle!$L$7:$L$66,MP_detalle!$B$7:$B$66,"Chapa en hojas")</f>
        <v>179.907184890741</v>
      </c>
      <c r="F7" s="34" t="n">
        <f aca="false">SUMIFS(MP_detalle!$N$7:$N$66,MP_detalle!$B$7:$B$66,"Chapa en hojas")</f>
        <v>261838.112712755</v>
      </c>
    </row>
    <row r="8" customFormat="false" ht="15" hidden="false" customHeight="false" outlineLevel="0" collapsed="false">
      <c r="A8" s="5" t="s">
        <v>141</v>
      </c>
      <c r="B8" s="5" t="str">
        <f aca="false">IFERROR(INDEX(MP_detalle!$F$7:$F$66,MATCH("Fleje en rollos",MP_detalle!$B$7:$B$66,0)),"")</f>
        <v>Rollo de 1.900 kg</v>
      </c>
      <c r="C8" s="17" t="n">
        <f aca="false">SUMIFS(MP_detalle!$H$7:$H$66,MP_detalle!$B$7:$B$66,"Fleje en rollos")</f>
        <v>100700.71537477</v>
      </c>
      <c r="D8" s="5" t="s">
        <v>138</v>
      </c>
      <c r="E8" s="17" t="n">
        <f aca="false">SUMIFS(MP_detalle!$L$7:$L$66,MP_detalle!$B$7:$B$66,"Fleje en rollos")</f>
        <v>142.798355005823</v>
      </c>
      <c r="F8" s="34" t="n">
        <f aca="false">SUMIFS(MP_detalle!$N$7:$N$66,MP_detalle!$B$7:$B$66,"Fleje en rollos")</f>
        <v>100700.71537477</v>
      </c>
    </row>
    <row r="9" customFormat="false" ht="15" hidden="false" customHeight="false" outlineLevel="0" collapsed="false">
      <c r="A9" s="5" t="s">
        <v>142</v>
      </c>
      <c r="B9" s="5" t="str">
        <f aca="false">IFERROR(INDEX(MP_detalle!$F$7:$F$66,MATCH("Asientos de válvula",MP_detalle!$B$7:$B$66,0)),"")</f>
        <v>Caja de 1.000 u</v>
      </c>
      <c r="C9" s="17" t="n">
        <f aca="false">SUMIFS(MP_detalle!$H$7:$H$66,MP_detalle!$B$7:$B$66,"Asientos de válvula")</f>
        <v>284462.564373</v>
      </c>
      <c r="D9" s="5" t="s">
        <v>143</v>
      </c>
      <c r="E9" s="17" t="n">
        <f aca="false">SUMIFS(MP_detalle!$L$7:$L$66,MP_detalle!$B$7:$B$66,"Asientos de válvula")</f>
        <v>284.462564373</v>
      </c>
      <c r="F9" s="34" t="n">
        <f aca="false">SUMIFS(MP_detalle!$N$7:$N$66,MP_detalle!$B$7:$B$66,"Asientos de válvula")</f>
        <v>0</v>
      </c>
    </row>
    <row r="10" customFormat="false" ht="15" hidden="false" customHeight="false" outlineLevel="0" collapsed="false">
      <c r="A10" s="5" t="s">
        <v>144</v>
      </c>
      <c r="B10" s="5" t="str">
        <f aca="false">IFERROR(INDEX(MP_detalle!$F$7:$F$66,MATCH("Soldadura: alambre",MP_detalle!$B$7:$B$66,0)),"")</f>
        <v>Pallet de 900 kg</v>
      </c>
      <c r="C10" s="17" t="n">
        <f aca="false">SUMIFS(MP_detalle!$H$7:$H$66,MP_detalle!$B$7:$B$66,"Soldadura: alambre")</f>
        <v>5990.03823683055</v>
      </c>
      <c r="D10" s="5" t="s">
        <v>138</v>
      </c>
      <c r="E10" s="17" t="n">
        <f aca="false">SUMIFS(MP_detalle!$L$7:$L$66,MP_detalle!$B$7:$B$66,"Soldadura: alambre")</f>
        <v>6.65559804092283</v>
      </c>
      <c r="F10" s="34" t="n">
        <f aca="false">SUMIFS(MP_detalle!$N$7:$N$66,MP_detalle!$B$7:$B$66,"Soldadura: alambre")</f>
        <v>5990.03823683055</v>
      </c>
    </row>
    <row r="11" customFormat="false" ht="15" hidden="false" customHeight="false" outlineLevel="0" collapsed="false">
      <c r="A11" s="5" t="s">
        <v>145</v>
      </c>
      <c r="B11" s="5" t="str">
        <f aca="false">IFERROR(INDEX(MP_detalle!$F$7:$F$66,MATCH("Soldadura: gases",MP_detalle!$B$7:$B$66,0)),"")</f>
        <v>Batería de 11 cilindros</v>
      </c>
      <c r="C11" s="17" t="n">
        <f aca="false">SUMIFS(MP_detalle!$H$7:$H$66,MP_detalle!$B$7:$B$66,"Soldadura: gases")</f>
        <v>8198.90880403241</v>
      </c>
      <c r="D11" s="5" t="s">
        <v>146</v>
      </c>
      <c r="E11" s="17" t="n">
        <f aca="false">SUMIFS(MP_detalle!$L$7:$L$66,MP_detalle!$B$7:$B$66,"Soldadura: gases")</f>
        <v>140.298270615227</v>
      </c>
      <c r="F11" s="34" t="n">
        <f aca="false">SUMIFS(MP_detalle!$N$7:$N$66,MP_detalle!$B$7:$B$66,"Soldadura: gases")</f>
        <v>0</v>
      </c>
    </row>
    <row r="12" customFormat="false" ht="15" hidden="false" customHeight="false" outlineLevel="0" collapsed="false">
      <c r="A12" s="5" t="s">
        <v>147</v>
      </c>
      <c r="B12" s="5" t="str">
        <f aca="false">IFERROR(INDEX(MP_detalle!$F$7:$F$66,MATCH("Soldadura: electrodo TIG",MP_detalle!$B$7:$B$66,0)),"")</f>
        <v>Caja de 10 u</v>
      </c>
      <c r="C12" s="17" t="n">
        <f aca="false">SUMIFS(MP_detalle!$H$7:$H$66,MP_detalle!$B$7:$B$66,"Soldadura: electrodo TIG")</f>
        <v>166.628815074013</v>
      </c>
      <c r="D12" s="5" t="s">
        <v>143</v>
      </c>
      <c r="E12" s="17" t="n">
        <f aca="false">SUMIFS(MP_detalle!$L$7:$L$66,MP_detalle!$B$7:$B$66,"Soldadura: electrodo TIG")</f>
        <v>16.6628815074013</v>
      </c>
      <c r="F12" s="34" t="n">
        <f aca="false">SUMIFS(MP_detalle!$N$7:$N$66,MP_detalle!$B$7:$B$66,"Soldadura: electrodo TIG")</f>
        <v>0</v>
      </c>
    </row>
    <row r="13" customFormat="false" ht="15" hidden="false" customHeight="false" outlineLevel="0" collapsed="false">
      <c r="A13" s="5" t="s">
        <v>148</v>
      </c>
      <c r="B13" s="5" t="str">
        <f aca="false">IFERROR(INDEX(MP_detalle!$F$7:$F$66,MATCH("Granalla",MP_detalle!$B$7:$B$66,0)),"")</f>
        <v>Pallet de 1.000 kg</v>
      </c>
      <c r="C13" s="17" t="n">
        <f aca="false">SUMIFS(MP_detalle!$H$7:$H$66,MP_detalle!$B$7:$B$66,"Granalla")</f>
        <v>22757.00514984</v>
      </c>
      <c r="D13" s="5" t="s">
        <v>138</v>
      </c>
      <c r="E13" s="17" t="n">
        <f aca="false">SUMIFS(MP_detalle!$L$7:$L$66,MP_detalle!$B$7:$B$66,"Granalla")</f>
        <v>22.75700514984</v>
      </c>
      <c r="F13" s="34" t="n">
        <f aca="false">SUMIFS(MP_detalle!$N$7:$N$66,MP_detalle!$B$7:$B$66,"Granalla")</f>
        <v>22757.00514984</v>
      </c>
    </row>
    <row r="14" customFormat="false" ht="15" hidden="false" customHeight="false" outlineLevel="0" collapsed="false">
      <c r="A14" s="5" t="s">
        <v>149</v>
      </c>
      <c r="B14" s="5" t="str">
        <f aca="false">IFERROR(INDEX(MP_detalle!$F$7:$F$66,MATCH("Pintura",MP_detalle!$B$7:$B$66,0)),"")</f>
        <v>Pallet de 600 kg</v>
      </c>
      <c r="C14" s="17" t="n">
        <f aca="false">SUMIFS(MP_detalle!$H$7:$H$66,MP_detalle!$B$7:$B$66,"Pintura")</f>
        <v>3581.93537903661</v>
      </c>
      <c r="D14" s="5" t="s">
        <v>138</v>
      </c>
      <c r="E14" s="17" t="n">
        <f aca="false">SUMIFS(MP_detalle!$L$7:$L$66,MP_detalle!$B$7:$B$66,"Pintura")</f>
        <v>5.96989229839435</v>
      </c>
      <c r="F14" s="34" t="n">
        <f aca="false">SUMIFS(MP_detalle!$N$7:$N$66,MP_detalle!$B$7:$B$66,"Pintura")</f>
        <v>3581.93537903661</v>
      </c>
    </row>
    <row r="15" customFormat="false" ht="15" hidden="false" customHeight="false" outlineLevel="0" collapsed="false">
      <c r="A15" s="5" t="s">
        <v>150</v>
      </c>
      <c r="B15" s="5" t="str">
        <f aca="false">IFERROR(INDEX(MP_detalle!$F$7:$F$66,MATCH("Agente: polvo",MP_detalle!$B$7:$B$66,0)),"")</f>
        <v>Big bag de 1.000 kg</v>
      </c>
      <c r="C15" s="17" t="n">
        <f aca="false">SUMIFS(MP_detalle!$H$7:$H$66,MP_detalle!$B$7:$B$66,"Agente: polvo")</f>
        <v>230062.40052855</v>
      </c>
      <c r="D15" s="5" t="s">
        <v>138</v>
      </c>
      <c r="E15" s="17" t="n">
        <f aca="false">SUMIFS(MP_detalle!$L$7:$L$66,MP_detalle!$B$7:$B$66,"Agente: polvo")</f>
        <v>230.06240052855</v>
      </c>
      <c r="F15" s="34" t="n">
        <f aca="false">SUMIFS(MP_detalle!$N$7:$N$66,MP_detalle!$B$7:$B$66,"Agente: polvo")</f>
        <v>230062.40052855</v>
      </c>
    </row>
    <row r="16" customFormat="false" ht="15" hidden="false" customHeight="false" outlineLevel="0" collapsed="false">
      <c r="A16" s="5" t="s">
        <v>151</v>
      </c>
      <c r="B16" s="5" t="str">
        <f aca="false">IFERROR(INDEX(MP_detalle!$F$7:$F$66,MATCH("Nitrógeno",MP_detalle!$B$7:$B$66,0)),"")</f>
        <v>Pack de 12 cilindros</v>
      </c>
      <c r="C16" s="17" t="n">
        <f aca="false">SUMIFS(MP_detalle!$H$7:$H$66,MP_detalle!$B$7:$B$66,"Nitrógeno")</f>
        <v>1268.51569616287</v>
      </c>
      <c r="D16" s="5" t="s">
        <v>146</v>
      </c>
      <c r="E16" s="17" t="n">
        <f aca="false">SUMIFS(MP_detalle!$L$7:$L$66,MP_detalle!$B$7:$B$66,"Nitrógeno")</f>
        <v>11.5319608742079</v>
      </c>
      <c r="F16" s="34" t="n">
        <f aca="false">SUMIFS(MP_detalle!$N$7:$N$66,MP_detalle!$B$7:$B$66,"Nitrógeno")</f>
        <v>0</v>
      </c>
    </row>
    <row r="17" customFormat="false" ht="15" hidden="false" customHeight="false" outlineLevel="0" collapsed="false">
      <c r="A17" s="5" t="s">
        <v>152</v>
      </c>
      <c r="B17" s="5" t="str">
        <f aca="false">IFERROR(INDEX(MP_detalle!$F$7:$F$66,MATCH("Componentes comprados",MP_detalle!$B$7:$B$66,0)),"") &amp; " (varios)"</f>
        <v>Pallet de 3.000 u (varios)</v>
      </c>
      <c r="C17" s="17" t="n">
        <f aca="false">SUMIFS(MP_detalle!$H$7:$H$66,MP_detalle!$B$7:$B$66,"Componentes comprados")</f>
        <v>693427.677594</v>
      </c>
      <c r="D17" s="5" t="s">
        <v>143</v>
      </c>
      <c r="E17" s="17" t="n">
        <f aca="false">SUMIFS(MP_detalle!$L$7:$L$66,MP_detalle!$B$7:$B$66,"Componentes comprados")</f>
        <v>3319.484237866</v>
      </c>
      <c r="F17" s="34" t="n">
        <f aca="false">SUMIFS(MP_detalle!$N$7:$N$66,MP_detalle!$B$7:$B$66,"Componentes comprados")</f>
        <v>0</v>
      </c>
    </row>
    <row r="18" customFormat="false" ht="15" hidden="false" customHeight="false" outlineLevel="0" collapsed="false">
      <c r="A18" s="5" t="s">
        <v>153</v>
      </c>
      <c r="B18" s="5" t="str">
        <f aca="false">IFERROR(INDEX(MP_detalle!$F$7:$F$66,MATCH("Identificación y embalaje",MP_detalle!$B$7:$B$66,0)),"") &amp; " (varios)"</f>
        <v>Rollo de 1.000 u (varios)</v>
      </c>
      <c r="C18" s="17" t="n">
        <f aca="false">SUMIFS(MP_detalle!$H$7:$H$66,MP_detalle!$B$7:$B$66,"Identificación y embalaje")</f>
        <v>1421744.60644843</v>
      </c>
      <c r="D18" s="5" t="s">
        <v>143</v>
      </c>
      <c r="E18" s="17" t="n">
        <f aca="false">SUMIFS(MP_detalle!$L$7:$L$66,MP_detalle!$B$7:$B$66,"Identificación y embalaje")</f>
        <v>2052.19049589431</v>
      </c>
      <c r="F18" s="34" t="n">
        <f aca="false">SUMIFS(MP_detalle!$N$7:$N$66,MP_detalle!$B$7:$B$66,"Identificación y embalaje")</f>
        <v>0</v>
      </c>
    </row>
    <row r="20" customFormat="false" ht="15" hidden="false" customHeight="false" outlineLevel="0" collapsed="false">
      <c r="A20" s="15" t="s">
        <v>154</v>
      </c>
      <c r="B20" s="16"/>
      <c r="C20" s="16"/>
      <c r="D20" s="16"/>
      <c r="E20" s="16"/>
      <c r="F20" s="16"/>
      <c r="G20" s="16"/>
      <c r="H20" s="16"/>
    </row>
    <row r="21" customFormat="false" ht="30" hidden="false" customHeight="true" outlineLevel="0" collapsed="false">
      <c r="A21" s="3" t="s">
        <v>155</v>
      </c>
      <c r="B21" s="3" t="s">
        <v>156</v>
      </c>
      <c r="C21" s="3" t="s">
        <v>157</v>
      </c>
      <c r="D21" s="3" t="s">
        <v>158</v>
      </c>
      <c r="E21" s="3" t="s">
        <v>159</v>
      </c>
      <c r="F21" s="3" t="s">
        <v>160</v>
      </c>
      <c r="G21" s="3" t="s">
        <v>161</v>
      </c>
      <c r="H21" s="3" t="s">
        <v>162</v>
      </c>
    </row>
    <row r="22" customFormat="false" ht="23.85" hidden="false" customHeight="false" outlineLevel="0" collapsed="false">
      <c r="A22" s="5" t="s">
        <v>163</v>
      </c>
      <c r="B22" s="5" t="s">
        <v>164</v>
      </c>
      <c r="C22" s="22" t="n">
        <f aca="false">1*(Resumen!$D$7+Resumen!$D$11)</f>
        <v>202620.63913</v>
      </c>
      <c r="D22" s="22" t="n">
        <f aca="false">1*(Resumen!$D$8+Resumen!$D$12)</f>
        <v>14126.338444</v>
      </c>
      <c r="E22" s="22" t="n">
        <f aca="false">1*(Resumen!$D$9+Resumen!$D$13)</f>
        <v>63852.65872</v>
      </c>
      <c r="F22" s="22" t="n">
        <f aca="false">1*(Resumen!$D$10+Resumen!$D$14)</f>
        <v>3862.928079</v>
      </c>
      <c r="G22" s="19" t="n">
        <f aca="false">SUM(C22:F22)</f>
        <v>284462.564373</v>
      </c>
      <c r="H22" s="22" t="n">
        <f aca="false">(Resumen!$D$7+Resumen!$D$11)*Links!$F$2202+(Resumen!$D$8+Resumen!$D$12)*Links!$F$2203+(Resumen!$D$9+Resumen!$D$13)*Links!$F$2204+(Resumen!$D$10+Resumen!$D$14)*Links!$F$2205</f>
        <v>245881.852072102</v>
      </c>
    </row>
    <row r="23" customFormat="false" ht="23.85" hidden="false" customHeight="false" outlineLevel="0" collapsed="false">
      <c r="A23" s="5" t="s">
        <v>165</v>
      </c>
      <c r="B23" s="5" t="s">
        <v>166</v>
      </c>
      <c r="C23" s="22" t="n">
        <f aca="false">2*(Resumen!$D$7+Resumen!$D$11)</f>
        <v>405241.27826</v>
      </c>
      <c r="D23" s="22" t="n">
        <f aca="false">2*(Resumen!$D$8+Resumen!$D$12)</f>
        <v>28252.676888</v>
      </c>
      <c r="E23" s="22" t="n">
        <f aca="false">2*(Resumen!$D$9+Resumen!$D$13)</f>
        <v>127705.31744</v>
      </c>
      <c r="F23" s="22" t="n">
        <f aca="false">2*(Resumen!$D$10+Resumen!$D$14)</f>
        <v>7725.856158</v>
      </c>
      <c r="G23" s="19" t="n">
        <f aca="false">SUM(C23:F23)</f>
        <v>568925.128746</v>
      </c>
      <c r="H23" s="22" t="n">
        <f aca="false">(Resumen!$D$7+Resumen!$D$11)*((PI()*Links!$J$2212^2/4*Links!$B$2212*7.85/1000000)+(PI()*Links!$J$2213^2/4*Links!$B$2213*7.85/1000000))+(Resumen!$D$8+Resumen!$D$12)*((PI()*Links!$J$2214^2/4*Links!$B$2214*7.85/1000000)+(PI()*Links!$J$2215^2/4*Links!$B$2215*7.85/1000000))+(Resumen!$D$9+Resumen!$D$13)*((PI()*Links!$J$2216^2/4*Links!$B$2216*7.85/1000000)+(PI()*Links!$J$2217^2/4*Links!$B$2217*7.85/1000000))+(Resumen!$D$10+Resumen!$D$14)*((PI()*Links!$J$2218^2/4*Links!$B$2218*7.85/1000000)+(PI()*Links!$J$2219^2/4*Links!$B$2219*7.85/1000000))</f>
        <v>74334.7201391605</v>
      </c>
    </row>
    <row r="24" customFormat="false" ht="15" hidden="false" customHeight="false" outlineLevel="0" collapsed="false">
      <c r="A24" s="5" t="s">
        <v>167</v>
      </c>
      <c r="B24" s="5" t="s">
        <v>168</v>
      </c>
      <c r="C24" s="22" t="n">
        <f aca="false">2*(Resumen!$D$7+Resumen!$D$11)</f>
        <v>405241.27826</v>
      </c>
      <c r="D24" s="22" t="n">
        <f aca="false">2*(Resumen!$D$8+Resumen!$D$12)</f>
        <v>28252.676888</v>
      </c>
      <c r="E24" s="22" t="n">
        <f aca="false">2*(Resumen!$D$9+Resumen!$D$13)</f>
        <v>127705.31744</v>
      </c>
      <c r="F24" s="22" t="n">
        <f aca="false">2*(Resumen!$D$10+Resumen!$D$14)</f>
        <v>7725.856158</v>
      </c>
      <c r="G24" s="19" t="n">
        <f aca="false">SUM(C24:F24)</f>
        <v>568925.128746</v>
      </c>
      <c r="H24" s="22" t="n">
        <f aca="false">(Resumen!$D$7+Resumen!$D$11)*((PI()*Links!$J$2212^2/4*Links!$B$2212*7.85/1000000)+(PI()*Links!$J$2213^2/4*Links!$B$2213*7.85/1000000))+(Resumen!$D$8+Resumen!$D$12)*((PI()*Links!$J$2214^2/4*Links!$B$2214*7.85/1000000)+(PI()*Links!$J$2215^2/4*Links!$B$2215*7.85/1000000))+(Resumen!$D$9+Resumen!$D$13)*((PI()*Links!$J$2216^2/4*Links!$B$2216*7.85/1000000)+(PI()*Links!$J$2217^2/4*Links!$B$2217*7.85/1000000))+(Resumen!$D$10+Resumen!$D$14)*((PI()*Links!$J$2218^2/4*Links!$B$2218*7.85/1000000)+(PI()*Links!$J$2219^2/4*Links!$B$2219*7.85/1000000))</f>
        <v>74334.7201391605</v>
      </c>
    </row>
    <row r="25" customFormat="false" ht="15" hidden="false" customHeight="false" outlineLevel="0" collapsed="false">
      <c r="A25" s="5" t="s">
        <v>169</v>
      </c>
      <c r="B25" s="5" t="s">
        <v>170</v>
      </c>
      <c r="C25" s="22" t="n">
        <f aca="false">1*(Resumen!$D$7+Resumen!$D$11)</f>
        <v>202620.63913</v>
      </c>
      <c r="D25" s="22" t="n">
        <f aca="false">1*(Resumen!$D$8+Resumen!$D$12)</f>
        <v>14126.338444</v>
      </c>
      <c r="E25" s="22" t="n">
        <f aca="false">1*(Resumen!$D$9+Resumen!$D$13)</f>
        <v>63852.65872</v>
      </c>
      <c r="F25" s="22" t="n">
        <f aca="false">1*(Resumen!$D$10+Resumen!$D$14)</f>
        <v>3862.928079</v>
      </c>
      <c r="G25" s="19" t="n">
        <f aca="false">SUM(C25:F25)</f>
        <v>284462.564373</v>
      </c>
      <c r="H25" s="22" t="n">
        <f aca="false">(Resumen!$D$7+Resumen!$D$11)*Links!$F$2202+(Resumen!$D$8+Resumen!$D$12)*Links!$F$2203+(Resumen!$D$9+Resumen!$D$13)*Links!$F$2204+(Resumen!$D$10+Resumen!$D$14)*Links!$F$2205</f>
        <v>245881.852072102</v>
      </c>
    </row>
    <row r="26" customFormat="false" ht="15" hidden="false" customHeight="false" outlineLevel="0" collapsed="false">
      <c r="A26" s="5" t="s">
        <v>171</v>
      </c>
      <c r="B26" s="5" t="s">
        <v>172</v>
      </c>
      <c r="C26" s="22" t="n">
        <f aca="false">1*(Resumen!$D$7+Resumen!$D$11)</f>
        <v>202620.63913</v>
      </c>
      <c r="D26" s="22" t="n">
        <f aca="false">1*(Resumen!$D$8+Resumen!$D$12)</f>
        <v>14126.338444</v>
      </c>
      <c r="E26" s="22" t="n">
        <f aca="false">1*(Resumen!$D$9+Resumen!$D$13)</f>
        <v>63852.65872</v>
      </c>
      <c r="F26" s="22" t="n">
        <f aca="false">1*(Resumen!$D$10+Resumen!$D$14)</f>
        <v>3862.928079</v>
      </c>
      <c r="G26" s="19" t="n">
        <f aca="false">SUM(C26:F26)</f>
        <v>284462.564373</v>
      </c>
      <c r="H26" s="22" t="n">
        <f aca="false">(Resumen!$D$7+Resumen!$D$11)*(Links!$F$2202+((PI()*Links!$J$2212^2/4*Links!$B$2212*7.85/1000000)+(PI()*Links!$J$2213^2/4*Links!$B$2213*7.85/1000000)))+(Resumen!$D$8+Resumen!$D$12)*(Links!$F$2203+((PI()*Links!$J$2214^2/4*Links!$B$2214*7.85/1000000)+(PI()*Links!$J$2215^2/4*Links!$B$2215*7.85/1000000)))+(Resumen!$D$9+Resumen!$D$13)*(Links!$F$2204+((PI()*Links!$J$2216^2/4*Links!$B$2216*7.85/1000000)+(PI()*Links!$J$2217^2/4*Links!$B$2217*7.85/1000000)))+(Resumen!$D$10+Resumen!$D$14)*(Links!$F$2205+((PI()*Links!$J$2218^2/4*Links!$B$2218*7.85/1000000)+(PI()*Links!$J$2219^2/4*Links!$B$2219*7.85/1000000)))</f>
        <v>320216.572211262</v>
      </c>
    </row>
    <row r="27" customFormat="false" ht="15" hidden="false" customHeight="false" outlineLevel="0" collapsed="false">
      <c r="A27" s="5" t="s">
        <v>173</v>
      </c>
      <c r="B27" s="5" t="s">
        <v>174</v>
      </c>
      <c r="C27" s="22" t="n">
        <f aca="false">1*(Resumen!$D$7+Resumen!$D$11)</f>
        <v>202620.63913</v>
      </c>
      <c r="D27" s="22" t="n">
        <f aca="false">1*(Resumen!$D$8+Resumen!$D$12)</f>
        <v>14126.338444</v>
      </c>
      <c r="E27" s="22" t="n">
        <f aca="false">1*(Resumen!$D$9+Resumen!$D$13)</f>
        <v>63852.65872</v>
      </c>
      <c r="F27" s="22" t="n">
        <f aca="false">1*(Resumen!$D$10+Resumen!$D$14)</f>
        <v>3862.928079</v>
      </c>
      <c r="G27" s="19" t="n">
        <f aca="false">SUM(C27:F27)</f>
        <v>284462.564373</v>
      </c>
      <c r="H27" s="22" t="n">
        <f aca="false">(Resumen!$D$7+Resumen!$D$11)*(Links!$F$2202+((PI()*Links!$J$2212^2/4*Links!$B$2212*7.85/1000000)+(PI()*Links!$J$2213^2/4*Links!$B$2213*7.85/1000000)))+(Resumen!$D$8+Resumen!$D$12)*(Links!$F$2203+((PI()*Links!$J$2214^2/4*Links!$B$2214*7.85/1000000)+(PI()*Links!$J$2215^2/4*Links!$B$2215*7.85/1000000)))+(Resumen!$D$9+Resumen!$D$13)*(Links!$F$2204+((PI()*Links!$J$2216^2/4*Links!$B$2216*7.85/1000000)+(PI()*Links!$J$2217^2/4*Links!$B$2217*7.85/1000000)))+(Resumen!$D$10+Resumen!$D$14)*(Links!$F$2205+((PI()*Links!$J$2218^2/4*Links!$B$2218*7.85/1000000)+(PI()*Links!$J$2219^2/4*Links!$B$2219*7.85/1000000)))</f>
        <v>320216.572211262</v>
      </c>
    </row>
    <row r="28" customFormat="false" ht="15" hidden="false" customHeight="false" outlineLevel="0" collapsed="false">
      <c r="A28" s="5" t="s">
        <v>175</v>
      </c>
      <c r="B28" s="5" t="s">
        <v>176</v>
      </c>
      <c r="C28" s="22" t="n">
        <f aca="false">Resumen!$D$7</f>
        <v>32072.63913</v>
      </c>
      <c r="D28" s="22" t="n">
        <f aca="false">Resumen!$D$8</f>
        <v>7436.458444</v>
      </c>
      <c r="E28" s="22" t="n">
        <f aca="false">Resumen!$D$9</f>
        <v>30814.97872</v>
      </c>
      <c r="F28" s="22" t="n">
        <f aca="false">Resumen!$D$10</f>
        <v>1844.928079</v>
      </c>
      <c r="G28" s="19" t="n">
        <f aca="false">SUM(C28:F28)</f>
        <v>72169.004373</v>
      </c>
      <c r="H28" s="5"/>
    </row>
    <row r="30" customFormat="false" ht="15" hidden="false" customHeight="false" outlineLevel="0" collapsed="false">
      <c r="A30" s="15" t="s">
        <v>177</v>
      </c>
      <c r="B30" s="16"/>
      <c r="C30" s="16"/>
      <c r="D30" s="16"/>
      <c r="E30" s="16"/>
      <c r="F30" s="16"/>
      <c r="G30" s="16"/>
      <c r="H30" s="16"/>
    </row>
    <row r="31" customFormat="false" ht="30" hidden="false" customHeight="true" outlineLevel="0" collapsed="false">
      <c r="A31" s="3" t="s">
        <v>178</v>
      </c>
      <c r="B31" s="3" t="s">
        <v>179</v>
      </c>
      <c r="C31" s="3" t="s">
        <v>135</v>
      </c>
      <c r="D31" s="3" t="s">
        <v>136</v>
      </c>
      <c r="E31" s="3" t="s">
        <v>180</v>
      </c>
      <c r="F31" s="3" t="s">
        <v>181</v>
      </c>
      <c r="G31" s="3"/>
      <c r="H31" s="3"/>
    </row>
    <row r="32" customFormat="false" ht="15" hidden="false" customHeight="true" outlineLevel="0" collapsed="false">
      <c r="A32" s="5" t="s">
        <v>182</v>
      </c>
      <c r="B32" s="5" t="s">
        <v>183</v>
      </c>
      <c r="C32" s="17" t="n">
        <f aca="false">SUMIFS(MP_detalle!$N$7:$N$66,MP_detalle!$B$7:$B$66,"Chapa en hojas")-H22</f>
        <v>15956.2606406538</v>
      </c>
      <c r="D32" s="5" t="s">
        <v>138</v>
      </c>
      <c r="E32" s="5" t="s">
        <v>184</v>
      </c>
      <c r="F32" s="5" t="s">
        <v>185</v>
      </c>
      <c r="G32" s="5"/>
      <c r="H32" s="5"/>
    </row>
    <row r="33" customFormat="false" ht="15" hidden="false" customHeight="true" outlineLevel="0" collapsed="false">
      <c r="A33" s="5" t="s">
        <v>186</v>
      </c>
      <c r="B33" s="5" t="s">
        <v>187</v>
      </c>
      <c r="C33" s="17" t="n">
        <f aca="false">SUMIFS(MP_detalle!$N$7:$N$66,MP_detalle!$B$7:$B$66,"Fleje en rollos")-H23</f>
        <v>26365.9952356094</v>
      </c>
      <c r="D33" s="5" t="s">
        <v>138</v>
      </c>
      <c r="E33" s="5" t="s">
        <v>184</v>
      </c>
      <c r="F33" s="5" t="s">
        <v>188</v>
      </c>
      <c r="G33" s="5"/>
      <c r="H33" s="5"/>
    </row>
    <row r="34" customFormat="false" ht="15" hidden="false" customHeight="true" outlineLevel="0" collapsed="false">
      <c r="A34" s="5" t="s">
        <v>189</v>
      </c>
      <c r="B34" s="5" t="s">
        <v>190</v>
      </c>
      <c r="C34" s="17" t="n">
        <f aca="false">SUMIFS(MP_detalle!$H$7:$H$66,MP_detalle!$B$7:$B$66,"Soldadura: alambre")*0.05</f>
        <v>299.501911841528</v>
      </c>
      <c r="D34" s="5" t="s">
        <v>138</v>
      </c>
      <c r="E34" s="5" t="s">
        <v>191</v>
      </c>
      <c r="F34" s="5" t="s">
        <v>192</v>
      </c>
      <c r="G34" s="5"/>
      <c r="H34" s="5"/>
    </row>
    <row r="35" customFormat="false" ht="15" hidden="false" customHeight="true" outlineLevel="0" collapsed="false">
      <c r="A35" s="5" t="s">
        <v>193</v>
      </c>
      <c r="B35" s="5" t="s">
        <v>194</v>
      </c>
      <c r="C35" s="17" t="n">
        <f aca="false">SUMIFS(MP_detalle!$H$7:$H$66,MP_detalle!$B$7:$B$66,"Soldadura: gases")</f>
        <v>8198.90880403241</v>
      </c>
      <c r="D35" s="5" t="s">
        <v>146</v>
      </c>
      <c r="E35" s="5" t="s">
        <v>195</v>
      </c>
      <c r="F35" s="5" t="s">
        <v>196</v>
      </c>
      <c r="G35" s="5"/>
      <c r="H35" s="5"/>
    </row>
    <row r="36" customFormat="false" ht="15" hidden="false" customHeight="true" outlineLevel="0" collapsed="false">
      <c r="A36" s="5" t="s">
        <v>197</v>
      </c>
      <c r="B36" s="5" t="s">
        <v>198</v>
      </c>
      <c r="C36" s="17" t="n">
        <f aca="false">SUMIFS(MP_detalle!$H$7:$H$66,MP_detalle!$B$7:$B$66,"Soldadura: electrodo TIG")</f>
        <v>166.628815074013</v>
      </c>
      <c r="D36" s="5" t="s">
        <v>143</v>
      </c>
      <c r="E36" s="5" t="s">
        <v>191</v>
      </c>
      <c r="F36" s="5" t="s">
        <v>199</v>
      </c>
      <c r="G36" s="5"/>
      <c r="H36" s="5"/>
    </row>
    <row r="37" customFormat="false" ht="15" hidden="false" customHeight="true" outlineLevel="0" collapsed="false">
      <c r="A37" s="5" t="s">
        <v>200</v>
      </c>
      <c r="B37" s="5" t="s">
        <v>201</v>
      </c>
      <c r="C37" s="17" t="n">
        <f aca="false">SUMIFS(MP_detalle!$H$7:$H$66,MP_detalle!$B$7:$B$66,"Granalla")</f>
        <v>22757.00514984</v>
      </c>
      <c r="D37" s="5" t="s">
        <v>138</v>
      </c>
      <c r="E37" s="5" t="s">
        <v>191</v>
      </c>
      <c r="F37" s="5" t="s">
        <v>202</v>
      </c>
      <c r="G37" s="5"/>
      <c r="H37" s="5"/>
    </row>
    <row r="38" customFormat="false" ht="15" hidden="false" customHeight="true" outlineLevel="0" collapsed="false">
      <c r="A38" s="5" t="s">
        <v>203</v>
      </c>
      <c r="B38" s="5" t="s">
        <v>204</v>
      </c>
      <c r="C38" s="17" t="n">
        <f aca="false">SUMIFS(MP_detalle!$H$7:$H$66,MP_detalle!$B$7:$B$66,"Pintura")*0.05</f>
        <v>179.096768951831</v>
      </c>
      <c r="D38" s="5" t="s">
        <v>138</v>
      </c>
      <c r="E38" s="5" t="s">
        <v>191</v>
      </c>
      <c r="F38" s="5" t="s">
        <v>205</v>
      </c>
      <c r="G38" s="5"/>
      <c r="H38" s="5"/>
    </row>
    <row r="39" customFormat="false" ht="15" hidden="false" customHeight="true" outlineLevel="0" collapsed="false">
      <c r="A39" s="5" t="s">
        <v>206</v>
      </c>
      <c r="B39" s="5" t="s">
        <v>207</v>
      </c>
      <c r="C39" s="17" t="n">
        <f aca="false">0</f>
        <v>0</v>
      </c>
      <c r="D39" s="5" t="s">
        <v>138</v>
      </c>
      <c r="E39" s="5" t="s">
        <v>208</v>
      </c>
      <c r="F39" s="5" t="s">
        <v>209</v>
      </c>
      <c r="G39" s="5"/>
      <c r="H39" s="5"/>
    </row>
    <row r="41" customFormat="false" ht="15" hidden="false" customHeight="false" outlineLevel="0" collapsed="false">
      <c r="A41" s="15" t="s">
        <v>210</v>
      </c>
      <c r="B41" s="16"/>
      <c r="C41" s="16"/>
      <c r="D41" s="16"/>
      <c r="E41" s="16"/>
      <c r="F41" s="16"/>
      <c r="G41" s="16"/>
      <c r="H41" s="16"/>
    </row>
    <row r="42" customFormat="false" ht="30" hidden="false" customHeight="true" outlineLevel="0" collapsed="false">
      <c r="A42" s="3" t="s">
        <v>49</v>
      </c>
      <c r="B42" s="3" t="s">
        <v>156</v>
      </c>
      <c r="C42" s="3" t="s">
        <v>211</v>
      </c>
      <c r="D42" s="3"/>
      <c r="E42" s="3"/>
      <c r="F42" s="3"/>
      <c r="G42" s="3"/>
      <c r="H42" s="3"/>
    </row>
    <row r="43" customFormat="false" ht="15" hidden="false" customHeight="false" outlineLevel="0" collapsed="false">
      <c r="A43" s="5" t="s">
        <v>59</v>
      </c>
      <c r="B43" s="5" t="s">
        <v>212</v>
      </c>
      <c r="C43" s="22" t="n">
        <f aca="false">Resumen!$D$7</f>
        <v>32072.63913</v>
      </c>
    </row>
    <row r="44" customFormat="false" ht="15" hidden="false" customHeight="false" outlineLevel="0" collapsed="false">
      <c r="A44" s="5" t="s">
        <v>60</v>
      </c>
      <c r="B44" s="5" t="s">
        <v>212</v>
      </c>
      <c r="C44" s="22" t="n">
        <f aca="false">Resumen!$D$8</f>
        <v>7436.458444</v>
      </c>
    </row>
    <row r="45" customFormat="false" ht="15" hidden="false" customHeight="false" outlineLevel="0" collapsed="false">
      <c r="A45" s="5" t="s">
        <v>61</v>
      </c>
      <c r="B45" s="5" t="s">
        <v>212</v>
      </c>
      <c r="C45" s="22" t="n">
        <f aca="false">Resumen!$D$9</f>
        <v>30814.97872</v>
      </c>
    </row>
    <row r="46" customFormat="false" ht="15" hidden="false" customHeight="false" outlineLevel="0" collapsed="false">
      <c r="A46" s="5" t="s">
        <v>62</v>
      </c>
      <c r="B46" s="5" t="s">
        <v>212</v>
      </c>
      <c r="C46" s="22" t="n">
        <f aca="false">Resumen!$D$10</f>
        <v>1844.928079</v>
      </c>
    </row>
    <row r="47" customFormat="false" ht="15" hidden="false" customHeight="false" outlineLevel="0" collapsed="false">
      <c r="A47" s="5" t="s">
        <v>63</v>
      </c>
      <c r="B47" s="5" t="s">
        <v>213</v>
      </c>
      <c r="C47" s="22" t="n">
        <f aca="false">Resumen!$D$11</f>
        <v>170548</v>
      </c>
    </row>
    <row r="48" customFormat="false" ht="15" hidden="false" customHeight="false" outlineLevel="0" collapsed="false">
      <c r="A48" s="5" t="s">
        <v>64</v>
      </c>
      <c r="B48" s="5" t="s">
        <v>213</v>
      </c>
      <c r="C48" s="22" t="n">
        <f aca="false">Resumen!$D$12</f>
        <v>6689.88</v>
      </c>
    </row>
    <row r="49" customFormat="false" ht="15" hidden="false" customHeight="false" outlineLevel="0" collapsed="false">
      <c r="A49" s="5" t="s">
        <v>65</v>
      </c>
      <c r="B49" s="5" t="s">
        <v>213</v>
      </c>
      <c r="C49" s="22" t="n">
        <f aca="false">Resumen!$D$13</f>
        <v>33037.68</v>
      </c>
    </row>
    <row r="50" customFormat="false" ht="15" hidden="false" customHeight="false" outlineLevel="0" collapsed="false">
      <c r="A50" s="5" t="s">
        <v>66</v>
      </c>
      <c r="B50" s="5" t="s">
        <v>213</v>
      </c>
      <c r="C50" s="22" t="n">
        <f aca="false">Resumen!$D$14</f>
        <v>2018</v>
      </c>
    </row>
    <row r="51" customFormat="false" ht="15" hidden="false" customHeight="false" outlineLevel="0" collapsed="false">
      <c r="A51" s="4" t="s">
        <v>214</v>
      </c>
      <c r="C51" s="19" t="n">
        <f aca="false">SUM(C43:C50)</f>
        <v>284462.564373</v>
      </c>
    </row>
    <row r="53" customFormat="false" ht="15" hidden="false" customHeight="false" outlineLevel="0" collapsed="false">
      <c r="A53" s="15" t="s">
        <v>215</v>
      </c>
      <c r="B53" s="16"/>
      <c r="C53" s="16"/>
      <c r="D53" s="16"/>
      <c r="E53" s="16"/>
      <c r="F53" s="16"/>
      <c r="G53" s="16"/>
      <c r="H53" s="16"/>
    </row>
    <row r="54" customFormat="false" ht="30" hidden="false" customHeight="true" outlineLevel="0" collapsed="false">
      <c r="A54" s="3" t="s">
        <v>216</v>
      </c>
      <c r="B54" s="3" t="s">
        <v>217</v>
      </c>
      <c r="C54" s="3" t="s">
        <v>218</v>
      </c>
      <c r="D54" s="3" t="s">
        <v>219</v>
      </c>
      <c r="E54" s="3" t="s">
        <v>220</v>
      </c>
      <c r="F54" s="3" t="s">
        <v>221</v>
      </c>
      <c r="G54" s="3"/>
      <c r="H54" s="3"/>
    </row>
    <row r="55" customFormat="false" ht="15" hidden="false" customHeight="false" outlineLevel="0" collapsed="false">
      <c r="A55" s="22" t="n">
        <f aca="false">SUMIFS(MP_detalle!$N$7:$N$66,MP_detalle!$B$7:$B$66,"Chapa en hojas")+SUMIFS(MP_detalle!$N$7:$N$66,MP_detalle!$B$7:$B$66,"Fleje en rollos")</f>
        <v>362538.828087525</v>
      </c>
      <c r="B55" s="22" t="n">
        <f aca="false">H27</f>
        <v>320216.572211262</v>
      </c>
      <c r="C55" s="22" t="n">
        <f aca="false">C32+C33</f>
        <v>42322.2558762632</v>
      </c>
      <c r="D55" s="22" t="n">
        <f aca="false">A55-B55-C55</f>
        <v>0</v>
      </c>
      <c r="E55" s="18" t="n">
        <f aca="false">IF(A55=0,0,B55/A55)</f>
        <v>0.883261453402046</v>
      </c>
      <c r="F55" s="6" t="str">
        <f aca="false">IF(ABS(D55)&lt;1,"✔ Sí","✖ No")</f>
        <v>✔ Sí</v>
      </c>
    </row>
    <row r="56" customFormat="false" ht="15" hidden="false" customHeight="false" outlineLevel="0" collapsed="false">
      <c r="A56" s="2" t="s">
        <v>222</v>
      </c>
    </row>
    <row r="58" customFormat="false" ht="15" hidden="false" customHeight="false" outlineLevel="0" collapsed="false">
      <c r="A58" s="33" t="s">
        <v>223</v>
      </c>
      <c r="B58" s="16"/>
      <c r="C58" s="16"/>
      <c r="D58" s="16"/>
      <c r="E58" s="16"/>
      <c r="F58" s="16"/>
      <c r="G58" s="16"/>
      <c r="H58" s="16"/>
    </row>
    <row r="59" customFormat="false" ht="15" hidden="false" customHeight="false" outlineLevel="0" collapsed="false">
      <c r="A59" s="15" t="s">
        <v>132</v>
      </c>
      <c r="B59" s="16"/>
      <c r="C59" s="16"/>
      <c r="D59" s="16"/>
      <c r="E59" s="16"/>
      <c r="F59" s="16"/>
      <c r="G59" s="16"/>
      <c r="H59" s="16"/>
    </row>
    <row r="60" customFormat="false" ht="30" hidden="false" customHeight="true" outlineLevel="0" collapsed="false">
      <c r="A60" s="3" t="s">
        <v>133</v>
      </c>
      <c r="B60" s="3" t="s">
        <v>134</v>
      </c>
      <c r="C60" s="3" t="s">
        <v>135</v>
      </c>
      <c r="D60" s="3" t="s">
        <v>136</v>
      </c>
      <c r="E60" s="3" t="s">
        <v>137</v>
      </c>
      <c r="F60" s="3" t="s">
        <v>138</v>
      </c>
      <c r="G60" s="3"/>
      <c r="H60" s="3"/>
    </row>
    <row r="61" customFormat="false" ht="15" hidden="false" customHeight="false" outlineLevel="0" collapsed="false">
      <c r="A61" s="5" t="s">
        <v>139</v>
      </c>
      <c r="B61" s="5" t="str">
        <f aca="false">IFERROR(INDEX(MP_detalle!$F$71:$F$127,MATCH("Chapa en hojas",MP_detalle!$B$71:$B$127,0)),"")</f>
        <v>Paquete de 20 hojas</v>
      </c>
      <c r="C61" s="17" t="n">
        <f aca="false">SUMIFS(MP_detalle!$H$71:$H$127,MP_detalle!$B$71:$B$127,"Chapa en hojas")</f>
        <v>515.137231483334</v>
      </c>
      <c r="D61" s="5" t="s">
        <v>140</v>
      </c>
      <c r="E61" s="17" t="n">
        <f aca="false">SUMIFS(MP_detalle!$L$71:$L$127,MP_detalle!$B$71:$B$127,"Chapa en hojas")</f>
        <v>28.5172308775</v>
      </c>
      <c r="F61" s="34" t="n">
        <f aca="false">SUMIFS(MP_detalle!$N$71:$N$127,MP_detalle!$B$71:$B$127,"Chapa en hojas")</f>
        <v>67299.5468914193</v>
      </c>
    </row>
    <row r="62" customFormat="false" ht="15" hidden="false" customHeight="false" outlineLevel="0" collapsed="false">
      <c r="A62" s="5" t="s">
        <v>224</v>
      </c>
      <c r="B62" s="5" t="str">
        <f aca="false">IFERROR(INDEX(MP_detalle!$F$71:$F$127,MATCH("Casquetes y cuplas",MP_detalle!$B$71:$B$127,0)),"")</f>
        <v>Pallet de 400 u</v>
      </c>
      <c r="C62" s="17" t="n">
        <f aca="false">SUMIFS(MP_detalle!$H$71:$H$127,MP_detalle!$B$71:$B$127,"Casquetes y cuplas")</f>
        <v>9321.9663987</v>
      </c>
      <c r="D62" s="5" t="s">
        <v>143</v>
      </c>
      <c r="E62" s="17" t="n">
        <f aca="false">SUMIFS(MP_detalle!$L$71:$L$127,MP_detalle!$B$71:$B$127,"Casquetes y cuplas")</f>
        <v>63.9606739026667</v>
      </c>
      <c r="F62" s="34" t="n">
        <f aca="false">SUMIFS(MP_detalle!$N$71:$N$127,MP_detalle!$B$71:$B$127,"Casquetes y cuplas")</f>
        <v>0</v>
      </c>
    </row>
    <row r="63" customFormat="false" ht="15" hidden="false" customHeight="false" outlineLevel="0" collapsed="false">
      <c r="A63" s="5" t="s">
        <v>225</v>
      </c>
      <c r="B63" s="5" t="str">
        <f aca="false">IFERROR(INDEX(MP_detalle!$F$71:$F$127,MATCH("Caños y barras",MP_detalle!$B$71:$B$127,0)),"")</f>
        <v>Barra de 6 m</v>
      </c>
      <c r="C63" s="17" t="n">
        <f aca="false">SUMIFS(MP_detalle!$H$71:$H$127,MP_detalle!$B$71:$B$127,"Caños y barras")</f>
        <v>783.539598208638</v>
      </c>
      <c r="D63" s="5" t="s">
        <v>226</v>
      </c>
      <c r="E63" s="17" t="n">
        <f aca="false">SUMIFS(MP_detalle!$L$71:$L$127,MP_detalle!$B$71:$B$127,"Caños y barras")</f>
        <v>783.539598208638</v>
      </c>
      <c r="F63" s="34" t="n">
        <f aca="false">SUMIFS(MP_detalle!$N$71:$N$127,MP_detalle!$B$71:$B$127,"Caños y barras")</f>
        <v>0</v>
      </c>
    </row>
    <row r="64" customFormat="false" ht="15" hidden="false" customHeight="false" outlineLevel="0" collapsed="false">
      <c r="A64" s="5" t="s">
        <v>144</v>
      </c>
      <c r="B64" s="5" t="str">
        <f aca="false">IFERROR(INDEX(MP_detalle!$F$71:$F$127,MATCH("Soldadura: alambre",MP_detalle!$B$71:$B$127,0)),"")</f>
        <v>Pallet de 900 kg</v>
      </c>
      <c r="C64" s="17" t="n">
        <f aca="false">SUMIFS(MP_detalle!$H$71:$H$127,MP_detalle!$B$71:$B$127,"Soldadura: alambre")</f>
        <v>1390.59738886517</v>
      </c>
      <c r="D64" s="5" t="s">
        <v>138</v>
      </c>
      <c r="E64" s="17" t="n">
        <f aca="false">SUMIFS(MP_detalle!$L$71:$L$127,MP_detalle!$B$71:$B$127,"Soldadura: alambre")</f>
        <v>1.54510820985019</v>
      </c>
      <c r="F64" s="34" t="n">
        <f aca="false">SUMIFS(MP_detalle!$N$71:$N$127,MP_detalle!$B$71:$B$127,"Soldadura: alambre")</f>
        <v>1390.59738886517</v>
      </c>
    </row>
    <row r="65" customFormat="false" ht="15" hidden="false" customHeight="false" outlineLevel="0" collapsed="false">
      <c r="A65" s="5" t="s">
        <v>145</v>
      </c>
      <c r="B65" s="5" t="str">
        <f aca="false">IFERROR(INDEX(MP_detalle!$F$71:$F$127,MATCH("Soldadura: gases",MP_detalle!$B$71:$B$127,0)),"")</f>
        <v>Batería de 11 cilindros</v>
      </c>
      <c r="C65" s="17" t="n">
        <f aca="false">SUMIFS(MP_detalle!$H$71:$H$127,MP_detalle!$B$71:$B$127,"Soldadura: gases")</f>
        <v>561.28410562221</v>
      </c>
      <c r="D65" s="5" t="s">
        <v>146</v>
      </c>
      <c r="E65" s="17" t="n">
        <f aca="false">SUMIFS(MP_detalle!$L$71:$L$127,MP_detalle!$B$71:$B$127,"Soldadura: gases")</f>
        <v>4.85960264607974</v>
      </c>
      <c r="F65" s="34" t="n">
        <f aca="false">SUMIFS(MP_detalle!$N$71:$N$127,MP_detalle!$B$71:$B$127,"Soldadura: gases")</f>
        <v>0</v>
      </c>
    </row>
    <row r="66" customFormat="false" ht="15" hidden="false" customHeight="false" outlineLevel="0" collapsed="false">
      <c r="A66" s="5" t="s">
        <v>227</v>
      </c>
      <c r="B66" s="5" t="str">
        <f aca="false">IFERROR(INDEX(MP_detalle!$F$71:$F$127,MATCH("Abrasivos y corte",MP_detalle!$B$71:$B$127,0)),"")</f>
        <v>Caja de 25 u</v>
      </c>
      <c r="C66" s="17" t="n">
        <f aca="false">SUMIFS(MP_detalle!$H$71:$H$127,MP_detalle!$B$71:$B$127,"Abrasivos y corte")</f>
        <v>175.560744301125</v>
      </c>
      <c r="D66" s="5" t="s">
        <v>143</v>
      </c>
      <c r="E66" s="17" t="n">
        <f aca="false">SUMIFS(MP_detalle!$L$71:$L$127,MP_detalle!$B$71:$B$127,"Abrasivos y corte")</f>
        <v>7.022429772045</v>
      </c>
      <c r="F66" s="34" t="n">
        <f aca="false">SUMIFS(MP_detalle!$N$71:$N$127,MP_detalle!$B$71:$B$127,"Abrasivos y corte")</f>
        <v>0</v>
      </c>
    </row>
    <row r="67" customFormat="false" ht="15" hidden="false" customHeight="false" outlineLevel="0" collapsed="false">
      <c r="A67" s="5" t="s">
        <v>228</v>
      </c>
      <c r="B67" s="5" t="str">
        <f aca="false">IFERROR(INDEX(MP_detalle!$F$71:$F$127,MATCH("Pintura (servicio)",MP_detalle!$B$71:$B$127,0)),"")</f>
        <v/>
      </c>
      <c r="C67" s="17" t="n">
        <f aca="false">SUMIFS(MP_detalle!$H$71:$H$127,MP_detalle!$B$71:$B$127,"Pintura (servicio)")</f>
        <v>3107.3221329</v>
      </c>
      <c r="D67" s="5" t="s">
        <v>229</v>
      </c>
      <c r="E67" s="17" t="n">
        <f aca="false">SUMIFS(MP_detalle!$L$71:$L$127,MP_detalle!$B$71:$B$127,"Pintura (servicio)")</f>
        <v>3107.3221329</v>
      </c>
      <c r="F67" s="34" t="n">
        <f aca="false">SUMIFS(MP_detalle!$N$71:$N$127,MP_detalle!$B$71:$B$127,"Pintura (servicio)")</f>
        <v>0</v>
      </c>
    </row>
    <row r="68" customFormat="false" ht="15" hidden="false" customHeight="false" outlineLevel="0" collapsed="false">
      <c r="A68" s="5" t="s">
        <v>150</v>
      </c>
      <c r="B68" s="5" t="str">
        <f aca="false">IFERROR(INDEX(MP_detalle!$F$71:$F$127,MATCH("Agente: polvo",MP_detalle!$B$71:$B$127,0)),"")</f>
        <v>Big bag de 1.000 kg</v>
      </c>
      <c r="C68" s="17" t="n">
        <f aca="false">SUMIFS(MP_detalle!$H$71:$H$127,MP_detalle!$B$71:$B$127,"Agente: polvo")</f>
        <v>91918.95765465</v>
      </c>
      <c r="D68" s="5" t="s">
        <v>138</v>
      </c>
      <c r="E68" s="17" t="n">
        <f aca="false">SUMIFS(MP_detalle!$L$71:$L$127,MP_detalle!$B$71:$B$127,"Agente: polvo")</f>
        <v>91.91895765465</v>
      </c>
      <c r="F68" s="34" t="n">
        <f aca="false">SUMIFS(MP_detalle!$N$71:$N$127,MP_detalle!$B$71:$B$127,"Agente: polvo")</f>
        <v>91918.95765465</v>
      </c>
    </row>
    <row r="69" customFormat="false" ht="15" hidden="false" customHeight="false" outlineLevel="0" collapsed="false">
      <c r="A69" s="5" t="s">
        <v>151</v>
      </c>
      <c r="B69" s="5" t="str">
        <f aca="false">IFERROR(INDEX(MP_detalle!$F$71:$F$127,MATCH("Nitrógeno",MP_detalle!$B$71:$B$127,0)),"")</f>
        <v>Pack de 12 cilindros</v>
      </c>
      <c r="C69" s="17" t="n">
        <f aca="false">SUMIFS(MP_detalle!$H$71:$H$127,MP_detalle!$B$71:$B$127,"Nitrógeno")</f>
        <v>540.223176538547</v>
      </c>
      <c r="D69" s="5" t="s">
        <v>146</v>
      </c>
      <c r="E69" s="17" t="n">
        <f aca="false">SUMIFS(MP_detalle!$L$71:$L$127,MP_detalle!$B$71:$B$127,"Nitrógeno")</f>
        <v>4.91111978671406</v>
      </c>
      <c r="F69" s="34" t="n">
        <f aca="false">SUMIFS(MP_detalle!$N$71:$N$127,MP_detalle!$B$71:$B$127,"Nitrógeno")</f>
        <v>0</v>
      </c>
    </row>
    <row r="70" customFormat="false" ht="15" hidden="false" customHeight="false" outlineLevel="0" collapsed="false">
      <c r="A70" s="5" t="s">
        <v>152</v>
      </c>
      <c r="B70" s="5" t="str">
        <f aca="false">IFERROR(INDEX(MP_detalle!$F$71:$F$127,MATCH("Componentes comprados",MP_detalle!$B$71:$B$127,0)),"") &amp; " (varios)"</f>
        <v>Bolsa de 1.000 u (varios)</v>
      </c>
      <c r="C70" s="17" t="n">
        <f aca="false">SUMIFS(MP_detalle!$H$71:$H$127,MP_detalle!$B$71:$B$127,"Componentes comprados")</f>
        <v>24883.5077277</v>
      </c>
      <c r="D70" s="5" t="s">
        <v>143</v>
      </c>
      <c r="E70" s="17" t="n">
        <f aca="false">SUMIFS(MP_detalle!$L$71:$L$127,MP_detalle!$B$71:$B$127,"Componentes comprados")</f>
        <v>535.1864945093</v>
      </c>
      <c r="F70" s="34" t="n">
        <f aca="false">SUMIFS(MP_detalle!$N$71:$N$127,MP_detalle!$B$71:$B$127,"Componentes comprados")</f>
        <v>0</v>
      </c>
    </row>
    <row r="71" customFormat="false" ht="15" hidden="false" customHeight="false" outlineLevel="0" collapsed="false">
      <c r="A71" s="5" t="s">
        <v>153</v>
      </c>
      <c r="B71" s="5" t="str">
        <f aca="false">IFERROR(INDEX(MP_detalle!$F$71:$F$127,MATCH("Identificación y embalaje",MP_detalle!$B$71:$B$127,0)),"") &amp; " (varios)"</f>
        <v>Rollo de 1.000 u (varios)</v>
      </c>
      <c r="C71" s="17" t="n">
        <f aca="false">SUMIFS(MP_detalle!$H$71:$H$127,MP_detalle!$B$71:$B$127,"Identificación y embalaje")</f>
        <v>12451.7650196222</v>
      </c>
      <c r="D71" s="5" t="s">
        <v>143</v>
      </c>
      <c r="E71" s="17" t="n">
        <f aca="false">SUMIFS(MP_detalle!$L$71:$L$127,MP_detalle!$B$71:$B$127,"Identificación y embalaje")</f>
        <v>24.9800205817185</v>
      </c>
      <c r="F71" s="34" t="n">
        <f aca="false">SUMIFS(MP_detalle!$N$71:$N$127,MP_detalle!$B$71:$B$127,"Identificación y embalaje")</f>
        <v>0</v>
      </c>
    </row>
    <row r="73" customFormat="false" ht="15" hidden="false" customHeight="false" outlineLevel="0" collapsed="false">
      <c r="A73" s="15" t="s">
        <v>154</v>
      </c>
      <c r="B73" s="16"/>
      <c r="C73" s="16"/>
      <c r="D73" s="16"/>
      <c r="E73" s="16"/>
      <c r="F73" s="16"/>
      <c r="G73" s="16"/>
      <c r="H73" s="16"/>
    </row>
    <row r="74" customFormat="false" ht="30" hidden="false" customHeight="true" outlineLevel="0" collapsed="false">
      <c r="A74" s="3" t="s">
        <v>155</v>
      </c>
      <c r="B74" s="3" t="s">
        <v>156</v>
      </c>
      <c r="C74" s="3" t="s">
        <v>230</v>
      </c>
      <c r="D74" s="3" t="s">
        <v>231</v>
      </c>
      <c r="E74" s="3" t="s">
        <v>232</v>
      </c>
      <c r="F74" s="3" t="s">
        <v>233</v>
      </c>
      <c r="G74" s="3" t="s">
        <v>161</v>
      </c>
      <c r="H74" s="3" t="s">
        <v>162</v>
      </c>
    </row>
    <row r="75" customFormat="false" ht="23.85" hidden="false" customHeight="false" outlineLevel="0" collapsed="false">
      <c r="A75" s="5" t="s">
        <v>163</v>
      </c>
      <c r="B75" s="5" t="s">
        <v>234</v>
      </c>
      <c r="C75" s="22" t="n">
        <f aca="false">(Resumen!$D$15+Resumen!$D$19)</f>
        <v>777.3105332</v>
      </c>
      <c r="D75" s="22" t="n">
        <f aca="false">(Resumen!$D$16+Resumen!$D$20)</f>
        <v>1708.4351731</v>
      </c>
      <c r="E75" s="22" t="n">
        <f aca="false">(Resumen!$D$17+Resumen!$D$21)</f>
        <v>374.129856</v>
      </c>
      <c r="F75" s="22" t="n">
        <f aca="false">(Resumen!$D$18+Resumen!$D$22)</f>
        <v>247.4465706</v>
      </c>
      <c r="G75" s="19" t="n">
        <f aca="false">SUM(C75:F75)</f>
        <v>3107.3221329</v>
      </c>
      <c r="H75" s="22" t="n">
        <f aca="false">(Resumen!$D$15+Resumen!$D$19)*Links!$F$2206+(Resumen!$D$16+Resumen!$D$20)*Links!$F$2207+(Resumen!$D$17+Resumen!$D$21)*Links!$F$2208+(Resumen!$D$18+Resumen!$D$22)*Links!$F$2209</f>
        <v>57287.4626034602</v>
      </c>
    </row>
    <row r="76" customFormat="false" ht="15" hidden="false" customHeight="false" outlineLevel="0" collapsed="false">
      <c r="A76" s="5" t="s">
        <v>235</v>
      </c>
      <c r="B76" s="5" t="s">
        <v>170</v>
      </c>
      <c r="C76" s="22" t="n">
        <f aca="false">(Resumen!$D$15+Resumen!$D$19)</f>
        <v>777.3105332</v>
      </c>
      <c r="D76" s="22" t="n">
        <f aca="false">(Resumen!$D$16+Resumen!$D$20)</f>
        <v>1708.4351731</v>
      </c>
      <c r="E76" s="22" t="n">
        <f aca="false">(Resumen!$D$17+Resumen!$D$21)</f>
        <v>374.129856</v>
      </c>
      <c r="F76" s="22" t="n">
        <f aca="false">(Resumen!$D$18+Resumen!$D$22)</f>
        <v>247.4465706</v>
      </c>
      <c r="G76" s="19" t="n">
        <f aca="false">SUM(C76:F76)</f>
        <v>3107.3221329</v>
      </c>
      <c r="H76" s="22" t="n">
        <f aca="false">(Resumen!$D$15+Resumen!$D$19)*Links!$F$2206+(Resumen!$D$16+Resumen!$D$20)*Links!$F$2207+(Resumen!$D$17+Resumen!$D$21)*Links!$F$2208+(Resumen!$D$18+Resumen!$D$22)*Links!$F$2209</f>
        <v>57287.4626034602</v>
      </c>
    </row>
    <row r="77" customFormat="false" ht="15" hidden="false" customHeight="false" outlineLevel="0" collapsed="false">
      <c r="A77" s="5" t="s">
        <v>236</v>
      </c>
      <c r="B77" s="5" t="s">
        <v>172</v>
      </c>
      <c r="C77" s="22" t="n">
        <f aca="false">(Resumen!$D$15+Resumen!$D$19)</f>
        <v>777.3105332</v>
      </c>
      <c r="D77" s="22" t="n">
        <f aca="false">(Resumen!$D$16+Resumen!$D$20)</f>
        <v>1708.4351731</v>
      </c>
      <c r="E77" s="22" t="n">
        <f aca="false">(Resumen!$D$17+Resumen!$D$21)</f>
        <v>374.129856</v>
      </c>
      <c r="F77" s="22" t="n">
        <f aca="false">(Resumen!$D$18+Resumen!$D$22)</f>
        <v>247.4465706</v>
      </c>
      <c r="G77" s="19" t="n">
        <f aca="false">SUM(C77:F77)</f>
        <v>3107.3221329</v>
      </c>
      <c r="H77" s="22" t="n">
        <f aca="false">(Resumen!$D$15+Resumen!$D$19)*Links!$F$2206+(Resumen!$D$16+Resumen!$D$20)*Links!$F$2207+(Resumen!$D$17+Resumen!$D$21)*Links!$F$2208+(Resumen!$D$18+Resumen!$D$22)*Links!$F$2209</f>
        <v>57287.4626034602</v>
      </c>
    </row>
    <row r="78" customFormat="false" ht="15" hidden="false" customHeight="false" outlineLevel="0" collapsed="false">
      <c r="A78" s="5" t="s">
        <v>237</v>
      </c>
      <c r="B78" s="5" t="s">
        <v>238</v>
      </c>
      <c r="C78" s="22" t="n">
        <f aca="false">(Resumen!$D$15+Resumen!$D$19)</f>
        <v>777.3105332</v>
      </c>
      <c r="D78" s="22" t="n">
        <f aca="false">(Resumen!$D$16+Resumen!$D$20)</f>
        <v>1708.4351731</v>
      </c>
      <c r="E78" s="22" t="n">
        <f aca="false">(Resumen!$D$17+Resumen!$D$21)</f>
        <v>374.129856</v>
      </c>
      <c r="F78" s="22" t="n">
        <f aca="false">(Resumen!$D$18+Resumen!$D$22)</f>
        <v>247.4465706</v>
      </c>
      <c r="G78" s="19" t="n">
        <f aca="false">SUM(C78:F78)</f>
        <v>3107.3221329</v>
      </c>
      <c r="H78" s="22" t="n">
        <f aca="false">(Resumen!$D$15+Resumen!$D$19)*Links!$F$2206+(Resumen!$D$16+Resumen!$D$20)*Links!$F$2207+(Resumen!$D$17+Resumen!$D$21)*Links!$F$2208+(Resumen!$D$18+Resumen!$D$22)*Links!$F$2209</f>
        <v>57287.4626034602</v>
      </c>
    </row>
    <row r="79" customFormat="false" ht="15" hidden="false" customHeight="false" outlineLevel="0" collapsed="false">
      <c r="A79" s="5" t="s">
        <v>239</v>
      </c>
      <c r="B79" s="5" t="s">
        <v>174</v>
      </c>
      <c r="C79" s="22" t="n">
        <f aca="false">(Resumen!$D$15+Resumen!$D$19)</f>
        <v>777.3105332</v>
      </c>
      <c r="D79" s="22" t="n">
        <f aca="false">(Resumen!$D$16+Resumen!$D$20)</f>
        <v>1708.4351731</v>
      </c>
      <c r="E79" s="22" t="n">
        <f aca="false">(Resumen!$D$17+Resumen!$D$21)</f>
        <v>374.129856</v>
      </c>
      <c r="F79" s="22" t="n">
        <f aca="false">(Resumen!$D$18+Resumen!$D$22)</f>
        <v>247.4465706</v>
      </c>
      <c r="G79" s="19" t="n">
        <f aca="false">SUM(C79:F79)</f>
        <v>3107.3221329</v>
      </c>
      <c r="H79" s="22" t="n">
        <f aca="false">(Resumen!$D$15+Resumen!$D$19)*Links!$F$2206+(Resumen!$D$16+Resumen!$D$20)*Links!$F$2207+(Resumen!$D$17+Resumen!$D$21)*Links!$F$2208+(Resumen!$D$18+Resumen!$D$22)*Links!$F$2209</f>
        <v>57287.4626034602</v>
      </c>
    </row>
    <row r="80" customFormat="false" ht="23.85" hidden="false" customHeight="false" outlineLevel="0" collapsed="false">
      <c r="A80" s="5" t="s">
        <v>240</v>
      </c>
      <c r="B80" s="5" t="s">
        <v>241</v>
      </c>
      <c r="C80" s="22" t="n">
        <f aca="false">Resumen!$D$15</f>
        <v>453.6705332</v>
      </c>
      <c r="D80" s="22" t="n">
        <f aca="false">Resumen!$D$16</f>
        <v>997.9951731</v>
      </c>
      <c r="E80" s="22" t="n">
        <f aca="false">Resumen!$D$17</f>
        <v>217.809856</v>
      </c>
      <c r="F80" s="22" t="n">
        <f aca="false">Resumen!$D$18</f>
        <v>145.2065706</v>
      </c>
      <c r="G80" s="19" t="n">
        <f aca="false">SUM(C80:F80)</f>
        <v>1814.6821329</v>
      </c>
      <c r="H80" s="35"/>
    </row>
    <row r="82" customFormat="false" ht="15" hidden="false" customHeight="false" outlineLevel="0" collapsed="false">
      <c r="A82" s="15" t="s">
        <v>177</v>
      </c>
      <c r="B82" s="16"/>
      <c r="C82" s="16"/>
      <c r="D82" s="16"/>
      <c r="E82" s="16"/>
      <c r="F82" s="16"/>
      <c r="G82" s="16"/>
      <c r="H82" s="16"/>
    </row>
    <row r="83" customFormat="false" ht="30" hidden="false" customHeight="true" outlineLevel="0" collapsed="false">
      <c r="A83" s="3" t="s">
        <v>178</v>
      </c>
      <c r="B83" s="3" t="s">
        <v>179</v>
      </c>
      <c r="C83" s="3" t="s">
        <v>135</v>
      </c>
      <c r="D83" s="3" t="s">
        <v>136</v>
      </c>
      <c r="E83" s="3" t="s">
        <v>180</v>
      </c>
      <c r="F83" s="3" t="s">
        <v>181</v>
      </c>
      <c r="G83" s="3"/>
      <c r="H83" s="3"/>
    </row>
    <row r="84" customFormat="false" ht="15" hidden="false" customHeight="true" outlineLevel="0" collapsed="false">
      <c r="A84" s="5" t="s">
        <v>182</v>
      </c>
      <c r="B84" s="5" t="s">
        <v>183</v>
      </c>
      <c r="C84" s="17" t="n">
        <f aca="false">SUMIFS(MP_detalle!$N$71:$N$127,MP_detalle!$B$71:$B$127,"Chapa en hojas")-H75</f>
        <v>10012.0842879591</v>
      </c>
      <c r="D84" s="5" t="s">
        <v>138</v>
      </c>
      <c r="E84" s="5" t="s">
        <v>184</v>
      </c>
      <c r="F84" s="5" t="s">
        <v>185</v>
      </c>
      <c r="G84" s="5"/>
      <c r="H84" s="5"/>
    </row>
    <row r="85" customFormat="false" ht="15" hidden="false" customHeight="true" outlineLevel="0" collapsed="false">
      <c r="A85" s="5" t="s">
        <v>242</v>
      </c>
      <c r="B85" s="5" t="s">
        <v>243</v>
      </c>
      <c r="C85" s="17" t="n">
        <f aca="false">(MP_detalle!$H$78+MP_detalle!$H$79+MP_detalle!$H$81)*6+(MP_detalle!$H$80)*4-(Resumen!$D$15*(1440+354+490)/1000+Resumen!$D$16*(1520+354+510)/1000+Resumen!$D$17*(1590+434+590)/1000+Resumen!$D$18*(1590+434+590)/1000)</f>
        <v>223.491026320229</v>
      </c>
      <c r="D85" s="5" t="s">
        <v>244</v>
      </c>
      <c r="E85" s="5" t="s">
        <v>184</v>
      </c>
      <c r="F85" s="5" t="s">
        <v>188</v>
      </c>
      <c r="G85" s="5"/>
      <c r="H85" s="5"/>
    </row>
    <row r="86" customFormat="false" ht="15" hidden="false" customHeight="true" outlineLevel="0" collapsed="false">
      <c r="A86" s="5" t="s">
        <v>189</v>
      </c>
      <c r="B86" s="5" t="s">
        <v>190</v>
      </c>
      <c r="C86" s="17" t="n">
        <f aca="false">SUMIFS(MP_detalle!$H$71:$H$127,MP_detalle!$B$71:$B$127,"Soldadura: alambre")*0.05</f>
        <v>69.5298694432586</v>
      </c>
      <c r="D86" s="5" t="s">
        <v>138</v>
      </c>
      <c r="E86" s="5" t="s">
        <v>191</v>
      </c>
      <c r="F86" s="5" t="s">
        <v>245</v>
      </c>
      <c r="G86" s="5"/>
      <c r="H86" s="5"/>
    </row>
    <row r="87" customFormat="false" ht="15" hidden="false" customHeight="true" outlineLevel="0" collapsed="false">
      <c r="A87" s="5" t="s">
        <v>246</v>
      </c>
      <c r="B87" s="5" t="s">
        <v>190</v>
      </c>
      <c r="C87" s="17" t="n">
        <f aca="false">SUMIFS(MP_detalle!$H$71:$H$127,MP_detalle!$B$71:$B$127,"Soldadura: gases")</f>
        <v>561.28410562221</v>
      </c>
      <c r="D87" s="5" t="s">
        <v>146</v>
      </c>
      <c r="E87" s="5" t="s">
        <v>195</v>
      </c>
      <c r="F87" s="5" t="s">
        <v>247</v>
      </c>
      <c r="G87" s="5"/>
      <c r="H87" s="5"/>
    </row>
    <row r="88" customFormat="false" ht="15" hidden="false" customHeight="true" outlineLevel="0" collapsed="false">
      <c r="A88" s="5" t="s">
        <v>248</v>
      </c>
      <c r="B88" s="5" t="s">
        <v>249</v>
      </c>
      <c r="C88" s="17" t="n">
        <f aca="false">SUMIFS(MP_detalle!$H$71:$H$127,MP_detalle!$B$71:$B$127,"Abrasivos y corte")</f>
        <v>175.560744301125</v>
      </c>
      <c r="D88" s="5" t="s">
        <v>143</v>
      </c>
      <c r="E88" s="5" t="s">
        <v>191</v>
      </c>
      <c r="F88" s="5" t="s">
        <v>250</v>
      </c>
      <c r="G88" s="5"/>
      <c r="H88" s="5"/>
    </row>
    <row r="89" customFormat="false" ht="15" hidden="false" customHeight="true" outlineLevel="0" collapsed="false">
      <c r="A89" s="5" t="s">
        <v>149</v>
      </c>
      <c r="B89" s="5" t="s">
        <v>251</v>
      </c>
      <c r="C89" s="17" t="n">
        <f aca="false">0</f>
        <v>0</v>
      </c>
      <c r="D89" s="5" t="s">
        <v>138</v>
      </c>
      <c r="E89" s="5" t="s">
        <v>208</v>
      </c>
      <c r="F89" s="5" t="s">
        <v>252</v>
      </c>
      <c r="G89" s="5"/>
      <c r="H89" s="5"/>
    </row>
    <row r="91" customFormat="false" ht="15" hidden="false" customHeight="false" outlineLevel="0" collapsed="false">
      <c r="A91" s="15" t="s">
        <v>210</v>
      </c>
      <c r="B91" s="16"/>
      <c r="C91" s="16"/>
      <c r="D91" s="16"/>
      <c r="E91" s="16"/>
      <c r="F91" s="16"/>
      <c r="G91" s="16"/>
      <c r="H91" s="16"/>
    </row>
    <row r="92" customFormat="false" ht="30" hidden="false" customHeight="true" outlineLevel="0" collapsed="false">
      <c r="A92" s="3" t="s">
        <v>49</v>
      </c>
      <c r="B92" s="3" t="s">
        <v>156</v>
      </c>
      <c r="C92" s="3" t="s">
        <v>211</v>
      </c>
      <c r="D92" s="3"/>
      <c r="E92" s="3"/>
      <c r="F92" s="3"/>
      <c r="G92" s="3"/>
      <c r="H92" s="3"/>
    </row>
    <row r="93" customFormat="false" ht="15" hidden="false" customHeight="false" outlineLevel="0" collapsed="false">
      <c r="A93" s="5" t="s">
        <v>68</v>
      </c>
      <c r="B93" s="5" t="s">
        <v>253</v>
      </c>
      <c r="C93" s="22" t="n">
        <f aca="false">Resumen!$D$15</f>
        <v>453.6705332</v>
      </c>
    </row>
    <row r="94" customFormat="false" ht="15" hidden="false" customHeight="false" outlineLevel="0" collapsed="false">
      <c r="A94" s="5" t="s">
        <v>69</v>
      </c>
      <c r="B94" s="5" t="s">
        <v>253</v>
      </c>
      <c r="C94" s="22" t="n">
        <f aca="false">Resumen!$D$16</f>
        <v>997.9951731</v>
      </c>
    </row>
    <row r="95" customFormat="false" ht="15" hidden="false" customHeight="false" outlineLevel="0" collapsed="false">
      <c r="A95" s="5" t="s">
        <v>70</v>
      </c>
      <c r="B95" s="5" t="s">
        <v>253</v>
      </c>
      <c r="C95" s="22" t="n">
        <f aca="false">Resumen!$D$17</f>
        <v>217.809856</v>
      </c>
    </row>
    <row r="96" customFormat="false" ht="15" hidden="false" customHeight="false" outlineLevel="0" collapsed="false">
      <c r="A96" s="5" t="s">
        <v>71</v>
      </c>
      <c r="B96" s="5" t="s">
        <v>253</v>
      </c>
      <c r="C96" s="22" t="n">
        <f aca="false">Resumen!$D$18</f>
        <v>145.2065706</v>
      </c>
    </row>
    <row r="97" customFormat="false" ht="15" hidden="false" customHeight="false" outlineLevel="0" collapsed="false">
      <c r="A97" s="5" t="s">
        <v>72</v>
      </c>
      <c r="B97" s="5" t="s">
        <v>213</v>
      </c>
      <c r="C97" s="22" t="n">
        <f aca="false">Resumen!$D$19</f>
        <v>323.64</v>
      </c>
    </row>
    <row r="98" customFormat="false" ht="15" hidden="false" customHeight="false" outlineLevel="0" collapsed="false">
      <c r="A98" s="5" t="s">
        <v>73</v>
      </c>
      <c r="B98" s="5" t="s">
        <v>213</v>
      </c>
      <c r="C98" s="22" t="n">
        <f aca="false">Resumen!$D$20</f>
        <v>710.44</v>
      </c>
    </row>
    <row r="99" customFormat="false" ht="15" hidden="false" customHeight="false" outlineLevel="0" collapsed="false">
      <c r="A99" s="5" t="s">
        <v>74</v>
      </c>
      <c r="B99" s="5" t="s">
        <v>213</v>
      </c>
      <c r="C99" s="22" t="n">
        <f aca="false">Resumen!$D$21</f>
        <v>156.32</v>
      </c>
    </row>
    <row r="100" customFormat="false" ht="15" hidden="false" customHeight="false" outlineLevel="0" collapsed="false">
      <c r="A100" s="5" t="s">
        <v>75</v>
      </c>
      <c r="B100" s="5" t="s">
        <v>213</v>
      </c>
      <c r="C100" s="22" t="n">
        <f aca="false">Resumen!$D$22</f>
        <v>102.24</v>
      </c>
    </row>
    <row r="101" customFormat="false" ht="15" hidden="false" customHeight="false" outlineLevel="0" collapsed="false">
      <c r="A101" s="4" t="s">
        <v>214</v>
      </c>
      <c r="C101" s="19" t="n">
        <f aca="false">SUM(C93:C100)</f>
        <v>3107.3221329</v>
      </c>
    </row>
    <row r="103" customFormat="false" ht="15" hidden="false" customHeight="false" outlineLevel="0" collapsed="false">
      <c r="A103" s="15" t="s">
        <v>215</v>
      </c>
      <c r="B103" s="16"/>
      <c r="C103" s="16"/>
      <c r="D103" s="16"/>
      <c r="E103" s="16"/>
      <c r="F103" s="16"/>
      <c r="G103" s="16"/>
      <c r="H103" s="16"/>
    </row>
    <row r="104" customFormat="false" ht="30" hidden="false" customHeight="true" outlineLevel="0" collapsed="false">
      <c r="A104" s="3" t="s">
        <v>216</v>
      </c>
      <c r="B104" s="3" t="s">
        <v>217</v>
      </c>
      <c r="C104" s="3" t="s">
        <v>218</v>
      </c>
      <c r="D104" s="3" t="s">
        <v>219</v>
      </c>
      <c r="E104" s="3" t="s">
        <v>220</v>
      </c>
      <c r="F104" s="3" t="s">
        <v>221</v>
      </c>
      <c r="G104" s="3"/>
      <c r="H104" s="3"/>
    </row>
    <row r="105" customFormat="false" ht="15" hidden="false" customHeight="false" outlineLevel="0" collapsed="false">
      <c r="A105" s="22" t="n">
        <f aca="false">SUMIFS(MP_detalle!$N$71:$N$127,MP_detalle!$B$71:$B$127,"Chapa en hojas")</f>
        <v>67299.5468914193</v>
      </c>
      <c r="B105" s="22" t="n">
        <f aca="false">H75</f>
        <v>57287.4626034602</v>
      </c>
      <c r="C105" s="22" t="n">
        <f aca="false">C84</f>
        <v>10012.0842879591</v>
      </c>
      <c r="D105" s="22" t="n">
        <f aca="false">A105-B105-C105</f>
        <v>0</v>
      </c>
      <c r="E105" s="18" t="n">
        <f aca="false">IF(A105=0,0,B105/A105)</f>
        <v>0.851231029770341</v>
      </c>
      <c r="F105" s="6" t="str">
        <f aca="false">IF(ABS(D105)&lt;1,"✔ Sí","✖ No")</f>
        <v>✔ Sí</v>
      </c>
    </row>
    <row r="106" customFormat="false" ht="15" hidden="false" customHeight="false" outlineLevel="0" collapsed="false">
      <c r="A106" s="2" t="s">
        <v>254</v>
      </c>
    </row>
    <row r="108" customFormat="false" ht="15" hidden="false" customHeight="false" outlineLevel="0" collapsed="false">
      <c r="A108" s="33" t="s">
        <v>255</v>
      </c>
      <c r="B108" s="16"/>
      <c r="C108" s="16"/>
      <c r="D108" s="16"/>
      <c r="E108" s="16"/>
      <c r="F108" s="16"/>
      <c r="G108" s="16"/>
      <c r="H108" s="16"/>
    </row>
    <row r="109" customFormat="false" ht="15" hidden="false" customHeight="false" outlineLevel="0" collapsed="false">
      <c r="A109" s="15" t="s">
        <v>132</v>
      </c>
      <c r="B109" s="16"/>
      <c r="C109" s="16"/>
      <c r="D109" s="16"/>
      <c r="E109" s="16"/>
      <c r="F109" s="16"/>
      <c r="G109" s="16"/>
      <c r="H109" s="16"/>
    </row>
    <row r="110" customFormat="false" ht="30" hidden="false" customHeight="true" outlineLevel="0" collapsed="false">
      <c r="A110" s="3" t="s">
        <v>133</v>
      </c>
      <c r="B110" s="3" t="s">
        <v>134</v>
      </c>
      <c r="C110" s="3" t="s">
        <v>135</v>
      </c>
      <c r="D110" s="3" t="s">
        <v>136</v>
      </c>
      <c r="E110" s="3" t="s">
        <v>137</v>
      </c>
      <c r="F110" s="3" t="s">
        <v>138</v>
      </c>
      <c r="G110" s="3"/>
      <c r="H110" s="3"/>
    </row>
    <row r="111" customFormat="false" ht="15" hidden="false" customHeight="false" outlineLevel="0" collapsed="false">
      <c r="A111" s="5" t="s">
        <v>150</v>
      </c>
      <c r="B111" s="5" t="str">
        <f aca="false">IFERROR(INDEX(MP_detalle!$F$132:$F$153,MATCH("Agente: polvo",MP_detalle!$B$132:$B$153,0)),"")</f>
        <v>Big bag de 1.000 kg</v>
      </c>
      <c r="C111" s="17" t="n">
        <f aca="false">SUMIFS(MP_detalle!$H$132:$H$153,MP_detalle!$B$132:$B$153,"Agente: polvo")</f>
        <v>54827.7499136714</v>
      </c>
      <c r="D111" s="5" t="s">
        <v>138</v>
      </c>
      <c r="E111" s="17" t="n">
        <f aca="false">SUMIFS(MP_detalle!$L$132:$L$153,MP_detalle!$B$132:$B$153,"Agente: polvo")</f>
        <v>128.84925236525</v>
      </c>
      <c r="F111" s="34" t="n">
        <f aca="false">SUMIFS(MP_detalle!$N$132:$N$153,MP_detalle!$B$132:$B$153,"Agente: polvo")</f>
        <v>54827.7499136714</v>
      </c>
    </row>
    <row r="112" customFormat="false" ht="15" hidden="false" customHeight="false" outlineLevel="0" collapsed="false">
      <c r="A112" s="5" t="s">
        <v>256</v>
      </c>
      <c r="B112" s="5" t="str">
        <f aca="false">IFERROR(INDEX(MP_detalle!$F$132:$F$153,MATCH("Agente: CO₂ y limpio",MP_detalle!$B$132:$B$153,0)),"")</f>
        <v>Cilindro de 25 kg</v>
      </c>
      <c r="C112" s="17" t="n">
        <f aca="false">SUMIFS(MP_detalle!$H$132:$H$153,MP_detalle!$B$132:$B$153,"Agente: CO₂ y limpio")</f>
        <v>2651.33047437323</v>
      </c>
      <c r="D112" s="5" t="s">
        <v>138</v>
      </c>
      <c r="E112" s="17" t="n">
        <f aca="false">SUMIFS(MP_detalle!$L$132:$L$153,MP_detalle!$B$132:$B$153,"Agente: CO₂ y limpio")</f>
        <v>102.327020399153</v>
      </c>
      <c r="F112" s="34" t="n">
        <f aca="false">SUMIFS(MP_detalle!$N$132:$N$153,MP_detalle!$B$132:$B$153,"Agente: CO₂ y limpio")</f>
        <v>2651.33047437323</v>
      </c>
    </row>
    <row r="113" customFormat="false" ht="15" hidden="false" customHeight="false" outlineLevel="0" collapsed="false">
      <c r="A113" s="5" t="s">
        <v>257</v>
      </c>
      <c r="B113" s="5" t="str">
        <f aca="false">IFERROR(INDEX(MP_detalle!$F$132:$F$153,MATCH("Agente: líquidos",MP_detalle!$B$132:$B$153,0)),"")</f>
        <v>Bidón de 20 L</v>
      </c>
      <c r="C113" s="17" t="n">
        <f aca="false">SUMIFS(MP_detalle!$H$132:$H$153,MP_detalle!$B$132:$B$153,"Agente: líquidos")</f>
        <v>7925.7366121558</v>
      </c>
      <c r="D113" s="5" t="s">
        <v>258</v>
      </c>
      <c r="E113" s="17" t="n">
        <f aca="false">SUMIFS(MP_detalle!$L$132:$L$153,MP_detalle!$B$132:$B$153,"Agente: líquidos")</f>
        <v>396.28683060779</v>
      </c>
      <c r="F113" s="34" t="n">
        <f aca="false">SUMIFS(MP_detalle!$N$132:$N$153,MP_detalle!$B$132:$B$153,"Agente: líquidos")</f>
        <v>0</v>
      </c>
    </row>
    <row r="114" customFormat="false" ht="15" hidden="false" customHeight="false" outlineLevel="0" collapsed="false">
      <c r="A114" s="5" t="s">
        <v>151</v>
      </c>
      <c r="B114" s="5" t="str">
        <f aca="false">IFERROR(INDEX(MP_detalle!$F$132:$F$153,MATCH("Nitrógeno",MP_detalle!$B$132:$B$153,0)),"")</f>
        <v>Pack de 12 cilindros</v>
      </c>
      <c r="C114" s="17" t="n">
        <f aca="false">SUMIFS(MP_detalle!$H$132:$H$153,MP_detalle!$B$132:$B$153,"Nitrógeno")</f>
        <v>1843.53482815395</v>
      </c>
      <c r="D114" s="5" t="s">
        <v>146</v>
      </c>
      <c r="E114" s="17" t="n">
        <f aca="false">SUMIFS(MP_detalle!$L$132:$L$153,MP_detalle!$B$132:$B$153,"Nitrógeno")</f>
        <v>16.7594075286722</v>
      </c>
      <c r="F114" s="34" t="n">
        <f aca="false">SUMIFS(MP_detalle!$N$132:$N$153,MP_detalle!$B$132:$B$153,"Nitrógeno")</f>
        <v>0</v>
      </c>
    </row>
    <row r="115" customFormat="false" ht="15" hidden="false" customHeight="false" outlineLevel="0" collapsed="false">
      <c r="A115" s="5" t="s">
        <v>149</v>
      </c>
      <c r="B115" s="5" t="str">
        <f aca="false">IFERROR(INDEX(MP_detalle!$F$132:$F$153,MATCH("Pintura",MP_detalle!$B$132:$B$153,0)),"")</f>
        <v>Lata de 4 L</v>
      </c>
      <c r="C115" s="17" t="n">
        <f aca="false">SUMIFS(MP_detalle!$H$132:$H$153,MP_detalle!$B$132:$B$153,"Pintura")</f>
        <v>276.796497070763</v>
      </c>
      <c r="D115" s="5" t="s">
        <v>258</v>
      </c>
      <c r="E115" s="17" t="n">
        <f aca="false">SUMIFS(MP_detalle!$L$132:$L$153,MP_detalle!$B$132:$B$153,"Pintura")</f>
        <v>69.1991242676908</v>
      </c>
      <c r="F115" s="34" t="n">
        <f aca="false">SUMIFS(MP_detalle!$N$132:$N$153,MP_detalle!$B$132:$B$153,"Pintura")</f>
        <v>0</v>
      </c>
    </row>
    <row r="116" customFormat="false" ht="15" hidden="false" customHeight="false" outlineLevel="0" collapsed="false">
      <c r="A116" s="5" t="s">
        <v>152</v>
      </c>
      <c r="B116" s="5" t="str">
        <f aca="false">IFERROR(INDEX(MP_detalle!$F$132:$F$153,MATCH("Componentes comprados",MP_detalle!$B$132:$B$153,0)),"") &amp; " (varios)"</f>
        <v>Bolsa de 1.000 u (varios)</v>
      </c>
      <c r="C116" s="17" t="n">
        <f aca="false">SUMIFS(MP_detalle!$H$132:$H$153,MP_detalle!$B$132:$B$153,"Componentes comprados")</f>
        <v>105009.353180027</v>
      </c>
      <c r="D116" s="5" t="s">
        <v>143</v>
      </c>
      <c r="E116" s="17" t="n">
        <f aca="false">SUMIFS(MP_detalle!$L$132:$L$153,MP_detalle!$B$132:$B$153,"Componentes comprados")</f>
        <v>133.105428805568</v>
      </c>
      <c r="F116" s="34" t="n">
        <f aca="false">SUMIFS(MP_detalle!$N$132:$N$153,MP_detalle!$B$132:$B$153,"Componentes comprados")</f>
        <v>0</v>
      </c>
    </row>
    <row r="117" customFormat="false" ht="15" hidden="false" customHeight="false" outlineLevel="0" collapsed="false">
      <c r="A117" s="5" t="s">
        <v>153</v>
      </c>
      <c r="B117" s="5" t="str">
        <f aca="false">IFERROR(INDEX(MP_detalle!$F$132:$F$153,MATCH("Identificación y embalaje",MP_detalle!$B$132:$B$153,0)),"") &amp; " (varios)"</f>
        <v>Paquete de 1.000 u (varios)</v>
      </c>
      <c r="C117" s="17" t="n">
        <f aca="false">SUMIFS(MP_detalle!$H$132:$H$153,MP_detalle!$B$132:$B$153,"Identificación y embalaje")</f>
        <v>517628.536837896</v>
      </c>
      <c r="D117" s="5" t="s">
        <v>143</v>
      </c>
      <c r="E117" s="17" t="n">
        <f aca="false">SUMIFS(MP_detalle!$L$132:$L$153,MP_detalle!$B$132:$B$153,"Identificación y embalaje")</f>
        <v>711.345062838139</v>
      </c>
      <c r="F117" s="34" t="n">
        <f aca="false">SUMIFS(MP_detalle!$N$132:$N$153,MP_detalle!$B$132:$B$153,"Identificación y embalaje")</f>
        <v>0</v>
      </c>
    </row>
    <row r="119" customFormat="false" ht="15" hidden="false" customHeight="false" outlineLevel="0" collapsed="false">
      <c r="A119" s="15" t="s">
        <v>259</v>
      </c>
      <c r="B119" s="16"/>
      <c r="C119" s="16"/>
      <c r="D119" s="16"/>
      <c r="E119" s="16"/>
      <c r="F119" s="16"/>
      <c r="G119" s="16"/>
      <c r="H119" s="16"/>
    </row>
    <row r="120" customFormat="false" ht="30" hidden="false" customHeight="true" outlineLevel="0" collapsed="false">
      <c r="A120" s="3" t="s">
        <v>155</v>
      </c>
      <c r="B120" s="3" t="s">
        <v>156</v>
      </c>
      <c r="C120" s="3" t="s">
        <v>260</v>
      </c>
      <c r="D120" s="3"/>
      <c r="E120" s="3"/>
      <c r="F120" s="3"/>
      <c r="G120" s="3"/>
      <c r="H120" s="3"/>
    </row>
    <row r="121" customFormat="false" ht="15" hidden="false" customHeight="false" outlineLevel="0" collapsed="false">
      <c r="A121" s="5" t="s">
        <v>261</v>
      </c>
      <c r="B121" s="5" t="s">
        <v>262</v>
      </c>
      <c r="C121" s="22" t="n">
        <f aca="false">INDEX(Links!$B$1788:$B$2099,(Resumen!$C$3-2026)*32+2)</f>
        <v>115782.991535336</v>
      </c>
    </row>
    <row r="122" customFormat="false" ht="15" hidden="false" customHeight="false" outlineLevel="0" collapsed="false">
      <c r="A122" s="5" t="s">
        <v>263</v>
      </c>
      <c r="B122" s="5" t="s">
        <v>264</v>
      </c>
      <c r="C122" s="22" t="n">
        <f aca="false">INDEX(Links!$B$1788:$B$2099,(Resumen!$C$3-2026)*32+4)+INDEX(Links!$B$1788:$B$2099,(Resumen!$C$3-2026)*32+5)+INDEX(Links!$B$1788:$B$2099,(Resumen!$C$3-2026)*32+6)+INDEX(Links!$B$1788:$B$2099,(Resumen!$C$3-2026)*32+7)+INDEX(Links!$B$1788:$B$2099,(Resumen!$C$3-2026)*32+8)</f>
        <v>106704.230045204</v>
      </c>
    </row>
    <row r="123" customFormat="false" ht="15" hidden="false" customHeight="false" outlineLevel="0" collapsed="false">
      <c r="A123" s="5" t="s">
        <v>265</v>
      </c>
      <c r="B123" s="5" t="s">
        <v>266</v>
      </c>
      <c r="C123" s="22" t="n">
        <f aca="false">INDEX(Links!$B$1788:$B$2099,(Resumen!$C$3-2026)*32+9)+INDEX(Links!$B$1788:$B$2099,(Resumen!$C$3-2026)*32+10)</f>
        <v>109297.216266679</v>
      </c>
    </row>
    <row r="124" customFormat="false" ht="15" hidden="false" customHeight="false" outlineLevel="0" collapsed="false">
      <c r="A124" s="5" t="s">
        <v>267</v>
      </c>
      <c r="B124" s="5" t="s">
        <v>268</v>
      </c>
      <c r="C124" s="22" t="n">
        <f aca="false">INDEX(Links!$B$1788:$B$2099,(Resumen!$C$3-2026)*32+12)</f>
        <v>30659.0502817423</v>
      </c>
    </row>
    <row r="125" customFormat="false" ht="15" hidden="false" customHeight="false" outlineLevel="0" collapsed="false">
      <c r="A125" s="5" t="s">
        <v>269</v>
      </c>
      <c r="B125" s="5" t="s">
        <v>270</v>
      </c>
      <c r="C125" s="22" t="n">
        <f aca="false">INDEX(Links!$B$1788:$B$2099,(Resumen!$C$3-2026)*32+13)</f>
        <v>28525.7956315497</v>
      </c>
    </row>
    <row r="126" customFormat="false" ht="15" hidden="false" customHeight="false" outlineLevel="0" collapsed="false">
      <c r="A126" s="5" t="s">
        <v>271</v>
      </c>
      <c r="B126" s="5" t="s">
        <v>272</v>
      </c>
      <c r="C126" s="22" t="n">
        <f aca="false">INDEX(Links!$B$1788:$B$2099,(Resumen!$C$3-2026)*32+15)</f>
        <v>17367.4487303004</v>
      </c>
    </row>
    <row r="127" customFormat="false" ht="15" hidden="false" customHeight="false" outlineLevel="0" collapsed="false">
      <c r="A127" s="5" t="s">
        <v>273</v>
      </c>
      <c r="B127" s="5" t="s">
        <v>274</v>
      </c>
      <c r="C127" s="22" t="n">
        <f aca="false">INDEX(Links!$B$1788:$B$2099,(Resumen!$C$3-2026)*32+18)</f>
        <v>100779.974597257</v>
      </c>
    </row>
    <row r="128" customFormat="false" ht="15" hidden="false" customHeight="false" outlineLevel="0" collapsed="false">
      <c r="A128" s="5" t="s">
        <v>275</v>
      </c>
      <c r="B128" s="5" t="s">
        <v>276</v>
      </c>
      <c r="C128" s="22" t="n">
        <f aca="false">INDEX(Links!$B$1788:$B$2099,(Resumen!$C$3-2026)*32+21)</f>
        <v>115782.991535336</v>
      </c>
    </row>
    <row r="129" customFormat="false" ht="15" hidden="false" customHeight="false" outlineLevel="0" collapsed="false">
      <c r="A129" s="5" t="s">
        <v>277</v>
      </c>
      <c r="B129" s="5" t="s">
        <v>278</v>
      </c>
      <c r="C129" s="22" t="n">
        <f aca="false">INDEX(Links!$B$1788:$B$2099,(Resumen!$C$3-2026)*32+22)</f>
        <v>115782.991535336</v>
      </c>
    </row>
    <row r="131" customFormat="false" ht="15" hidden="false" customHeight="false" outlineLevel="0" collapsed="false">
      <c r="A131" s="15" t="s">
        <v>177</v>
      </c>
      <c r="B131" s="16"/>
      <c r="C131" s="16"/>
      <c r="D131" s="16"/>
      <c r="E131" s="16"/>
      <c r="F131" s="16"/>
      <c r="G131" s="16"/>
      <c r="H131" s="16"/>
    </row>
    <row r="132" customFormat="false" ht="30" hidden="false" customHeight="true" outlineLevel="0" collapsed="false">
      <c r="A132" s="3" t="s">
        <v>178</v>
      </c>
      <c r="B132" s="3" t="s">
        <v>179</v>
      </c>
      <c r="C132" s="3" t="s">
        <v>135</v>
      </c>
      <c r="D132" s="3" t="s">
        <v>136</v>
      </c>
      <c r="E132" s="3" t="s">
        <v>180</v>
      </c>
      <c r="F132" s="3" t="s">
        <v>181</v>
      </c>
      <c r="G132" s="3"/>
      <c r="H132" s="3"/>
    </row>
    <row r="133" customFormat="false" ht="23.85" hidden="false" customHeight="true" outlineLevel="0" collapsed="false">
      <c r="A133" s="5" t="s">
        <v>279</v>
      </c>
      <c r="B133" s="5" t="s">
        <v>280</v>
      </c>
      <c r="C133" s="17" t="n">
        <f aca="false">SUMIFS(MP_detalle!$H$132:$H$153,MP_detalle!$B$132:$B$153,"Agente: polvo")</f>
        <v>54827.7499136714</v>
      </c>
      <c r="D133" s="5" t="s">
        <v>138</v>
      </c>
      <c r="E133" s="5" t="s">
        <v>191</v>
      </c>
      <c r="F133" s="5" t="s">
        <v>281</v>
      </c>
      <c r="G133" s="5"/>
      <c r="H133" s="5"/>
    </row>
    <row r="134" customFormat="false" ht="15" hidden="false" customHeight="true" outlineLevel="0" collapsed="false">
      <c r="A134" s="5" t="s">
        <v>282</v>
      </c>
      <c r="B134" s="5" t="s">
        <v>283</v>
      </c>
      <c r="C134" s="17" t="n">
        <f aca="false">Resumen!$D$27*10+Resumen!$D$28*10+Resumen!$D$29*50+Resumen!$D$31*6</f>
        <v>48915.7156826583</v>
      </c>
      <c r="D134" s="5" t="s">
        <v>258</v>
      </c>
      <c r="E134" s="5" t="s">
        <v>191</v>
      </c>
      <c r="F134" s="5" t="s">
        <v>284</v>
      </c>
      <c r="G134" s="5"/>
      <c r="H134" s="5"/>
    </row>
    <row r="135" customFormat="false" ht="15" hidden="false" customHeight="true" outlineLevel="0" collapsed="false">
      <c r="A135" s="5" t="s">
        <v>285</v>
      </c>
      <c r="B135" s="5" t="s">
        <v>286</v>
      </c>
      <c r="C135" s="17" t="n">
        <f aca="false">INDEX(Links!$B$1788:$B$2099,(Resumen!$C$3-2026)*32+23)</f>
        <v>9113.98283803566</v>
      </c>
      <c r="D135" s="5" t="s">
        <v>287</v>
      </c>
      <c r="E135" s="5" t="s">
        <v>184</v>
      </c>
      <c r="F135" s="5" t="s">
        <v>288</v>
      </c>
      <c r="G135" s="5"/>
      <c r="H135" s="5"/>
    </row>
    <row r="136" customFormat="false" ht="15" hidden="false" customHeight="true" outlineLevel="0" collapsed="false">
      <c r="A136" s="5" t="s">
        <v>289</v>
      </c>
      <c r="B136" s="5" t="s">
        <v>290</v>
      </c>
      <c r="C136" s="17" t="n">
        <f aca="false">0</f>
        <v>0</v>
      </c>
      <c r="D136" s="5" t="s">
        <v>138</v>
      </c>
      <c r="E136" s="5" t="s">
        <v>208</v>
      </c>
      <c r="F136" s="5" t="s">
        <v>291</v>
      </c>
      <c r="G136" s="5"/>
      <c r="H136" s="5"/>
    </row>
    <row r="138" customFormat="false" ht="15" hidden="false" customHeight="false" outlineLevel="0" collapsed="false">
      <c r="A138" s="15" t="s">
        <v>210</v>
      </c>
      <c r="B138" s="16"/>
      <c r="C138" s="16"/>
      <c r="D138" s="16"/>
      <c r="E138" s="16"/>
      <c r="F138" s="16"/>
      <c r="G138" s="16"/>
      <c r="H138" s="16"/>
    </row>
    <row r="139" customFormat="false" ht="30" hidden="false" customHeight="true" outlineLevel="0" collapsed="false">
      <c r="A139" s="3" t="s">
        <v>49</v>
      </c>
      <c r="B139" s="3" t="s">
        <v>156</v>
      </c>
      <c r="C139" s="3" t="s">
        <v>211</v>
      </c>
      <c r="D139" s="3"/>
      <c r="E139" s="3"/>
      <c r="F139" s="3"/>
      <c r="G139" s="3"/>
      <c r="H139" s="3"/>
    </row>
    <row r="140" customFormat="false" ht="23.85" hidden="false" customHeight="false" outlineLevel="0" collapsed="false">
      <c r="A140" s="5" t="s">
        <v>292</v>
      </c>
      <c r="B140" s="5" t="s">
        <v>293</v>
      </c>
      <c r="C140" s="22" t="n">
        <f aca="false">Resumen!$D$23+Resumen!$D$24+Resumen!$D$25+Resumen!$D$26</f>
        <v>92742.236843231</v>
      </c>
    </row>
    <row r="141" customFormat="false" ht="23.85" hidden="false" customHeight="false" outlineLevel="0" collapsed="false">
      <c r="A141" s="5" t="s">
        <v>294</v>
      </c>
      <c r="B141" s="5" t="s">
        <v>293</v>
      </c>
      <c r="C141" s="22" t="n">
        <f aca="false">Resumen!$D$36+Resumen!$D$37+Resumen!$D$38+Resumen!$D$39</f>
        <v>1221.30023400829</v>
      </c>
    </row>
    <row r="142" customFormat="false" ht="23.85" hidden="false" customHeight="false" outlineLevel="0" collapsed="false">
      <c r="A142" s="5" t="s">
        <v>295</v>
      </c>
      <c r="B142" s="5" t="s">
        <v>293</v>
      </c>
      <c r="C142" s="22" t="n">
        <f aca="false">Resumen!$D$27+Resumen!$D$28+Resumen!$D$29+Resumen!$D$31</f>
        <v>4402.60136340785</v>
      </c>
    </row>
    <row r="143" customFormat="false" ht="23.85" hidden="false" customHeight="false" outlineLevel="0" collapsed="false">
      <c r="A143" s="5" t="s">
        <v>296</v>
      </c>
      <c r="B143" s="5" t="s">
        <v>293</v>
      </c>
      <c r="C143" s="22" t="n">
        <f aca="false">Resumen!$D$32+Resumen!$D$33</f>
        <v>8919.38908747338</v>
      </c>
    </row>
    <row r="144" customFormat="false" ht="23.85" hidden="false" customHeight="false" outlineLevel="0" collapsed="false">
      <c r="A144" s="5" t="s">
        <v>297</v>
      </c>
      <c r="B144" s="5" t="s">
        <v>293</v>
      </c>
      <c r="C144" s="22" t="n">
        <f aca="false">Resumen!$D$34</f>
        <v>372.61985757759</v>
      </c>
    </row>
    <row r="145" customFormat="false" ht="23.85" hidden="false" customHeight="false" outlineLevel="0" collapsed="false">
      <c r="A145" s="5" t="s">
        <v>298</v>
      </c>
      <c r="B145" s="5" t="s">
        <v>293</v>
      </c>
      <c r="C145" s="22" t="n">
        <f aca="false">Resumen!$D$30+Resumen!$D$35</f>
        <v>269.225427996365</v>
      </c>
    </row>
    <row r="146" customFormat="false" ht="15" hidden="false" customHeight="false" outlineLevel="0" collapsed="false">
      <c r="A146" s="4" t="s">
        <v>214</v>
      </c>
      <c r="C146" s="19" t="n">
        <f aca="false">SUM(C140:C145)</f>
        <v>107927.372813695</v>
      </c>
    </row>
    <row r="148" customFormat="false" ht="15" hidden="false" customHeight="false" outlineLevel="0" collapsed="false">
      <c r="A148" s="33" t="s">
        <v>299</v>
      </c>
      <c r="B148" s="16"/>
      <c r="C148" s="16"/>
      <c r="D148" s="16"/>
      <c r="E148" s="16"/>
      <c r="F148" s="16"/>
      <c r="G148" s="16"/>
      <c r="H148" s="16"/>
    </row>
    <row r="149" customFormat="false" ht="30" hidden="false" customHeight="true" outlineLevel="0" collapsed="false">
      <c r="A149" s="3" t="s">
        <v>49</v>
      </c>
      <c r="B149" s="3" t="s">
        <v>156</v>
      </c>
      <c r="C149" s="3" t="s">
        <v>300</v>
      </c>
      <c r="D149" s="3"/>
      <c r="E149" s="3"/>
      <c r="F149" s="3"/>
      <c r="G149" s="3"/>
      <c r="H149" s="3"/>
    </row>
    <row r="150" customFormat="false" ht="15" hidden="false" customHeight="false" outlineLevel="0" collapsed="false">
      <c r="A150" s="5" t="s">
        <v>301</v>
      </c>
      <c r="B150" s="6" t="str">
        <f aca="false">MP_detalle!F158</f>
        <v>Unidad</v>
      </c>
      <c r="C150" s="22" t="n">
        <f aca="false">MP_detalle!H158</f>
        <v>2908.13500312285</v>
      </c>
    </row>
    <row r="151" customFormat="false" ht="15" hidden="false" customHeight="false" outlineLevel="0" collapsed="false">
      <c r="A151" s="5" t="s">
        <v>302</v>
      </c>
      <c r="B151" s="6" t="str">
        <f aca="false">MP_detalle!F159</f>
        <v>Unidad</v>
      </c>
      <c r="C151" s="22" t="n">
        <f aca="false">MP_detalle!H159</f>
        <v>971.509933050576</v>
      </c>
    </row>
    <row r="152" customFormat="false" ht="15" hidden="false" customHeight="false" outlineLevel="0" collapsed="false">
      <c r="A152" s="5" t="s">
        <v>303</v>
      </c>
      <c r="B152" s="6" t="str">
        <f aca="false">MP_detalle!F160</f>
        <v>Unidad</v>
      </c>
      <c r="C152" s="22" t="n">
        <f aca="false">MP_detalle!H160</f>
        <v>416.433346495834</v>
      </c>
    </row>
    <row r="153" customFormat="false" ht="15" hidden="false" customHeight="false" outlineLevel="0" collapsed="false">
      <c r="A153" s="5" t="s">
        <v>304</v>
      </c>
      <c r="B153" s="6" t="str">
        <f aca="false">MP_detalle!F161</f>
        <v>Unidad</v>
      </c>
      <c r="C153" s="22" t="n">
        <f aca="false">MP_detalle!H161</f>
        <v>277.70377041365</v>
      </c>
    </row>
    <row r="154" customFormat="false" ht="15" hidden="false" customHeight="false" outlineLevel="0" collapsed="false">
      <c r="A154" s="5" t="s">
        <v>305</v>
      </c>
      <c r="B154" s="6" t="str">
        <f aca="false">MP_detalle!F162</f>
        <v>Unidad</v>
      </c>
      <c r="C154" s="22" t="n">
        <f aca="false">MP_detalle!H162</f>
        <v>1650.60330969569</v>
      </c>
    </row>
    <row r="155" customFormat="false" ht="15" hidden="false" customHeight="false" outlineLevel="0" collapsed="false">
      <c r="A155" s="5" t="s">
        <v>306</v>
      </c>
      <c r="B155" s="6" t="str">
        <f aca="false">MP_detalle!F163</f>
        <v>Unidad</v>
      </c>
      <c r="C155" s="22" t="n">
        <f aca="false">MP_detalle!H163</f>
        <v>7005.27737</v>
      </c>
    </row>
    <row r="156" customFormat="false" ht="15" hidden="false" customHeight="false" outlineLevel="0" collapsed="false">
      <c r="A156" s="5" t="s">
        <v>307</v>
      </c>
      <c r="B156" s="6" t="str">
        <f aca="false">MP_detalle!F164</f>
        <v>Unidad</v>
      </c>
      <c r="C156" s="22" t="n">
        <f aca="false">MP_detalle!H164</f>
        <v>3776.01776725347</v>
      </c>
    </row>
    <row r="157" customFormat="false" ht="15" hidden="false" customHeight="false" outlineLevel="0" collapsed="false">
      <c r="A157" s="5" t="s">
        <v>308</v>
      </c>
      <c r="B157" s="6" t="str">
        <f aca="false">MP_detalle!F165</f>
        <v>Unidad</v>
      </c>
      <c r="C157" s="22" t="n">
        <f aca="false">MP_detalle!H165</f>
        <v>744.120454978018</v>
      </c>
    </row>
    <row r="158" customFormat="false" ht="15" hidden="false" customHeight="false" outlineLevel="0" collapsed="false">
      <c r="A158" s="5" t="s">
        <v>309</v>
      </c>
      <c r="B158" s="6" t="str">
        <f aca="false">MP_detalle!F166</f>
        <v>Unidad</v>
      </c>
      <c r="C158" s="22" t="n">
        <f aca="false">MP_detalle!H166</f>
        <v>277.41598400273</v>
      </c>
    </row>
    <row r="159" customFormat="false" ht="15" hidden="false" customHeight="false" outlineLevel="0" collapsed="false">
      <c r="A159" s="4" t="s">
        <v>310</v>
      </c>
      <c r="C159" s="19" t="n">
        <f aca="false">SUM(C150:C158)</f>
        <v>18027.2169390128</v>
      </c>
    </row>
  </sheetData>
  <mergeCells count="18">
    <mergeCell ref="F32:H32"/>
    <mergeCell ref="F33:H33"/>
    <mergeCell ref="F34:H34"/>
    <mergeCell ref="F35:H35"/>
    <mergeCell ref="F36:H36"/>
    <mergeCell ref="F37:H37"/>
    <mergeCell ref="F38:H38"/>
    <mergeCell ref="F39:H39"/>
    <mergeCell ref="F84:H84"/>
    <mergeCell ref="F85:H85"/>
    <mergeCell ref="F86:H86"/>
    <mergeCell ref="F87:H87"/>
    <mergeCell ref="F88:H88"/>
    <mergeCell ref="F89:H89"/>
    <mergeCell ref="F133:H133"/>
    <mergeCell ref="F134:H134"/>
    <mergeCell ref="F135:H135"/>
    <mergeCell ref="F136:H136"/>
  </mergeCells>
  <conditionalFormatting sqref="F55">
    <cfRule type="expression" priority="2" aboveAverage="0" equalAverage="0" bottom="0" percent="0" rank="0" text="" dxfId="0">
      <formula>LEFT(F55,1)="✖"</formula>
    </cfRule>
    <cfRule type="expression" priority="3" aboveAverage="0" equalAverage="0" bottom="0" percent="0" rank="0" text="" dxfId="1">
      <formula>LEFT(F55,1)="✔"</formula>
    </cfRule>
  </conditionalFormatting>
  <conditionalFormatting sqref="F105">
    <cfRule type="expression" priority="4" aboveAverage="0" equalAverage="0" bottom="0" percent="0" rank="0" text="" dxfId="0">
      <formula>LEFT(F105,1)="✖"</formula>
    </cfRule>
    <cfRule type="expression" priority="5" aboveAverage="0" equalAverage="0" bottom="0" percent="0" rank="0" text="" dxfId="1">
      <formula>LEFT(F105,1)="✔"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F16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46"/>
    <col collapsed="false" customWidth="true" hidden="false" outlineLevel="0" max="5" min="5" style="0" width="6"/>
    <col collapsed="false" customWidth="true" hidden="false" outlineLevel="0" max="6" min="6" style="0" width="24"/>
    <col collapsed="false" customWidth="true" hidden="false" outlineLevel="0" max="8" min="7" style="0" width="14"/>
    <col collapsed="false" customWidth="true" hidden="false" outlineLevel="0" max="9" min="9" style="0" width="13"/>
    <col collapsed="false" customWidth="true" hidden="false" outlineLevel="0" max="11" min="10" style="0" width="11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3"/>
    <col collapsed="false" customWidth="true" hidden="false" outlineLevel="0" max="32" min="15" style="0" width="9"/>
  </cols>
  <sheetData>
    <row r="1" customFormat="false" ht="15" hidden="false" customHeight="false" outlineLevel="0" collapsed="false">
      <c r="A1" s="1" t="s">
        <v>311</v>
      </c>
    </row>
    <row r="2" customFormat="false" ht="15" hidden="false" customHeight="false" outlineLevel="0" collapsed="false">
      <c r="A2" s="2" t="s">
        <v>312</v>
      </c>
    </row>
    <row r="4" customFormat="false" ht="15" hidden="false" customHeight="false" outlineLevel="0" collapsed="false">
      <c r="A4" s="15" t="s">
        <v>58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customFormat="false" ht="15" hidden="false" customHeight="false" outlineLevel="0" collapsed="false">
      <c r="A5" s="4" t="s">
        <v>96</v>
      </c>
      <c r="B5" s="5" t="s">
        <v>313</v>
      </c>
      <c r="O5" s="36" t="n">
        <f aca="false">Resumen!$D$7</f>
        <v>32072.63913</v>
      </c>
      <c r="P5" s="36" t="n">
        <f aca="false">Resumen!$D$8</f>
        <v>7436.458444</v>
      </c>
      <c r="Q5" s="36" t="n">
        <f aca="false">Resumen!$D$9</f>
        <v>30814.97872</v>
      </c>
      <c r="R5" s="36" t="n">
        <f aca="false">Resumen!$D$10</f>
        <v>1844.928079</v>
      </c>
      <c r="S5" s="36" t="n">
        <f aca="false">Resumen!$D$11</f>
        <v>170548</v>
      </c>
      <c r="T5" s="36" t="n">
        <f aca="false">Resumen!$D$12</f>
        <v>6689.88</v>
      </c>
      <c r="U5" s="36" t="n">
        <f aca="false">Resumen!$D$13</f>
        <v>33037.68</v>
      </c>
      <c r="V5" s="36" t="n">
        <f aca="false">Resumen!$D$14</f>
        <v>2018</v>
      </c>
    </row>
    <row r="6" customFormat="false" ht="30" hidden="false" customHeight="true" outlineLevel="0" collapsed="false">
      <c r="A6" s="3" t="s">
        <v>48</v>
      </c>
      <c r="B6" s="3" t="s">
        <v>133</v>
      </c>
      <c r="C6" s="3" t="s">
        <v>314</v>
      </c>
      <c r="D6" s="3" t="s">
        <v>315</v>
      </c>
      <c r="E6" s="3" t="s">
        <v>136</v>
      </c>
      <c r="F6" s="3" t="s">
        <v>134</v>
      </c>
      <c r="G6" s="3" t="s">
        <v>316</v>
      </c>
      <c r="H6" s="3" t="s">
        <v>317</v>
      </c>
      <c r="I6" s="3" t="s">
        <v>318</v>
      </c>
      <c r="J6" s="3" t="s">
        <v>319</v>
      </c>
      <c r="K6" s="3" t="s">
        <v>320</v>
      </c>
      <c r="L6" s="3" t="s">
        <v>321</v>
      </c>
      <c r="M6" s="3" t="s">
        <v>322</v>
      </c>
      <c r="N6" s="3" t="s">
        <v>323</v>
      </c>
    </row>
    <row r="7" customFormat="false" ht="15" hidden="false" customHeight="false" outlineLevel="0" collapsed="false">
      <c r="A7" s="5" t="s">
        <v>58</v>
      </c>
      <c r="B7" s="5" t="s">
        <v>139</v>
      </c>
      <c r="C7" s="6" t="str">
        <f aca="false">Links!$B$61</f>
        <v>MP-01</v>
      </c>
      <c r="D7" s="6" t="str">
        <f aca="false">Links!$C$61</f>
        <v>Hoja LAF 0,9 × 1220 × 2440 mm (cuerpo 1 kg)</v>
      </c>
      <c r="E7" s="6" t="str">
        <f aca="false">Links!$D$61</f>
        <v>hoja</v>
      </c>
      <c r="F7" s="5" t="str">
        <f aca="false">IFERROR(INDEX(Links!$B$345:$B$469,MATCH(C7,Links!$B$218:$B$342,0)),"")</f>
        <v>Paquete de 50 hojas</v>
      </c>
      <c r="G7" s="17" t="n">
        <f aca="false">INDEX(Links!$N$61:$W$61,1,(Resumen!$C$3-2025))</f>
        <v>4502.68086955556</v>
      </c>
      <c r="H7" s="17" t="n">
        <f aca="false">SUMPRODUCT(Links!$F$61:$M$61,$O$5:$V$5)*IF(Links!$E$61="CABA",INDEX(Links!$C$13:$L$13,1,(Resumen!$C$3-2025)),IF(Links!$E$61="PBA",1-INDEX(Links!$C$13:$L$13,1,(Resumen!$C$3-2025)),1))</f>
        <v>4502.68086955555</v>
      </c>
      <c r="I7" s="17" t="n">
        <f aca="false">G7-H7</f>
        <v>0</v>
      </c>
      <c r="J7" s="6" t="str">
        <f aca="false">IF(ROUND(G7-H7,1)&gt;=0,"✔ Sí","✖ No")</f>
        <v>✔ Sí</v>
      </c>
      <c r="K7" s="17" t="n">
        <f aca="false">IFERROR(INDEX(Links!$C$345:$C$469,MATCH(C7,Links!$B$218:$B$342,0)),1)</f>
        <v>50</v>
      </c>
      <c r="L7" s="17" t="n">
        <f aca="false">IF(K7&gt;0,H7/K7,0)</f>
        <v>90.053617391111</v>
      </c>
      <c r="M7" s="37" t="n">
        <f aca="false">Links!$B$2191*Links!$C$2191*Links!$C$2202*7.85/1000000</f>
        <v>21.031092</v>
      </c>
      <c r="N7" s="34" t="n">
        <f aca="false">H7*M7</f>
        <v>94696.2956142628</v>
      </c>
    </row>
    <row r="8" customFormat="false" ht="15" hidden="false" customHeight="false" outlineLevel="0" collapsed="false">
      <c r="A8" s="5" t="s">
        <v>58</v>
      </c>
      <c r="B8" s="5" t="s">
        <v>139</v>
      </c>
      <c r="C8" s="6" t="str">
        <f aca="false">Links!$B$62</f>
        <v>MP-02</v>
      </c>
      <c r="D8" s="6" t="str">
        <f aca="false">Links!$C$62</f>
        <v>Hoja LAF 1,25 × 1220 × 2440 mm</v>
      </c>
      <c r="E8" s="6" t="str">
        <f aca="false">Links!$D$62</f>
        <v>hoja</v>
      </c>
      <c r="F8" s="5" t="str">
        <f aca="false">IFERROR(INDEX(Links!$B$345:$B$469,MATCH(C8,Links!$B$218:$B$342,0)),"")</f>
        <v>Paquete de 50 hojas</v>
      </c>
      <c r="G8" s="17" t="n">
        <f aca="false">INDEX(Links!$N$62:$W$62,1,(Resumen!$C$3-2025))</f>
        <v>521.994757185185</v>
      </c>
      <c r="H8" s="17" t="n">
        <f aca="false">SUMPRODUCT(Links!$F$62:$M$62,$O$5:$V$5)*IF(Links!$E$62="CABA",INDEX(Links!$C$13:$L$13,1,(Resumen!$C$3-2025)),IF(Links!$E$62="PBA",1-INDEX(Links!$C$13:$L$13,1,(Resumen!$C$3-2025)),1))</f>
        <v>523.197720148148</v>
      </c>
      <c r="I8" s="17" t="n">
        <f aca="false">G8-H8</f>
        <v>-1.2029629629626</v>
      </c>
      <c r="J8" s="6" t="str">
        <f aca="false">IF(ROUND(G8-H8,1)&gt;=0,"✔ Sí","✖ No")</f>
        <v>✖ No</v>
      </c>
      <c r="K8" s="17" t="n">
        <f aca="false">IFERROR(INDEX(Links!$C$345:$C$469,MATCH(C8,Links!$B$218:$B$342,0)),1)</f>
        <v>50</v>
      </c>
      <c r="L8" s="17" t="n">
        <f aca="false">IF(K8&gt;0,H8/K8,0)</f>
        <v>10.463954402963</v>
      </c>
      <c r="M8" s="37" t="n">
        <f aca="false">Links!$B$2192*Links!$C$2192*Links!$C$2203*7.85/1000000</f>
        <v>29.20985</v>
      </c>
      <c r="N8" s="34" t="n">
        <f aca="false">H8*M8</f>
        <v>15282.5269258694</v>
      </c>
    </row>
    <row r="9" customFormat="false" ht="15" hidden="false" customHeight="false" outlineLevel="0" collapsed="false">
      <c r="A9" s="5" t="s">
        <v>58</v>
      </c>
      <c r="B9" s="5" t="s">
        <v>139</v>
      </c>
      <c r="C9" s="6" t="str">
        <f aca="false">Links!$B$63</f>
        <v>MP-03</v>
      </c>
      <c r="D9" s="6" t="str">
        <f aca="false">Links!$C$63</f>
        <v>Hoja LAF 1,6 × 1000 × 2000 mm</v>
      </c>
      <c r="E9" s="6" t="str">
        <f aca="false">Links!$D$63</f>
        <v>hoja</v>
      </c>
      <c r="F9" s="5" t="str">
        <f aca="false">IFERROR(INDEX(Links!$B$345:$B$469,MATCH(C9,Links!$B$218:$B$342,0)),"")</f>
        <v>Paquete de 80 hojas</v>
      </c>
      <c r="G9" s="17" t="n">
        <f aca="false">INDEX(Links!$N$63:$W$63,1,(Resumen!$C$3-2025))</f>
        <v>5314.6475571878</v>
      </c>
      <c r="H9" s="17" t="n">
        <f aca="false">SUMPRODUCT(Links!$F$63:$M$63,$O$5:$V$5)*IF(Links!$E$63="CABA",INDEX(Links!$C$13:$L$13,1,(Resumen!$C$3-2025)),IF(Links!$E$63="PBA",1-INDEX(Links!$C$13:$L$13,1,(Resumen!$C$3-2025)),1))</f>
        <v>5321.05489333333</v>
      </c>
      <c r="I9" s="17" t="n">
        <f aca="false">G9-H9</f>
        <v>-6.40733614553119</v>
      </c>
      <c r="J9" s="6" t="str">
        <f aca="false">IF(ROUND(G9-H9,1)&gt;=0,"✔ Sí","✖ No")</f>
        <v>✖ No</v>
      </c>
      <c r="K9" s="17" t="n">
        <f aca="false">IFERROR(INDEX(Links!$C$345:$C$469,MATCH(C9,Links!$B$218:$B$342,0)),1)</f>
        <v>80</v>
      </c>
      <c r="L9" s="17" t="n">
        <f aca="false">IF(K9&gt;0,H9/K9,0)</f>
        <v>66.5131861666666</v>
      </c>
      <c r="M9" s="37" t="n">
        <f aca="false">Links!$B$2193*Links!$C$2193*Links!$C$2204*7.85/1000000</f>
        <v>25.12</v>
      </c>
      <c r="N9" s="34" t="n">
        <f aca="false">H9*M9</f>
        <v>133664.898920533</v>
      </c>
    </row>
    <row r="10" customFormat="false" ht="15" hidden="false" customHeight="false" outlineLevel="0" collapsed="false">
      <c r="A10" s="5" t="s">
        <v>58</v>
      </c>
      <c r="B10" s="5" t="s">
        <v>139</v>
      </c>
      <c r="C10" s="6" t="str">
        <f aca="false">Links!$B$64</f>
        <v>MP-04</v>
      </c>
      <c r="D10" s="6" t="str">
        <f aca="false">Links!$C$64</f>
        <v>Hoja LAF 2,0 × 1500 × 3000 mm</v>
      </c>
      <c r="E10" s="6" t="str">
        <f aca="false">Links!$D$64</f>
        <v>hoja</v>
      </c>
      <c r="F10" s="5" t="str">
        <f aca="false">IFERROR(INDEX(Links!$B$345:$B$469,MATCH(C10,Links!$B$218:$B$342,0)),"")</f>
        <v>Paquete de 20 hojas</v>
      </c>
      <c r="G10" s="17" t="n">
        <f aca="false">INDEX(Links!$N$64:$W$64,1,(Resumen!$C$3-2025))</f>
        <v>256.925131546466</v>
      </c>
      <c r="H10" s="17" t="n">
        <f aca="false">SUMPRODUCT(Links!$F$64:$M$64,$O$5:$V$5)*IF(Links!$E$64="CABA",INDEX(Links!$C$13:$L$13,1,(Resumen!$C$3-2025)),IF(Links!$E$64="PBA",1-INDEX(Links!$C$13:$L$13,1,(Resumen!$C$3-2025)),1))</f>
        <v>257.5285386</v>
      </c>
      <c r="I10" s="17" t="n">
        <f aca="false">G10-H10</f>
        <v>-0.603407053534113</v>
      </c>
      <c r="J10" s="6" t="str">
        <f aca="false">IF(ROUND(G10-H10,1)&gt;=0,"✔ Sí","✖ No")</f>
        <v>✖ No</v>
      </c>
      <c r="K10" s="17" t="n">
        <f aca="false">IFERROR(INDEX(Links!$C$345:$C$469,MATCH(C10,Links!$B$218:$B$342,0)),1)</f>
        <v>20</v>
      </c>
      <c r="L10" s="17" t="n">
        <f aca="false">IF(K10&gt;0,H10/K10,0)</f>
        <v>12.87642693</v>
      </c>
      <c r="M10" s="37" t="n">
        <f aca="false">Links!$B$2194*Links!$C$2194*Links!$C$2205*7.85/1000000</f>
        <v>70.65</v>
      </c>
      <c r="N10" s="34" t="n">
        <f aca="false">H10*M10</f>
        <v>18194.39125209</v>
      </c>
    </row>
    <row r="11" customFormat="false" ht="15" hidden="false" customHeight="false" outlineLevel="0" collapsed="false">
      <c r="A11" s="5" t="s">
        <v>58</v>
      </c>
      <c r="B11" s="5" t="s">
        <v>141</v>
      </c>
      <c r="C11" s="6" t="str">
        <f aca="false">Links!$B$65</f>
        <v>MP-05</v>
      </c>
      <c r="D11" s="6" t="str">
        <f aca="false">Links!$C$65</f>
        <v>Fleje LAF 0,9 × 93,05 mm (cúpula 1 kg)</v>
      </c>
      <c r="E11" s="6" t="str">
        <f aca="false">Links!$D$65</f>
        <v>kg</v>
      </c>
      <c r="F11" s="5" t="str">
        <f aca="false">IFERROR(INDEX(Links!$B$345:$B$469,MATCH(C11,Links!$B$218:$B$342,0)),"")</f>
        <v>Rollo de 1.900 kg</v>
      </c>
      <c r="G11" s="17" t="n">
        <f aca="false">INDEX(Links!$N$65:$W$65,1,(Resumen!$C$3-2025))</f>
        <v>12095.3182721278</v>
      </c>
      <c r="H11" s="17" t="n">
        <f aca="false">SUMPRODUCT(Links!$F$65:$M$65,$O$5:$V$5)*IF(Links!$E$65="CABA",INDEX(Links!$C$13:$L$13,1,(Resumen!$C$3-2025)),IF(Links!$E$65="PBA",1-INDEX(Links!$C$13:$L$13,1,(Resumen!$C$3-2025)),1))</f>
        <v>12095.3182721278</v>
      </c>
      <c r="I11" s="17" t="n">
        <f aca="false">G11-H11</f>
        <v>0</v>
      </c>
      <c r="J11" s="6" t="str">
        <f aca="false">IF(ROUND(G11-H11,1)&gt;=0,"✔ Sí","✖ No")</f>
        <v>✔ Sí</v>
      </c>
      <c r="K11" s="17" t="n">
        <f aca="false">IFERROR(INDEX(Links!$C$345:$C$469,MATCH(C11,Links!$B$218:$B$342,0)),1)</f>
        <v>1900</v>
      </c>
      <c r="L11" s="17" t="n">
        <f aca="false">IF(K11&gt;0,H11/K11,0)</f>
        <v>6.36595698533044</v>
      </c>
      <c r="M11" s="37" t="n">
        <f aca="false">IF(E11="kg",1,0)</f>
        <v>1</v>
      </c>
      <c r="N11" s="34" t="n">
        <f aca="false">H11*M11</f>
        <v>12095.3182721278</v>
      </c>
    </row>
    <row r="12" customFormat="false" ht="15" hidden="false" customHeight="false" outlineLevel="0" collapsed="false">
      <c r="A12" s="5" t="s">
        <v>58</v>
      </c>
      <c r="B12" s="5" t="s">
        <v>141</v>
      </c>
      <c r="C12" s="6" t="str">
        <f aca="false">Links!$B$66</f>
        <v>MP-13</v>
      </c>
      <c r="D12" s="6" t="str">
        <f aca="false">Links!$C$66</f>
        <v>Fleje LAF 1,25 × 100,6 mm (fondo 1 kg)</v>
      </c>
      <c r="E12" s="6" t="str">
        <f aca="false">Links!$D$66</f>
        <v>kg</v>
      </c>
      <c r="F12" s="5" t="str">
        <f aca="false">IFERROR(INDEX(Links!$B$345:$B$469,MATCH(C12,Links!$B$218:$B$342,0)),"")</f>
        <v>Rollo de 1.900 kg</v>
      </c>
      <c r="G12" s="17" t="n">
        <f aca="false">INDEX(Links!$N$66:$W$66,1,(Resumen!$C$3-2025))</f>
        <v>19478.6062580921</v>
      </c>
      <c r="H12" s="17" t="n">
        <f aca="false">SUMPRODUCT(Links!$F$66:$M$66,$O$5:$V$5)*IF(Links!$E$66="CABA",INDEX(Links!$C$13:$L$13,1,(Resumen!$C$3-2025)),IF(Links!$E$66="PBA",1-INDEX(Links!$C$13:$L$13,1,(Resumen!$C$3-2025)),1))</f>
        <v>19478.6062580921</v>
      </c>
      <c r="I12" s="17" t="n">
        <f aca="false">G12-H12</f>
        <v>0</v>
      </c>
      <c r="J12" s="6" t="str">
        <f aca="false">IF(ROUND(G12-H12,1)&gt;=0,"✔ Sí","✖ No")</f>
        <v>✔ Sí</v>
      </c>
      <c r="K12" s="17" t="n">
        <f aca="false">IFERROR(INDEX(Links!$C$345:$C$469,MATCH(C12,Links!$B$218:$B$342,0)),1)</f>
        <v>1900</v>
      </c>
      <c r="L12" s="17" t="n">
        <f aca="false">IF(K12&gt;0,H12/K12,0)</f>
        <v>10.2518980305748</v>
      </c>
      <c r="M12" s="37" t="n">
        <f aca="false">IF(E12="kg",1,0)</f>
        <v>1</v>
      </c>
      <c r="N12" s="34" t="n">
        <f aca="false">H12*M12</f>
        <v>19478.6062580921</v>
      </c>
    </row>
    <row r="13" customFormat="false" ht="15" hidden="false" customHeight="false" outlineLevel="0" collapsed="false">
      <c r="A13" s="5" t="s">
        <v>58</v>
      </c>
      <c r="B13" s="5" t="s">
        <v>141</v>
      </c>
      <c r="C13" s="6" t="str">
        <f aca="false">Links!$B$67</f>
        <v>MP-06</v>
      </c>
      <c r="D13" s="6" t="str">
        <f aca="false">Links!$C$67</f>
        <v>Fleje LAF 1,25 × 162,1 mm (cúpula 2,5 kg)</v>
      </c>
      <c r="E13" s="6" t="str">
        <f aca="false">Links!$D$67</f>
        <v>kg</v>
      </c>
      <c r="F13" s="5" t="str">
        <f aca="false">IFERROR(INDEX(Links!$B$345:$B$469,MATCH(C13,Links!$B$218:$B$342,0)),"")</f>
        <v>Rollo de 492 kg</v>
      </c>
      <c r="G13" s="17" t="n">
        <f aca="false">INDEX(Links!$N$67:$W$67,1,(Resumen!$C$3-2025))</f>
        <v>3568.80740370326</v>
      </c>
      <c r="H13" s="17" t="n">
        <f aca="false">SUMPRODUCT(Links!$F$67:$M$67,$O$5:$V$5)*IF(Links!$E$67="CABA",INDEX(Links!$C$13:$L$13,1,(Resumen!$C$3-2025)),IF(Links!$E$67="PBA",1-INDEX(Links!$C$13:$L$13,1,(Resumen!$C$3-2025)),1))</f>
        <v>3577.03189843144</v>
      </c>
      <c r="I13" s="17" t="n">
        <f aca="false">G13-H13</f>
        <v>-8.2244947281788</v>
      </c>
      <c r="J13" s="6" t="str">
        <f aca="false">IF(ROUND(G13-H13,1)&gt;=0,"✔ Sí","✖ No")</f>
        <v>✖ No</v>
      </c>
      <c r="K13" s="17" t="n">
        <f aca="false">IFERROR(INDEX(Links!$C$345:$C$469,MATCH(C13,Links!$B$218:$B$342,0)),1)</f>
        <v>492</v>
      </c>
      <c r="L13" s="17" t="n">
        <f aca="false">IF(K13&gt;0,H13/K13,0)</f>
        <v>7.27039003746227</v>
      </c>
      <c r="M13" s="37" t="n">
        <f aca="false">IF(E13="kg",1,0)</f>
        <v>1</v>
      </c>
      <c r="N13" s="34" t="n">
        <f aca="false">H13*M13</f>
        <v>3577.03189843144</v>
      </c>
    </row>
    <row r="14" customFormat="false" ht="15" hidden="false" customHeight="false" outlineLevel="0" collapsed="false">
      <c r="A14" s="5" t="s">
        <v>58</v>
      </c>
      <c r="B14" s="5" t="s">
        <v>141</v>
      </c>
      <c r="C14" s="6" t="str">
        <f aca="false">Links!$B$68</f>
        <v>MP-14</v>
      </c>
      <c r="D14" s="6" t="str">
        <f aca="false">Links!$C$68</f>
        <v>Fleje LAF 1,25 × 146,1 mm (fondo 2,5 kg)</v>
      </c>
      <c r="E14" s="6" t="str">
        <f aca="false">Links!$D$68</f>
        <v>kg</v>
      </c>
      <c r="F14" s="5" t="str">
        <f aca="false">IFERROR(INDEX(Links!$B$345:$B$469,MATCH(C14,Links!$B$218:$B$342,0)),"")</f>
        <v>Rollo de 492 kg</v>
      </c>
      <c r="G14" s="17" t="n">
        <f aca="false">INDEX(Links!$N$68:$W$68,1,(Resumen!$C$3-2025))</f>
        <v>2891.64354068509</v>
      </c>
      <c r="H14" s="17" t="n">
        <f aca="false">SUMPRODUCT(Links!$F$68:$M$68,$O$5:$V$5)*IF(Links!$E$68="CABA",INDEX(Links!$C$13:$L$13,1,(Resumen!$C$3-2025)),IF(Links!$E$68="PBA",1-INDEX(Links!$C$13:$L$13,1,(Resumen!$C$3-2025)),1))</f>
        <v>2898.30747750371</v>
      </c>
      <c r="I14" s="17" t="n">
        <f aca="false">G14-H14</f>
        <v>-6.66393681862019</v>
      </c>
      <c r="J14" s="6" t="str">
        <f aca="false">IF(ROUND(G14-H14,1)&gt;=0,"✔ Sí","✖ No")</f>
        <v>✖ No</v>
      </c>
      <c r="K14" s="17" t="n">
        <f aca="false">IFERROR(INDEX(Links!$C$345:$C$469,MATCH(C14,Links!$B$218:$B$342,0)),1)</f>
        <v>492</v>
      </c>
      <c r="L14" s="17" t="n">
        <f aca="false">IF(K14&gt;0,H14/K14,0)</f>
        <v>5.89086885671486</v>
      </c>
      <c r="M14" s="37" t="n">
        <f aca="false">IF(E14="kg",1,0)</f>
        <v>1</v>
      </c>
      <c r="N14" s="34" t="n">
        <f aca="false">H14*M14</f>
        <v>2898.30747750371</v>
      </c>
    </row>
    <row r="15" customFormat="false" ht="15" hidden="false" customHeight="false" outlineLevel="0" collapsed="false">
      <c r="A15" s="5" t="s">
        <v>58</v>
      </c>
      <c r="B15" s="5" t="s">
        <v>141</v>
      </c>
      <c r="C15" s="6" t="str">
        <f aca="false">Links!$B$69</f>
        <v>MP-07</v>
      </c>
      <c r="D15" s="6" t="str">
        <f aca="false">Links!$C$69</f>
        <v>Fleje LAF 1,6 × 204,2 mm (cúpula 5 kg)</v>
      </c>
      <c r="E15" s="6" t="str">
        <f aca="false">Links!$D$69</f>
        <v>kg</v>
      </c>
      <c r="F15" s="5" t="str">
        <f aca="false">IFERROR(INDEX(Links!$B$345:$B$469,MATCH(C15,Links!$B$218:$B$342,0)),"")</f>
        <v>Rollo de 615 kg</v>
      </c>
      <c r="G15" s="17" t="n">
        <f aca="false">INDEX(Links!$N$69:$W$69,1,(Resumen!$C$3-2025))</f>
        <v>32779.5634799705</v>
      </c>
      <c r="H15" s="17" t="n">
        <f aca="false">SUMPRODUCT(Links!$F$69:$M$69,$O$5:$V$5)*IF(Links!$E$69="CABA",INDEX(Links!$C$13:$L$13,1,(Resumen!$C$3-2025)),IF(Links!$E$69="PBA",1-INDEX(Links!$C$13:$L$13,1,(Resumen!$C$3-2025)),1))</f>
        <v>32819.0825035106</v>
      </c>
      <c r="I15" s="17" t="n">
        <f aca="false">G15-H15</f>
        <v>-39.5190235400805</v>
      </c>
      <c r="J15" s="6" t="str">
        <f aca="false">IF(ROUND(G15-H15,1)&gt;=0,"✔ Sí","✖ No")</f>
        <v>✖ No</v>
      </c>
      <c r="K15" s="17" t="n">
        <f aca="false">IFERROR(INDEX(Links!$C$345:$C$469,MATCH(C15,Links!$B$218:$B$342,0)),1)</f>
        <v>615</v>
      </c>
      <c r="L15" s="17" t="n">
        <f aca="false">IF(K15&gt;0,H15/K15,0)</f>
        <v>53.3643617943262</v>
      </c>
      <c r="M15" s="37" t="n">
        <f aca="false">IF(E15="kg",1,0)</f>
        <v>1</v>
      </c>
      <c r="N15" s="34" t="n">
        <f aca="false">H15*M15</f>
        <v>32819.0825035106</v>
      </c>
    </row>
    <row r="16" customFormat="false" ht="15" hidden="false" customHeight="false" outlineLevel="0" collapsed="false">
      <c r="A16" s="5" t="s">
        <v>58</v>
      </c>
      <c r="B16" s="5" t="s">
        <v>141</v>
      </c>
      <c r="C16" s="6" t="str">
        <f aca="false">Links!$B$70</f>
        <v>MP-08</v>
      </c>
      <c r="D16" s="6" t="str">
        <f aca="false">Links!$C$70</f>
        <v>Fleje LAF 1,6 × 177,2 mm (fondo 5 kg)</v>
      </c>
      <c r="E16" s="6" t="str">
        <f aca="false">Links!$D$70</f>
        <v>kg</v>
      </c>
      <c r="F16" s="5" t="str">
        <f aca="false">IFERROR(INDEX(Links!$B$345:$B$469,MATCH(C16,Links!$B$218:$B$342,0)),"")</f>
        <v>Rollo de 492 kg</v>
      </c>
      <c r="G16" s="17" t="n">
        <f aca="false">INDEX(Links!$N$70:$W$70,1,(Resumen!$C$3-2025))</f>
        <v>24593.6650064639</v>
      </c>
      <c r="H16" s="17" t="n">
        <f aca="false">SUMPRODUCT(Links!$F$70:$M$70,$O$5:$V$5)*IF(Links!$E$70="CABA",INDEX(Links!$C$13:$L$13,1,(Resumen!$C$3-2025)),IF(Links!$E$70="PBA",1-INDEX(Links!$C$13:$L$13,1,(Resumen!$C$3-2025)),1))</f>
        <v>24623.3151153472</v>
      </c>
      <c r="I16" s="17" t="n">
        <f aca="false">G16-H16</f>
        <v>-29.6501088832883</v>
      </c>
      <c r="J16" s="6" t="str">
        <f aca="false">IF(ROUND(G16-H16,1)&gt;=0,"✔ Sí","✖ No")</f>
        <v>✖ No</v>
      </c>
      <c r="K16" s="17" t="n">
        <f aca="false">IFERROR(INDEX(Links!$C$345:$C$469,MATCH(C16,Links!$B$218:$B$342,0)),1)</f>
        <v>492</v>
      </c>
      <c r="L16" s="17" t="n">
        <f aca="false">IF(K16&gt;0,H16/K16,0)</f>
        <v>50.0473884458276</v>
      </c>
      <c r="M16" s="37" t="n">
        <f aca="false">IF(E16="kg",1,0)</f>
        <v>1</v>
      </c>
      <c r="N16" s="34" t="n">
        <f aca="false">H16*M16</f>
        <v>24623.3151153472</v>
      </c>
    </row>
    <row r="17" customFormat="false" ht="15" hidden="false" customHeight="false" outlineLevel="0" collapsed="false">
      <c r="A17" s="5" t="s">
        <v>58</v>
      </c>
      <c r="B17" s="5" t="s">
        <v>141</v>
      </c>
      <c r="C17" s="6" t="str">
        <f aca="false">Links!$B$71</f>
        <v>MP-09</v>
      </c>
      <c r="D17" s="6" t="str">
        <f aca="false">Links!$C$71</f>
        <v>Fleje LAF 1,6 × 238,7 mm (cúpula 10 kg)</v>
      </c>
      <c r="E17" s="6" t="str">
        <f aca="false">Links!$D$71</f>
        <v>kg</v>
      </c>
      <c r="F17" s="5" t="str">
        <f aca="false">IFERROR(INDEX(Links!$B$345:$B$469,MATCH(C17,Links!$B$218:$B$342,0)),"")</f>
        <v>Rollo de 590 kg</v>
      </c>
      <c r="G17" s="17" t="n">
        <f aca="false">INDEX(Links!$N$71:$W$71,1,(Resumen!$C$3-2025))</f>
        <v>2716.10807117145</v>
      </c>
      <c r="H17" s="17" t="n">
        <f aca="false">SUMPRODUCT(Links!$F$71:$M$71,$O$5:$V$5)*IF(Links!$E$71="CABA",INDEX(Links!$C$13:$L$13,1,(Resumen!$C$3-2025)),IF(Links!$E$71="PBA",1-INDEX(Links!$C$13:$L$13,1,(Resumen!$C$3-2025)),1))</f>
        <v>2722.48704530466</v>
      </c>
      <c r="I17" s="17" t="n">
        <f aca="false">G17-H17</f>
        <v>-6.37897413320889</v>
      </c>
      <c r="J17" s="6" t="str">
        <f aca="false">IF(ROUND(G17-H17,1)&gt;=0,"✔ Sí","✖ No")</f>
        <v>✖ No</v>
      </c>
      <c r="K17" s="17" t="n">
        <f aca="false">IFERROR(INDEX(Links!$C$345:$C$469,MATCH(C17,Links!$B$218:$B$342,0)),1)</f>
        <v>590</v>
      </c>
      <c r="L17" s="17" t="n">
        <f aca="false">IF(K17&gt;0,H17/K17,0)</f>
        <v>4.61438482255027</v>
      </c>
      <c r="M17" s="37" t="n">
        <f aca="false">IF(E17="kg",1,0)</f>
        <v>1</v>
      </c>
      <c r="N17" s="34" t="n">
        <f aca="false">H17*M17</f>
        <v>2722.48704530466</v>
      </c>
    </row>
    <row r="18" customFormat="false" ht="15" hidden="false" customHeight="false" outlineLevel="0" collapsed="false">
      <c r="A18" s="5" t="s">
        <v>58</v>
      </c>
      <c r="B18" s="5" t="s">
        <v>141</v>
      </c>
      <c r="C18" s="6" t="str">
        <f aca="false">Links!$B$72</f>
        <v>MP-10</v>
      </c>
      <c r="D18" s="6" t="str">
        <f aca="false">Links!$C$72</f>
        <v>Fleje LAF 2,0 × 205 mm (fondo 10 kg)</v>
      </c>
      <c r="E18" s="6" t="str">
        <f aca="false">Links!$D$72</f>
        <v>kg</v>
      </c>
      <c r="F18" s="5" t="str">
        <f aca="false">IFERROR(INDEX(Links!$B$345:$B$469,MATCH(C18,Links!$B$218:$B$342,0)),"")</f>
        <v>Rollo de 498 kg</v>
      </c>
      <c r="G18" s="17" t="n">
        <f aca="false">INDEX(Links!$N$72:$W$72,1,(Resumen!$C$3-2025))</f>
        <v>2480.7406076469</v>
      </c>
      <c r="H18" s="17" t="n">
        <f aca="false">SUMPRODUCT(Links!$F$72:$M$72,$O$5:$V$5)*IF(Links!$E$72="CABA",INDEX(Links!$C$13:$L$13,1,(Resumen!$C$3-2025)),IF(Links!$E$72="PBA",1-INDEX(Links!$C$13:$L$13,1,(Resumen!$C$3-2025)),1))</f>
        <v>2486.5668044523</v>
      </c>
      <c r="I18" s="17" t="n">
        <f aca="false">G18-H18</f>
        <v>-5.82619680539983</v>
      </c>
      <c r="J18" s="6" t="str">
        <f aca="false">IF(ROUND(G18-H18,1)&gt;=0,"✔ Sí","✖ No")</f>
        <v>✖ No</v>
      </c>
      <c r="K18" s="17" t="n">
        <f aca="false">IFERROR(INDEX(Links!$C$345:$C$469,MATCH(C18,Links!$B$218:$B$342,0)),1)</f>
        <v>498</v>
      </c>
      <c r="L18" s="17" t="n">
        <f aca="false">IF(K18&gt;0,H18/K18,0)</f>
        <v>4.99310603303675</v>
      </c>
      <c r="M18" s="37" t="n">
        <f aca="false">IF(E18="kg",1,0)</f>
        <v>1</v>
      </c>
      <c r="N18" s="34" t="n">
        <f aca="false">H18*M18</f>
        <v>2486.5668044523</v>
      </c>
    </row>
    <row r="19" customFormat="false" ht="15" hidden="false" customHeight="false" outlineLevel="0" collapsed="false">
      <c r="A19" s="5" t="s">
        <v>58</v>
      </c>
      <c r="B19" s="5" t="s">
        <v>142</v>
      </c>
      <c r="C19" s="6" t="str">
        <f aca="false">Links!$B$73</f>
        <v>MP-18</v>
      </c>
      <c r="D19" s="6" t="str">
        <f aca="false">Links!$C$73</f>
        <v>Asiento de válvula M22 × 1,5 (1 kg)</v>
      </c>
      <c r="E19" s="6" t="str">
        <f aca="false">Links!$D$73</f>
        <v>u</v>
      </c>
      <c r="F19" s="5" t="str">
        <f aca="false">IFERROR(INDEX(Links!$B$345:$B$469,MATCH(C19,Links!$B$218:$B$342,0)),"")</f>
        <v>Caja de 1.000 u</v>
      </c>
      <c r="G19" s="17" t="n">
        <f aca="false">INDEX(Links!$N$73:$W$73,1,(Resumen!$C$3-2025))</f>
        <v>202620.63913</v>
      </c>
      <c r="H19" s="17" t="n">
        <f aca="false">SUMPRODUCT(Links!$F$73:$M$73,$O$5:$V$5)*IF(Links!$E$73="CABA",INDEX(Links!$C$13:$L$13,1,(Resumen!$C$3-2025)),IF(Links!$E$73="PBA",1-INDEX(Links!$C$13:$L$13,1,(Resumen!$C$3-2025)),1))</f>
        <v>202620.63913</v>
      </c>
      <c r="I19" s="17" t="n">
        <f aca="false">G19-H19</f>
        <v>0</v>
      </c>
      <c r="J19" s="6" t="str">
        <f aca="false">IF(ROUND(G19-H19,1)&gt;=0,"✔ Sí","✖ No")</f>
        <v>✔ Sí</v>
      </c>
      <c r="K19" s="17" t="n">
        <f aca="false">IFERROR(INDEX(Links!$C$345:$C$469,MATCH(C19,Links!$B$218:$B$342,0)),1)</f>
        <v>1000</v>
      </c>
      <c r="L19" s="17" t="n">
        <f aca="false">IF(K19&gt;0,H19/K19,0)</f>
        <v>202.62063913</v>
      </c>
      <c r="M19" s="37" t="n">
        <f aca="false">IF(E19="kg",1,0)</f>
        <v>0</v>
      </c>
      <c r="N19" s="34" t="n">
        <f aca="false">H19*M19</f>
        <v>0</v>
      </c>
    </row>
    <row r="20" customFormat="false" ht="15" hidden="false" customHeight="false" outlineLevel="0" collapsed="false">
      <c r="A20" s="5" t="s">
        <v>58</v>
      </c>
      <c r="B20" s="5" t="s">
        <v>142</v>
      </c>
      <c r="C20" s="6" t="str">
        <f aca="false">Links!$B$74</f>
        <v>MP-19</v>
      </c>
      <c r="D20" s="6" t="str">
        <f aca="false">Links!$C$74</f>
        <v>Asiento de válvula M30 × 1,5 (2,5 a 10 kg)</v>
      </c>
      <c r="E20" s="6" t="str">
        <f aca="false">Links!$D$74</f>
        <v>u</v>
      </c>
      <c r="F20" s="5" t="str">
        <f aca="false">IFERROR(INDEX(Links!$B$345:$B$469,MATCH(C20,Links!$B$218:$B$342,0)),"")</f>
        <v>Caja de 1.000 u</v>
      </c>
      <c r="G20" s="17" t="n">
        <f aca="false">INDEX(Links!$N$74:$W$74,1,(Resumen!$C$3-2025))</f>
        <v>81723.5061034506</v>
      </c>
      <c r="H20" s="17" t="n">
        <f aca="false">SUMPRODUCT(Links!$F$74:$M$74,$O$5:$V$5)*IF(Links!$E$74="CABA",INDEX(Links!$C$13:$L$13,1,(Resumen!$C$3-2025)),IF(Links!$E$74="PBA",1-INDEX(Links!$C$13:$L$13,1,(Resumen!$C$3-2025)),1))</f>
        <v>81841.925243</v>
      </c>
      <c r="I20" s="17" t="n">
        <f aca="false">G20-H20</f>
        <v>-118.419139549398</v>
      </c>
      <c r="J20" s="6" t="str">
        <f aca="false">IF(ROUND(G20-H20,1)&gt;=0,"✔ Sí","✖ No")</f>
        <v>✖ No</v>
      </c>
      <c r="K20" s="17" t="n">
        <f aca="false">IFERROR(INDEX(Links!$C$345:$C$469,MATCH(C20,Links!$B$218:$B$342,0)),1)</f>
        <v>1000</v>
      </c>
      <c r="L20" s="17" t="n">
        <f aca="false">IF(K20&gt;0,H20/K20,0)</f>
        <v>81.841925243</v>
      </c>
      <c r="M20" s="37" t="n">
        <f aca="false">IF(E20="kg",1,0)</f>
        <v>0</v>
      </c>
      <c r="N20" s="34" t="n">
        <f aca="false">H20*M20</f>
        <v>0</v>
      </c>
    </row>
    <row r="21" customFormat="false" ht="15" hidden="false" customHeight="false" outlineLevel="0" collapsed="false">
      <c r="A21" s="5" t="s">
        <v>58</v>
      </c>
      <c r="B21" s="5" t="s">
        <v>144</v>
      </c>
      <c r="C21" s="6" t="str">
        <f aca="false">Links!$B$75</f>
        <v>MP-23</v>
      </c>
      <c r="D21" s="6" t="str">
        <f aca="false">Links!$C$75</f>
        <v>Alambre MAG ER70S-6 Ø0,9 mm (manuales)</v>
      </c>
      <c r="E21" s="6" t="str">
        <f aca="false">Links!$D$75</f>
        <v>kg</v>
      </c>
      <c r="F21" s="5" t="str">
        <f aca="false">IFERROR(INDEX(Links!$B$345:$B$469,MATCH(C21,Links!$B$218:$B$342,0)),"")</f>
        <v>Pallet de 900 kg</v>
      </c>
      <c r="G21" s="17" t="n">
        <f aca="false">INDEX(Links!$N$75:$W$75,1,(Resumen!$C$3-2025))</f>
        <v>5985.81112149988</v>
      </c>
      <c r="H21" s="17" t="n">
        <f aca="false">SUMPRODUCT(Links!$F$75:$M$75,$O$5:$V$5)*IF(Links!$E$75="CABA",INDEX(Links!$C$13:$L$13,1,(Resumen!$C$3-2025)),IF(Links!$E$75="PBA",1-INDEX(Links!$C$13:$L$13,1,(Resumen!$C$3-2025)),1))</f>
        <v>5990.03823683055</v>
      </c>
      <c r="I21" s="17" t="n">
        <f aca="false">G21-H21</f>
        <v>-4.22711533067013</v>
      </c>
      <c r="J21" s="6" t="str">
        <f aca="false">IF(ROUND(G21-H21,1)&gt;=0,"✔ Sí","✖ No")</f>
        <v>✖ No</v>
      </c>
      <c r="K21" s="17" t="n">
        <f aca="false">IFERROR(INDEX(Links!$C$345:$C$469,MATCH(C21,Links!$B$218:$B$342,0)),1)</f>
        <v>900</v>
      </c>
      <c r="L21" s="17" t="n">
        <f aca="false">IF(K21&gt;0,H21/K21,0)</f>
        <v>6.65559804092283</v>
      </c>
      <c r="M21" s="37" t="n">
        <f aca="false">IF(E21="kg",1,0)</f>
        <v>1</v>
      </c>
      <c r="N21" s="34" t="n">
        <f aca="false">H21*M21</f>
        <v>5990.03823683055</v>
      </c>
    </row>
    <row r="22" customFormat="false" ht="15" hidden="false" customHeight="false" outlineLevel="0" collapsed="false">
      <c r="A22" s="5" t="s">
        <v>58</v>
      </c>
      <c r="B22" s="5" t="s">
        <v>145</v>
      </c>
      <c r="C22" s="6" t="str">
        <f aca="false">Links!$B$76</f>
        <v>MP-25</v>
      </c>
      <c r="D22" s="6" t="str">
        <f aca="false">Links!$C$76</f>
        <v>Gas MAG Ar + 8 % CO₂ (Arcal 21)</v>
      </c>
      <c r="E22" s="6" t="str">
        <f aca="false">Links!$D$76</f>
        <v>m³</v>
      </c>
      <c r="F22" s="5" t="str">
        <f aca="false">IFERROR(INDEX(Links!$B$345:$B$469,MATCH(C22,Links!$B$218:$B$342,0)),"")</f>
        <v>Batería de 11 cilindros</v>
      </c>
      <c r="G22" s="17" t="n">
        <f aca="false">INDEX(Links!$N$76:$W$76,1,(Resumen!$C$3-2025))</f>
        <v>7393.13414849997</v>
      </c>
      <c r="H22" s="17" t="n">
        <f aca="false">SUMPRODUCT(Links!$F$76:$M$76,$O$5:$V$5)*IF(Links!$E$76="CABA",INDEX(Links!$C$13:$L$13,1,(Resumen!$C$3-2025)),IF(Links!$E$76="PBA",1-INDEX(Links!$C$13:$L$13,1,(Resumen!$C$3-2025)),1))</f>
        <v>7398.35465882978</v>
      </c>
      <c r="I22" s="17" t="n">
        <f aca="false">G22-H22</f>
        <v>-5.2205103298129</v>
      </c>
      <c r="J22" s="6" t="str">
        <f aca="false">IF(ROUND(G22-H22,1)&gt;=0,"✔ Sí","✖ No")</f>
        <v>✖ No</v>
      </c>
      <c r="K22" s="17" t="n">
        <f aca="false">IFERROR(INDEX(Links!$C$345:$C$469,MATCH(C22,Links!$B$218:$B$342,0)),1)</f>
        <v>115.5</v>
      </c>
      <c r="L22" s="17" t="n">
        <f aca="false">IF(K22&gt;0,H22/K22,0)</f>
        <v>64.055018691167</v>
      </c>
      <c r="M22" s="37" t="n">
        <f aca="false">IF(E22="kg",1,0)</f>
        <v>0</v>
      </c>
      <c r="N22" s="34" t="n">
        <f aca="false">H22*M22</f>
        <v>0</v>
      </c>
    </row>
    <row r="23" customFormat="false" ht="15" hidden="false" customHeight="false" outlineLevel="0" collapsed="false">
      <c r="A23" s="5" t="s">
        <v>58</v>
      </c>
      <c r="B23" s="5" t="s">
        <v>145</v>
      </c>
      <c r="C23" s="6" t="str">
        <f aca="false">Links!$B$77</f>
        <v>MP-26</v>
      </c>
      <c r="D23" s="6" t="str">
        <f aca="false">Links!$C$77</f>
        <v>Argón puro EN ISO 14175 I1 (costura longitudinal TIG del 1 kg)</v>
      </c>
      <c r="E23" s="6" t="str">
        <f aca="false">Links!$D$77</f>
        <v>m³</v>
      </c>
      <c r="F23" s="5" t="str">
        <f aca="false">IFERROR(INDEX(Links!$B$345:$B$469,MATCH(C23,Links!$B$218:$B$342,0)),"")</f>
        <v>Cilindro de 10,5 m³</v>
      </c>
      <c r="G23" s="17" t="n">
        <f aca="false">INDEX(Links!$N$77:$W$77,1,(Resumen!$C$3-2025))</f>
        <v>800.55414520263</v>
      </c>
      <c r="H23" s="17" t="n">
        <f aca="false">SUMPRODUCT(Links!$F$77:$M$77,$O$5:$V$5)*IF(Links!$E$77="CABA",INDEX(Links!$C$13:$L$13,1,(Resumen!$C$3-2025)),IF(Links!$E$77="PBA",1-INDEX(Links!$C$13:$L$13,1,(Resumen!$C$3-2025)),1))</f>
        <v>800.55414520263</v>
      </c>
      <c r="I23" s="17" t="n">
        <f aca="false">G23-H23</f>
        <v>0</v>
      </c>
      <c r="J23" s="6" t="str">
        <f aca="false">IF(ROUND(G23-H23,1)&gt;=0,"✔ Sí","✖ No")</f>
        <v>✔ Sí</v>
      </c>
      <c r="K23" s="17" t="n">
        <f aca="false">IFERROR(INDEX(Links!$C$345:$C$469,MATCH(C23,Links!$B$218:$B$342,0)),1)</f>
        <v>10.5</v>
      </c>
      <c r="L23" s="17" t="n">
        <f aca="false">IF(K23&gt;0,H23/K23,0)</f>
        <v>76.24325192406</v>
      </c>
      <c r="M23" s="37" t="n">
        <f aca="false">IF(E23="kg",1,0)</f>
        <v>0</v>
      </c>
      <c r="N23" s="34" t="n">
        <f aca="false">H23*M23</f>
        <v>0</v>
      </c>
    </row>
    <row r="24" customFormat="false" ht="15" hidden="false" customHeight="false" outlineLevel="0" collapsed="false">
      <c r="A24" s="5" t="s">
        <v>58</v>
      </c>
      <c r="B24" s="5" t="s">
        <v>147</v>
      </c>
      <c r="C24" s="6" t="str">
        <f aca="false">Links!$B$78</f>
        <v>MP-29</v>
      </c>
      <c r="D24" s="6" t="str">
        <f aca="false">Links!$C$78</f>
        <v>Electrodo de tungsteno lantanado 2 % (WL20) Ø2,4 × 175 mm</v>
      </c>
      <c r="E24" s="6" t="str">
        <f aca="false">Links!$D$78</f>
        <v>u</v>
      </c>
      <c r="F24" s="5" t="str">
        <f aca="false">IFERROR(INDEX(Links!$B$345:$B$469,MATCH(C24,Links!$B$218:$B$342,0)),"")</f>
        <v>Caja de 10 u</v>
      </c>
      <c r="G24" s="17" t="n">
        <f aca="false">INDEX(Links!$N$78:$W$78,1,(Resumen!$C$3-2025))</f>
        <v>166.628815074013</v>
      </c>
      <c r="H24" s="17" t="n">
        <f aca="false">SUMPRODUCT(Links!$F$78:$M$78,$O$5:$V$5)*IF(Links!$E$78="CABA",INDEX(Links!$C$13:$L$13,1,(Resumen!$C$3-2025)),IF(Links!$E$78="PBA",1-INDEX(Links!$C$13:$L$13,1,(Resumen!$C$3-2025)),1))</f>
        <v>166.628815074013</v>
      </c>
      <c r="I24" s="17" t="n">
        <f aca="false">G24-H24</f>
        <v>0</v>
      </c>
      <c r="J24" s="6" t="str">
        <f aca="false">IF(ROUND(G24-H24,1)&gt;=0,"✔ Sí","✖ No")</f>
        <v>✔ Sí</v>
      </c>
      <c r="K24" s="17" t="n">
        <f aca="false">IFERROR(INDEX(Links!$C$345:$C$469,MATCH(C24,Links!$B$218:$B$342,0)),1)</f>
        <v>10</v>
      </c>
      <c r="L24" s="17" t="n">
        <f aca="false">IF(K24&gt;0,H24/K24,0)</f>
        <v>16.6628815074013</v>
      </c>
      <c r="M24" s="37" t="n">
        <f aca="false">IF(E24="kg",1,0)</f>
        <v>0</v>
      </c>
      <c r="N24" s="34" t="n">
        <f aca="false">H24*M24</f>
        <v>0</v>
      </c>
    </row>
    <row r="25" customFormat="false" ht="15" hidden="false" customHeight="false" outlineLevel="0" collapsed="false">
      <c r="A25" s="5" t="s">
        <v>58</v>
      </c>
      <c r="B25" s="5" t="s">
        <v>148</v>
      </c>
      <c r="C25" s="6" t="str">
        <f aca="false">Links!$B$79</f>
        <v>MP-28</v>
      </c>
      <c r="D25" s="6" t="str">
        <f aca="false">Links!$C$79</f>
        <v>Granalla de acero S330 / S390</v>
      </c>
      <c r="E25" s="6" t="str">
        <f aca="false">Links!$D$79</f>
        <v>kg</v>
      </c>
      <c r="F25" s="5" t="str">
        <f aca="false">IFERROR(INDEX(Links!$B$345:$B$469,MATCH(C25,Links!$B$218:$B$342,0)),"")</f>
        <v>Pallet de 1.000 kg</v>
      </c>
      <c r="G25" s="17" t="n">
        <f aca="false">INDEX(Links!$N$79:$W$79,1,(Resumen!$C$3-2025))</f>
        <v>22747.5316186761</v>
      </c>
      <c r="H25" s="17" t="n">
        <f aca="false">SUMPRODUCT(Links!$F$79:$M$79,$O$5:$V$5)*IF(Links!$E$79="CABA",INDEX(Links!$C$13:$L$13,1,(Resumen!$C$3-2025)),IF(Links!$E$79="PBA",1-INDEX(Links!$C$13:$L$13,1,(Resumen!$C$3-2025)),1))</f>
        <v>22757.00514984</v>
      </c>
      <c r="I25" s="17" t="n">
        <f aca="false">G25-H25</f>
        <v>-9.47353116389786</v>
      </c>
      <c r="J25" s="6" t="str">
        <f aca="false">IF(ROUND(G25-H25,1)&gt;=0,"✔ Sí","✖ No")</f>
        <v>✖ No</v>
      </c>
      <c r="K25" s="17" t="n">
        <f aca="false">IFERROR(INDEX(Links!$C$345:$C$469,MATCH(C25,Links!$B$218:$B$342,0)),1)</f>
        <v>1000</v>
      </c>
      <c r="L25" s="17" t="n">
        <f aca="false">IF(K25&gt;0,H25/K25,0)</f>
        <v>22.75700514984</v>
      </c>
      <c r="M25" s="37" t="n">
        <f aca="false">IF(E25="kg",1,0)</f>
        <v>1</v>
      </c>
      <c r="N25" s="34" t="n">
        <f aca="false">H25*M25</f>
        <v>22757.00514984</v>
      </c>
    </row>
    <row r="26" customFormat="false" ht="15" hidden="false" customHeight="false" outlineLevel="0" collapsed="false">
      <c r="A26" s="5" t="s">
        <v>58</v>
      </c>
      <c r="B26" s="5" t="s">
        <v>149</v>
      </c>
      <c r="C26" s="6" t="str">
        <f aca="false">Links!$B$80</f>
        <v>MP-31</v>
      </c>
      <c r="D26" s="6" t="str">
        <f aca="false">Links!$C$80</f>
        <v>Pintura en polvo poliéster rojo 03-1-050</v>
      </c>
      <c r="E26" s="6" t="str">
        <f aca="false">Links!$D$80</f>
        <v>kg</v>
      </c>
      <c r="F26" s="5" t="str">
        <f aca="false">IFERROR(INDEX(Links!$B$345:$B$469,MATCH(C26,Links!$B$218:$B$342,0)),"")</f>
        <v>Pallet de 600 kg</v>
      </c>
      <c r="G26" s="17" t="n">
        <f aca="false">INDEX(Links!$N$80:$W$80,1,(Resumen!$C$3-2025))</f>
        <v>3579.29598591396</v>
      </c>
      <c r="H26" s="17" t="n">
        <f aca="false">SUMPRODUCT(Links!$F$80:$M$80,$O$5:$V$5)*IF(Links!$E$80="CABA",INDEX(Links!$C$13:$L$13,1,(Resumen!$C$3-2025)),IF(Links!$E$80="PBA",1-INDEX(Links!$C$13:$L$13,1,(Resumen!$C$3-2025)),1))</f>
        <v>3581.93537903661</v>
      </c>
      <c r="I26" s="17" t="n">
        <f aca="false">G26-H26</f>
        <v>-2.63939312265029</v>
      </c>
      <c r="J26" s="6" t="str">
        <f aca="false">IF(ROUND(G26-H26,1)&gt;=0,"✔ Sí","✖ No")</f>
        <v>✖ No</v>
      </c>
      <c r="K26" s="17" t="n">
        <f aca="false">IFERROR(INDEX(Links!$C$345:$C$469,MATCH(C26,Links!$B$218:$B$342,0)),1)</f>
        <v>600</v>
      </c>
      <c r="L26" s="17" t="n">
        <f aca="false">IF(K26&gt;0,H26/K26,0)</f>
        <v>5.96989229839435</v>
      </c>
      <c r="M26" s="37" t="n">
        <f aca="false">IF(E26="kg",1,0)</f>
        <v>1</v>
      </c>
      <c r="N26" s="34" t="n">
        <f aca="false">H26*M26</f>
        <v>3581.93537903661</v>
      </c>
    </row>
    <row r="27" customFormat="false" ht="15" hidden="false" customHeight="false" outlineLevel="0" collapsed="false">
      <c r="A27" s="5" t="s">
        <v>58</v>
      </c>
      <c r="B27" s="5" t="s">
        <v>150</v>
      </c>
      <c r="C27" s="6" t="str">
        <f aca="false">Links!$B$81</f>
        <v>MP-33</v>
      </c>
      <c r="D27" s="6" t="str">
        <f aca="false">Links!$C$81</f>
        <v>Polvo ABC 60 (manuales y sus recargas)</v>
      </c>
      <c r="E27" s="6" t="str">
        <f aca="false">Links!$D$81</f>
        <v>kg</v>
      </c>
      <c r="F27" s="5" t="str">
        <f aca="false">IFERROR(INDEX(Links!$B$345:$B$469,MATCH(C27,Links!$B$218:$B$342,0)),"")</f>
        <v>Big bag de 1.000 kg</v>
      </c>
      <c r="G27" s="17" t="n">
        <f aca="false">INDEX(Links!$N$81:$W$81,1,(Resumen!$C$3-2025))</f>
        <v>230247.830430856</v>
      </c>
      <c r="H27" s="17" t="n">
        <f aca="false">SUMPRODUCT(Links!$F$81:$M$81,$O$5:$V$5)*IF(Links!$E$81="CABA",INDEX(Links!$C$13:$L$13,1,(Resumen!$C$3-2025)),IF(Links!$E$81="PBA",1-INDEX(Links!$C$13:$L$13,1,(Resumen!$C$3-2025)),1))</f>
        <v>230062.40052855</v>
      </c>
      <c r="I27" s="17" t="n">
        <f aca="false">G27-H27</f>
        <v>185.429902306001</v>
      </c>
      <c r="J27" s="6" t="str">
        <f aca="false">IF(ROUND(G27-H27,1)&gt;=0,"✔ Sí","✖ No")</f>
        <v>✔ Sí</v>
      </c>
      <c r="K27" s="17" t="n">
        <f aca="false">IFERROR(INDEX(Links!$C$345:$C$469,MATCH(C27,Links!$B$218:$B$342,0)),1)</f>
        <v>1000</v>
      </c>
      <c r="L27" s="17" t="n">
        <f aca="false">IF(K27&gt;0,H27/K27,0)</f>
        <v>230.06240052855</v>
      </c>
      <c r="M27" s="37" t="n">
        <f aca="false">IF(E27="kg",1,0)</f>
        <v>1</v>
      </c>
      <c r="N27" s="34" t="n">
        <f aca="false">H27*M27</f>
        <v>230062.40052855</v>
      </c>
    </row>
    <row r="28" customFormat="false" ht="15" hidden="false" customHeight="false" outlineLevel="0" collapsed="false">
      <c r="A28" s="5" t="s">
        <v>58</v>
      </c>
      <c r="B28" s="5" t="s">
        <v>151</v>
      </c>
      <c r="C28" s="6" t="str">
        <f aca="false">Links!$B$82</f>
        <v>MP-34</v>
      </c>
      <c r="D28" s="6" t="str">
        <f aca="false">Links!$C$82</f>
        <v>Nitrógeno seco</v>
      </c>
      <c r="E28" s="6" t="str">
        <f aca="false">Links!$D$82</f>
        <v>m³</v>
      </c>
      <c r="F28" s="5" t="str">
        <f aca="false">IFERROR(INDEX(Links!$B$345:$B$469,MATCH(C28,Links!$B$218:$B$342,0)),"")</f>
        <v>Pack de 12 cilindros</v>
      </c>
      <c r="G28" s="17" t="n">
        <f aca="false">INDEX(Links!$N$82:$W$82,1,(Resumen!$C$3-2025))</f>
        <v>1269.48875671279</v>
      </c>
      <c r="H28" s="17" t="n">
        <f aca="false">SUMPRODUCT(Links!$F$82:$M$82,$O$5:$V$5)*IF(Links!$E$82="CABA",INDEX(Links!$C$13:$L$13,1,(Resumen!$C$3-2025)),IF(Links!$E$82="PBA",1-INDEX(Links!$C$13:$L$13,1,(Resumen!$C$3-2025)),1))</f>
        <v>1268.51569616287</v>
      </c>
      <c r="I28" s="17" t="n">
        <f aca="false">G28-H28</f>
        <v>0.97306054992373</v>
      </c>
      <c r="J28" s="6" t="str">
        <f aca="false">IF(ROUND(G28-H28,1)&gt;=0,"✔ Sí","✖ No")</f>
        <v>✔ Sí</v>
      </c>
      <c r="K28" s="17" t="n">
        <f aca="false">IFERROR(INDEX(Links!$C$345:$C$469,MATCH(C28,Links!$B$218:$B$342,0)),1)</f>
        <v>110</v>
      </c>
      <c r="L28" s="17" t="n">
        <f aca="false">IF(K28&gt;0,H28/K28,0)</f>
        <v>11.5319608742079</v>
      </c>
      <c r="M28" s="37" t="n">
        <f aca="false">IF(E28="kg",1,0)</f>
        <v>0</v>
      </c>
      <c r="N28" s="34" t="n">
        <f aca="false">H28*M28</f>
        <v>0</v>
      </c>
    </row>
    <row r="29" customFormat="false" ht="15" hidden="false" customHeight="false" outlineLevel="0" collapsed="false">
      <c r="A29" s="5" t="s">
        <v>58</v>
      </c>
      <c r="B29" s="5" t="s">
        <v>152</v>
      </c>
      <c r="C29" s="6" t="str">
        <f aca="false">Links!$B$83</f>
        <v>MP-42</v>
      </c>
      <c r="D29" s="6" t="str">
        <f aca="false">Links!$C$83</f>
        <v>Válvula HZ M-22 con tubo de pesca (1 kg)</v>
      </c>
      <c r="E29" s="6" t="str">
        <f aca="false">Links!$D$83</f>
        <v>u</v>
      </c>
      <c r="F29" s="5" t="str">
        <f aca="false">IFERROR(INDEX(Links!$B$345:$B$469,MATCH(C29,Links!$B$218:$B$342,0)),"")</f>
        <v>Pallet de 3.000 u</v>
      </c>
      <c r="G29" s="17" t="n">
        <f aca="false">INDEX(Links!$N$83:$W$83,1,(Resumen!$C$3-2025))</f>
        <v>32072.63913</v>
      </c>
      <c r="H29" s="17" t="n">
        <f aca="false">SUMPRODUCT(Links!$F$83:$M$83,$O$5:$V$5)*IF(Links!$E$83="CABA",INDEX(Links!$C$13:$L$13,1,(Resumen!$C$3-2025)),IF(Links!$E$83="PBA",1-INDEX(Links!$C$13:$L$13,1,(Resumen!$C$3-2025)),1))</f>
        <v>32072.63913</v>
      </c>
      <c r="I29" s="17" t="n">
        <f aca="false">G29-H29</f>
        <v>0</v>
      </c>
      <c r="J29" s="6" t="str">
        <f aca="false">IF(ROUND(G29-H29,1)&gt;=0,"✔ Sí","✖ No")</f>
        <v>✔ Sí</v>
      </c>
      <c r="K29" s="17" t="n">
        <f aca="false">IFERROR(INDEX(Links!$C$345:$C$469,MATCH(C29,Links!$B$218:$B$342,0)),1)</f>
        <v>3000</v>
      </c>
      <c r="L29" s="17" t="n">
        <f aca="false">IF(K29&gt;0,H29/K29,0)</f>
        <v>10.69087971</v>
      </c>
      <c r="M29" s="37" t="n">
        <f aca="false">IF(E29="kg",1,0)</f>
        <v>0</v>
      </c>
      <c r="N29" s="34" t="n">
        <f aca="false">H29*M29</f>
        <v>0</v>
      </c>
    </row>
    <row r="30" customFormat="false" ht="15" hidden="false" customHeight="false" outlineLevel="0" collapsed="false">
      <c r="A30" s="5" t="s">
        <v>58</v>
      </c>
      <c r="B30" s="5" t="s">
        <v>152</v>
      </c>
      <c r="C30" s="6" t="str">
        <f aca="false">Links!$B$84</f>
        <v>MP-43</v>
      </c>
      <c r="D30" s="6" t="str">
        <f aca="false">Links!$C$84</f>
        <v>Válvula HZ M-30 con resorte, sin tubo pescante (2,5 a 10 kg)</v>
      </c>
      <c r="E30" s="6" t="str">
        <f aca="false">Links!$D$84</f>
        <v>u</v>
      </c>
      <c r="F30" s="5" t="str">
        <f aca="false">IFERROR(INDEX(Links!$B$345:$B$469,MATCH(C30,Links!$B$218:$B$342,0)),"")</f>
        <v>Pallet de 1.500 u</v>
      </c>
      <c r="G30" s="17" t="n">
        <f aca="false">INDEX(Links!$N$84:$W$84,1,(Resumen!$C$3-2025))</f>
        <v>40128.5061034506</v>
      </c>
      <c r="H30" s="17" t="n">
        <f aca="false">SUMPRODUCT(Links!$F$84:$M$84,$O$5:$V$5)*IF(Links!$E$84="CABA",INDEX(Links!$C$13:$L$13,1,(Resumen!$C$3-2025)),IF(Links!$E$84="PBA",1-INDEX(Links!$C$13:$L$13,1,(Resumen!$C$3-2025)),1))</f>
        <v>40096.365243</v>
      </c>
      <c r="I30" s="17" t="n">
        <f aca="false">G30-H30</f>
        <v>32.1408604505996</v>
      </c>
      <c r="J30" s="6" t="str">
        <f aca="false">IF(ROUND(G30-H30,1)&gt;=0,"✔ Sí","✖ No")</f>
        <v>✔ Sí</v>
      </c>
      <c r="K30" s="17" t="n">
        <f aca="false">IFERROR(INDEX(Links!$C$345:$C$469,MATCH(C30,Links!$B$218:$B$342,0)),1)</f>
        <v>1500</v>
      </c>
      <c r="L30" s="17" t="n">
        <f aca="false">IF(K30&gt;0,H30/K30,0)</f>
        <v>26.730910162</v>
      </c>
      <c r="M30" s="37" t="n">
        <f aca="false">IF(E30="kg",1,0)</f>
        <v>0</v>
      </c>
      <c r="N30" s="34" t="n">
        <f aca="false">H30*M30</f>
        <v>0</v>
      </c>
    </row>
    <row r="31" customFormat="false" ht="15" hidden="false" customHeight="false" outlineLevel="0" collapsed="false">
      <c r="A31" s="5" t="s">
        <v>58</v>
      </c>
      <c r="B31" s="5" t="s">
        <v>152</v>
      </c>
      <c r="C31" s="6" t="str">
        <f aca="false">Links!$B$85</f>
        <v>MP-45</v>
      </c>
      <c r="D31" s="6" t="str">
        <f aca="false">Links!$C$85</f>
        <v>Manómetro 1,4 MPa</v>
      </c>
      <c r="E31" s="6" t="str">
        <f aca="false">Links!$D$85</f>
        <v>u</v>
      </c>
      <c r="F31" s="5" t="str">
        <f aca="false">IFERROR(INDEX(Links!$B$345:$B$469,MATCH(C31,Links!$B$218:$B$342,0)),"")</f>
        <v>Caja de 100 u</v>
      </c>
      <c r="G31" s="17" t="n">
        <f aca="false">INDEX(Links!$N$85:$W$85,1,(Resumen!$C$3-2025))</f>
        <v>72201.1452334506</v>
      </c>
      <c r="H31" s="17" t="n">
        <f aca="false">SUMPRODUCT(Links!$F$85:$M$85,$O$5:$V$5)*IF(Links!$E$85="CABA",INDEX(Links!$C$13:$L$13,1,(Resumen!$C$3-2025)),IF(Links!$E$85="PBA",1-INDEX(Links!$C$13:$L$13,1,(Resumen!$C$3-2025)),1))</f>
        <v>72169.004373</v>
      </c>
      <c r="I31" s="17" t="n">
        <f aca="false">G31-H31</f>
        <v>32.1408604505996</v>
      </c>
      <c r="J31" s="6" t="str">
        <f aca="false">IF(ROUND(G31-H31,1)&gt;=0,"✔ Sí","✖ No")</f>
        <v>✔ Sí</v>
      </c>
      <c r="K31" s="17" t="n">
        <f aca="false">IFERROR(INDEX(Links!$C$345:$C$469,MATCH(C31,Links!$B$218:$B$342,0)),1)</f>
        <v>100</v>
      </c>
      <c r="L31" s="17" t="n">
        <f aca="false">IF(K31&gt;0,H31/K31,0)</f>
        <v>721.69004373</v>
      </c>
      <c r="M31" s="37" t="n">
        <f aca="false">IF(E31="kg",1,0)</f>
        <v>0</v>
      </c>
      <c r="N31" s="34" t="n">
        <f aca="false">H31*M31</f>
        <v>0</v>
      </c>
    </row>
    <row r="32" customFormat="false" ht="15" hidden="false" customHeight="false" outlineLevel="0" collapsed="false">
      <c r="A32" s="5" t="s">
        <v>58</v>
      </c>
      <c r="B32" s="5" t="s">
        <v>152</v>
      </c>
      <c r="C32" s="6" t="str">
        <f aca="false">Links!$B$86</f>
        <v>MP-46/ABC2.5</v>
      </c>
      <c r="D32" s="6" t="str">
        <f aca="false">Links!$C$86</f>
        <v>Tubo pescante de PVC rígido, ABC 2,5 kg</v>
      </c>
      <c r="E32" s="6" t="str">
        <f aca="false">Links!$D$86</f>
        <v>u</v>
      </c>
      <c r="F32" s="5" t="str">
        <f aca="false">IFERROR(INDEX(Links!$B$345:$B$469,MATCH(C32,Links!$B$218:$B$342,0)),"")</f>
        <v>Caja de 200 u</v>
      </c>
      <c r="G32" s="17" t="n">
        <f aca="false">INDEX(Links!$N$86:$W$86,1,(Resumen!$C$3-2025))</f>
        <v>7424.858444</v>
      </c>
      <c r="H32" s="17" t="n">
        <f aca="false">SUMPRODUCT(Links!$F$86:$M$86,$O$5:$V$5)*IF(Links!$E$86="CABA",INDEX(Links!$C$13:$L$13,1,(Resumen!$C$3-2025)),IF(Links!$E$86="PBA",1-INDEX(Links!$C$13:$L$13,1,(Resumen!$C$3-2025)),1))</f>
        <v>7436.458444</v>
      </c>
      <c r="I32" s="17" t="n">
        <f aca="false">G32-H32</f>
        <v>-11.5999999999995</v>
      </c>
      <c r="J32" s="6" t="str">
        <f aca="false">IF(ROUND(G32-H32,1)&gt;=0,"✔ Sí","✖ No")</f>
        <v>✖ No</v>
      </c>
      <c r="K32" s="17" t="n">
        <f aca="false">IFERROR(INDEX(Links!$C$345:$C$469,MATCH(C32,Links!$B$218:$B$342,0)),1)</f>
        <v>200</v>
      </c>
      <c r="L32" s="17" t="n">
        <f aca="false">IF(K32&gt;0,H32/K32,0)</f>
        <v>37.18229222</v>
      </c>
      <c r="M32" s="37" t="n">
        <f aca="false">IF(E32="kg",1,0)</f>
        <v>0</v>
      </c>
      <c r="N32" s="34" t="n">
        <f aca="false">H32*M32</f>
        <v>0</v>
      </c>
    </row>
    <row r="33" customFormat="false" ht="15" hidden="false" customHeight="false" outlineLevel="0" collapsed="false">
      <c r="A33" s="5" t="s">
        <v>58</v>
      </c>
      <c r="B33" s="5" t="s">
        <v>152</v>
      </c>
      <c r="C33" s="6" t="str">
        <f aca="false">Links!$B$87</f>
        <v>MP-46/ABC5</v>
      </c>
      <c r="D33" s="6" t="str">
        <f aca="false">Links!$C$87</f>
        <v>Tubo pescante de PVC rígido, ABC 5 kg</v>
      </c>
      <c r="E33" s="6" t="str">
        <f aca="false">Links!$D$87</f>
        <v>u</v>
      </c>
      <c r="F33" s="5" t="str">
        <f aca="false">IFERROR(INDEX(Links!$B$345:$B$469,MATCH(C33,Links!$B$218:$B$342,0)),"")</f>
        <v>Caja de 200 u</v>
      </c>
      <c r="G33" s="17" t="n">
        <f aca="false">INDEX(Links!$N$87:$W$87,1,(Resumen!$C$3-2025))</f>
        <v>30860.7706862536</v>
      </c>
      <c r="H33" s="17" t="n">
        <f aca="false">SUMPRODUCT(Links!$F$87:$M$87,$O$5:$V$5)*IF(Links!$E$87="CABA",INDEX(Links!$C$13:$L$13,1,(Resumen!$C$3-2025)),IF(Links!$E$87="PBA",1-INDEX(Links!$C$13:$L$13,1,(Resumen!$C$3-2025)),1))</f>
        <v>30814.97872</v>
      </c>
      <c r="I33" s="17" t="n">
        <f aca="false">G33-H33</f>
        <v>45.7919662536006</v>
      </c>
      <c r="J33" s="6" t="str">
        <f aca="false">IF(ROUND(G33-H33,1)&gt;=0,"✔ Sí","✖ No")</f>
        <v>✔ Sí</v>
      </c>
      <c r="K33" s="17" t="n">
        <f aca="false">IFERROR(INDEX(Links!$C$345:$C$469,MATCH(C33,Links!$B$218:$B$342,0)),1)</f>
        <v>200</v>
      </c>
      <c r="L33" s="17" t="n">
        <f aca="false">IF(K33&gt;0,H33/K33,0)</f>
        <v>154.0748936</v>
      </c>
      <c r="M33" s="37" t="n">
        <f aca="false">IF(E33="kg",1,0)</f>
        <v>0</v>
      </c>
      <c r="N33" s="34" t="n">
        <f aca="false">H33*M33</f>
        <v>0</v>
      </c>
    </row>
    <row r="34" customFormat="false" ht="15" hidden="false" customHeight="false" outlineLevel="0" collapsed="false">
      <c r="A34" s="5" t="s">
        <v>58</v>
      </c>
      <c r="B34" s="5" t="s">
        <v>152</v>
      </c>
      <c r="C34" s="6" t="str">
        <f aca="false">Links!$B$88</f>
        <v>MP-46/ABC10</v>
      </c>
      <c r="D34" s="6" t="str">
        <f aca="false">Links!$C$88</f>
        <v>Tubo pescante de PVC rígido, ABC 10 kg</v>
      </c>
      <c r="E34" s="6" t="str">
        <f aca="false">Links!$D$88</f>
        <v>u</v>
      </c>
      <c r="F34" s="5" t="str">
        <f aca="false">IFERROR(INDEX(Links!$B$345:$B$469,MATCH(C34,Links!$B$218:$B$342,0)),"")</f>
        <v>Caja de 200 u</v>
      </c>
      <c r="G34" s="17" t="n">
        <f aca="false">INDEX(Links!$N$88:$W$88,1,(Resumen!$C$3-2025))</f>
        <v>1842.87697319699</v>
      </c>
      <c r="H34" s="17" t="n">
        <f aca="false">SUMPRODUCT(Links!$F$88:$M$88,$O$5:$V$5)*IF(Links!$E$88="CABA",INDEX(Links!$C$13:$L$13,1,(Resumen!$C$3-2025)),IF(Links!$E$88="PBA",1-INDEX(Links!$C$13:$L$13,1,(Resumen!$C$3-2025)),1))</f>
        <v>1844.928079</v>
      </c>
      <c r="I34" s="17" t="n">
        <f aca="false">G34-H34</f>
        <v>-2.05110580300993</v>
      </c>
      <c r="J34" s="6" t="str">
        <f aca="false">IF(ROUND(G34-H34,1)&gt;=0,"✔ Sí","✖ No")</f>
        <v>✖ No</v>
      </c>
      <c r="K34" s="17" t="n">
        <f aca="false">IFERROR(INDEX(Links!$C$345:$C$469,MATCH(C34,Links!$B$218:$B$342,0)),1)</f>
        <v>200</v>
      </c>
      <c r="L34" s="17" t="n">
        <f aca="false">IF(K34&gt;0,H34/K34,0)</f>
        <v>9.224640395</v>
      </c>
      <c r="M34" s="37" t="n">
        <f aca="false">IF(E34="kg",1,0)</f>
        <v>0</v>
      </c>
      <c r="N34" s="34" t="n">
        <f aca="false">H34*M34</f>
        <v>0</v>
      </c>
    </row>
    <row r="35" customFormat="false" ht="15" hidden="false" customHeight="false" outlineLevel="0" collapsed="false">
      <c r="A35" s="5" t="s">
        <v>58</v>
      </c>
      <c r="B35" s="5" t="s">
        <v>152</v>
      </c>
      <c r="C35" s="6" t="str">
        <f aca="false">Links!$B$89</f>
        <v>MP-48/ABC1</v>
      </c>
      <c r="D35" s="6" t="str">
        <f aca="false">Links!$C$89</f>
        <v>Tobera ABC 1 kg</v>
      </c>
      <c r="E35" s="6" t="str">
        <f aca="false">Links!$D$89</f>
        <v>u</v>
      </c>
      <c r="F35" s="5" t="str">
        <f aca="false">IFERROR(INDEX(Links!$B$345:$B$469,MATCH(C35,Links!$B$218:$B$342,0)),"")</f>
        <v>Caja de 50 u</v>
      </c>
      <c r="G35" s="17" t="n">
        <f aca="false">INDEX(Links!$N$89:$W$89,1,(Resumen!$C$3-2025))</f>
        <v>32072.63913</v>
      </c>
      <c r="H35" s="17" t="n">
        <f aca="false">SUMPRODUCT(Links!$F$89:$M$89,$O$5:$V$5)*IF(Links!$E$89="CABA",INDEX(Links!$C$13:$L$13,1,(Resumen!$C$3-2025)),IF(Links!$E$89="PBA",1-INDEX(Links!$C$13:$L$13,1,(Resumen!$C$3-2025)),1))</f>
        <v>32072.63913</v>
      </c>
      <c r="I35" s="17" t="n">
        <f aca="false">G35-H35</f>
        <v>0</v>
      </c>
      <c r="J35" s="6" t="str">
        <f aca="false">IF(ROUND(G35-H35,1)&gt;=0,"✔ Sí","✖ No")</f>
        <v>✔ Sí</v>
      </c>
      <c r="K35" s="17" t="n">
        <f aca="false">IFERROR(INDEX(Links!$C$345:$C$469,MATCH(C35,Links!$B$218:$B$342,0)),1)</f>
        <v>50</v>
      </c>
      <c r="L35" s="17" t="n">
        <f aca="false">IF(K35&gt;0,H35/K35,0)</f>
        <v>641.4527826</v>
      </c>
      <c r="M35" s="37" t="n">
        <f aca="false">IF(E35="kg",1,0)</f>
        <v>0</v>
      </c>
      <c r="N35" s="34" t="n">
        <f aca="false">H35*M35</f>
        <v>0</v>
      </c>
    </row>
    <row r="36" customFormat="false" ht="15" hidden="false" customHeight="false" outlineLevel="0" collapsed="false">
      <c r="A36" s="5" t="s">
        <v>58</v>
      </c>
      <c r="B36" s="5" t="s">
        <v>152</v>
      </c>
      <c r="C36" s="6" t="str">
        <f aca="false">Links!$B$90</f>
        <v>MP-48/ABC2.5</v>
      </c>
      <c r="D36" s="6" t="str">
        <f aca="false">Links!$C$90</f>
        <v>Manguera con tobera ABC 2,5 kg</v>
      </c>
      <c r="E36" s="6" t="str">
        <f aca="false">Links!$D$90</f>
        <v>u</v>
      </c>
      <c r="F36" s="5" t="str">
        <f aca="false">IFERROR(INDEX(Links!$B$345:$B$469,MATCH(C36,Links!$B$218:$B$342,0)),"")</f>
        <v>Caja de 50 u</v>
      </c>
      <c r="G36" s="17" t="n">
        <f aca="false">INDEX(Links!$N$90:$W$90,1,(Resumen!$C$3-2025))</f>
        <v>7424.858444</v>
      </c>
      <c r="H36" s="17" t="n">
        <f aca="false">SUMPRODUCT(Links!$F$90:$M$90,$O$5:$V$5)*IF(Links!$E$90="CABA",INDEX(Links!$C$13:$L$13,1,(Resumen!$C$3-2025)),IF(Links!$E$90="PBA",1-INDEX(Links!$C$13:$L$13,1,(Resumen!$C$3-2025)),1))</f>
        <v>7436.458444</v>
      </c>
      <c r="I36" s="17" t="n">
        <f aca="false">G36-H36</f>
        <v>-11.5999999999995</v>
      </c>
      <c r="J36" s="6" t="str">
        <f aca="false">IF(ROUND(G36-H36,1)&gt;=0,"✔ Sí","✖ No")</f>
        <v>✖ No</v>
      </c>
      <c r="K36" s="17" t="n">
        <f aca="false">IFERROR(INDEX(Links!$C$345:$C$469,MATCH(C36,Links!$B$218:$B$342,0)),1)</f>
        <v>50</v>
      </c>
      <c r="L36" s="17" t="n">
        <f aca="false">IF(K36&gt;0,H36/K36,0)</f>
        <v>148.72916888</v>
      </c>
      <c r="M36" s="37" t="n">
        <f aca="false">IF(E36="kg",1,0)</f>
        <v>0</v>
      </c>
      <c r="N36" s="34" t="n">
        <f aca="false">H36*M36</f>
        <v>0</v>
      </c>
    </row>
    <row r="37" customFormat="false" ht="15" hidden="false" customHeight="false" outlineLevel="0" collapsed="false">
      <c r="A37" s="5" t="s">
        <v>58</v>
      </c>
      <c r="B37" s="5" t="s">
        <v>152</v>
      </c>
      <c r="C37" s="6" t="str">
        <f aca="false">Links!$B$91</f>
        <v>MP-48/ABC5</v>
      </c>
      <c r="D37" s="6" t="str">
        <f aca="false">Links!$C$91</f>
        <v>Manguera con tobera ABC 5 kg</v>
      </c>
      <c r="E37" s="6" t="str">
        <f aca="false">Links!$D$91</f>
        <v>u</v>
      </c>
      <c r="F37" s="5" t="str">
        <f aca="false">IFERROR(INDEX(Links!$B$345:$B$469,MATCH(C37,Links!$B$218:$B$342,0)),"")</f>
        <v>Caja de 50 u</v>
      </c>
      <c r="G37" s="17" t="n">
        <f aca="false">INDEX(Links!$N$91:$W$91,1,(Resumen!$C$3-2025))</f>
        <v>30860.7706862536</v>
      </c>
      <c r="H37" s="17" t="n">
        <f aca="false">SUMPRODUCT(Links!$F$91:$M$91,$O$5:$V$5)*IF(Links!$E$91="CABA",INDEX(Links!$C$13:$L$13,1,(Resumen!$C$3-2025)),IF(Links!$E$91="PBA",1-INDEX(Links!$C$13:$L$13,1,(Resumen!$C$3-2025)),1))</f>
        <v>30814.97872</v>
      </c>
      <c r="I37" s="17" t="n">
        <f aca="false">G37-H37</f>
        <v>45.7919662536006</v>
      </c>
      <c r="J37" s="6" t="str">
        <f aca="false">IF(ROUND(G37-H37,1)&gt;=0,"✔ Sí","✖ No")</f>
        <v>✔ Sí</v>
      </c>
      <c r="K37" s="17" t="n">
        <f aca="false">IFERROR(INDEX(Links!$C$345:$C$469,MATCH(C37,Links!$B$218:$B$342,0)),1)</f>
        <v>50</v>
      </c>
      <c r="L37" s="17" t="n">
        <f aca="false">IF(K37&gt;0,H37/K37,0)</f>
        <v>616.2995744</v>
      </c>
      <c r="M37" s="37" t="n">
        <f aca="false">IF(E37="kg",1,0)</f>
        <v>0</v>
      </c>
      <c r="N37" s="34" t="n">
        <f aca="false">H37*M37</f>
        <v>0</v>
      </c>
    </row>
    <row r="38" customFormat="false" ht="15" hidden="false" customHeight="false" outlineLevel="0" collapsed="false">
      <c r="A38" s="5" t="s">
        <v>58</v>
      </c>
      <c r="B38" s="5" t="s">
        <v>152</v>
      </c>
      <c r="C38" s="6" t="str">
        <f aca="false">Links!$B$92</f>
        <v>MP-48/ABC10</v>
      </c>
      <c r="D38" s="6" t="str">
        <f aca="false">Links!$C$92</f>
        <v>Manguera con tobera ABC 10 kg</v>
      </c>
      <c r="E38" s="6" t="str">
        <f aca="false">Links!$D$92</f>
        <v>u</v>
      </c>
      <c r="F38" s="5" t="str">
        <f aca="false">IFERROR(INDEX(Links!$B$345:$B$469,MATCH(C38,Links!$B$218:$B$342,0)),"")</f>
        <v>Caja de 50 u</v>
      </c>
      <c r="G38" s="17" t="n">
        <f aca="false">INDEX(Links!$N$92:$W$92,1,(Resumen!$C$3-2025))</f>
        <v>1842.87697319699</v>
      </c>
      <c r="H38" s="17" t="n">
        <f aca="false">SUMPRODUCT(Links!$F$92:$M$92,$O$5:$V$5)*IF(Links!$E$92="CABA",INDEX(Links!$C$13:$L$13,1,(Resumen!$C$3-2025)),IF(Links!$E$92="PBA",1-INDEX(Links!$C$13:$L$13,1,(Resumen!$C$3-2025)),1))</f>
        <v>1844.928079</v>
      </c>
      <c r="I38" s="17" t="n">
        <f aca="false">G38-H38</f>
        <v>-2.05110580300993</v>
      </c>
      <c r="J38" s="6" t="str">
        <f aca="false">IF(ROUND(G38-H38,1)&gt;=0,"✔ Sí","✖ No")</f>
        <v>✖ No</v>
      </c>
      <c r="K38" s="17" t="n">
        <f aca="false">IFERROR(INDEX(Links!$C$345:$C$469,MATCH(C38,Links!$B$218:$B$342,0)),1)</f>
        <v>50</v>
      </c>
      <c r="L38" s="17" t="n">
        <f aca="false">IF(K38&gt;0,H38/K38,0)</f>
        <v>36.89856158</v>
      </c>
      <c r="M38" s="37" t="n">
        <f aca="false">IF(E38="kg",1,0)</f>
        <v>0</v>
      </c>
      <c r="N38" s="34" t="n">
        <f aca="false">H38*M38</f>
        <v>0</v>
      </c>
    </row>
    <row r="39" customFormat="false" ht="15" hidden="false" customHeight="false" outlineLevel="0" collapsed="false">
      <c r="A39" s="5" t="s">
        <v>58</v>
      </c>
      <c r="B39" s="5" t="s">
        <v>152</v>
      </c>
      <c r="C39" s="6" t="str">
        <f aca="false">Links!$B$93</f>
        <v>MP-50/M22</v>
      </c>
      <c r="D39" s="6" t="str">
        <f aca="false">Links!$C$93</f>
        <v>Junta tórica del cuello M22</v>
      </c>
      <c r="E39" s="6" t="str">
        <f aca="false">Links!$D$93</f>
        <v>u</v>
      </c>
      <c r="F39" s="5" t="str">
        <f aca="false">IFERROR(INDEX(Links!$B$345:$B$469,MATCH(C39,Links!$B$218:$B$342,0)),"")</f>
        <v>Bolsa de 1.000 u</v>
      </c>
      <c r="G39" s="17" t="n">
        <f aca="false">INDEX(Links!$N$93:$W$93,1,(Resumen!$C$3-2025))</f>
        <v>32072.63913</v>
      </c>
      <c r="H39" s="17" t="n">
        <f aca="false">SUMPRODUCT(Links!$F$93:$M$93,$O$5:$V$5)*IF(Links!$E$93="CABA",INDEX(Links!$C$13:$L$13,1,(Resumen!$C$3-2025)),IF(Links!$E$93="PBA",1-INDEX(Links!$C$13:$L$13,1,(Resumen!$C$3-2025)),1))</f>
        <v>32072.63913</v>
      </c>
      <c r="I39" s="17" t="n">
        <f aca="false">G39-H39</f>
        <v>0</v>
      </c>
      <c r="J39" s="6" t="str">
        <f aca="false">IF(ROUND(G39-H39,1)&gt;=0,"✔ Sí","✖ No")</f>
        <v>✔ Sí</v>
      </c>
      <c r="K39" s="17" t="n">
        <f aca="false">IFERROR(INDEX(Links!$C$345:$C$469,MATCH(C39,Links!$B$218:$B$342,0)),1)</f>
        <v>1000</v>
      </c>
      <c r="L39" s="17" t="n">
        <f aca="false">IF(K39&gt;0,H39/K39,0)</f>
        <v>32.07263913</v>
      </c>
      <c r="M39" s="37" t="n">
        <f aca="false">IF(E39="kg",1,0)</f>
        <v>0</v>
      </c>
      <c r="N39" s="34" t="n">
        <f aca="false">H39*M39</f>
        <v>0</v>
      </c>
    </row>
    <row r="40" customFormat="false" ht="15" hidden="false" customHeight="false" outlineLevel="0" collapsed="false">
      <c r="A40" s="5" t="s">
        <v>58</v>
      </c>
      <c r="B40" s="5" t="s">
        <v>152</v>
      </c>
      <c r="C40" s="6" t="str">
        <f aca="false">Links!$B$94</f>
        <v>MP-50/M30</v>
      </c>
      <c r="D40" s="6" t="str">
        <f aca="false">Links!$C$94</f>
        <v>Junta tórica del cuello M30</v>
      </c>
      <c r="E40" s="6" t="str">
        <f aca="false">Links!$D$94</f>
        <v>u</v>
      </c>
      <c r="F40" s="5" t="str">
        <f aca="false">IFERROR(INDEX(Links!$B$345:$B$469,MATCH(C40,Links!$B$218:$B$342,0)),"")</f>
        <v>Bolsa de 1.000 u</v>
      </c>
      <c r="G40" s="17" t="n">
        <f aca="false">INDEX(Links!$N$94:$W$94,1,(Resumen!$C$3-2025))</f>
        <v>40128.5061034506</v>
      </c>
      <c r="H40" s="17" t="n">
        <f aca="false">SUMPRODUCT(Links!$F$94:$M$94,$O$5:$V$5)*IF(Links!$E$94="CABA",INDEX(Links!$C$13:$L$13,1,(Resumen!$C$3-2025)),IF(Links!$E$94="PBA",1-INDEX(Links!$C$13:$L$13,1,(Resumen!$C$3-2025)),1))</f>
        <v>40096.365243</v>
      </c>
      <c r="I40" s="17" t="n">
        <f aca="false">G40-H40</f>
        <v>32.1408604505996</v>
      </c>
      <c r="J40" s="6" t="str">
        <f aca="false">IF(ROUND(G40-H40,1)&gt;=0,"✔ Sí","✖ No")</f>
        <v>✔ Sí</v>
      </c>
      <c r="K40" s="17" t="n">
        <f aca="false">IFERROR(INDEX(Links!$C$345:$C$469,MATCH(C40,Links!$B$218:$B$342,0)),1)</f>
        <v>1000</v>
      </c>
      <c r="L40" s="17" t="n">
        <f aca="false">IF(K40&gt;0,H40/K40,0)</f>
        <v>40.096365243</v>
      </c>
      <c r="M40" s="37" t="n">
        <f aca="false">IF(E40="kg",1,0)</f>
        <v>0</v>
      </c>
      <c r="N40" s="34" t="n">
        <f aca="false">H40*M40</f>
        <v>0</v>
      </c>
    </row>
    <row r="41" customFormat="false" ht="15" hidden="false" customHeight="false" outlineLevel="0" collapsed="false">
      <c r="A41" s="5" t="s">
        <v>58</v>
      </c>
      <c r="B41" s="5" t="s">
        <v>152</v>
      </c>
      <c r="C41" s="6" t="str">
        <f aca="false">Links!$B$95</f>
        <v>MP-52/ABC2.5</v>
      </c>
      <c r="D41" s="6" t="str">
        <f aca="false">Links!$C$95</f>
        <v>Soporte de pared ABC 2,5 kg</v>
      </c>
      <c r="E41" s="6" t="str">
        <f aca="false">Links!$D$95</f>
        <v>u</v>
      </c>
      <c r="F41" s="5" t="str">
        <f aca="false">IFERROR(INDEX(Links!$B$345:$B$469,MATCH(C41,Links!$B$218:$B$342,0)),"")</f>
        <v>Caja de 100 u</v>
      </c>
      <c r="G41" s="17" t="n">
        <f aca="false">INDEX(Links!$N$95:$W$95,1,(Resumen!$C$3-2025))</f>
        <v>7424.858444</v>
      </c>
      <c r="H41" s="17" t="n">
        <f aca="false">SUMPRODUCT(Links!$F$95:$M$95,$O$5:$V$5)*IF(Links!$E$95="CABA",INDEX(Links!$C$13:$L$13,1,(Resumen!$C$3-2025)),IF(Links!$E$95="PBA",1-INDEX(Links!$C$13:$L$13,1,(Resumen!$C$3-2025)),1))</f>
        <v>7436.458444</v>
      </c>
      <c r="I41" s="17" t="n">
        <f aca="false">G41-H41</f>
        <v>-11.5999999999995</v>
      </c>
      <c r="J41" s="6" t="str">
        <f aca="false">IF(ROUND(G41-H41,1)&gt;=0,"✔ Sí","✖ No")</f>
        <v>✖ No</v>
      </c>
      <c r="K41" s="17" t="n">
        <f aca="false">IFERROR(INDEX(Links!$C$345:$C$469,MATCH(C41,Links!$B$218:$B$342,0)),1)</f>
        <v>100</v>
      </c>
      <c r="L41" s="17" t="n">
        <f aca="false">IF(K41&gt;0,H41/K41,0)</f>
        <v>74.36458444</v>
      </c>
      <c r="M41" s="37" t="n">
        <f aca="false">IF(E41="kg",1,0)</f>
        <v>0</v>
      </c>
      <c r="N41" s="34" t="n">
        <f aca="false">H41*M41</f>
        <v>0</v>
      </c>
    </row>
    <row r="42" customFormat="false" ht="15" hidden="false" customHeight="false" outlineLevel="0" collapsed="false">
      <c r="A42" s="5" t="s">
        <v>58</v>
      </c>
      <c r="B42" s="5" t="s">
        <v>152</v>
      </c>
      <c r="C42" s="6" t="str">
        <f aca="false">Links!$B$96</f>
        <v>MP-52/ABC5</v>
      </c>
      <c r="D42" s="6" t="str">
        <f aca="false">Links!$C$96</f>
        <v>Soporte de pared ABC 5 kg</v>
      </c>
      <c r="E42" s="6" t="str">
        <f aca="false">Links!$D$96</f>
        <v>u</v>
      </c>
      <c r="F42" s="5" t="str">
        <f aca="false">IFERROR(INDEX(Links!$B$345:$B$469,MATCH(C42,Links!$B$218:$B$342,0)),"")</f>
        <v>Caja de 100 u</v>
      </c>
      <c r="G42" s="17" t="n">
        <f aca="false">INDEX(Links!$N$96:$W$96,1,(Resumen!$C$3-2025))</f>
        <v>30860.7706862536</v>
      </c>
      <c r="H42" s="17" t="n">
        <f aca="false">SUMPRODUCT(Links!$F$96:$M$96,$O$5:$V$5)*IF(Links!$E$96="CABA",INDEX(Links!$C$13:$L$13,1,(Resumen!$C$3-2025)),IF(Links!$E$96="PBA",1-INDEX(Links!$C$13:$L$13,1,(Resumen!$C$3-2025)),1))</f>
        <v>30814.97872</v>
      </c>
      <c r="I42" s="17" t="n">
        <f aca="false">G42-H42</f>
        <v>45.7919662536006</v>
      </c>
      <c r="J42" s="6" t="str">
        <f aca="false">IF(ROUND(G42-H42,1)&gt;=0,"✔ Sí","✖ No")</f>
        <v>✔ Sí</v>
      </c>
      <c r="K42" s="17" t="n">
        <f aca="false">IFERROR(INDEX(Links!$C$345:$C$469,MATCH(C42,Links!$B$218:$B$342,0)),1)</f>
        <v>100</v>
      </c>
      <c r="L42" s="17" t="n">
        <f aca="false">IF(K42&gt;0,H42/K42,0)</f>
        <v>308.1497872</v>
      </c>
      <c r="M42" s="37" t="n">
        <f aca="false">IF(E42="kg",1,0)</f>
        <v>0</v>
      </c>
      <c r="N42" s="34" t="n">
        <f aca="false">H42*M42</f>
        <v>0</v>
      </c>
    </row>
    <row r="43" customFormat="false" ht="15" hidden="false" customHeight="false" outlineLevel="0" collapsed="false">
      <c r="A43" s="5" t="s">
        <v>58</v>
      </c>
      <c r="B43" s="5" t="s">
        <v>152</v>
      </c>
      <c r="C43" s="6" t="str">
        <f aca="false">Links!$B$97</f>
        <v>MP-52/ABC10</v>
      </c>
      <c r="D43" s="6" t="str">
        <f aca="false">Links!$C$97</f>
        <v>Soporte de pared ABC 10 kg</v>
      </c>
      <c r="E43" s="6" t="str">
        <f aca="false">Links!$D$97</f>
        <v>u</v>
      </c>
      <c r="F43" s="5" t="str">
        <f aca="false">IFERROR(INDEX(Links!$B$345:$B$469,MATCH(C43,Links!$B$218:$B$342,0)),"")</f>
        <v>Caja de 100 u</v>
      </c>
      <c r="G43" s="17" t="n">
        <f aca="false">INDEX(Links!$N$97:$W$97,1,(Resumen!$C$3-2025))</f>
        <v>1842.87697319699</v>
      </c>
      <c r="H43" s="17" t="n">
        <f aca="false">SUMPRODUCT(Links!$F$97:$M$97,$O$5:$V$5)*IF(Links!$E$97="CABA",INDEX(Links!$C$13:$L$13,1,(Resumen!$C$3-2025)),IF(Links!$E$97="PBA",1-INDEX(Links!$C$13:$L$13,1,(Resumen!$C$3-2025)),1))</f>
        <v>1844.928079</v>
      </c>
      <c r="I43" s="17" t="n">
        <f aca="false">G43-H43</f>
        <v>-2.05110580300993</v>
      </c>
      <c r="J43" s="6" t="str">
        <f aca="false">IF(ROUND(G43-H43,1)&gt;=0,"✔ Sí","✖ No")</f>
        <v>✖ No</v>
      </c>
      <c r="K43" s="17" t="n">
        <f aca="false">IFERROR(INDEX(Links!$C$345:$C$469,MATCH(C43,Links!$B$218:$B$342,0)),1)</f>
        <v>100</v>
      </c>
      <c r="L43" s="17" t="n">
        <f aca="false">IF(K43&gt;0,H43/K43,0)</f>
        <v>18.44928079</v>
      </c>
      <c r="M43" s="37" t="n">
        <f aca="false">IF(E43="kg",1,0)</f>
        <v>0</v>
      </c>
      <c r="N43" s="34" t="n">
        <f aca="false">H43*M43</f>
        <v>0</v>
      </c>
    </row>
    <row r="44" customFormat="false" ht="15" hidden="false" customHeight="false" outlineLevel="0" collapsed="false">
      <c r="A44" s="5" t="s">
        <v>58</v>
      </c>
      <c r="B44" s="5" t="s">
        <v>152</v>
      </c>
      <c r="C44" s="6" t="str">
        <f aca="false">Links!$B$98</f>
        <v>MP-87</v>
      </c>
      <c r="D44" s="6" t="str">
        <f aca="false">Links!$C$98</f>
        <v>Soporte vehicular (1 kg)</v>
      </c>
      <c r="E44" s="6" t="str">
        <f aca="false">Links!$D$98</f>
        <v>u</v>
      </c>
      <c r="F44" s="5" t="str">
        <f aca="false">IFERROR(INDEX(Links!$B$345:$B$469,MATCH(C44,Links!$B$218:$B$342,0)),"")</f>
        <v>Caja de 100 u</v>
      </c>
      <c r="G44" s="17" t="n">
        <f aca="false">INDEX(Links!$N$98:$W$98,1,(Resumen!$C$3-2025))</f>
        <v>32072.63913</v>
      </c>
      <c r="H44" s="17" t="n">
        <f aca="false">SUMPRODUCT(Links!$F$98:$M$98,$O$5:$V$5)*IF(Links!$E$98="CABA",INDEX(Links!$C$13:$L$13,1,(Resumen!$C$3-2025)),IF(Links!$E$98="PBA",1-INDEX(Links!$C$13:$L$13,1,(Resumen!$C$3-2025)),1))</f>
        <v>32072.63913</v>
      </c>
      <c r="I44" s="17" t="n">
        <f aca="false">G44-H44</f>
        <v>0</v>
      </c>
      <c r="J44" s="6" t="str">
        <f aca="false">IF(ROUND(G44-H44,1)&gt;=0,"✔ Sí","✖ No")</f>
        <v>✔ Sí</v>
      </c>
      <c r="K44" s="17" t="n">
        <f aca="false">IFERROR(INDEX(Links!$C$345:$C$469,MATCH(C44,Links!$B$218:$B$342,0)),1)</f>
        <v>100</v>
      </c>
      <c r="L44" s="17" t="n">
        <f aca="false">IF(K44&gt;0,H44/K44,0)</f>
        <v>320.7263913</v>
      </c>
      <c r="M44" s="37" t="n">
        <f aca="false">IF(E44="kg",1,0)</f>
        <v>0</v>
      </c>
      <c r="N44" s="34" t="n">
        <f aca="false">H44*M44</f>
        <v>0</v>
      </c>
    </row>
    <row r="45" customFormat="false" ht="15" hidden="false" customHeight="false" outlineLevel="0" collapsed="false">
      <c r="A45" s="5" t="s">
        <v>58</v>
      </c>
      <c r="B45" s="5" t="s">
        <v>152</v>
      </c>
      <c r="C45" s="6" t="str">
        <f aca="false">Links!$B$99</f>
        <v>MP-86</v>
      </c>
      <c r="D45" s="6" t="str">
        <f aca="false">Links!$C$99</f>
        <v>Tornillo y tarugo de fijación</v>
      </c>
      <c r="E45" s="6" t="str">
        <f aca="false">Links!$D$99</f>
        <v>u</v>
      </c>
      <c r="F45" s="5" t="str">
        <f aca="false">IFERROR(INDEX(Links!$B$345:$B$469,MATCH(C45,Links!$B$218:$B$342,0)),"")</f>
        <v>Bolsa de 1.000 u</v>
      </c>
      <c r="G45" s="17" t="n">
        <f aca="false">INDEX(Links!$N$99:$W$99,1,(Resumen!$C$3-2025))</f>
        <v>80257.0122069013</v>
      </c>
      <c r="H45" s="17" t="n">
        <f aca="false">SUMPRODUCT(Links!$F$99:$M$99,$O$5:$V$5)*IF(Links!$E$99="CABA",INDEX(Links!$C$13:$L$13,1,(Resumen!$C$3-2025)),IF(Links!$E$99="PBA",1-INDEX(Links!$C$13:$L$13,1,(Resumen!$C$3-2025)),1))</f>
        <v>80192.730486</v>
      </c>
      <c r="I45" s="17" t="n">
        <f aca="false">G45-H45</f>
        <v>64.281720901301</v>
      </c>
      <c r="J45" s="6" t="str">
        <f aca="false">IF(ROUND(G45-H45,1)&gt;=0,"✔ Sí","✖ No")</f>
        <v>✔ Sí</v>
      </c>
      <c r="K45" s="17" t="n">
        <f aca="false">IFERROR(INDEX(Links!$C$345:$C$469,MATCH(C45,Links!$B$218:$B$342,0)),1)</f>
        <v>1000</v>
      </c>
      <c r="L45" s="17" t="n">
        <f aca="false">IF(K45&gt;0,H45/K45,0)</f>
        <v>80.192730486</v>
      </c>
      <c r="M45" s="37" t="n">
        <f aca="false">IF(E45="kg",1,0)</f>
        <v>0</v>
      </c>
      <c r="N45" s="34" t="n">
        <f aca="false">H45*M45</f>
        <v>0</v>
      </c>
    </row>
    <row r="46" customFormat="false" ht="15" hidden="false" customHeight="false" outlineLevel="0" collapsed="false">
      <c r="A46" s="5" t="s">
        <v>58</v>
      </c>
      <c r="B46" s="5" t="s">
        <v>153</v>
      </c>
      <c r="C46" s="6" t="str">
        <f aca="false">Links!$B$100</f>
        <v>MP-56/ABC1</v>
      </c>
      <c r="D46" s="6" t="str">
        <f aca="false">Links!$C$100</f>
        <v>Etiqueta de características ABC 1 kg</v>
      </c>
      <c r="E46" s="6" t="str">
        <f aca="false">Links!$D$100</f>
        <v>u</v>
      </c>
      <c r="F46" s="5" t="str">
        <f aca="false">IFERROR(INDEX(Links!$B$345:$B$469,MATCH(C46,Links!$B$218:$B$342,0)),"")</f>
        <v>Rollo de 1.000 u</v>
      </c>
      <c r="G46" s="17" t="n">
        <f aca="false">INDEX(Links!$N$100:$W$100,1,(Resumen!$C$3-2025))</f>
        <v>32072.63913</v>
      </c>
      <c r="H46" s="17" t="n">
        <f aca="false">SUMPRODUCT(Links!$F$100:$M$100,$O$5:$V$5)*IF(Links!$E$100="CABA",INDEX(Links!$C$13:$L$13,1,(Resumen!$C$3-2025)),IF(Links!$E$100="PBA",1-INDEX(Links!$C$13:$L$13,1,(Resumen!$C$3-2025)),1))</f>
        <v>32072.63913</v>
      </c>
      <c r="I46" s="17" t="n">
        <f aca="false">G46-H46</f>
        <v>0</v>
      </c>
      <c r="J46" s="6" t="str">
        <f aca="false">IF(ROUND(G46-H46,1)&gt;=0,"✔ Sí","✖ No")</f>
        <v>✔ Sí</v>
      </c>
      <c r="K46" s="17" t="n">
        <f aca="false">IFERROR(INDEX(Links!$C$345:$C$469,MATCH(C46,Links!$B$218:$B$342,0)),1)</f>
        <v>1000</v>
      </c>
      <c r="L46" s="17" t="n">
        <f aca="false">IF(K46&gt;0,H46/K46,0)</f>
        <v>32.07263913</v>
      </c>
      <c r="M46" s="37" t="n">
        <f aca="false">IF(E46="kg",1,0)</f>
        <v>0</v>
      </c>
      <c r="N46" s="34" t="n">
        <f aca="false">H46*M46</f>
        <v>0</v>
      </c>
    </row>
    <row r="47" customFormat="false" ht="15" hidden="false" customHeight="false" outlineLevel="0" collapsed="false">
      <c r="A47" s="5" t="s">
        <v>58</v>
      </c>
      <c r="B47" s="5" t="s">
        <v>153</v>
      </c>
      <c r="C47" s="6" t="str">
        <f aca="false">Links!$B$101</f>
        <v>MP-56/ABC2.5</v>
      </c>
      <c r="D47" s="6" t="str">
        <f aca="false">Links!$C$101</f>
        <v>Etiqueta de características ABC 2,5 kg</v>
      </c>
      <c r="E47" s="6" t="str">
        <f aca="false">Links!$D$101</f>
        <v>u</v>
      </c>
      <c r="F47" s="5" t="str">
        <f aca="false">IFERROR(INDEX(Links!$B$345:$B$469,MATCH(C47,Links!$B$218:$B$342,0)),"")</f>
        <v>Rollo de 1.000 u</v>
      </c>
      <c r="G47" s="17" t="n">
        <f aca="false">INDEX(Links!$N$101:$W$101,1,(Resumen!$C$3-2025))</f>
        <v>7424.858444</v>
      </c>
      <c r="H47" s="17" t="n">
        <f aca="false">SUMPRODUCT(Links!$F$101:$M$101,$O$5:$V$5)*IF(Links!$E$101="CABA",INDEX(Links!$C$13:$L$13,1,(Resumen!$C$3-2025)),IF(Links!$E$101="PBA",1-INDEX(Links!$C$13:$L$13,1,(Resumen!$C$3-2025)),1))</f>
        <v>7436.458444</v>
      </c>
      <c r="I47" s="17" t="n">
        <f aca="false">G47-H47</f>
        <v>-11.5999999999995</v>
      </c>
      <c r="J47" s="6" t="str">
        <f aca="false">IF(ROUND(G47-H47,1)&gt;=0,"✔ Sí","✖ No")</f>
        <v>✖ No</v>
      </c>
      <c r="K47" s="17" t="n">
        <f aca="false">IFERROR(INDEX(Links!$C$345:$C$469,MATCH(C47,Links!$B$218:$B$342,0)),1)</f>
        <v>1000</v>
      </c>
      <c r="L47" s="17" t="n">
        <f aca="false">IF(K47&gt;0,H47/K47,0)</f>
        <v>7.436458444</v>
      </c>
      <c r="M47" s="37" t="n">
        <f aca="false">IF(E47="kg",1,0)</f>
        <v>0</v>
      </c>
      <c r="N47" s="34" t="n">
        <f aca="false">H47*M47</f>
        <v>0</v>
      </c>
    </row>
    <row r="48" customFormat="false" ht="15" hidden="false" customHeight="false" outlineLevel="0" collapsed="false">
      <c r="A48" s="5" t="s">
        <v>58</v>
      </c>
      <c r="B48" s="5" t="s">
        <v>153</v>
      </c>
      <c r="C48" s="6" t="str">
        <f aca="false">Links!$B$102</f>
        <v>MP-56/ABC5</v>
      </c>
      <c r="D48" s="6" t="str">
        <f aca="false">Links!$C$102</f>
        <v>Etiqueta de características ABC 5 kg</v>
      </c>
      <c r="E48" s="6" t="str">
        <f aca="false">Links!$D$102</f>
        <v>u</v>
      </c>
      <c r="F48" s="5" t="str">
        <f aca="false">IFERROR(INDEX(Links!$B$345:$B$469,MATCH(C48,Links!$B$218:$B$342,0)),"")</f>
        <v>Rollo de 1.000 u</v>
      </c>
      <c r="G48" s="17" t="n">
        <f aca="false">INDEX(Links!$N$102:$W$102,1,(Resumen!$C$3-2025))</f>
        <v>30860.7706862536</v>
      </c>
      <c r="H48" s="17" t="n">
        <f aca="false">SUMPRODUCT(Links!$F$102:$M$102,$O$5:$V$5)*IF(Links!$E$102="CABA",INDEX(Links!$C$13:$L$13,1,(Resumen!$C$3-2025)),IF(Links!$E$102="PBA",1-INDEX(Links!$C$13:$L$13,1,(Resumen!$C$3-2025)),1))</f>
        <v>30814.97872</v>
      </c>
      <c r="I48" s="17" t="n">
        <f aca="false">G48-H48</f>
        <v>45.7919662536006</v>
      </c>
      <c r="J48" s="6" t="str">
        <f aca="false">IF(ROUND(G48-H48,1)&gt;=0,"✔ Sí","✖ No")</f>
        <v>✔ Sí</v>
      </c>
      <c r="K48" s="17" t="n">
        <f aca="false">IFERROR(INDEX(Links!$C$345:$C$469,MATCH(C48,Links!$B$218:$B$342,0)),1)</f>
        <v>1000</v>
      </c>
      <c r="L48" s="17" t="n">
        <f aca="false">IF(K48&gt;0,H48/K48,0)</f>
        <v>30.81497872</v>
      </c>
      <c r="M48" s="37" t="n">
        <f aca="false">IF(E48="kg",1,0)</f>
        <v>0</v>
      </c>
      <c r="N48" s="34" t="n">
        <f aca="false">H48*M48</f>
        <v>0</v>
      </c>
    </row>
    <row r="49" customFormat="false" ht="15" hidden="false" customHeight="false" outlineLevel="0" collapsed="false">
      <c r="A49" s="5" t="s">
        <v>58</v>
      </c>
      <c r="B49" s="5" t="s">
        <v>153</v>
      </c>
      <c r="C49" s="6" t="str">
        <f aca="false">Links!$B$103</f>
        <v>MP-56/ABC10</v>
      </c>
      <c r="D49" s="6" t="str">
        <f aca="false">Links!$C$103</f>
        <v>Etiqueta de características ABC 10 kg</v>
      </c>
      <c r="E49" s="6" t="str">
        <f aca="false">Links!$D$103</f>
        <v>u</v>
      </c>
      <c r="F49" s="5" t="str">
        <f aca="false">IFERROR(INDEX(Links!$B$345:$B$469,MATCH(C49,Links!$B$218:$B$342,0)),"")</f>
        <v>Rollo de 1.000 u</v>
      </c>
      <c r="G49" s="17" t="n">
        <f aca="false">INDEX(Links!$N$103:$W$103,1,(Resumen!$C$3-2025))</f>
        <v>1842.87697319699</v>
      </c>
      <c r="H49" s="17" t="n">
        <f aca="false">SUMPRODUCT(Links!$F$103:$M$103,$O$5:$V$5)*IF(Links!$E$103="CABA",INDEX(Links!$C$13:$L$13,1,(Resumen!$C$3-2025)),IF(Links!$E$103="PBA",1-INDEX(Links!$C$13:$L$13,1,(Resumen!$C$3-2025)),1))</f>
        <v>1844.928079</v>
      </c>
      <c r="I49" s="17" t="n">
        <f aca="false">G49-H49</f>
        <v>-2.05110580300993</v>
      </c>
      <c r="J49" s="6" t="str">
        <f aca="false">IF(ROUND(G49-H49,1)&gt;=0,"✔ Sí","✖ No")</f>
        <v>✖ No</v>
      </c>
      <c r="K49" s="17" t="n">
        <f aca="false">IFERROR(INDEX(Links!$C$345:$C$469,MATCH(C49,Links!$B$218:$B$342,0)),1)</f>
        <v>1000</v>
      </c>
      <c r="L49" s="17" t="n">
        <f aca="false">IF(K49&gt;0,H49/K49,0)</f>
        <v>1.844928079</v>
      </c>
      <c r="M49" s="37" t="n">
        <f aca="false">IF(E49="kg",1,0)</f>
        <v>0</v>
      </c>
      <c r="N49" s="34" t="n">
        <f aca="false">H49*M49</f>
        <v>0</v>
      </c>
    </row>
    <row r="50" customFormat="false" ht="15" hidden="false" customHeight="false" outlineLevel="0" collapsed="false">
      <c r="A50" s="5" t="s">
        <v>58</v>
      </c>
      <c r="B50" s="5" t="s">
        <v>153</v>
      </c>
      <c r="C50" s="6" t="str">
        <f aca="false">Links!$B$104</f>
        <v>MP-78</v>
      </c>
      <c r="D50" s="6" t="str">
        <f aca="false">Links!$C$104</f>
        <v>Oblea de fabricación (PBA)</v>
      </c>
      <c r="E50" s="6" t="str">
        <f aca="false">Links!$D$104</f>
        <v>u</v>
      </c>
      <c r="F50" s="5" t="str">
        <f aca="false">IFERROR(INDEX(Links!$B$345:$B$469,MATCH(C50,Links!$B$218:$B$342,0)),"")</f>
        <v>Paquete de 500 u</v>
      </c>
      <c r="G50" s="17" t="n">
        <f aca="false">INDEX(Links!$N$104:$W$104,1,(Resumen!$C$3-2025))</f>
        <v>55146.1396445977</v>
      </c>
      <c r="H50" s="17" t="n">
        <f aca="false">SUMPRODUCT(Links!$F$104:$M$104,$O$5:$V$5)*IF(Links!$E$104="CABA",INDEX(Links!$C$13:$L$13,1,(Resumen!$C$3-2025)),IF(Links!$E$104="PBA",1-INDEX(Links!$C$13:$L$13,1,(Resumen!$C$3-2025)),1))</f>
        <v>55121.5909428703</v>
      </c>
      <c r="I50" s="17" t="n">
        <f aca="false">G50-H50</f>
        <v>24.5487017273626</v>
      </c>
      <c r="J50" s="6" t="str">
        <f aca="false">IF(ROUND(G50-H50,1)&gt;=0,"✔ Sí","✖ No")</f>
        <v>✔ Sí</v>
      </c>
      <c r="K50" s="17" t="n">
        <f aca="false">IFERROR(INDEX(Links!$C$345:$C$469,MATCH(C50,Links!$B$218:$B$342,0)),1)</f>
        <v>500</v>
      </c>
      <c r="L50" s="17" t="n">
        <f aca="false">IF(K50&gt;0,H50/K50,0)</f>
        <v>110.243181885741</v>
      </c>
      <c r="M50" s="37" t="n">
        <f aca="false">IF(E50="kg",1,0)</f>
        <v>0</v>
      </c>
      <c r="N50" s="34" t="n">
        <f aca="false">H50*M50</f>
        <v>0</v>
      </c>
    </row>
    <row r="51" customFormat="false" ht="15" hidden="false" customHeight="false" outlineLevel="0" collapsed="false">
      <c r="A51" s="5" t="s">
        <v>58</v>
      </c>
      <c r="B51" s="5" t="s">
        <v>153</v>
      </c>
      <c r="C51" s="6" t="str">
        <f aca="false">Links!$B$105</f>
        <v>MP-79</v>
      </c>
      <c r="D51" s="6" t="str">
        <f aca="false">Links!$C$105</f>
        <v>Estampilla IRAM de conformidad</v>
      </c>
      <c r="E51" s="6" t="str">
        <f aca="false">Links!$D$105</f>
        <v>u</v>
      </c>
      <c r="F51" s="5" t="str">
        <f aca="false">IFERROR(INDEX(Links!$B$345:$B$469,MATCH(C51,Links!$B$218:$B$342,0)),"")</f>
        <v>Paquete de 500 u</v>
      </c>
      <c r="G51" s="17" t="n">
        <f aca="false">INDEX(Links!$N$105:$W$105,1,(Resumen!$C$3-2025))</f>
        <v>72201.1452334506</v>
      </c>
      <c r="H51" s="17" t="n">
        <f aca="false">SUMPRODUCT(Links!$F$105:$M$105,$O$5:$V$5)*IF(Links!$E$105="CABA",INDEX(Links!$C$13:$L$13,1,(Resumen!$C$3-2025)),IF(Links!$E$105="PBA",1-INDEX(Links!$C$13:$L$13,1,(Resumen!$C$3-2025)),1))</f>
        <v>72169.004373</v>
      </c>
      <c r="I51" s="17" t="n">
        <f aca="false">G51-H51</f>
        <v>32.1408604505996</v>
      </c>
      <c r="J51" s="6" t="str">
        <f aca="false">IF(ROUND(G51-H51,1)&gt;=0,"✔ Sí","✖ No")</f>
        <v>✔ Sí</v>
      </c>
      <c r="K51" s="17" t="n">
        <f aca="false">IFERROR(INDEX(Links!$C$345:$C$469,MATCH(C51,Links!$B$218:$B$342,0)),1)</f>
        <v>500</v>
      </c>
      <c r="L51" s="17" t="n">
        <f aca="false">IF(K51&gt;0,H51/K51,0)</f>
        <v>144.338008746</v>
      </c>
      <c r="M51" s="37" t="n">
        <f aca="false">IF(E51="kg",1,0)</f>
        <v>0</v>
      </c>
      <c r="N51" s="34" t="n">
        <f aca="false">H51*M51</f>
        <v>0</v>
      </c>
    </row>
    <row r="52" customFormat="false" ht="15" hidden="false" customHeight="false" outlineLevel="0" collapsed="false">
      <c r="A52" s="5" t="s">
        <v>58</v>
      </c>
      <c r="B52" s="5" t="s">
        <v>153</v>
      </c>
      <c r="C52" s="6" t="str">
        <f aca="false">Links!$B$106</f>
        <v>MP-77</v>
      </c>
      <c r="D52" s="6" t="str">
        <f aca="false">Links!$C$106</f>
        <v>Tarjeta de identificación AGC (CABA)</v>
      </c>
      <c r="E52" s="6" t="str">
        <f aca="false">Links!$D$106</f>
        <v>u</v>
      </c>
      <c r="F52" s="5" t="str">
        <f aca="false">IFERROR(INDEX(Links!$B$345:$B$469,MATCH(C52,Links!$B$218:$B$342,0)),"")</f>
        <v>Paquete de 500 u</v>
      </c>
      <c r="G52" s="17" t="n">
        <f aca="false">INDEX(Links!$N$106:$W$106,1,(Resumen!$C$3-2025))</f>
        <v>9478.96177621284</v>
      </c>
      <c r="H52" s="17" t="n">
        <f aca="false">SUMPRODUCT(Links!$F$106:$M$106,$O$5:$V$5)*IF(Links!$E$106="CABA",INDEX(Links!$C$13:$L$13,1,(Resumen!$C$3-2025)),IF(Links!$E$106="PBA",1-INDEX(Links!$C$13:$L$13,1,(Resumen!$C$3-2025)),1))</f>
        <v>9471.36961748955</v>
      </c>
      <c r="I52" s="17" t="n">
        <f aca="false">G52-H52</f>
        <v>7.59215872328969</v>
      </c>
      <c r="J52" s="6" t="str">
        <f aca="false">IF(ROUND(G52-H52,1)&gt;=0,"✔ Sí","✖ No")</f>
        <v>✔ Sí</v>
      </c>
      <c r="K52" s="17" t="n">
        <f aca="false">IFERROR(INDEX(Links!$C$345:$C$469,MATCH(C52,Links!$B$218:$B$342,0)),1)</f>
        <v>500</v>
      </c>
      <c r="L52" s="17" t="n">
        <f aca="false">IF(K52&gt;0,H52/K52,0)</f>
        <v>18.9427392349791</v>
      </c>
      <c r="M52" s="37" t="n">
        <f aca="false">IF(E52="kg",1,0)</f>
        <v>0</v>
      </c>
      <c r="N52" s="34" t="n">
        <f aca="false">H52*M52</f>
        <v>0</v>
      </c>
    </row>
    <row r="53" customFormat="false" ht="15" hidden="false" customHeight="false" outlineLevel="0" collapsed="false">
      <c r="A53" s="5" t="s">
        <v>58</v>
      </c>
      <c r="B53" s="5" t="s">
        <v>153</v>
      </c>
      <c r="C53" s="6" t="str">
        <f aca="false">Links!$B$107</f>
        <v>MP-80</v>
      </c>
      <c r="D53" s="6" t="str">
        <f aca="false">Links!$C$107</f>
        <v>Etiqueta de n° de serie GS1</v>
      </c>
      <c r="E53" s="6" t="str">
        <f aca="false">Links!$D$107</f>
        <v>u</v>
      </c>
      <c r="F53" s="5" t="str">
        <f aca="false">IFERROR(INDEX(Links!$B$345:$B$469,MATCH(C53,Links!$B$218:$B$342,0)),"")</f>
        <v>Rollo de 1.000 u</v>
      </c>
      <c r="G53" s="17" t="n">
        <f aca="false">INDEX(Links!$N$107:$W$107,1,(Resumen!$C$3-2025))</f>
        <v>72201.1452334506</v>
      </c>
      <c r="H53" s="17" t="n">
        <f aca="false">SUMPRODUCT(Links!$F$107:$M$107,$O$5:$V$5)*IF(Links!$E$107="CABA",INDEX(Links!$C$13:$L$13,1,(Resumen!$C$3-2025)),IF(Links!$E$107="PBA",1-INDEX(Links!$C$13:$L$13,1,(Resumen!$C$3-2025)),1))</f>
        <v>72169.004373</v>
      </c>
      <c r="I53" s="17" t="n">
        <f aca="false">G53-H53</f>
        <v>32.1408604505996</v>
      </c>
      <c r="J53" s="6" t="str">
        <f aca="false">IF(ROUND(G53-H53,1)&gt;=0,"✔ Sí","✖ No")</f>
        <v>✔ Sí</v>
      </c>
      <c r="K53" s="17" t="n">
        <f aca="false">IFERROR(INDEX(Links!$C$345:$C$469,MATCH(C53,Links!$B$218:$B$342,0)),1)</f>
        <v>1000</v>
      </c>
      <c r="L53" s="17" t="n">
        <f aca="false">IF(K53&gt;0,H53/K53,0)</f>
        <v>72.169004373</v>
      </c>
      <c r="M53" s="37" t="n">
        <f aca="false">IF(E53="kg",1,0)</f>
        <v>0</v>
      </c>
      <c r="N53" s="34" t="n">
        <f aca="false">H53*M53</f>
        <v>0</v>
      </c>
    </row>
    <row r="54" customFormat="false" ht="15" hidden="false" customHeight="false" outlineLevel="0" collapsed="false">
      <c r="A54" s="5" t="s">
        <v>58</v>
      </c>
      <c r="B54" s="5" t="s">
        <v>153</v>
      </c>
      <c r="C54" s="6" t="str">
        <f aca="false">Links!$B$108</f>
        <v>MP-81</v>
      </c>
      <c r="D54" s="6" t="str">
        <f aca="false">Links!$C$108</f>
        <v>Faja de garantía válvula-cuello</v>
      </c>
      <c r="E54" s="6" t="str">
        <f aca="false">Links!$D$108</f>
        <v>u</v>
      </c>
      <c r="F54" s="5" t="str">
        <f aca="false">IFERROR(INDEX(Links!$B$345:$B$469,MATCH(C54,Links!$B$218:$B$342,0)),"")</f>
        <v>Rollo de 1.000 u</v>
      </c>
      <c r="G54" s="17" t="n">
        <f aca="false">INDEX(Links!$N$108:$W$108,1,(Resumen!$C$3-2025))</f>
        <v>72201.1452334506</v>
      </c>
      <c r="H54" s="17" t="n">
        <f aca="false">SUMPRODUCT(Links!$F$108:$M$108,$O$5:$V$5)*IF(Links!$E$108="CABA",INDEX(Links!$C$13:$L$13,1,(Resumen!$C$3-2025)),IF(Links!$E$108="PBA",1-INDEX(Links!$C$13:$L$13,1,(Resumen!$C$3-2025)),1))</f>
        <v>72169.004373</v>
      </c>
      <c r="I54" s="17" t="n">
        <f aca="false">G54-H54</f>
        <v>32.1408604505996</v>
      </c>
      <c r="J54" s="6" t="str">
        <f aca="false">IF(ROUND(G54-H54,1)&gt;=0,"✔ Sí","✖ No")</f>
        <v>✔ Sí</v>
      </c>
      <c r="K54" s="17" t="n">
        <f aca="false">IFERROR(INDEX(Links!$C$345:$C$469,MATCH(C54,Links!$B$218:$B$342,0)),1)</f>
        <v>1000</v>
      </c>
      <c r="L54" s="17" t="n">
        <f aca="false">IF(K54&gt;0,H54/K54,0)</f>
        <v>72.169004373</v>
      </c>
      <c r="M54" s="37" t="n">
        <f aca="false">IF(E54="kg",1,0)</f>
        <v>0</v>
      </c>
      <c r="N54" s="34" t="n">
        <f aca="false">H54*M54</f>
        <v>0</v>
      </c>
    </row>
    <row r="55" customFormat="false" ht="15" hidden="false" customHeight="false" outlineLevel="0" collapsed="false">
      <c r="A55" s="5" t="s">
        <v>58</v>
      </c>
      <c r="B55" s="5" t="s">
        <v>153</v>
      </c>
      <c r="C55" s="6" t="str">
        <f aca="false">Links!$B$109</f>
        <v>MP-51</v>
      </c>
      <c r="D55" s="6" t="str">
        <f aca="false">Links!$C$109</f>
        <v>Precinto de fábrica</v>
      </c>
      <c r="E55" s="6" t="str">
        <f aca="false">Links!$D$109</f>
        <v>u</v>
      </c>
      <c r="F55" s="5" t="str">
        <f aca="false">IFERROR(INDEX(Links!$B$345:$B$469,MATCH(C55,Links!$B$218:$B$342,0)),"")</f>
        <v>Bolsa de 1.000 u</v>
      </c>
      <c r="G55" s="17" t="n">
        <f aca="false">INDEX(Links!$N$109:$W$109,1,(Resumen!$C$3-2025))</f>
        <v>72201.1452334506</v>
      </c>
      <c r="H55" s="17" t="n">
        <f aca="false">SUMPRODUCT(Links!$F$109:$M$109,$O$5:$V$5)*IF(Links!$E$109="CABA",INDEX(Links!$C$13:$L$13,1,(Resumen!$C$3-2025)),IF(Links!$E$109="PBA",1-INDEX(Links!$C$13:$L$13,1,(Resumen!$C$3-2025)),1))</f>
        <v>72169.004373</v>
      </c>
      <c r="I55" s="17" t="n">
        <f aca="false">G55-H55</f>
        <v>32.1408604505996</v>
      </c>
      <c r="J55" s="6" t="str">
        <f aca="false">IF(ROUND(G55-H55,1)&gt;=0,"✔ Sí","✖ No")</f>
        <v>✔ Sí</v>
      </c>
      <c r="K55" s="17" t="n">
        <f aca="false">IFERROR(INDEX(Links!$C$345:$C$469,MATCH(C55,Links!$B$218:$B$342,0)),1)</f>
        <v>1000</v>
      </c>
      <c r="L55" s="17" t="n">
        <f aca="false">IF(K55&gt;0,H55/K55,0)</f>
        <v>72.169004373</v>
      </c>
      <c r="M55" s="37" t="n">
        <f aca="false">IF(E55="kg",1,0)</f>
        <v>0</v>
      </c>
      <c r="N55" s="34" t="n">
        <f aca="false">H55*M55</f>
        <v>0</v>
      </c>
    </row>
    <row r="56" customFormat="false" ht="15" hidden="false" customHeight="false" outlineLevel="0" collapsed="false">
      <c r="A56" s="5" t="s">
        <v>58</v>
      </c>
      <c r="B56" s="5" t="s">
        <v>153</v>
      </c>
      <c r="C56" s="6" t="str">
        <f aca="false">Links!$B$110</f>
        <v>MP-88</v>
      </c>
      <c r="D56" s="6" t="str">
        <f aca="false">Links!$C$110</f>
        <v>Etiqueta del cilindro suelto</v>
      </c>
      <c r="E56" s="6" t="str">
        <f aca="false">Links!$D$110</f>
        <v>u</v>
      </c>
      <c r="F56" s="5" t="str">
        <f aca="false">IFERROR(INDEX(Links!$B$345:$B$469,MATCH(C56,Links!$B$218:$B$342,0)),"")</f>
        <v>Rollo de 1.000 u</v>
      </c>
      <c r="G56" s="17" t="n">
        <f aca="false">INDEX(Links!$N$110:$W$110,1,(Resumen!$C$3-2025))</f>
        <v>212143</v>
      </c>
      <c r="H56" s="17" t="n">
        <f aca="false">SUMPRODUCT(Links!$F$110:$M$110,$O$5:$V$5)*IF(Links!$E$110="CABA",INDEX(Links!$C$13:$L$13,1,(Resumen!$C$3-2025)),IF(Links!$E$110="PBA",1-INDEX(Links!$C$13:$L$13,1,(Resumen!$C$3-2025)),1))</f>
        <v>212293.56</v>
      </c>
      <c r="I56" s="17" t="n">
        <f aca="false">G56-H56</f>
        <v>-150.559999999998</v>
      </c>
      <c r="J56" s="6" t="str">
        <f aca="false">IF(ROUND(G56-H56,1)&gt;=0,"✔ Sí","✖ No")</f>
        <v>✖ No</v>
      </c>
      <c r="K56" s="17" t="n">
        <f aca="false">IFERROR(INDEX(Links!$C$345:$C$469,MATCH(C56,Links!$B$218:$B$342,0)),1)</f>
        <v>1000</v>
      </c>
      <c r="L56" s="17" t="n">
        <f aca="false">IF(K56&gt;0,H56/K56,0)</f>
        <v>212.29356</v>
      </c>
      <c r="M56" s="37" t="n">
        <f aca="false">IF(E56="kg",1,0)</f>
        <v>0</v>
      </c>
      <c r="N56" s="34" t="n">
        <f aca="false">H56*M56</f>
        <v>0</v>
      </c>
    </row>
    <row r="57" customFormat="false" ht="15" hidden="false" customHeight="false" outlineLevel="0" collapsed="false">
      <c r="A57" s="5" t="s">
        <v>58</v>
      </c>
      <c r="B57" s="5" t="s">
        <v>152</v>
      </c>
      <c r="C57" s="6" t="str">
        <f aca="false">Links!$B$111</f>
        <v>MP-62/M22</v>
      </c>
      <c r="D57" s="6" t="str">
        <f aca="false">Links!$C$111</f>
        <v>Tapón protector de rosca M22</v>
      </c>
      <c r="E57" s="6" t="str">
        <f aca="false">Links!$D$111</f>
        <v>u</v>
      </c>
      <c r="F57" s="5" t="str">
        <f aca="false">IFERROR(INDEX(Links!$B$345:$B$469,MATCH(C57,Links!$B$218:$B$342,0)),"")</f>
        <v>Caja de 5.000 u</v>
      </c>
      <c r="G57" s="17" t="n">
        <f aca="false">INDEX(Links!$N$111:$W$111,1,(Resumen!$C$3-2025))</f>
        <v>170548</v>
      </c>
      <c r="H57" s="17" t="n">
        <f aca="false">SUMPRODUCT(Links!$F$111:$M$111,$O$5:$V$5)*IF(Links!$E$111="CABA",INDEX(Links!$C$13:$L$13,1,(Resumen!$C$3-2025)),IF(Links!$E$111="PBA",1-INDEX(Links!$C$13:$L$13,1,(Resumen!$C$3-2025)),1))</f>
        <v>170548</v>
      </c>
      <c r="I57" s="17" t="n">
        <f aca="false">G57-H57</f>
        <v>0</v>
      </c>
      <c r="J57" s="6" t="str">
        <f aca="false">IF(ROUND(G57-H57,1)&gt;=0,"✔ Sí","✖ No")</f>
        <v>✔ Sí</v>
      </c>
      <c r="K57" s="17" t="n">
        <f aca="false">IFERROR(INDEX(Links!$C$345:$C$469,MATCH(C57,Links!$B$218:$B$342,0)),1)</f>
        <v>5000</v>
      </c>
      <c r="L57" s="17" t="n">
        <f aca="false">IF(K57&gt;0,H57/K57,0)</f>
        <v>34.1096</v>
      </c>
      <c r="M57" s="37" t="n">
        <f aca="false">IF(E57="kg",1,0)</f>
        <v>0</v>
      </c>
      <c r="N57" s="34" t="n">
        <f aca="false">H57*M57</f>
        <v>0</v>
      </c>
    </row>
    <row r="58" customFormat="false" ht="15" hidden="false" customHeight="false" outlineLevel="0" collapsed="false">
      <c r="A58" s="5" t="s">
        <v>58</v>
      </c>
      <c r="B58" s="5" t="s">
        <v>152</v>
      </c>
      <c r="C58" s="6" t="str">
        <f aca="false">Links!$B$112</f>
        <v>MP-62/M30</v>
      </c>
      <c r="D58" s="6" t="str">
        <f aca="false">Links!$C$112</f>
        <v>Tapón protector de rosca M30</v>
      </c>
      <c r="E58" s="6" t="str">
        <f aca="false">Links!$D$112</f>
        <v>u</v>
      </c>
      <c r="F58" s="5" t="str">
        <f aca="false">IFERROR(INDEX(Links!$B$345:$B$469,MATCH(C58,Links!$B$218:$B$342,0)),"")</f>
        <v>Caja de 5.000 u</v>
      </c>
      <c r="G58" s="17" t="n">
        <f aca="false">INDEX(Links!$N$112:$W$112,1,(Resumen!$C$3-2025))</f>
        <v>41595</v>
      </c>
      <c r="H58" s="17" t="n">
        <f aca="false">SUMPRODUCT(Links!$F$112:$M$112,$O$5:$V$5)*IF(Links!$E$112="CABA",INDEX(Links!$C$13:$L$13,1,(Resumen!$C$3-2025)),IF(Links!$E$112="PBA",1-INDEX(Links!$C$13:$L$13,1,(Resumen!$C$3-2025)),1))</f>
        <v>41745.56</v>
      </c>
      <c r="I58" s="17" t="n">
        <f aca="false">G58-H58</f>
        <v>-150.559999999998</v>
      </c>
      <c r="J58" s="6" t="str">
        <f aca="false">IF(ROUND(G58-H58,1)&gt;=0,"✔ Sí","✖ No")</f>
        <v>✖ No</v>
      </c>
      <c r="K58" s="17" t="n">
        <f aca="false">IFERROR(INDEX(Links!$C$345:$C$469,MATCH(C58,Links!$B$218:$B$342,0)),1)</f>
        <v>5000</v>
      </c>
      <c r="L58" s="17" t="n">
        <f aca="false">IF(K58&gt;0,H58/K58,0)</f>
        <v>8.349112</v>
      </c>
      <c r="M58" s="37" t="n">
        <f aca="false">IF(E58="kg",1,0)</f>
        <v>0</v>
      </c>
      <c r="N58" s="34" t="n">
        <f aca="false">H58*M58</f>
        <v>0</v>
      </c>
    </row>
    <row r="59" customFormat="false" ht="15" hidden="false" customHeight="false" outlineLevel="0" collapsed="false">
      <c r="A59" s="5" t="s">
        <v>58</v>
      </c>
      <c r="B59" s="5" t="s">
        <v>153</v>
      </c>
      <c r="C59" s="6" t="str">
        <f aca="false">Links!$B$113</f>
        <v>MP-85</v>
      </c>
      <c r="D59" s="6" t="str">
        <f aca="false">Links!$C$113</f>
        <v>Impresos (protocolo de ensayo, remito de préstamo)</v>
      </c>
      <c r="E59" s="6" t="str">
        <f aca="false">Links!$D$113</f>
        <v>u</v>
      </c>
      <c r="F59" s="5" t="str">
        <f aca="false">IFERROR(INDEX(Links!$B$345:$B$469,MATCH(C59,Links!$B$218:$B$342,0)),"")</f>
        <v>Paquete de 500 u</v>
      </c>
      <c r="G59" s="17" t="n">
        <f aca="false">INDEX(Links!$N$113:$W$113,1,(Resumen!$C$3-2025))</f>
        <v>212143</v>
      </c>
      <c r="H59" s="17" t="n">
        <f aca="false">SUMPRODUCT(Links!$F$113:$M$113,$O$5:$V$5)*IF(Links!$E$113="CABA",INDEX(Links!$C$13:$L$13,1,(Resumen!$C$3-2025)),IF(Links!$E$113="PBA",1-INDEX(Links!$C$13:$L$13,1,(Resumen!$C$3-2025)),1))</f>
        <v>212293.56</v>
      </c>
      <c r="I59" s="17" t="n">
        <f aca="false">G59-H59</f>
        <v>-150.559999999998</v>
      </c>
      <c r="J59" s="6" t="str">
        <f aca="false">IF(ROUND(G59-H59,1)&gt;=0,"✔ Sí","✖ No")</f>
        <v>✖ No</v>
      </c>
      <c r="K59" s="17" t="n">
        <f aca="false">IFERROR(INDEX(Links!$C$345:$C$469,MATCH(C59,Links!$B$218:$B$342,0)),1)</f>
        <v>500</v>
      </c>
      <c r="L59" s="17" t="n">
        <f aca="false">IF(K59&gt;0,H59/K59,0)</f>
        <v>424.58712</v>
      </c>
      <c r="M59" s="37" t="n">
        <f aca="false">IF(E59="kg",1,0)</f>
        <v>0</v>
      </c>
      <c r="N59" s="34" t="n">
        <f aca="false">H59*M59</f>
        <v>0</v>
      </c>
    </row>
    <row r="60" customFormat="false" ht="15" hidden="false" customHeight="false" outlineLevel="0" collapsed="false">
      <c r="A60" s="5" t="s">
        <v>58</v>
      </c>
      <c r="B60" s="5" t="s">
        <v>153</v>
      </c>
      <c r="C60" s="6" t="str">
        <f aca="false">Links!$B$114</f>
        <v>MP-59/ABC1</v>
      </c>
      <c r="D60" s="6" t="str">
        <f aca="false">Links!$C$114</f>
        <v>Caja de cartón simple ABC 1 kg</v>
      </c>
      <c r="E60" s="6" t="str">
        <f aca="false">Links!$D$114</f>
        <v>u</v>
      </c>
      <c r="F60" s="5" t="str">
        <f aca="false">IFERROR(INDEX(Links!$B$345:$B$469,MATCH(C60,Links!$B$218:$B$342,0)),"")</f>
        <v>Pallet de 600 cajas</v>
      </c>
      <c r="G60" s="17" t="n">
        <f aca="false">INDEX(Links!$N$114:$W$114,1,(Resumen!$C$3-2025))</f>
        <v>202620.63913</v>
      </c>
      <c r="H60" s="17" t="n">
        <f aca="false">SUMPRODUCT(Links!$F$114:$M$114,$O$5:$V$5)*IF(Links!$E$114="CABA",INDEX(Links!$C$13:$L$13,1,(Resumen!$C$3-2025)),IF(Links!$E$114="PBA",1-INDEX(Links!$C$13:$L$13,1,(Resumen!$C$3-2025)),1))</f>
        <v>202620.63913</v>
      </c>
      <c r="I60" s="17" t="n">
        <f aca="false">G60-H60</f>
        <v>0</v>
      </c>
      <c r="J60" s="6" t="str">
        <f aca="false">IF(ROUND(G60-H60,1)&gt;=0,"✔ Sí","✖ No")</f>
        <v>✔ Sí</v>
      </c>
      <c r="K60" s="17" t="n">
        <f aca="false">IFERROR(INDEX(Links!$C$345:$C$469,MATCH(C60,Links!$B$218:$B$342,0)),1)</f>
        <v>600</v>
      </c>
      <c r="L60" s="17" t="n">
        <f aca="false">IF(K60&gt;0,H60/K60,0)</f>
        <v>337.701065216667</v>
      </c>
      <c r="M60" s="37" t="n">
        <f aca="false">IF(E60="kg",1,0)</f>
        <v>0</v>
      </c>
      <c r="N60" s="34" t="n">
        <f aca="false">H60*M60</f>
        <v>0</v>
      </c>
    </row>
    <row r="61" customFormat="false" ht="15" hidden="false" customHeight="false" outlineLevel="0" collapsed="false">
      <c r="A61" s="5" t="s">
        <v>58</v>
      </c>
      <c r="B61" s="5" t="s">
        <v>153</v>
      </c>
      <c r="C61" s="6" t="str">
        <f aca="false">Links!$B$115</f>
        <v>MP-59/ABC2.5</v>
      </c>
      <c r="D61" s="6" t="str">
        <f aca="false">Links!$C$115</f>
        <v>Caja de cartón simple ABC 2,5 kg</v>
      </c>
      <c r="E61" s="6" t="str">
        <f aca="false">Links!$D$115</f>
        <v>u</v>
      </c>
      <c r="F61" s="5" t="str">
        <f aca="false">IFERROR(INDEX(Links!$B$345:$B$469,MATCH(C61,Links!$B$218:$B$342,0)),"")</f>
        <v>Pallet de 600 cajas</v>
      </c>
      <c r="G61" s="17" t="n">
        <f aca="false">INDEX(Links!$N$115:$W$115,1,(Resumen!$C$3-2025))</f>
        <v>14093.858444</v>
      </c>
      <c r="H61" s="17" t="n">
        <f aca="false">SUMPRODUCT(Links!$F$115:$M$115,$O$5:$V$5)*IF(Links!$E$115="CABA",INDEX(Links!$C$13:$L$13,1,(Resumen!$C$3-2025)),IF(Links!$E$115="PBA",1-INDEX(Links!$C$13:$L$13,1,(Resumen!$C$3-2025)),1))</f>
        <v>14126.338444</v>
      </c>
      <c r="I61" s="17" t="n">
        <f aca="false">G61-H61</f>
        <v>-32.4800000000014</v>
      </c>
      <c r="J61" s="6" t="str">
        <f aca="false">IF(ROUND(G61-H61,1)&gt;=0,"✔ Sí","✖ No")</f>
        <v>✖ No</v>
      </c>
      <c r="K61" s="17" t="n">
        <f aca="false">IFERROR(INDEX(Links!$C$345:$C$469,MATCH(C61,Links!$B$218:$B$342,0)),1)</f>
        <v>600</v>
      </c>
      <c r="L61" s="17" t="n">
        <f aca="false">IF(K61&gt;0,H61/K61,0)</f>
        <v>23.5438974066667</v>
      </c>
      <c r="M61" s="37" t="n">
        <f aca="false">IF(E61="kg",1,0)</f>
        <v>0</v>
      </c>
      <c r="N61" s="34" t="n">
        <f aca="false">H61*M61</f>
        <v>0</v>
      </c>
    </row>
    <row r="62" customFormat="false" ht="15" hidden="false" customHeight="false" outlineLevel="0" collapsed="false">
      <c r="A62" s="5" t="s">
        <v>58</v>
      </c>
      <c r="B62" s="5" t="s">
        <v>153</v>
      </c>
      <c r="C62" s="6" t="str">
        <f aca="false">Links!$B$116</f>
        <v>MP-59/ABC5</v>
      </c>
      <c r="D62" s="6" t="str">
        <f aca="false">Links!$C$116</f>
        <v>Caja de cartón simple ABC 5 kg</v>
      </c>
      <c r="E62" s="6" t="str">
        <f aca="false">Links!$D$116</f>
        <v>u</v>
      </c>
      <c r="F62" s="5" t="str">
        <f aca="false">IFERROR(INDEX(Links!$B$345:$B$469,MATCH(C62,Links!$B$218:$B$342,0)),"")</f>
        <v>Pallet de 600 cajas</v>
      </c>
      <c r="G62" s="17" t="n">
        <f aca="false">INDEX(Links!$N$116:$W$116,1,(Resumen!$C$3-2025))</f>
        <v>63775.7706862536</v>
      </c>
      <c r="H62" s="17" t="n">
        <f aca="false">SUMPRODUCT(Links!$F$116:$M$116,$O$5:$V$5)*IF(Links!$E$116="CABA",INDEX(Links!$C$13:$L$13,1,(Resumen!$C$3-2025)),IF(Links!$E$116="PBA",1-INDEX(Links!$C$13:$L$13,1,(Resumen!$C$3-2025)),1))</f>
        <v>63852.65872</v>
      </c>
      <c r="I62" s="17" t="n">
        <f aca="false">G62-H62</f>
        <v>-76.8880337463997</v>
      </c>
      <c r="J62" s="6" t="str">
        <f aca="false">IF(ROUND(G62-H62,1)&gt;=0,"✔ Sí","✖ No")</f>
        <v>✖ No</v>
      </c>
      <c r="K62" s="17" t="n">
        <f aca="false">IFERROR(INDEX(Links!$C$345:$C$469,MATCH(C62,Links!$B$218:$B$342,0)),1)</f>
        <v>600</v>
      </c>
      <c r="L62" s="17" t="n">
        <f aca="false">IF(K62&gt;0,H62/K62,0)</f>
        <v>106.421097866667</v>
      </c>
      <c r="M62" s="37" t="n">
        <f aca="false">IF(E62="kg",1,0)</f>
        <v>0</v>
      </c>
      <c r="N62" s="34" t="n">
        <f aca="false">H62*M62</f>
        <v>0</v>
      </c>
    </row>
    <row r="63" customFormat="false" ht="15" hidden="false" customHeight="false" outlineLevel="0" collapsed="false">
      <c r="A63" s="5" t="s">
        <v>58</v>
      </c>
      <c r="B63" s="5" t="s">
        <v>153</v>
      </c>
      <c r="C63" s="6" t="str">
        <f aca="false">Links!$B$117</f>
        <v>MP-59/ABC10</v>
      </c>
      <c r="D63" s="6" t="str">
        <f aca="false">Links!$C$117</f>
        <v>Caja de cartón doble ABC 10 kg</v>
      </c>
      <c r="E63" s="6" t="str">
        <f aca="false">Links!$D$117</f>
        <v>u</v>
      </c>
      <c r="F63" s="5" t="str">
        <f aca="false">IFERROR(INDEX(Links!$B$345:$B$469,MATCH(C63,Links!$B$218:$B$342,0)),"")</f>
        <v>Pallet de 600 cajas</v>
      </c>
      <c r="G63" s="17" t="n">
        <f aca="false">INDEX(Links!$N$117:$W$117,1,(Resumen!$C$3-2025))</f>
        <v>3853.87697319699</v>
      </c>
      <c r="H63" s="17" t="n">
        <f aca="false">SUMPRODUCT(Links!$F$117:$M$117,$O$5:$V$5)*IF(Links!$E$117="CABA",INDEX(Links!$C$13:$L$13,1,(Resumen!$C$3-2025)),IF(Links!$E$117="PBA",1-INDEX(Links!$C$13:$L$13,1,(Resumen!$C$3-2025)),1))</f>
        <v>3862.928079</v>
      </c>
      <c r="I63" s="17" t="n">
        <f aca="false">G63-H63</f>
        <v>-9.05110580301016</v>
      </c>
      <c r="J63" s="6" t="str">
        <f aca="false">IF(ROUND(G63-H63,1)&gt;=0,"✔ Sí","✖ No")</f>
        <v>✖ No</v>
      </c>
      <c r="K63" s="17" t="n">
        <f aca="false">IFERROR(INDEX(Links!$C$345:$C$469,MATCH(C63,Links!$B$218:$B$342,0)),1)</f>
        <v>600</v>
      </c>
      <c r="L63" s="17" t="n">
        <f aca="false">IF(K63&gt;0,H63/K63,0)</f>
        <v>6.438213465</v>
      </c>
      <c r="M63" s="37" t="n">
        <f aca="false">IF(E63="kg",1,0)</f>
        <v>0</v>
      </c>
      <c r="N63" s="34" t="n">
        <f aca="false">H63*M63</f>
        <v>0</v>
      </c>
    </row>
    <row r="64" customFormat="false" ht="15" hidden="false" customHeight="false" outlineLevel="0" collapsed="false">
      <c r="A64" s="5" t="s">
        <v>58</v>
      </c>
      <c r="B64" s="5" t="s">
        <v>153</v>
      </c>
      <c r="C64" s="6" t="str">
        <f aca="false">Links!$B$118</f>
        <v>MP-89</v>
      </c>
      <c r="D64" s="6" t="str">
        <f aca="false">Links!$C$118</f>
        <v>Etiqueta de caja</v>
      </c>
      <c r="E64" s="6" t="str">
        <f aca="false">Links!$D$118</f>
        <v>u</v>
      </c>
      <c r="F64" s="5" t="str">
        <f aca="false">IFERROR(INDEX(Links!$B$345:$B$469,MATCH(C64,Links!$B$218:$B$342,0)),"")</f>
        <v>Rollo de 1.000 u</v>
      </c>
      <c r="G64" s="17" t="n">
        <f aca="false">INDEX(Links!$N$118:$W$118,1,(Resumen!$C$3-2025))</f>
        <v>284344.145233451</v>
      </c>
      <c r="H64" s="17" t="n">
        <f aca="false">SUMPRODUCT(Links!$F$118:$M$118,$O$5:$V$5)*IF(Links!$E$118="CABA",INDEX(Links!$C$13:$L$13,1,(Resumen!$C$3-2025)),IF(Links!$E$118="PBA",1-INDEX(Links!$C$13:$L$13,1,(Resumen!$C$3-2025)),1))</f>
        <v>284462.564373</v>
      </c>
      <c r="I64" s="17" t="n">
        <f aca="false">G64-H64</f>
        <v>-118.41913954902</v>
      </c>
      <c r="J64" s="6" t="str">
        <f aca="false">IF(ROUND(G64-H64,1)&gt;=0,"✔ Sí","✖ No")</f>
        <v>✖ No</v>
      </c>
      <c r="K64" s="17" t="n">
        <f aca="false">IFERROR(INDEX(Links!$C$345:$C$469,MATCH(C64,Links!$B$218:$B$342,0)),1)</f>
        <v>1000</v>
      </c>
      <c r="L64" s="17" t="n">
        <f aca="false">IF(K64&gt;0,H64/K64,0)</f>
        <v>284.462564373</v>
      </c>
      <c r="M64" s="37" t="n">
        <f aca="false">IF(E64="kg",1,0)</f>
        <v>0</v>
      </c>
      <c r="N64" s="34" t="n">
        <f aca="false">H64*M64</f>
        <v>0</v>
      </c>
    </row>
    <row r="65" customFormat="false" ht="15" hidden="false" customHeight="false" outlineLevel="0" collapsed="false">
      <c r="A65" s="5" t="s">
        <v>58</v>
      </c>
      <c r="B65" s="5" t="s">
        <v>153</v>
      </c>
      <c r="C65" s="6" t="str">
        <f aca="false">Links!$B$119</f>
        <v>MP-60</v>
      </c>
      <c r="D65" s="6" t="str">
        <f aca="false">Links!$C$119</f>
        <v>Pallet de madera 1200 × 1000</v>
      </c>
      <c r="E65" s="6" t="str">
        <f aca="false">Links!$D$119</f>
        <v>u</v>
      </c>
      <c r="F65" s="5" t="str">
        <f aca="false">IFERROR(INDEX(Links!$B$345:$B$469,MATCH(C65,Links!$B$218:$B$342,0)),"")</f>
        <v>Pila de 15 u</v>
      </c>
      <c r="G65" s="17" t="n">
        <f aca="false">INDEX(Links!$N$119:$W$119,1,(Resumen!$C$3-2025))</f>
        <v>1395.91255838675</v>
      </c>
      <c r="H65" s="17" t="n">
        <f aca="false">SUMPRODUCT(Links!$F$119:$M$119,$O$5:$V$5)*IF(Links!$E$119="CABA",INDEX(Links!$C$13:$L$13,1,(Resumen!$C$3-2025)),IF(Links!$E$119="PBA",1-INDEX(Links!$C$13:$L$13,1,(Resumen!$C$3-2025)),1))</f>
        <v>1397.18763853586</v>
      </c>
      <c r="I65" s="17" t="n">
        <f aca="false">G65-H65</f>
        <v>-1.27508014911064</v>
      </c>
      <c r="J65" s="6" t="str">
        <f aca="false">IF(ROUND(G65-H65,1)&gt;=0,"✔ Sí","✖ No")</f>
        <v>✖ No</v>
      </c>
      <c r="K65" s="17" t="n">
        <f aca="false">IFERROR(INDEX(Links!$C$345:$C$469,MATCH(C65,Links!$B$218:$B$342,0)),1)</f>
        <v>15</v>
      </c>
      <c r="L65" s="17" t="n">
        <f aca="false">IF(K65&gt;0,H65/K65,0)</f>
        <v>93.1458425690574</v>
      </c>
      <c r="M65" s="37" t="n">
        <f aca="false">IF(E65="kg",1,0)</f>
        <v>0</v>
      </c>
      <c r="N65" s="34" t="n">
        <f aca="false">H65*M65</f>
        <v>0</v>
      </c>
    </row>
    <row r="66" customFormat="false" ht="15" hidden="false" customHeight="false" outlineLevel="0" collapsed="false">
      <c r="A66" s="5" t="s">
        <v>58</v>
      </c>
      <c r="B66" s="5" t="s">
        <v>153</v>
      </c>
      <c r="C66" s="6" t="str">
        <f aca="false">Links!$B$120</f>
        <v>MP-90</v>
      </c>
      <c r="D66" s="6" t="str">
        <f aca="false">Links!$C$120</f>
        <v>Etiqueta de pallet</v>
      </c>
      <c r="E66" s="6" t="str">
        <f aca="false">Links!$D$120</f>
        <v>u</v>
      </c>
      <c r="F66" s="5" t="str">
        <f aca="false">IFERROR(INDEX(Links!$B$345:$B$469,MATCH(C66,Links!$B$218:$B$342,0)),"")</f>
        <v>Rollo de 1.000 u</v>
      </c>
      <c r="G66" s="17" t="n">
        <f aca="false">INDEX(Links!$N$120:$W$120,1,(Resumen!$C$3-2025))</f>
        <v>1395.91255838675</v>
      </c>
      <c r="H66" s="17" t="n">
        <f aca="false">SUMPRODUCT(Links!$F$120:$M$120,$O$5:$V$5)*IF(Links!$E$120="CABA",INDEX(Links!$C$13:$L$13,1,(Resumen!$C$3-2025)),IF(Links!$E$120="PBA",1-INDEX(Links!$C$13:$L$13,1,(Resumen!$C$3-2025)),1))</f>
        <v>1397.18763853586</v>
      </c>
      <c r="I66" s="17" t="n">
        <f aca="false">G66-H66</f>
        <v>-1.27508014911064</v>
      </c>
      <c r="J66" s="6" t="str">
        <f aca="false">IF(ROUND(G66-H66,1)&gt;=0,"✔ Sí","✖ No")</f>
        <v>✖ No</v>
      </c>
      <c r="K66" s="17" t="n">
        <f aca="false">IFERROR(INDEX(Links!$C$345:$C$469,MATCH(C66,Links!$B$218:$B$342,0)),1)</f>
        <v>1000</v>
      </c>
      <c r="L66" s="17" t="n">
        <f aca="false">IF(K66&gt;0,H66/K66,0)</f>
        <v>1.39718763853586</v>
      </c>
      <c r="M66" s="37" t="n">
        <f aca="false">IF(E66="kg",1,0)</f>
        <v>0</v>
      </c>
      <c r="N66" s="34" t="n">
        <f aca="false">H66*M66</f>
        <v>0</v>
      </c>
    </row>
    <row r="68" customFormat="false" ht="15" hidden="false" customHeight="false" outlineLevel="0" collapsed="false">
      <c r="A68" s="15" t="s">
        <v>67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customFormat="false" ht="15" hidden="false" customHeight="false" outlineLevel="0" collapsed="false">
      <c r="A69" s="4" t="s">
        <v>96</v>
      </c>
      <c r="B69" s="5" t="s">
        <v>313</v>
      </c>
      <c r="O69" s="36" t="n">
        <f aca="false">Resumen!$D$15</f>
        <v>453.6705332</v>
      </c>
      <c r="P69" s="36" t="n">
        <f aca="false">Resumen!$D$16</f>
        <v>997.9951731</v>
      </c>
      <c r="Q69" s="36" t="n">
        <f aca="false">Resumen!$D$17</f>
        <v>217.809856</v>
      </c>
      <c r="R69" s="36" t="n">
        <f aca="false">Resumen!$D$18</f>
        <v>145.2065706</v>
      </c>
      <c r="S69" s="36" t="n">
        <f aca="false">Resumen!$D$19</f>
        <v>323.64</v>
      </c>
      <c r="T69" s="36" t="n">
        <f aca="false">Resumen!$D$20</f>
        <v>710.44</v>
      </c>
      <c r="U69" s="36" t="n">
        <f aca="false">Resumen!$D$21</f>
        <v>156.32</v>
      </c>
      <c r="V69" s="36" t="n">
        <f aca="false">Resumen!$D$22</f>
        <v>102.24</v>
      </c>
    </row>
    <row r="70" customFormat="false" ht="30" hidden="false" customHeight="true" outlineLevel="0" collapsed="false">
      <c r="A70" s="3" t="s">
        <v>48</v>
      </c>
      <c r="B70" s="3" t="s">
        <v>133</v>
      </c>
      <c r="C70" s="3" t="s">
        <v>314</v>
      </c>
      <c r="D70" s="3" t="s">
        <v>315</v>
      </c>
      <c r="E70" s="3" t="s">
        <v>136</v>
      </c>
      <c r="F70" s="3" t="s">
        <v>134</v>
      </c>
      <c r="G70" s="3" t="s">
        <v>316</v>
      </c>
      <c r="H70" s="3" t="s">
        <v>317</v>
      </c>
      <c r="I70" s="3" t="s">
        <v>318</v>
      </c>
      <c r="J70" s="3" t="s">
        <v>319</v>
      </c>
      <c r="K70" s="3" t="s">
        <v>320</v>
      </c>
      <c r="L70" s="3" t="s">
        <v>321</v>
      </c>
      <c r="M70" s="3" t="s">
        <v>322</v>
      </c>
      <c r="N70" s="3" t="s">
        <v>323</v>
      </c>
    </row>
    <row r="71" customFormat="false" ht="15" hidden="false" customHeight="false" outlineLevel="0" collapsed="false">
      <c r="A71" s="5" t="s">
        <v>67</v>
      </c>
      <c r="B71" s="5" t="s">
        <v>139</v>
      </c>
      <c r="C71" s="6" t="str">
        <f aca="false">Links!$B$123</f>
        <v>MP-11</v>
      </c>
      <c r="D71" s="6" t="str">
        <f aca="false">Links!$C$123</f>
        <v>Hoja LAC 3,2 × 1500 × 3000 mm</v>
      </c>
      <c r="E71" s="6" t="str">
        <f aca="false">Links!$D$123</f>
        <v>hoja</v>
      </c>
      <c r="F71" s="5" t="str">
        <f aca="false">IFERROR(INDEX(Links!$B$345:$B$469,MATCH(C71,Links!$B$218:$B$342,0)),"")</f>
        <v>Paquete de 20 hojas</v>
      </c>
      <c r="G71" s="17" t="n">
        <f aca="false">INDEX(Links!$N$123:$W$123,1,(Resumen!$C$3-2025))</f>
        <v>348.982541570067</v>
      </c>
      <c r="H71" s="17" t="n">
        <f aca="false">SUMPRODUCT(Links!$F$123:$M$123,$O$69:$V$69)*IF(Links!$E$123="CABA",INDEX(Links!$C$13:$L$13,1,(Resumen!$C$3-2025)),IF(Links!$E$123="PBA",1-INDEX(Links!$C$13:$L$13,1,(Resumen!$C$3-2025)),1))</f>
        <v>349.515073283334</v>
      </c>
      <c r="I71" s="17" t="n">
        <f aca="false">G71-H71</f>
        <v>-0.532531713266906</v>
      </c>
      <c r="J71" s="6" t="str">
        <f aca="false">IF(ROUND(G71-H71,1)&gt;=0,"✔ Sí","✖ No")</f>
        <v>✖ No</v>
      </c>
      <c r="K71" s="17" t="n">
        <f aca="false">IFERROR(INDEX(Links!$C$345:$C$469,MATCH(C71,Links!$B$218:$B$342,0)),1)</f>
        <v>20</v>
      </c>
      <c r="L71" s="17" t="n">
        <f aca="false">IF(K71&gt;0,H71/K71,0)</f>
        <v>17.4757536641667</v>
      </c>
      <c r="M71" s="37" t="n">
        <f aca="false">Links!$B$2195*Links!$C$2195*Links!$C$2206*7.85/1000000</f>
        <v>113.04</v>
      </c>
      <c r="N71" s="34" t="n">
        <f aca="false">H71*M71</f>
        <v>39509.1838839481</v>
      </c>
    </row>
    <row r="72" customFormat="false" ht="15" hidden="false" customHeight="false" outlineLevel="0" collapsed="false">
      <c r="A72" s="5" t="s">
        <v>67</v>
      </c>
      <c r="B72" s="5" t="s">
        <v>139</v>
      </c>
      <c r="C72" s="6" t="str">
        <f aca="false">Links!$B$124</f>
        <v>MP-12</v>
      </c>
      <c r="D72" s="6" t="str">
        <f aca="false">Links!$C$124</f>
        <v>Hoja LAC 4,75 × 1500 × 3000 mm</v>
      </c>
      <c r="E72" s="6" t="str">
        <f aca="false">Links!$D$124</f>
        <v>hoja</v>
      </c>
      <c r="F72" s="5" t="str">
        <f aca="false">IFERROR(INDEX(Links!$B$345:$B$469,MATCH(C72,Links!$B$218:$B$342,0)),"")</f>
        <v>Paquete de 15 hojas</v>
      </c>
      <c r="G72" s="17" t="n">
        <f aca="false">INDEX(Links!$N$124:$W$124,1,(Resumen!$C$3-2025))</f>
        <v>165.185326161638</v>
      </c>
      <c r="H72" s="17" t="n">
        <f aca="false">SUMPRODUCT(Links!$F$124:$M$124,$O$69:$V$69)*IF(Links!$E$124="CABA",INDEX(Links!$C$13:$L$13,1,(Resumen!$C$3-2025)),IF(Links!$E$124="PBA",1-INDEX(Links!$C$13:$L$13,1,(Resumen!$C$3-2025)),1))</f>
        <v>165.6221582</v>
      </c>
      <c r="I72" s="17" t="n">
        <f aca="false">G72-H72</f>
        <v>-0.436832038361814</v>
      </c>
      <c r="J72" s="6" t="str">
        <f aca="false">IF(ROUND(G72-H72,1)&gt;=0,"✔ Sí","✖ No")</f>
        <v>✖ No</v>
      </c>
      <c r="K72" s="17" t="n">
        <f aca="false">IFERROR(INDEX(Links!$C$345:$C$469,MATCH(C72,Links!$B$218:$B$342,0)),1)</f>
        <v>15</v>
      </c>
      <c r="L72" s="17" t="n">
        <f aca="false">IF(K72&gt;0,H72/K72,0)</f>
        <v>11.0414772133333</v>
      </c>
      <c r="M72" s="37" t="n">
        <f aca="false">Links!$B$2197*Links!$C$2197*Links!$C$2208*7.85/1000000</f>
        <v>167.79375</v>
      </c>
      <c r="N72" s="34" t="n">
        <f aca="false">H72*M72</f>
        <v>27790.3630074712</v>
      </c>
    </row>
    <row r="73" customFormat="false" ht="15" hidden="false" customHeight="false" outlineLevel="0" collapsed="false">
      <c r="A73" s="5" t="s">
        <v>67</v>
      </c>
      <c r="B73" s="5" t="s">
        <v>224</v>
      </c>
      <c r="C73" s="6" t="str">
        <f aca="false">Links!$B$125</f>
        <v>MP-15</v>
      </c>
      <c r="D73" s="6" t="str">
        <f aca="false">Links!$C$125</f>
        <v>Casquete 10" × 3,2 mm (carro 25 kg)</v>
      </c>
      <c r="E73" s="6" t="str">
        <f aca="false">Links!$D$125</f>
        <v>u</v>
      </c>
      <c r="F73" s="5" t="str">
        <f aca="false">IFERROR(INDEX(Links!$B$345:$B$469,MATCH(C73,Links!$B$218:$B$342,0)),"")</f>
        <v>Pallet de 400 u</v>
      </c>
      <c r="G73" s="17" t="n">
        <f aca="false">INDEX(Links!$N$125:$W$125,1,(Resumen!$C$3-2025))</f>
        <v>1550.5410664</v>
      </c>
      <c r="H73" s="17" t="n">
        <f aca="false">SUMPRODUCT(Links!$F$125:$M$125,$O$69:$V$69)*IF(Links!$E$125="CABA",INDEX(Links!$C$13:$L$13,1,(Resumen!$C$3-2025)),IF(Links!$E$125="PBA",1-INDEX(Links!$C$13:$L$13,1,(Resumen!$C$3-2025)),1))</f>
        <v>1554.6210664</v>
      </c>
      <c r="I73" s="17" t="n">
        <f aca="false">G73-H73</f>
        <v>-4.07999999999993</v>
      </c>
      <c r="J73" s="6" t="str">
        <f aca="false">IF(ROUND(G73-H73,1)&gt;=0,"✔ Sí","✖ No")</f>
        <v>✖ No</v>
      </c>
      <c r="K73" s="17" t="n">
        <f aca="false">IFERROR(INDEX(Links!$C$345:$C$469,MATCH(C73,Links!$B$218:$B$342,0)),1)</f>
        <v>400</v>
      </c>
      <c r="L73" s="17" t="n">
        <f aca="false">IF(K73&gt;0,H73/K73,0)</f>
        <v>3.886552666</v>
      </c>
      <c r="M73" s="37" t="n">
        <f aca="false">IF(E73="kg",1,0)</f>
        <v>0</v>
      </c>
      <c r="N73" s="34" t="n">
        <f aca="false">H73*M73</f>
        <v>0</v>
      </c>
    </row>
    <row r="74" customFormat="false" ht="15" hidden="false" customHeight="false" outlineLevel="0" collapsed="false">
      <c r="A74" s="5" t="s">
        <v>67</v>
      </c>
      <c r="B74" s="5" t="s">
        <v>224</v>
      </c>
      <c r="C74" s="6" t="str">
        <f aca="false">Links!$B$126</f>
        <v>MP-16</v>
      </c>
      <c r="D74" s="6" t="str">
        <f aca="false">Links!$C$126</f>
        <v>Casquete 12" × 3,2 mm (carro 50 kg)</v>
      </c>
      <c r="E74" s="6" t="str">
        <f aca="false">Links!$D$126</f>
        <v>u</v>
      </c>
      <c r="F74" s="5" t="str">
        <f aca="false">IFERROR(INDEX(Links!$B$345:$B$469,MATCH(C74,Links!$B$218:$B$342,0)),"")</f>
        <v>Pallet de 300 u</v>
      </c>
      <c r="G74" s="17" t="n">
        <f aca="false">INDEX(Links!$N$126:$W$126,1,(Resumen!$C$3-2025))</f>
        <v>3412.51996564081</v>
      </c>
      <c r="H74" s="17" t="n">
        <f aca="false">SUMPRODUCT(Links!$F$126:$M$126,$O$69:$V$69)*IF(Links!$E$126="CABA",INDEX(Links!$C$13:$L$13,1,(Resumen!$C$3-2025)),IF(Links!$E$126="PBA",1-INDEX(Links!$C$13:$L$13,1,(Resumen!$C$3-2025)),1))</f>
        <v>3416.8703462</v>
      </c>
      <c r="I74" s="17" t="n">
        <f aca="false">G74-H74</f>
        <v>-4.3503805591904</v>
      </c>
      <c r="J74" s="6" t="str">
        <f aca="false">IF(ROUND(G74-H74,1)&gt;=0,"✔ Sí","✖ No")</f>
        <v>✖ No</v>
      </c>
      <c r="K74" s="17" t="n">
        <f aca="false">IFERROR(INDEX(Links!$C$345:$C$469,MATCH(C74,Links!$B$218:$B$342,0)),1)</f>
        <v>300</v>
      </c>
      <c r="L74" s="17" t="n">
        <f aca="false">IF(K74&gt;0,H74/K74,0)</f>
        <v>11.3895678206667</v>
      </c>
      <c r="M74" s="37" t="n">
        <f aca="false">IF(E74="kg",1,0)</f>
        <v>0</v>
      </c>
      <c r="N74" s="34" t="n">
        <f aca="false">H74*M74</f>
        <v>0</v>
      </c>
    </row>
    <row r="75" customFormat="false" ht="15" hidden="false" customHeight="false" outlineLevel="0" collapsed="false">
      <c r="A75" s="5" t="s">
        <v>67</v>
      </c>
      <c r="B75" s="5" t="s">
        <v>224</v>
      </c>
      <c r="C75" s="6" t="str">
        <f aca="false">Links!$B$127</f>
        <v>MP-17</v>
      </c>
      <c r="D75" s="6" t="str">
        <f aca="false">Links!$C$127</f>
        <v>Casquete 15" × 4,75 mm (carros 70 y 100 kg)</v>
      </c>
      <c r="E75" s="6" t="str">
        <f aca="false">Links!$D$127</f>
        <v>u</v>
      </c>
      <c r="F75" s="5" t="str">
        <f aca="false">IFERROR(INDEX(Links!$B$345:$B$469,MATCH(C75,Links!$B$218:$B$342,0)),"")</f>
        <v>Pallet de 150 u</v>
      </c>
      <c r="G75" s="17" t="n">
        <f aca="false">INDEX(Links!$N$127:$W$127,1,(Resumen!$C$3-2025))</f>
        <v>1239.49186096983</v>
      </c>
      <c r="H75" s="17" t="n">
        <f aca="false">SUMPRODUCT(Links!$F$127:$M$127,$O$69:$V$69)*IF(Links!$E$127="CABA",INDEX(Links!$C$13:$L$13,1,(Resumen!$C$3-2025)),IF(Links!$E$127="PBA",1-INDEX(Links!$C$13:$L$13,1,(Resumen!$C$3-2025)),1))</f>
        <v>1243.1528532</v>
      </c>
      <c r="I75" s="17" t="n">
        <f aca="false">G75-H75</f>
        <v>-3.66099223017</v>
      </c>
      <c r="J75" s="6" t="str">
        <f aca="false">IF(ROUND(G75-H75,1)&gt;=0,"✔ Sí","✖ No")</f>
        <v>✖ No</v>
      </c>
      <c r="K75" s="17" t="n">
        <f aca="false">IFERROR(INDEX(Links!$C$345:$C$469,MATCH(C75,Links!$B$218:$B$342,0)),1)</f>
        <v>150</v>
      </c>
      <c r="L75" s="17" t="n">
        <f aca="false">IF(K75&gt;0,H75/K75,0)</f>
        <v>8.287685688</v>
      </c>
      <c r="M75" s="37" t="n">
        <f aca="false">IF(E75="kg",1,0)</f>
        <v>0</v>
      </c>
      <c r="N75" s="34" t="n">
        <f aca="false">H75*M75</f>
        <v>0</v>
      </c>
    </row>
    <row r="76" customFormat="false" ht="15" hidden="false" customHeight="false" outlineLevel="0" collapsed="false">
      <c r="A76" s="5" t="s">
        <v>67</v>
      </c>
      <c r="B76" s="5" t="s">
        <v>224</v>
      </c>
      <c r="C76" s="6" t="str">
        <f aca="false">Links!$B$128</f>
        <v>MP-20</v>
      </c>
      <c r="D76" s="6" t="str">
        <f aca="false">Links!$C$128</f>
        <v>Cupla M30 × 1,5 (carros 25 y 50 kg)</v>
      </c>
      <c r="E76" s="6" t="str">
        <f aca="false">Links!$D$128</f>
        <v>u</v>
      </c>
      <c r="F76" s="5" t="str">
        <f aca="false">IFERROR(INDEX(Links!$B$345:$B$469,MATCH(C76,Links!$B$218:$B$342,0)),"")</f>
        <v>Caja de 100 u</v>
      </c>
      <c r="G76" s="17" t="n">
        <f aca="false">INDEX(Links!$N$128:$W$128,1,(Resumen!$C$3-2025))</f>
        <v>2481.5305160204</v>
      </c>
      <c r="H76" s="17" t="n">
        <f aca="false">SUMPRODUCT(Links!$F$128:$M$128,$O$69:$V$69)*IF(Links!$E$128="CABA",INDEX(Links!$C$13:$L$13,1,(Resumen!$C$3-2025)),IF(Links!$E$128="PBA",1-INDEX(Links!$C$13:$L$13,1,(Resumen!$C$3-2025)),1))</f>
        <v>2485.7457063</v>
      </c>
      <c r="I76" s="17" t="n">
        <f aca="false">G76-H76</f>
        <v>-4.21519027960039</v>
      </c>
      <c r="J76" s="6" t="str">
        <f aca="false">IF(ROUND(G76-H76,1)&gt;=0,"✔ Sí","✖ No")</f>
        <v>✖ No</v>
      </c>
      <c r="K76" s="17" t="n">
        <f aca="false">IFERROR(INDEX(Links!$C$345:$C$469,MATCH(C76,Links!$B$218:$B$342,0)),1)</f>
        <v>100</v>
      </c>
      <c r="L76" s="17" t="n">
        <f aca="false">IF(K76&gt;0,H76/K76,0)</f>
        <v>24.857457063</v>
      </c>
      <c r="M76" s="37" t="n">
        <f aca="false">IF(E76="kg",1,0)</f>
        <v>0</v>
      </c>
      <c r="N76" s="34" t="n">
        <f aca="false">H76*M76</f>
        <v>0</v>
      </c>
    </row>
    <row r="77" customFormat="false" ht="15" hidden="false" customHeight="false" outlineLevel="0" collapsed="false">
      <c r="A77" s="5" t="s">
        <v>67</v>
      </c>
      <c r="B77" s="5" t="s">
        <v>224</v>
      </c>
      <c r="C77" s="6" t="str">
        <f aca="false">Links!$B$129</f>
        <v>MP-21</v>
      </c>
      <c r="D77" s="6" t="str">
        <f aca="false">Links!$C$129</f>
        <v>Cupla 2½" BSP (carros 70 y 100 kg)</v>
      </c>
      <c r="E77" s="6" t="str">
        <f aca="false">Links!$D$129</f>
        <v>u</v>
      </c>
      <c r="F77" s="5" t="str">
        <f aca="false">IFERROR(INDEX(Links!$B$345:$B$469,MATCH(C77,Links!$B$218:$B$342,0)),"")</f>
        <v>Caja de 40 u</v>
      </c>
      <c r="G77" s="17" t="n">
        <f aca="false">INDEX(Links!$N$129:$W$129,1,(Resumen!$C$3-2025))</f>
        <v>619.745930484914</v>
      </c>
      <c r="H77" s="17" t="n">
        <f aca="false">SUMPRODUCT(Links!$F$129:$M$129,$O$69:$V$69)*IF(Links!$E$129="CABA",INDEX(Links!$C$13:$L$13,1,(Resumen!$C$3-2025)),IF(Links!$E$129="PBA",1-INDEX(Links!$C$13:$L$13,1,(Resumen!$C$3-2025)),1))</f>
        <v>621.5764266</v>
      </c>
      <c r="I77" s="17" t="n">
        <f aca="false">G77-H77</f>
        <v>-1.83049611508602</v>
      </c>
      <c r="J77" s="6" t="str">
        <f aca="false">IF(ROUND(G77-H77,1)&gt;=0,"✔ Sí","✖ No")</f>
        <v>✖ No</v>
      </c>
      <c r="K77" s="17" t="n">
        <f aca="false">IFERROR(INDEX(Links!$C$345:$C$469,MATCH(C77,Links!$B$218:$B$342,0)),1)</f>
        <v>40</v>
      </c>
      <c r="L77" s="17" t="n">
        <f aca="false">IF(K77&gt;0,H77/K77,0)</f>
        <v>15.539410665</v>
      </c>
      <c r="M77" s="37" t="n">
        <f aca="false">IF(E77="kg",1,0)</f>
        <v>0</v>
      </c>
      <c r="N77" s="34" t="n">
        <f aca="false">H77*M77</f>
        <v>0</v>
      </c>
    </row>
    <row r="78" customFormat="false" ht="15" hidden="false" customHeight="false" outlineLevel="0" collapsed="false">
      <c r="A78" s="5" t="s">
        <v>67</v>
      </c>
      <c r="B78" s="5" t="s">
        <v>225</v>
      </c>
      <c r="C78" s="6" t="str">
        <f aca="false">Links!$B$130</f>
        <v>MP-66</v>
      </c>
      <c r="D78" s="6" t="str">
        <f aca="false">Links!$C$130</f>
        <v>Caño SAE 1010 1" × 2,0 × 6 m (manija; caño del eje 25 kg)</v>
      </c>
      <c r="E78" s="6" t="str">
        <f aca="false">Links!$D$130</f>
        <v>barra</v>
      </c>
      <c r="F78" s="5" t="str">
        <f aca="false">IFERROR(INDEX(Links!$B$345:$B$469,MATCH(C78,Links!$B$218:$B$342,0)),"")</f>
        <v>Barra de 6 m</v>
      </c>
      <c r="G78" s="17" t="n">
        <f aca="false">INDEX(Links!$N$130:$W$130,1,(Resumen!$C$3-2025))</f>
        <v>510.050621038391</v>
      </c>
      <c r="H78" s="17" t="n">
        <f aca="false">SUMPRODUCT(Links!$F$130:$M$130,$O$69:$V$69)*IF(Links!$E$130="CABA",INDEX(Links!$C$13:$L$13,1,(Resumen!$C$3-2025)),IF(Links!$E$130="PBA",1-INDEX(Links!$C$13:$L$13,1,(Resumen!$C$3-2025)),1))</f>
        <v>510.181354029264</v>
      </c>
      <c r="I78" s="17" t="n">
        <f aca="false">G78-H78</f>
        <v>-0.130732990872502</v>
      </c>
      <c r="J78" s="6" t="str">
        <f aca="false">IF(ROUND(G78-H78,1)&gt;=0,"✔ Sí","✖ No")</f>
        <v>✖ No</v>
      </c>
      <c r="K78" s="17" t="n">
        <f aca="false">IFERROR(INDEX(Links!$C$345:$C$469,MATCH(C78,Links!$B$218:$B$342,0)),1)</f>
        <v>1</v>
      </c>
      <c r="L78" s="17" t="n">
        <f aca="false">IF(K78&gt;0,H78/K78,0)</f>
        <v>510.181354029264</v>
      </c>
      <c r="M78" s="37" t="n">
        <f aca="false">IF(E78="kg",1,0)</f>
        <v>0</v>
      </c>
      <c r="N78" s="34" t="n">
        <f aca="false">H78*M78</f>
        <v>0</v>
      </c>
    </row>
    <row r="79" customFormat="false" ht="15" hidden="false" customHeight="false" outlineLevel="0" collapsed="false">
      <c r="A79" s="5" t="s">
        <v>67</v>
      </c>
      <c r="B79" s="5" t="s">
        <v>225</v>
      </c>
      <c r="C79" s="6" t="str">
        <f aca="false">Links!$B$131</f>
        <v>MP-67</v>
      </c>
      <c r="D79" s="6" t="str">
        <f aca="false">Links!$C$131</f>
        <v>Caño SAE 1010 1¼" × 2,0 × 6 m (caño del eje 50 a 100 kg)</v>
      </c>
      <c r="E79" s="6" t="str">
        <f aca="false">Links!$D$131</f>
        <v>barra</v>
      </c>
      <c r="F79" s="5" t="str">
        <f aca="false">IFERROR(INDEX(Links!$B$345:$B$469,MATCH(C79,Links!$B$218:$B$342,0)),"")</f>
        <v>Barra de 6 m</v>
      </c>
      <c r="G79" s="17" t="n">
        <f aca="false">INDEX(Links!$N$131:$W$131,1,(Resumen!$C$3-2025))</f>
        <v>89.6168013594519</v>
      </c>
      <c r="H79" s="17" t="n">
        <f aca="false">SUMPRODUCT(Links!$F$131:$M$131,$O$69:$V$69)*IF(Links!$E$131="CABA",INDEX(Links!$C$13:$L$13,1,(Resumen!$C$3-2025)),IF(Links!$E$131="PBA",1-INDEX(Links!$C$13:$L$13,1,(Resumen!$C$3-2025)),1))</f>
        <v>89.620950951193</v>
      </c>
      <c r="I79" s="17" t="n">
        <f aca="false">G79-H79</f>
        <v>-0.00414959174105434</v>
      </c>
      <c r="J79" s="6" t="str">
        <f aca="false">IF(ROUND(G79-H79,1)&gt;=0,"✔ Sí","✖ No")</f>
        <v>✔ Sí</v>
      </c>
      <c r="K79" s="17" t="n">
        <f aca="false">IFERROR(INDEX(Links!$C$345:$C$469,MATCH(C79,Links!$B$218:$B$342,0)),1)</f>
        <v>1</v>
      </c>
      <c r="L79" s="17" t="n">
        <f aca="false">IF(K79&gt;0,H79/K79,0)</f>
        <v>89.620950951193</v>
      </c>
      <c r="M79" s="37" t="n">
        <f aca="false">IF(E79="kg",1,0)</f>
        <v>0</v>
      </c>
      <c r="N79" s="34" t="n">
        <f aca="false">H79*M79</f>
        <v>0</v>
      </c>
    </row>
    <row r="80" customFormat="false" ht="15" hidden="false" customHeight="false" outlineLevel="0" collapsed="false">
      <c r="A80" s="5" t="s">
        <v>67</v>
      </c>
      <c r="B80" s="5" t="s">
        <v>225</v>
      </c>
      <c r="C80" s="6" t="str">
        <f aca="false">Links!$B$132</f>
        <v>MP-68</v>
      </c>
      <c r="D80" s="6" t="str">
        <f aca="false">Links!$C$132</f>
        <v>Barra trefilada SAE 1045 3/4" × 4 m (eje 25 kg)</v>
      </c>
      <c r="E80" s="6" t="str">
        <f aca="false">Links!$D$132</f>
        <v>barra</v>
      </c>
      <c r="F80" s="5" t="str">
        <f aca="false">IFERROR(INDEX(Links!$B$345:$B$469,MATCH(C80,Links!$B$218:$B$342,0)),"")</f>
        <v>Barra de 4 m</v>
      </c>
      <c r="G80" s="17" t="n">
        <f aca="false">INDEX(Links!$N$132:$W$132,1,(Resumen!$C$3-2025))</f>
        <v>56.65881665</v>
      </c>
      <c r="H80" s="17" t="n">
        <f aca="false">SUMPRODUCT(Links!$F$132:$M$132,$O$69:$V$69)*IF(Links!$E$132="CABA",INDEX(Links!$C$13:$L$13,1,(Resumen!$C$3-2025)),IF(Links!$E$132="PBA",1-INDEX(Links!$C$13:$L$13,1,(Resumen!$C$3-2025)),1))</f>
        <v>56.70881665</v>
      </c>
      <c r="I80" s="17" t="n">
        <f aca="false">G80-H80</f>
        <v>-0.0500000000000043</v>
      </c>
      <c r="J80" s="6" t="str">
        <f aca="false">IF(ROUND(G80-H80,1)&gt;=0,"✔ Sí","✖ No")</f>
        <v>✖ No</v>
      </c>
      <c r="K80" s="17" t="n">
        <f aca="false">IFERROR(INDEX(Links!$C$345:$C$469,MATCH(C80,Links!$B$218:$B$342,0)),1)</f>
        <v>1</v>
      </c>
      <c r="L80" s="17" t="n">
        <f aca="false">IF(K80&gt;0,H80/K80,0)</f>
        <v>56.70881665</v>
      </c>
      <c r="M80" s="37" t="n">
        <f aca="false">IF(E80="kg",1,0)</f>
        <v>0</v>
      </c>
      <c r="N80" s="34" t="n">
        <f aca="false">H80*M80</f>
        <v>0</v>
      </c>
    </row>
    <row r="81" customFormat="false" ht="15" hidden="false" customHeight="false" outlineLevel="0" collapsed="false">
      <c r="A81" s="5" t="s">
        <v>67</v>
      </c>
      <c r="B81" s="5" t="s">
        <v>225</v>
      </c>
      <c r="C81" s="6" t="str">
        <f aca="false">Links!$B$133</f>
        <v>MP-69</v>
      </c>
      <c r="D81" s="6" t="str">
        <f aca="false">Links!$C$133</f>
        <v>Barra trefilada SAE 1045 1" × 6 m (eje 50 a 100 kg)</v>
      </c>
      <c r="E81" s="6" t="str">
        <f aca="false">Links!$D$133</f>
        <v>barra</v>
      </c>
      <c r="F81" s="5" t="str">
        <f aca="false">IFERROR(INDEX(Links!$B$345:$B$469,MATCH(C81,Links!$B$218:$B$342,0)),"")</f>
        <v>Barra de 6 m</v>
      </c>
      <c r="G81" s="17" t="n">
        <f aca="false">INDEX(Links!$N$133:$W$133,1,(Resumen!$C$3-2025))</f>
        <v>127.025500577619</v>
      </c>
      <c r="H81" s="17" t="n">
        <f aca="false">SUMPRODUCT(Links!$F$133:$M$133,$O$69:$V$69)*IF(Links!$E$133="CABA",INDEX(Links!$C$13:$L$13,1,(Resumen!$C$3-2025)),IF(Links!$E$133="PBA",1-INDEX(Links!$C$13:$L$13,1,(Resumen!$C$3-2025)),1))</f>
        <v>127.028476578182</v>
      </c>
      <c r="I81" s="17" t="n">
        <f aca="false">G81-H81</f>
        <v>-0.00297600056281055</v>
      </c>
      <c r="J81" s="6" t="str">
        <f aca="false">IF(ROUND(G81-H81,1)&gt;=0,"✔ Sí","✖ No")</f>
        <v>✔ Sí</v>
      </c>
      <c r="K81" s="17" t="n">
        <f aca="false">IFERROR(INDEX(Links!$C$345:$C$469,MATCH(C81,Links!$B$218:$B$342,0)),1)</f>
        <v>1</v>
      </c>
      <c r="L81" s="17" t="n">
        <f aca="false">IF(K81&gt;0,H81/K81,0)</f>
        <v>127.028476578182</v>
      </c>
      <c r="M81" s="37" t="n">
        <f aca="false">IF(E81="kg",1,0)</f>
        <v>0</v>
      </c>
      <c r="N81" s="34" t="n">
        <f aca="false">H81*M81</f>
        <v>0</v>
      </c>
    </row>
    <row r="82" customFormat="false" ht="15" hidden="false" customHeight="false" outlineLevel="0" collapsed="false">
      <c r="A82" s="5" t="s">
        <v>67</v>
      </c>
      <c r="B82" s="5" t="s">
        <v>144</v>
      </c>
      <c r="C82" s="6" t="str">
        <f aca="false">Links!$B$134</f>
        <v>MP-24</v>
      </c>
      <c r="D82" s="6" t="str">
        <f aca="false">Links!$C$134</f>
        <v>Alambre MAG ER70S-6 Ø1,0 mm (carros)</v>
      </c>
      <c r="E82" s="6" t="str">
        <f aca="false">Links!$D$134</f>
        <v>kg</v>
      </c>
      <c r="F82" s="5" t="str">
        <f aca="false">IFERROR(INDEX(Links!$B$345:$B$469,MATCH(C82,Links!$B$218:$B$342,0)),"")</f>
        <v>Pallet de 900 kg</v>
      </c>
      <c r="G82" s="17" t="n">
        <f aca="false">INDEX(Links!$N$134:$W$134,1,(Resumen!$C$3-2025))</f>
        <v>1388.19529361605</v>
      </c>
      <c r="H82" s="17" t="n">
        <f aca="false">SUMPRODUCT(Links!$F$134:$M$134,$O$69:$V$69)*IF(Links!$E$134="CABA",INDEX(Links!$C$13:$L$13,1,(Resumen!$C$3-2025)),IF(Links!$E$134="PBA",1-INDEX(Links!$C$13:$L$13,1,(Resumen!$C$3-2025)),1))</f>
        <v>1390.59738886517</v>
      </c>
      <c r="I82" s="17" t="n">
        <f aca="false">G82-H82</f>
        <v>-2.40209524911984</v>
      </c>
      <c r="J82" s="6" t="str">
        <f aca="false">IF(ROUND(G82-H82,1)&gt;=0,"✔ Sí","✖ No")</f>
        <v>✖ No</v>
      </c>
      <c r="K82" s="17" t="n">
        <f aca="false">IFERROR(INDEX(Links!$C$345:$C$469,MATCH(C82,Links!$B$218:$B$342,0)),1)</f>
        <v>900</v>
      </c>
      <c r="L82" s="17" t="n">
        <f aca="false">IF(K82&gt;0,H82/K82,0)</f>
        <v>1.54510820985019</v>
      </c>
      <c r="M82" s="37" t="n">
        <f aca="false">IF(E82="kg",1,0)</f>
        <v>1</v>
      </c>
      <c r="N82" s="34" t="n">
        <f aca="false">H82*M82</f>
        <v>1390.59738886517</v>
      </c>
    </row>
    <row r="83" customFormat="false" ht="15" hidden="false" customHeight="false" outlineLevel="0" collapsed="false">
      <c r="A83" s="5" t="s">
        <v>67</v>
      </c>
      <c r="B83" s="5" t="s">
        <v>145</v>
      </c>
      <c r="C83" s="6" t="str">
        <f aca="false">Links!$B$135</f>
        <v>MP-25</v>
      </c>
      <c r="D83" s="6" t="str">
        <f aca="false">Links!$C$135</f>
        <v>Gas MAG Ar + 8 % CO₂ (Arcal 21)</v>
      </c>
      <c r="E83" s="6" t="str">
        <f aca="false">Links!$D$135</f>
        <v>m³</v>
      </c>
      <c r="F83" s="5" t="str">
        <f aca="false">IFERROR(INDEX(Links!$B$345:$B$469,MATCH(C83,Links!$B$218:$B$342,0)),"")</f>
        <v>Batería de 11 cilindros</v>
      </c>
      <c r="G83" s="17" t="n">
        <f aca="false">INDEX(Links!$N$135:$W$135,1,(Resumen!$C$3-2025))</f>
        <v>560.468514400998</v>
      </c>
      <c r="H83" s="17" t="n">
        <f aca="false">SUMPRODUCT(Links!$F$135:$M$135,$O$69:$V$69)*IF(Links!$E$135="CABA",INDEX(Links!$C$13:$L$13,1,(Resumen!$C$3-2025)),IF(Links!$E$135="PBA",1-INDEX(Links!$C$13:$L$13,1,(Resumen!$C$3-2025)),1))</f>
        <v>561.28410562221</v>
      </c>
      <c r="I83" s="17" t="n">
        <f aca="false">G83-H83</f>
        <v>-0.815591221212003</v>
      </c>
      <c r="J83" s="6" t="str">
        <f aca="false">IF(ROUND(G83-H83,1)&gt;=0,"✔ Sí","✖ No")</f>
        <v>✖ No</v>
      </c>
      <c r="K83" s="17" t="n">
        <f aca="false">IFERROR(INDEX(Links!$C$345:$C$469,MATCH(C83,Links!$B$218:$B$342,0)),1)</f>
        <v>115.5</v>
      </c>
      <c r="L83" s="17" t="n">
        <f aca="false">IF(K83&gt;0,H83/K83,0)</f>
        <v>4.85960264607974</v>
      </c>
      <c r="M83" s="37" t="n">
        <f aca="false">IF(E83="kg",1,0)</f>
        <v>0</v>
      </c>
      <c r="N83" s="34" t="n">
        <f aca="false">H83*M83</f>
        <v>0</v>
      </c>
    </row>
    <row r="84" customFormat="false" ht="15" hidden="false" customHeight="false" outlineLevel="0" collapsed="false">
      <c r="A84" s="5" t="s">
        <v>67</v>
      </c>
      <c r="B84" s="5" t="s">
        <v>227</v>
      </c>
      <c r="C84" s="6" t="str">
        <f aca="false">Links!$B$136</f>
        <v>MP-92</v>
      </c>
      <c r="D84" s="6" t="str">
        <f aca="false">Links!$C$136</f>
        <v>Disco de sensitiva 355 mm</v>
      </c>
      <c r="E84" s="6" t="str">
        <f aca="false">Links!$D$136</f>
        <v>u</v>
      </c>
      <c r="F84" s="5" t="str">
        <f aca="false">IFERROR(INDEX(Links!$B$345:$B$469,MATCH(C84,Links!$B$218:$B$342,0)),"")</f>
        <v>Caja de 25 u</v>
      </c>
      <c r="G84" s="17" t="n">
        <f aca="false">INDEX(Links!$N$136:$W$136,1,(Resumen!$C$3-2025))</f>
        <v>27.2141466975798</v>
      </c>
      <c r="H84" s="17" t="n">
        <f aca="false">SUMPRODUCT(Links!$F$136:$M$136,$O$69:$V$69)*IF(Links!$E$136="CABA",INDEX(Links!$C$13:$L$13,1,(Resumen!$C$3-2025)),IF(Links!$E$136="PBA",1-INDEX(Links!$C$13:$L$13,1,(Resumen!$C$3-2025)),1))</f>
        <v>27.2202319935</v>
      </c>
      <c r="I84" s="17" t="n">
        <f aca="false">G84-H84</f>
        <v>-0.00608529592020091</v>
      </c>
      <c r="J84" s="6" t="str">
        <f aca="false">IF(ROUND(G84-H84,1)&gt;=0,"✔ Sí","✖ No")</f>
        <v>✔ Sí</v>
      </c>
      <c r="K84" s="17" t="n">
        <f aca="false">IFERROR(INDEX(Links!$C$345:$C$469,MATCH(C84,Links!$B$218:$B$342,0)),1)</f>
        <v>25</v>
      </c>
      <c r="L84" s="17" t="n">
        <f aca="false">IF(K84&gt;0,H84/K84,0)</f>
        <v>1.08880927974</v>
      </c>
      <c r="M84" s="37" t="n">
        <f aca="false">IF(E84="kg",1,0)</f>
        <v>0</v>
      </c>
      <c r="N84" s="34" t="n">
        <f aca="false">H84*M84</f>
        <v>0</v>
      </c>
    </row>
    <row r="85" customFormat="false" ht="15" hidden="false" customHeight="false" outlineLevel="0" collapsed="false">
      <c r="A85" s="5" t="s">
        <v>67</v>
      </c>
      <c r="B85" s="5" t="s">
        <v>227</v>
      </c>
      <c r="C85" s="6" t="str">
        <f aca="false">Links!$B$137</f>
        <v>MP-27</v>
      </c>
      <c r="D85" s="6" t="str">
        <f aca="false">Links!$C$137</f>
        <v>Disco de corte 115 × 1,0 mm</v>
      </c>
      <c r="E85" s="6" t="str">
        <f aca="false">Links!$D$137</f>
        <v>u</v>
      </c>
      <c r="F85" s="5" t="str">
        <f aca="false">IFERROR(INDEX(Links!$B$345:$B$469,MATCH(C85,Links!$B$218:$B$342,0)),"")</f>
        <v>Caja de 25 u</v>
      </c>
      <c r="G85" s="17" t="n">
        <f aca="false">INDEX(Links!$N$137:$W$137,1,(Resumen!$C$3-2025))</f>
        <v>99.5846800800629</v>
      </c>
      <c r="H85" s="17" t="n">
        <f aca="false">SUMPRODUCT(Links!$F$137:$M$137,$O$69:$V$69)*IF(Links!$E$137="CABA",INDEX(Links!$C$13:$L$13,1,(Resumen!$C$3-2025)),IF(Links!$E$137="PBA",1-INDEX(Links!$C$13:$L$13,1,(Resumen!$C$3-2025)),1))</f>
        <v>99.75499065</v>
      </c>
      <c r="I85" s="17" t="n">
        <f aca="false">G85-H85</f>
        <v>-0.170310569937101</v>
      </c>
      <c r="J85" s="6" t="str">
        <f aca="false">IF(ROUND(G85-H85,1)&gt;=0,"✔ Sí","✖ No")</f>
        <v>✖ No</v>
      </c>
      <c r="K85" s="17" t="n">
        <f aca="false">IFERROR(INDEX(Links!$C$345:$C$469,MATCH(C85,Links!$B$218:$B$342,0)),1)</f>
        <v>25</v>
      </c>
      <c r="L85" s="17" t="n">
        <f aca="false">IF(K85&gt;0,H85/K85,0)</f>
        <v>3.990199626</v>
      </c>
      <c r="M85" s="37" t="n">
        <f aca="false">IF(E85="kg",1,0)</f>
        <v>0</v>
      </c>
      <c r="N85" s="34" t="n">
        <f aca="false">H85*M85</f>
        <v>0</v>
      </c>
    </row>
    <row r="86" customFormat="false" ht="15" hidden="false" customHeight="false" outlineLevel="0" collapsed="false">
      <c r="A86" s="5" t="s">
        <v>67</v>
      </c>
      <c r="B86" s="5" t="s">
        <v>227</v>
      </c>
      <c r="C86" s="6" t="str">
        <f aca="false">Links!$B$138</f>
        <v>MP-93</v>
      </c>
      <c r="D86" s="6" t="str">
        <f aca="false">Links!$C$138</f>
        <v>Disco flap 115 mm grano 60</v>
      </c>
      <c r="E86" s="6" t="str">
        <f aca="false">Links!$D$138</f>
        <v>u</v>
      </c>
      <c r="F86" s="5" t="str">
        <f aca="false">IFERROR(INDEX(Links!$B$345:$B$469,MATCH(C86,Links!$B$218:$B$342,0)),"")</f>
        <v>Caja de 25 u</v>
      </c>
      <c r="G86" s="17" t="n">
        <f aca="false">INDEX(Links!$N$138:$W$138,1,(Resumen!$C$3-2025))</f>
        <v>22.6283244618841</v>
      </c>
      <c r="H86" s="17" t="n">
        <f aca="false">SUMPRODUCT(Links!$F$138:$M$138,$O$69:$V$69)*IF(Links!$E$138="CABA",INDEX(Links!$C$13:$L$13,1,(Resumen!$C$3-2025)),IF(Links!$E$138="PBA",1-INDEX(Links!$C$13:$L$13,1,(Resumen!$C$3-2025)),1))</f>
        <v>22.670394996375</v>
      </c>
      <c r="I86" s="17" t="n">
        <f aca="false">G86-H86</f>
        <v>-0.0420705344908967</v>
      </c>
      <c r="J86" s="6" t="str">
        <f aca="false">IF(ROUND(G86-H86,1)&gt;=0,"✔ Sí","✖ No")</f>
        <v>✔ Sí</v>
      </c>
      <c r="K86" s="17" t="n">
        <f aca="false">IFERROR(INDEX(Links!$C$345:$C$469,MATCH(C86,Links!$B$218:$B$342,0)),1)</f>
        <v>25</v>
      </c>
      <c r="L86" s="17" t="n">
        <f aca="false">IF(K86&gt;0,H86/K86,0)</f>
        <v>0.906815799855</v>
      </c>
      <c r="M86" s="37" t="n">
        <f aca="false">IF(E86="kg",1,0)</f>
        <v>0</v>
      </c>
      <c r="N86" s="34" t="n">
        <f aca="false">H86*M86</f>
        <v>0</v>
      </c>
    </row>
    <row r="87" customFormat="false" ht="15" hidden="false" customHeight="false" outlineLevel="0" collapsed="false">
      <c r="A87" s="5" t="s">
        <v>67</v>
      </c>
      <c r="B87" s="5" t="s">
        <v>227</v>
      </c>
      <c r="C87" s="6" t="str">
        <f aca="false">Links!$B$139</f>
        <v>MP-94</v>
      </c>
      <c r="D87" s="6" t="str">
        <f aca="false">Links!$C$139</f>
        <v>Mecha de acero rápido 4,5 mm</v>
      </c>
      <c r="E87" s="6" t="str">
        <f aca="false">Links!$D$139</f>
        <v>u</v>
      </c>
      <c r="F87" s="5" t="str">
        <f aca="false">IFERROR(INDEX(Links!$B$345:$B$469,MATCH(C87,Links!$B$218:$B$342,0)),"")</f>
        <v>Caja de 25 u</v>
      </c>
      <c r="G87" s="17" t="n">
        <f aca="false">INDEX(Links!$N$139:$W$139,1,(Resumen!$C$3-2025))</f>
        <v>18.1427644650532</v>
      </c>
      <c r="H87" s="17" t="n">
        <f aca="false">SUMPRODUCT(Links!$F$139:$M$139,$O$69:$V$69)*IF(Links!$E$139="CABA",INDEX(Links!$C$13:$L$13,1,(Resumen!$C$3-2025)),IF(Links!$E$139="PBA",1-INDEX(Links!$C$13:$L$13,1,(Resumen!$C$3-2025)),1))</f>
        <v>18.146821329</v>
      </c>
      <c r="I87" s="17" t="n">
        <f aca="false">G87-H87</f>
        <v>-0.0040568639468006</v>
      </c>
      <c r="J87" s="6" t="str">
        <f aca="false">IF(ROUND(G87-H87,1)&gt;=0,"✔ Sí","✖ No")</f>
        <v>✔ Sí</v>
      </c>
      <c r="K87" s="17" t="n">
        <f aca="false">IFERROR(INDEX(Links!$C$345:$C$469,MATCH(C87,Links!$B$218:$B$342,0)),1)</f>
        <v>25</v>
      </c>
      <c r="L87" s="17" t="n">
        <f aca="false">IF(K87&gt;0,H87/K87,0)</f>
        <v>0.72587285316</v>
      </c>
      <c r="M87" s="37" t="n">
        <f aca="false">IF(E87="kg",1,0)</f>
        <v>0</v>
      </c>
      <c r="N87" s="34" t="n">
        <f aca="false">H87*M87</f>
        <v>0</v>
      </c>
    </row>
    <row r="88" customFormat="false" ht="15" hidden="false" customHeight="false" outlineLevel="0" collapsed="false">
      <c r="A88" s="5" t="s">
        <v>67</v>
      </c>
      <c r="B88" s="5" t="s">
        <v>227</v>
      </c>
      <c r="C88" s="6" t="str">
        <f aca="false">Links!$B$140</f>
        <v>MP-95</v>
      </c>
      <c r="D88" s="6" t="str">
        <f aca="false">Links!$C$140</f>
        <v>Spray antiproyecciones 400 ml</v>
      </c>
      <c r="E88" s="6" t="str">
        <f aca="false">Links!$D$140</f>
        <v>u</v>
      </c>
      <c r="F88" s="5" t="str">
        <f aca="false">IFERROR(INDEX(Links!$B$345:$B$469,MATCH(C88,Links!$B$218:$B$342,0)),"")</f>
        <v>Caja de 25 u</v>
      </c>
      <c r="G88" s="17" t="n">
        <f aca="false">INDEX(Links!$N$140:$W$140,1,(Resumen!$C$3-2025))</f>
        <v>7.7531911162633</v>
      </c>
      <c r="H88" s="17" t="n">
        <f aca="false">SUMPRODUCT(Links!$F$140:$M$140,$O$69:$V$69)*IF(Links!$E$140="CABA",INDEX(Links!$C$13:$L$13,1,(Resumen!$C$3-2025)),IF(Links!$E$140="PBA",1-INDEX(Links!$C$13:$L$13,1,(Resumen!$C$3-2025)),1))</f>
        <v>7.76830533225</v>
      </c>
      <c r="I88" s="17" t="n">
        <f aca="false">G88-H88</f>
        <v>-0.0151142159867002</v>
      </c>
      <c r="J88" s="6" t="str">
        <f aca="false">IF(ROUND(G88-H88,1)&gt;=0,"✔ Sí","✖ No")</f>
        <v>✔ Sí</v>
      </c>
      <c r="K88" s="17" t="n">
        <f aca="false">IFERROR(INDEX(Links!$C$345:$C$469,MATCH(C88,Links!$B$218:$B$342,0)),1)</f>
        <v>25</v>
      </c>
      <c r="L88" s="17" t="n">
        <f aca="false">IF(K88&gt;0,H88/K88,0)</f>
        <v>0.31073221329</v>
      </c>
      <c r="M88" s="37" t="n">
        <f aca="false">IF(E88="kg",1,0)</f>
        <v>0</v>
      </c>
      <c r="N88" s="34" t="n">
        <f aca="false">H88*M88</f>
        <v>0</v>
      </c>
    </row>
    <row r="89" customFormat="false" ht="15" hidden="false" customHeight="false" outlineLevel="0" collapsed="false">
      <c r="A89" s="5" t="s">
        <v>67</v>
      </c>
      <c r="B89" s="5" t="s">
        <v>228</v>
      </c>
      <c r="C89" s="6" t="str">
        <f aca="false">Links!$B$141</f>
        <v>MP-96/ABC25</v>
      </c>
      <c r="D89" s="6" t="str">
        <f aca="false">Links!$C$141</f>
        <v>Servicio de pintura, carro 25 kg (tercerizado)</v>
      </c>
      <c r="E89" s="6" t="str">
        <f aca="false">Links!$D$141</f>
        <v>u</v>
      </c>
      <c r="F89" s="5" t="str">
        <f aca="false">IFERROR(INDEX(Links!$B$345:$B$469,MATCH(C89,Links!$B$218:$B$342,0)),"")</f>
        <v/>
      </c>
      <c r="G89" s="17" t="n">
        <f aca="false">INDEX(Links!$N$141:$W$141,1,(Resumen!$C$3-2025))</f>
        <v>775.2705332</v>
      </c>
      <c r="H89" s="17" t="n">
        <f aca="false">SUMPRODUCT(Links!$F$141:$M$141,$O$69:$V$69)*IF(Links!$E$141="CABA",INDEX(Links!$C$13:$L$13,1,(Resumen!$C$3-2025)),IF(Links!$E$141="PBA",1-INDEX(Links!$C$13:$L$13,1,(Resumen!$C$3-2025)),1))</f>
        <v>777.3105332</v>
      </c>
      <c r="I89" s="17" t="n">
        <f aca="false">G89-H89</f>
        <v>-2.03999999999996</v>
      </c>
      <c r="J89" s="6" t="str">
        <f aca="false">IF(ROUND(G89-H89,1)&gt;=0,"✔ Sí","✖ No")</f>
        <v>✖ No</v>
      </c>
      <c r="K89" s="17" t="n">
        <f aca="false">IFERROR(INDEX(Links!$C$345:$C$469,MATCH(C89,Links!$B$218:$B$342,0)),1)</f>
        <v>1</v>
      </c>
      <c r="L89" s="17" t="n">
        <f aca="false">IF(K89&gt;0,H89/K89,0)</f>
        <v>777.3105332</v>
      </c>
      <c r="M89" s="37" t="n">
        <f aca="false">IF(E89="kg",1,0)</f>
        <v>0</v>
      </c>
      <c r="N89" s="34" t="n">
        <f aca="false">H89*M89</f>
        <v>0</v>
      </c>
    </row>
    <row r="90" customFormat="false" ht="15" hidden="false" customHeight="false" outlineLevel="0" collapsed="false">
      <c r="A90" s="5" t="s">
        <v>67</v>
      </c>
      <c r="B90" s="5" t="s">
        <v>228</v>
      </c>
      <c r="C90" s="6" t="str">
        <f aca="false">Links!$B$142</f>
        <v>MP-96/ABC50</v>
      </c>
      <c r="D90" s="6" t="str">
        <f aca="false">Links!$C$142</f>
        <v>Servicio de pintura, carro 50 kg (tercerizado)</v>
      </c>
      <c r="E90" s="6" t="str">
        <f aca="false">Links!$D$142</f>
        <v>u</v>
      </c>
      <c r="F90" s="5" t="str">
        <f aca="false">IFERROR(INDEX(Links!$B$345:$B$469,MATCH(C90,Links!$B$218:$B$342,0)),"")</f>
        <v/>
      </c>
      <c r="G90" s="17" t="n">
        <f aca="false">INDEX(Links!$N$142:$W$142,1,(Resumen!$C$3-2025))</f>
        <v>1706.2599828204</v>
      </c>
      <c r="H90" s="17" t="n">
        <f aca="false">SUMPRODUCT(Links!$F$142:$M$142,$O$69:$V$69)*IF(Links!$E$142="CABA",INDEX(Links!$C$13:$L$13,1,(Resumen!$C$3-2025)),IF(Links!$E$142="PBA",1-INDEX(Links!$C$13:$L$13,1,(Resumen!$C$3-2025)),1))</f>
        <v>1708.4351731</v>
      </c>
      <c r="I90" s="17" t="n">
        <f aca="false">G90-H90</f>
        <v>-2.1751902796002</v>
      </c>
      <c r="J90" s="6" t="str">
        <f aca="false">IF(ROUND(G90-H90,1)&gt;=0,"✔ Sí","✖ No")</f>
        <v>✖ No</v>
      </c>
      <c r="K90" s="17" t="n">
        <f aca="false">IFERROR(INDEX(Links!$C$345:$C$469,MATCH(C90,Links!$B$218:$B$342,0)),1)</f>
        <v>1</v>
      </c>
      <c r="L90" s="17" t="n">
        <f aca="false">IF(K90&gt;0,H90/K90,0)</f>
        <v>1708.4351731</v>
      </c>
      <c r="M90" s="37" t="n">
        <f aca="false">IF(E90="kg",1,0)</f>
        <v>0</v>
      </c>
      <c r="N90" s="34" t="n">
        <f aca="false">H90*M90</f>
        <v>0</v>
      </c>
    </row>
    <row r="91" customFormat="false" ht="15" hidden="false" customHeight="false" outlineLevel="0" collapsed="false">
      <c r="A91" s="5" t="s">
        <v>67</v>
      </c>
      <c r="B91" s="5" t="s">
        <v>228</v>
      </c>
      <c r="C91" s="6" t="str">
        <f aca="false">Links!$B$143</f>
        <v>MP-96/ABC70</v>
      </c>
      <c r="D91" s="6" t="str">
        <f aca="false">Links!$C$143</f>
        <v>Servicio de pintura, carro 70 kg (tercerizado)</v>
      </c>
      <c r="E91" s="6" t="str">
        <f aca="false">Links!$D$143</f>
        <v>u</v>
      </c>
      <c r="F91" s="5" t="str">
        <f aca="false">IFERROR(INDEX(Links!$B$345:$B$469,MATCH(C91,Links!$B$218:$B$342,0)),"")</f>
        <v/>
      </c>
      <c r="G91" s="17" t="n">
        <f aca="false">INDEX(Links!$N$143:$W$143,1,(Resumen!$C$3-2025))</f>
        <v>372.569856</v>
      </c>
      <c r="H91" s="17" t="n">
        <f aca="false">SUMPRODUCT(Links!$F$143:$M$143,$O$69:$V$69)*IF(Links!$E$143="CABA",INDEX(Links!$C$13:$L$13,1,(Resumen!$C$3-2025)),IF(Links!$E$143="PBA",1-INDEX(Links!$C$13:$L$13,1,(Resumen!$C$3-2025)),1))</f>
        <v>374.129856</v>
      </c>
      <c r="I91" s="17" t="n">
        <f aca="false">G91-H91</f>
        <v>-1.56</v>
      </c>
      <c r="J91" s="6" t="str">
        <f aca="false">IF(ROUND(G91-H91,1)&gt;=0,"✔ Sí","✖ No")</f>
        <v>✖ No</v>
      </c>
      <c r="K91" s="17" t="n">
        <f aca="false">IFERROR(INDEX(Links!$C$345:$C$469,MATCH(C91,Links!$B$218:$B$342,0)),1)</f>
        <v>1</v>
      </c>
      <c r="L91" s="17" t="n">
        <f aca="false">IF(K91&gt;0,H91/K91,0)</f>
        <v>374.129856</v>
      </c>
      <c r="M91" s="37" t="n">
        <f aca="false">IF(E91="kg",1,0)</f>
        <v>0</v>
      </c>
      <c r="N91" s="34" t="n">
        <f aca="false">H91*M91</f>
        <v>0</v>
      </c>
    </row>
    <row r="92" customFormat="false" ht="15" hidden="false" customHeight="false" outlineLevel="0" collapsed="false">
      <c r="A92" s="5" t="s">
        <v>67</v>
      </c>
      <c r="B92" s="5" t="s">
        <v>228</v>
      </c>
      <c r="C92" s="6" t="str">
        <f aca="false">Links!$B$144</f>
        <v>MP-96/ABC100</v>
      </c>
      <c r="D92" s="6" t="str">
        <f aca="false">Links!$C$144</f>
        <v>Servicio de pintura, carro 100 kg (tercerizado)</v>
      </c>
      <c r="E92" s="6" t="str">
        <f aca="false">Links!$D$144</f>
        <v>u</v>
      </c>
      <c r="F92" s="5" t="str">
        <f aca="false">IFERROR(INDEX(Links!$B$345:$B$469,MATCH(C92,Links!$B$218:$B$342,0)),"")</f>
        <v/>
      </c>
      <c r="G92" s="17" t="n">
        <f aca="false">INDEX(Links!$N$144:$W$144,1,(Resumen!$C$3-2025))</f>
        <v>247.176074484914</v>
      </c>
      <c r="H92" s="17" t="n">
        <f aca="false">SUMPRODUCT(Links!$F$144:$M$144,$O$69:$V$69)*IF(Links!$E$144="CABA",INDEX(Links!$C$13:$L$13,1,(Resumen!$C$3-2025)),IF(Links!$E$144="PBA",1-INDEX(Links!$C$13:$L$13,1,(Resumen!$C$3-2025)),1))</f>
        <v>247.4465706</v>
      </c>
      <c r="I92" s="17" t="n">
        <f aca="false">G92-H92</f>
        <v>-0.270496115085962</v>
      </c>
      <c r="J92" s="6" t="str">
        <f aca="false">IF(ROUND(G92-H92,1)&gt;=0,"✔ Sí","✖ No")</f>
        <v>✖ No</v>
      </c>
      <c r="K92" s="17" t="n">
        <f aca="false">IFERROR(INDEX(Links!$C$345:$C$469,MATCH(C92,Links!$B$218:$B$342,0)),1)</f>
        <v>1</v>
      </c>
      <c r="L92" s="17" t="n">
        <f aca="false">IF(K92&gt;0,H92/K92,0)</f>
        <v>247.4465706</v>
      </c>
      <c r="M92" s="37" t="n">
        <f aca="false">IF(E92="kg",1,0)</f>
        <v>0</v>
      </c>
      <c r="N92" s="34" t="n">
        <f aca="false">H92*M92</f>
        <v>0</v>
      </c>
    </row>
    <row r="93" customFormat="false" ht="15" hidden="false" customHeight="false" outlineLevel="0" collapsed="false">
      <c r="A93" s="5" t="s">
        <v>67</v>
      </c>
      <c r="B93" s="5" t="s">
        <v>150</v>
      </c>
      <c r="C93" s="6" t="str">
        <f aca="false">Links!$B$145</f>
        <v>MP-33B</v>
      </c>
      <c r="D93" s="6" t="str">
        <f aca="false">Links!$C$145</f>
        <v>Polvo ABC 90 (carros y sus recargas)</v>
      </c>
      <c r="E93" s="6" t="str">
        <f aca="false">Links!$D$145</f>
        <v>kg</v>
      </c>
      <c r="F93" s="5" t="str">
        <f aca="false">IFERROR(INDEX(Links!$B$345:$B$469,MATCH(C93,Links!$B$218:$B$342,0)),"")</f>
        <v>Big bag de 1.000 kg</v>
      </c>
      <c r="G93" s="17" t="n">
        <f aca="false">INDEX(Links!$N$145:$W$145,1,(Resumen!$C$3-2025))</f>
        <v>91902.1824379067</v>
      </c>
      <c r="H93" s="17" t="n">
        <f aca="false">SUMPRODUCT(Links!$F$145:$M$145,$O$69:$V$69)*IF(Links!$E$145="CABA",INDEX(Links!$C$13:$L$13,1,(Resumen!$C$3-2025)),IF(Links!$E$145="PBA",1-INDEX(Links!$C$13:$L$13,1,(Resumen!$C$3-2025)),1))</f>
        <v>91918.95765465</v>
      </c>
      <c r="I93" s="17" t="n">
        <f aca="false">G93-H93</f>
        <v>-16.7752167433064</v>
      </c>
      <c r="J93" s="6" t="str">
        <f aca="false">IF(ROUND(G93-H93,1)&gt;=0,"✔ Sí","✖ No")</f>
        <v>✖ No</v>
      </c>
      <c r="K93" s="17" t="n">
        <f aca="false">IFERROR(INDEX(Links!$C$345:$C$469,MATCH(C93,Links!$B$218:$B$342,0)),1)</f>
        <v>1000</v>
      </c>
      <c r="L93" s="17" t="n">
        <f aca="false">IF(K93&gt;0,H93/K93,0)</f>
        <v>91.91895765465</v>
      </c>
      <c r="M93" s="37" t="n">
        <f aca="false">IF(E93="kg",1,0)</f>
        <v>1</v>
      </c>
      <c r="N93" s="34" t="n">
        <f aca="false">H93*M93</f>
        <v>91918.95765465</v>
      </c>
    </row>
    <row r="94" customFormat="false" ht="15" hidden="false" customHeight="false" outlineLevel="0" collapsed="false">
      <c r="A94" s="5" t="s">
        <v>67</v>
      </c>
      <c r="B94" s="5" t="s">
        <v>151</v>
      </c>
      <c r="C94" s="6" t="str">
        <f aca="false">Links!$B$146</f>
        <v>MP-34</v>
      </c>
      <c r="D94" s="6" t="str">
        <f aca="false">Links!$C$146</f>
        <v>Nitrógeno seco</v>
      </c>
      <c r="E94" s="6" t="str">
        <f aca="false">Links!$D$146</f>
        <v>m³</v>
      </c>
      <c r="F94" s="5" t="str">
        <f aca="false">IFERROR(INDEX(Links!$B$345:$B$469,MATCH(C94,Links!$B$218:$B$342,0)),"")</f>
        <v>Pack de 12 cilindros</v>
      </c>
      <c r="G94" s="17" t="n">
        <f aca="false">INDEX(Links!$N$146:$W$146,1,(Resumen!$C$3-2025))</f>
        <v>540.110594188926</v>
      </c>
      <c r="H94" s="17" t="n">
        <f aca="false">SUMPRODUCT(Links!$F$146:$M$146,$O$69:$V$69)*IF(Links!$E$146="CABA",INDEX(Links!$C$13:$L$13,1,(Resumen!$C$3-2025)),IF(Links!$E$146="PBA",1-INDEX(Links!$C$13:$L$13,1,(Resumen!$C$3-2025)),1))</f>
        <v>540.223176538547</v>
      </c>
      <c r="I94" s="17" t="n">
        <f aca="false">G94-H94</f>
        <v>-0.112582349620538</v>
      </c>
      <c r="J94" s="6" t="str">
        <f aca="false">IF(ROUND(G94-H94,1)&gt;=0,"✔ Sí","✖ No")</f>
        <v>✖ No</v>
      </c>
      <c r="K94" s="17" t="n">
        <f aca="false">IFERROR(INDEX(Links!$C$345:$C$469,MATCH(C94,Links!$B$218:$B$342,0)),1)</f>
        <v>110</v>
      </c>
      <c r="L94" s="17" t="n">
        <f aca="false">IF(K94&gt;0,H94/K94,0)</f>
        <v>4.91111978671406</v>
      </c>
      <c r="M94" s="37" t="n">
        <f aca="false">IF(E94="kg",1,0)</f>
        <v>0</v>
      </c>
      <c r="N94" s="34" t="n">
        <f aca="false">H94*M94</f>
        <v>0</v>
      </c>
    </row>
    <row r="95" customFormat="false" ht="15" hidden="false" customHeight="false" outlineLevel="0" collapsed="false">
      <c r="A95" s="5" t="s">
        <v>67</v>
      </c>
      <c r="B95" s="5" t="s">
        <v>152</v>
      </c>
      <c r="C95" s="6" t="str">
        <f aca="false">Links!$B$147</f>
        <v>MP-70</v>
      </c>
      <c r="D95" s="6" t="str">
        <f aca="false">Links!$C$147</f>
        <v>Arandela de tope del eje</v>
      </c>
      <c r="E95" s="6" t="str">
        <f aca="false">Links!$D$147</f>
        <v>u</v>
      </c>
      <c r="F95" s="5" t="str">
        <f aca="false">IFERROR(INDEX(Links!$B$345:$B$469,MATCH(C95,Links!$B$218:$B$342,0)),"")</f>
        <v>Bolsa de 1.000 u</v>
      </c>
      <c r="G95" s="17" t="n">
        <f aca="false">INDEX(Links!$N$147:$W$147,1,(Resumen!$C$3-2025))</f>
        <v>7257.10578602127</v>
      </c>
      <c r="H95" s="17" t="n">
        <f aca="false">SUMPRODUCT(Links!$F$147:$M$147,$O$69:$V$69)*IF(Links!$E$147="CABA",INDEX(Links!$C$13:$L$13,1,(Resumen!$C$3-2025)),IF(Links!$E$147="PBA",1-INDEX(Links!$C$13:$L$13,1,(Resumen!$C$3-2025)),1))</f>
        <v>7258.7285316</v>
      </c>
      <c r="I95" s="17" t="n">
        <f aca="false">G95-H95</f>
        <v>-1.62274557872934</v>
      </c>
      <c r="J95" s="6" t="str">
        <f aca="false">IF(ROUND(G95-H95,1)&gt;=0,"✔ Sí","✖ No")</f>
        <v>✖ No</v>
      </c>
      <c r="K95" s="17" t="n">
        <f aca="false">IFERROR(INDEX(Links!$C$345:$C$469,MATCH(C95,Links!$B$218:$B$342,0)),1)</f>
        <v>1000</v>
      </c>
      <c r="L95" s="17" t="n">
        <f aca="false">IF(K95&gt;0,H95/K95,0)</f>
        <v>7.2587285316</v>
      </c>
      <c r="M95" s="37" t="n">
        <f aca="false">IF(E95="kg",1,0)</f>
        <v>0</v>
      </c>
      <c r="N95" s="34" t="n">
        <f aca="false">H95*M95</f>
        <v>0</v>
      </c>
    </row>
    <row r="96" customFormat="false" ht="15" hidden="false" customHeight="false" outlineLevel="0" collapsed="false">
      <c r="A96" s="5" t="s">
        <v>67</v>
      </c>
      <c r="B96" s="5" t="s">
        <v>152</v>
      </c>
      <c r="C96" s="6" t="str">
        <f aca="false">Links!$B$148</f>
        <v>MP-71</v>
      </c>
      <c r="D96" s="6" t="str">
        <f aca="false">Links!$C$148</f>
        <v>Pasador partido del eje</v>
      </c>
      <c r="E96" s="6" t="str">
        <f aca="false">Links!$D$148</f>
        <v>u</v>
      </c>
      <c r="F96" s="5" t="str">
        <f aca="false">IFERROR(INDEX(Links!$B$345:$B$469,MATCH(C96,Links!$B$218:$B$342,0)),"")</f>
        <v>Bolsa de 1.000 u</v>
      </c>
      <c r="G96" s="17" t="n">
        <f aca="false">INDEX(Links!$N$148:$W$148,1,(Resumen!$C$3-2025))</f>
        <v>3628.55289301064</v>
      </c>
      <c r="H96" s="17" t="n">
        <f aca="false">SUMPRODUCT(Links!$F$148:$M$148,$O$69:$V$69)*IF(Links!$E$148="CABA",INDEX(Links!$C$13:$L$13,1,(Resumen!$C$3-2025)),IF(Links!$E$148="PBA",1-INDEX(Links!$C$13:$L$13,1,(Resumen!$C$3-2025)),1))</f>
        <v>3629.3642658</v>
      </c>
      <c r="I96" s="17" t="n">
        <f aca="false">G96-H96</f>
        <v>-0.811372789359666</v>
      </c>
      <c r="J96" s="6" t="str">
        <f aca="false">IF(ROUND(G96-H96,1)&gt;=0,"✔ Sí","✖ No")</f>
        <v>✖ No</v>
      </c>
      <c r="K96" s="17" t="n">
        <f aca="false">IFERROR(INDEX(Links!$C$345:$C$469,MATCH(C96,Links!$B$218:$B$342,0)),1)</f>
        <v>1000</v>
      </c>
      <c r="L96" s="17" t="n">
        <f aca="false">IF(K96&gt;0,H96/K96,0)</f>
        <v>3.6293642658</v>
      </c>
      <c r="M96" s="37" t="n">
        <f aca="false">IF(E96="kg",1,0)</f>
        <v>0</v>
      </c>
      <c r="N96" s="34" t="n">
        <f aca="false">H96*M96</f>
        <v>0</v>
      </c>
    </row>
    <row r="97" customFormat="false" ht="15" hidden="false" customHeight="false" outlineLevel="0" collapsed="false">
      <c r="A97" s="5" t="s">
        <v>67</v>
      </c>
      <c r="B97" s="5" t="s">
        <v>152</v>
      </c>
      <c r="C97" s="6" t="str">
        <f aca="false">Links!$B$149</f>
        <v>MP-54/300</v>
      </c>
      <c r="D97" s="6" t="str">
        <f aca="false">Links!$C$149</f>
        <v>Rueda Ø300 × 50, buje 3/4" (carro 25 kg)</v>
      </c>
      <c r="E97" s="6" t="str">
        <f aca="false">Links!$D$149</f>
        <v>u</v>
      </c>
      <c r="F97" s="5" t="str">
        <f aca="false">IFERROR(INDEX(Links!$B$345:$B$469,MATCH(C97,Links!$B$218:$B$342,0)),"")</f>
        <v>Pallet de 72 u</v>
      </c>
      <c r="G97" s="17" t="n">
        <f aca="false">INDEX(Links!$N$149:$W$149,1,(Resumen!$C$3-2025))</f>
        <v>906.5410664</v>
      </c>
      <c r="H97" s="17" t="n">
        <f aca="false">SUMPRODUCT(Links!$F$149:$M$149,$O$69:$V$69)*IF(Links!$E$149="CABA",INDEX(Links!$C$13:$L$13,1,(Resumen!$C$3-2025)),IF(Links!$E$149="PBA",1-INDEX(Links!$C$13:$L$13,1,(Resumen!$C$3-2025)),1))</f>
        <v>907.3410664</v>
      </c>
      <c r="I97" s="17" t="n">
        <f aca="false">G97-H97</f>
        <v>-0.800000000000068</v>
      </c>
      <c r="J97" s="6" t="str">
        <f aca="false">IF(ROUND(G97-H97,1)&gt;=0,"✔ Sí","✖ No")</f>
        <v>✖ No</v>
      </c>
      <c r="K97" s="17" t="n">
        <f aca="false">IFERROR(INDEX(Links!$C$345:$C$469,MATCH(C97,Links!$B$218:$B$342,0)),1)</f>
        <v>72</v>
      </c>
      <c r="L97" s="17" t="n">
        <f aca="false">IF(K97&gt;0,H97/K97,0)</f>
        <v>12.6019592555556</v>
      </c>
      <c r="M97" s="37" t="n">
        <f aca="false">IF(E97="kg",1,0)</f>
        <v>0</v>
      </c>
      <c r="N97" s="34" t="n">
        <f aca="false">H97*M97</f>
        <v>0</v>
      </c>
    </row>
    <row r="98" customFormat="false" ht="15" hidden="false" customHeight="false" outlineLevel="0" collapsed="false">
      <c r="A98" s="5" t="s">
        <v>67</v>
      </c>
      <c r="B98" s="5" t="s">
        <v>152</v>
      </c>
      <c r="C98" s="6" t="str">
        <f aca="false">Links!$B$150</f>
        <v>MP-54/350</v>
      </c>
      <c r="D98" s="6" t="str">
        <f aca="false">Links!$C$150</f>
        <v>Rueda Ø350 × 60, buje 1" (carro 50 kg)</v>
      </c>
      <c r="E98" s="6" t="str">
        <f aca="false">Links!$D$150</f>
        <v>u</v>
      </c>
      <c r="F98" s="5" t="str">
        <f aca="false">IFERROR(INDEX(Links!$B$345:$B$469,MATCH(C98,Links!$B$218:$B$342,0)),"")</f>
        <v>Pallet de 72 u</v>
      </c>
      <c r="G98" s="17" t="n">
        <f aca="false">INDEX(Links!$N$150:$W$150,1,(Resumen!$C$3-2025))</f>
        <v>1996.51996564081</v>
      </c>
      <c r="H98" s="17" t="n">
        <f aca="false">SUMPRODUCT(Links!$F$150:$M$150,$O$69:$V$69)*IF(Links!$E$150="CABA",INDEX(Links!$C$13:$L$13,1,(Resumen!$C$3-2025)),IF(Links!$E$150="PBA",1-INDEX(Links!$C$13:$L$13,1,(Resumen!$C$3-2025)),1))</f>
        <v>1995.9903462</v>
      </c>
      <c r="I98" s="17" t="n">
        <f aca="false">G98-H98</f>
        <v>0.529619440809938</v>
      </c>
      <c r="J98" s="6" t="str">
        <f aca="false">IF(ROUND(G98-H98,1)&gt;=0,"✔ Sí","✖ No")</f>
        <v>✔ Sí</v>
      </c>
      <c r="K98" s="17" t="n">
        <f aca="false">IFERROR(INDEX(Links!$C$345:$C$469,MATCH(C98,Links!$B$218:$B$342,0)),1)</f>
        <v>72</v>
      </c>
      <c r="L98" s="17" t="n">
        <f aca="false">IF(K98&gt;0,H98/K98,0)</f>
        <v>27.7220881416667</v>
      </c>
      <c r="M98" s="37" t="n">
        <f aca="false">IF(E98="kg",1,0)</f>
        <v>0</v>
      </c>
      <c r="N98" s="34" t="n">
        <f aca="false">H98*M98</f>
        <v>0</v>
      </c>
    </row>
    <row r="99" customFormat="false" ht="15" hidden="false" customHeight="false" outlineLevel="0" collapsed="false">
      <c r="A99" s="5" t="s">
        <v>67</v>
      </c>
      <c r="B99" s="5" t="s">
        <v>152</v>
      </c>
      <c r="C99" s="6" t="str">
        <f aca="false">Links!$B$151</f>
        <v>MP-54/400</v>
      </c>
      <c r="D99" s="6" t="str">
        <f aca="false">Links!$C$151</f>
        <v>Rueda Ø400 × 60, buje 1" (carros 70 y 100 kg)</v>
      </c>
      <c r="E99" s="6" t="str">
        <f aca="false">Links!$D$151</f>
        <v>u</v>
      </c>
      <c r="F99" s="5" t="str">
        <f aca="false">IFERROR(INDEX(Links!$B$345:$B$469,MATCH(C99,Links!$B$218:$B$342,0)),"")</f>
        <v>Pallet de 72 u</v>
      </c>
      <c r="G99" s="17" t="n">
        <f aca="false">INDEX(Links!$N$151:$W$151,1,(Resumen!$C$3-2025))</f>
        <v>725.491860969828</v>
      </c>
      <c r="H99" s="17" t="n">
        <f aca="false">SUMPRODUCT(Links!$F$151:$M$151,$O$69:$V$69)*IF(Links!$E$151="CABA",INDEX(Links!$C$13:$L$13,1,(Resumen!$C$3-2025)),IF(Links!$E$151="PBA",1-INDEX(Links!$C$13:$L$13,1,(Resumen!$C$3-2025)),1))</f>
        <v>726.0328532</v>
      </c>
      <c r="I99" s="17" t="n">
        <f aca="false">G99-H99</f>
        <v>-0.540992230171923</v>
      </c>
      <c r="J99" s="6" t="str">
        <f aca="false">IF(ROUND(G99-H99,1)&gt;=0,"✔ Sí","✖ No")</f>
        <v>✖ No</v>
      </c>
      <c r="K99" s="17" t="n">
        <f aca="false">IFERROR(INDEX(Links!$C$345:$C$469,MATCH(C99,Links!$B$218:$B$342,0)),1)</f>
        <v>72</v>
      </c>
      <c r="L99" s="17" t="n">
        <f aca="false">IF(K99&gt;0,H99/K99,0)</f>
        <v>10.0837896277778</v>
      </c>
      <c r="M99" s="37" t="n">
        <f aca="false">IF(E99="kg",1,0)</f>
        <v>0</v>
      </c>
      <c r="N99" s="34" t="n">
        <f aca="false">H99*M99</f>
        <v>0</v>
      </c>
    </row>
    <row r="100" customFormat="false" ht="15" hidden="false" customHeight="false" outlineLevel="0" collapsed="false">
      <c r="A100" s="5" t="s">
        <v>67</v>
      </c>
      <c r="B100" s="5" t="s">
        <v>152</v>
      </c>
      <c r="C100" s="6" t="str">
        <f aca="false">Links!$B$152</f>
        <v>MP-44/25</v>
      </c>
      <c r="D100" s="6" t="str">
        <f aca="false">Links!$C$152</f>
        <v>Válvula HZ de carro 25 kg, sin tubo pescante</v>
      </c>
      <c r="E100" s="6" t="str">
        <f aca="false">Links!$D$152</f>
        <v>u</v>
      </c>
      <c r="F100" s="5" t="str">
        <f aca="false">IFERROR(INDEX(Links!$B$345:$B$469,MATCH(C100,Links!$B$218:$B$342,0)),"")</f>
        <v>Caja de 10 u</v>
      </c>
      <c r="G100" s="17" t="n">
        <f aca="false">INDEX(Links!$N$152:$W$152,1,(Resumen!$C$3-2025))</f>
        <v>453.2705332</v>
      </c>
      <c r="H100" s="17" t="n">
        <f aca="false">SUMPRODUCT(Links!$F$152:$M$152,$O$69:$V$69)*IF(Links!$E$152="CABA",INDEX(Links!$C$13:$L$13,1,(Resumen!$C$3-2025)),IF(Links!$E$152="PBA",1-INDEX(Links!$C$13:$L$13,1,(Resumen!$C$3-2025)),1))</f>
        <v>453.6705332</v>
      </c>
      <c r="I100" s="17" t="n">
        <f aca="false">G100-H100</f>
        <v>-0.400000000000034</v>
      </c>
      <c r="J100" s="6" t="str">
        <f aca="false">IF(ROUND(G100-H100,1)&gt;=0,"✔ Sí","✖ No")</f>
        <v>✖ No</v>
      </c>
      <c r="K100" s="17" t="n">
        <f aca="false">IFERROR(INDEX(Links!$C$345:$C$469,MATCH(C100,Links!$B$218:$B$342,0)),1)</f>
        <v>10</v>
      </c>
      <c r="L100" s="17" t="n">
        <f aca="false">IF(K100&gt;0,H100/K100,0)</f>
        <v>45.36705332</v>
      </c>
      <c r="M100" s="37" t="n">
        <f aca="false">IF(E100="kg",1,0)</f>
        <v>0</v>
      </c>
      <c r="N100" s="34" t="n">
        <f aca="false">H100*M100</f>
        <v>0</v>
      </c>
    </row>
    <row r="101" customFormat="false" ht="15" hidden="false" customHeight="false" outlineLevel="0" collapsed="false">
      <c r="A101" s="5" t="s">
        <v>67</v>
      </c>
      <c r="B101" s="5" t="s">
        <v>152</v>
      </c>
      <c r="C101" s="6" t="str">
        <f aca="false">Links!$B$153</f>
        <v>MP-44/50</v>
      </c>
      <c r="D101" s="6" t="str">
        <f aca="false">Links!$C$153</f>
        <v>Válvula HZ de carro 50-70-100 kg, sin tubo pescante</v>
      </c>
      <c r="E101" s="6" t="str">
        <f aca="false">Links!$D$153</f>
        <v>u</v>
      </c>
      <c r="F101" s="5" t="str">
        <f aca="false">IFERROR(INDEX(Links!$B$345:$B$469,MATCH(C101,Links!$B$218:$B$342,0)),"")</f>
        <v>Caja de 10 u</v>
      </c>
      <c r="G101" s="17" t="n">
        <f aca="false">INDEX(Links!$N$153:$W$153,1,(Resumen!$C$3-2025))</f>
        <v>1361.00591330532</v>
      </c>
      <c r="H101" s="17" t="n">
        <f aca="false">SUMPRODUCT(Links!$F$153:$M$153,$O$69:$V$69)*IF(Links!$E$153="CABA",INDEX(Links!$C$13:$L$13,1,(Resumen!$C$3-2025)),IF(Links!$E$153="PBA",1-INDEX(Links!$C$13:$L$13,1,(Resumen!$C$3-2025)),1))</f>
        <v>1361.0115997</v>
      </c>
      <c r="I101" s="17" t="n">
        <f aca="false">G101-H101</f>
        <v>-0.00568639467996945</v>
      </c>
      <c r="J101" s="6" t="str">
        <f aca="false">IF(ROUND(G101-H101,1)&gt;=0,"✔ Sí","✖ No")</f>
        <v>✔ Sí</v>
      </c>
      <c r="K101" s="17" t="n">
        <f aca="false">IFERROR(INDEX(Links!$C$345:$C$469,MATCH(C101,Links!$B$218:$B$342,0)),1)</f>
        <v>10</v>
      </c>
      <c r="L101" s="17" t="n">
        <f aca="false">IF(K101&gt;0,H101/K101,0)</f>
        <v>136.10115997</v>
      </c>
      <c r="M101" s="37" t="n">
        <f aca="false">IF(E101="kg",1,0)</f>
        <v>0</v>
      </c>
      <c r="N101" s="34" t="n">
        <f aca="false">H101*M101</f>
        <v>0</v>
      </c>
    </row>
    <row r="102" customFormat="false" ht="15" hidden="false" customHeight="false" outlineLevel="0" collapsed="false">
      <c r="A102" s="5" t="s">
        <v>67</v>
      </c>
      <c r="B102" s="5" t="s">
        <v>152</v>
      </c>
      <c r="C102" s="6" t="str">
        <f aca="false">Links!$B$154</f>
        <v>MP-45</v>
      </c>
      <c r="D102" s="6" t="str">
        <f aca="false">Links!$C$154</f>
        <v>Manómetro 1,4 MPa</v>
      </c>
      <c r="E102" s="6" t="str">
        <f aca="false">Links!$D$154</f>
        <v>u</v>
      </c>
      <c r="F102" s="5" t="str">
        <f aca="false">IFERROR(INDEX(Links!$B$345:$B$469,MATCH(C102,Links!$B$218:$B$342,0)),"")</f>
        <v>Caja de 100 u</v>
      </c>
      <c r="G102" s="17" t="n">
        <f aca="false">INDEX(Links!$N$154:$W$154,1,(Resumen!$C$3-2025))</f>
        <v>1814.27644650532</v>
      </c>
      <c r="H102" s="17" t="n">
        <f aca="false">SUMPRODUCT(Links!$F$154:$M$154,$O$69:$V$69)*IF(Links!$E$154="CABA",INDEX(Links!$C$13:$L$13,1,(Resumen!$C$3-2025)),IF(Links!$E$154="PBA",1-INDEX(Links!$C$13:$L$13,1,(Resumen!$C$3-2025)),1))</f>
        <v>1814.6821329</v>
      </c>
      <c r="I102" s="17" t="n">
        <f aca="false">G102-H102</f>
        <v>-0.405686394679833</v>
      </c>
      <c r="J102" s="6" t="str">
        <f aca="false">IF(ROUND(G102-H102,1)&gt;=0,"✔ Sí","✖ No")</f>
        <v>✖ No</v>
      </c>
      <c r="K102" s="17" t="n">
        <f aca="false">IFERROR(INDEX(Links!$C$345:$C$469,MATCH(C102,Links!$B$218:$B$342,0)),1)</f>
        <v>100</v>
      </c>
      <c r="L102" s="17" t="n">
        <f aca="false">IF(K102&gt;0,H102/K102,0)</f>
        <v>18.146821329</v>
      </c>
      <c r="M102" s="37" t="n">
        <f aca="false">IF(E102="kg",1,0)</f>
        <v>0</v>
      </c>
      <c r="N102" s="34" t="n">
        <f aca="false">H102*M102</f>
        <v>0</v>
      </c>
    </row>
    <row r="103" customFormat="false" ht="15" hidden="false" customHeight="false" outlineLevel="0" collapsed="false">
      <c r="A103" s="5" t="s">
        <v>67</v>
      </c>
      <c r="B103" s="5" t="s">
        <v>152</v>
      </c>
      <c r="C103" s="6" t="str">
        <f aca="false">Links!$B$155</f>
        <v>MP-47/ABC25</v>
      </c>
      <c r="D103" s="6" t="str">
        <f aca="false">Links!$C$155</f>
        <v>Tubo pescante de acero SAE 1010, carro 25 kg</v>
      </c>
      <c r="E103" s="6" t="str">
        <f aca="false">Links!$D$155</f>
        <v>u</v>
      </c>
      <c r="F103" s="5" t="str">
        <f aca="false">IFERROR(INDEX(Links!$B$345:$B$469,MATCH(C103,Links!$B$218:$B$342,0)),"")</f>
        <v>Caja de 20 u</v>
      </c>
      <c r="G103" s="17" t="n">
        <f aca="false">INDEX(Links!$N$155:$W$155,1,(Resumen!$C$3-2025))</f>
        <v>453.2705332</v>
      </c>
      <c r="H103" s="17" t="n">
        <f aca="false">SUMPRODUCT(Links!$F$155:$M$155,$O$69:$V$69)*IF(Links!$E$155="CABA",INDEX(Links!$C$13:$L$13,1,(Resumen!$C$3-2025)),IF(Links!$E$155="PBA",1-INDEX(Links!$C$13:$L$13,1,(Resumen!$C$3-2025)),1))</f>
        <v>453.6705332</v>
      </c>
      <c r="I103" s="17" t="n">
        <f aca="false">G103-H103</f>
        <v>-0.400000000000034</v>
      </c>
      <c r="J103" s="6" t="str">
        <f aca="false">IF(ROUND(G103-H103,1)&gt;=0,"✔ Sí","✖ No")</f>
        <v>✖ No</v>
      </c>
      <c r="K103" s="17" t="n">
        <f aca="false">IFERROR(INDEX(Links!$C$345:$C$469,MATCH(C103,Links!$B$218:$B$342,0)),1)</f>
        <v>20</v>
      </c>
      <c r="L103" s="17" t="n">
        <f aca="false">IF(K103&gt;0,H103/K103,0)</f>
        <v>22.68352666</v>
      </c>
      <c r="M103" s="37" t="n">
        <f aca="false">IF(E103="kg",1,0)</f>
        <v>0</v>
      </c>
      <c r="N103" s="34" t="n">
        <f aca="false">H103*M103</f>
        <v>0</v>
      </c>
    </row>
    <row r="104" customFormat="false" ht="15" hidden="false" customHeight="false" outlineLevel="0" collapsed="false">
      <c r="A104" s="5" t="s">
        <v>67</v>
      </c>
      <c r="B104" s="5" t="s">
        <v>152</v>
      </c>
      <c r="C104" s="6" t="str">
        <f aca="false">Links!$B$156</f>
        <v>MP-47/ABC50</v>
      </c>
      <c r="D104" s="6" t="str">
        <f aca="false">Links!$C$156</f>
        <v>Tubo pescante de acero SAE 1010, carro 50 kg</v>
      </c>
      <c r="E104" s="6" t="str">
        <f aca="false">Links!$D$156</f>
        <v>u</v>
      </c>
      <c r="F104" s="5" t="str">
        <f aca="false">IFERROR(INDEX(Links!$B$345:$B$469,MATCH(C104,Links!$B$218:$B$342,0)),"")</f>
        <v>Caja de 20 u</v>
      </c>
      <c r="G104" s="17" t="n">
        <f aca="false">INDEX(Links!$N$156:$W$156,1,(Resumen!$C$3-2025))</f>
        <v>998.259982820404</v>
      </c>
      <c r="H104" s="17" t="n">
        <f aca="false">SUMPRODUCT(Links!$F$156:$M$156,$O$69:$V$69)*IF(Links!$E$156="CABA",INDEX(Links!$C$13:$L$13,1,(Resumen!$C$3-2025)),IF(Links!$E$156="PBA",1-INDEX(Links!$C$13:$L$13,1,(Resumen!$C$3-2025)),1))</f>
        <v>997.9951731</v>
      </c>
      <c r="I104" s="17" t="n">
        <f aca="false">G104-H104</f>
        <v>0.26480972040406</v>
      </c>
      <c r="J104" s="6" t="str">
        <f aca="false">IF(ROUND(G104-H104,1)&gt;=0,"✔ Sí","✖ No")</f>
        <v>✔ Sí</v>
      </c>
      <c r="K104" s="17" t="n">
        <f aca="false">IFERROR(INDEX(Links!$C$345:$C$469,MATCH(C104,Links!$B$218:$B$342,0)),1)</f>
        <v>20</v>
      </c>
      <c r="L104" s="17" t="n">
        <f aca="false">IF(K104&gt;0,H104/K104,0)</f>
        <v>49.899758655</v>
      </c>
      <c r="M104" s="37" t="n">
        <f aca="false">IF(E104="kg",1,0)</f>
        <v>0</v>
      </c>
      <c r="N104" s="34" t="n">
        <f aca="false">H104*M104</f>
        <v>0</v>
      </c>
    </row>
    <row r="105" customFormat="false" ht="15" hidden="false" customHeight="false" outlineLevel="0" collapsed="false">
      <c r="A105" s="5" t="s">
        <v>67</v>
      </c>
      <c r="B105" s="5" t="s">
        <v>152</v>
      </c>
      <c r="C105" s="6" t="str">
        <f aca="false">Links!$B$157</f>
        <v>MP-47/ABC70</v>
      </c>
      <c r="D105" s="6" t="str">
        <f aca="false">Links!$C$157</f>
        <v>Tubo pescante de acero SAE 1010, carro 70 kg</v>
      </c>
      <c r="E105" s="6" t="str">
        <f aca="false">Links!$D$157</f>
        <v>u</v>
      </c>
      <c r="F105" s="5" t="str">
        <f aca="false">IFERROR(INDEX(Links!$B$345:$B$469,MATCH(C105,Links!$B$218:$B$342,0)),"")</f>
        <v>Caja de 20 u</v>
      </c>
      <c r="G105" s="17" t="n">
        <f aca="false">INDEX(Links!$N$157:$W$157,1,(Resumen!$C$3-2025))</f>
        <v>217.569856</v>
      </c>
      <c r="H105" s="17" t="n">
        <f aca="false">SUMPRODUCT(Links!$F$157:$M$157,$O$69:$V$69)*IF(Links!$E$157="CABA",INDEX(Links!$C$13:$L$13,1,(Resumen!$C$3-2025)),IF(Links!$E$157="PBA",1-INDEX(Links!$C$13:$L$13,1,(Resumen!$C$3-2025)),1))</f>
        <v>217.809856</v>
      </c>
      <c r="I105" s="17" t="n">
        <f aca="false">G105-H105</f>
        <v>-0.240000000000009</v>
      </c>
      <c r="J105" s="6" t="str">
        <f aca="false">IF(ROUND(G105-H105,1)&gt;=0,"✔ Sí","✖ No")</f>
        <v>✖ No</v>
      </c>
      <c r="K105" s="17" t="n">
        <f aca="false">IFERROR(INDEX(Links!$C$345:$C$469,MATCH(C105,Links!$B$218:$B$342,0)),1)</f>
        <v>20</v>
      </c>
      <c r="L105" s="17" t="n">
        <f aca="false">IF(K105&gt;0,H105/K105,0)</f>
        <v>10.8904928</v>
      </c>
      <c r="M105" s="37" t="n">
        <f aca="false">IF(E105="kg",1,0)</f>
        <v>0</v>
      </c>
      <c r="N105" s="34" t="n">
        <f aca="false">H105*M105</f>
        <v>0</v>
      </c>
    </row>
    <row r="106" customFormat="false" ht="15" hidden="false" customHeight="false" outlineLevel="0" collapsed="false">
      <c r="A106" s="5" t="s">
        <v>67</v>
      </c>
      <c r="B106" s="5" t="s">
        <v>152</v>
      </c>
      <c r="C106" s="6" t="str">
        <f aca="false">Links!$B$158</f>
        <v>MP-47/ABC100</v>
      </c>
      <c r="D106" s="6" t="str">
        <f aca="false">Links!$C$158</f>
        <v>Tubo pescante de acero SAE 1010, carro 100 kg</v>
      </c>
      <c r="E106" s="6" t="str">
        <f aca="false">Links!$D$158</f>
        <v>u</v>
      </c>
      <c r="F106" s="5" t="str">
        <f aca="false">IFERROR(INDEX(Links!$B$345:$B$469,MATCH(C106,Links!$B$218:$B$342,0)),"")</f>
        <v>Caja de 20 u</v>
      </c>
      <c r="G106" s="17" t="n">
        <f aca="false">INDEX(Links!$N$158:$W$158,1,(Resumen!$C$3-2025))</f>
        <v>145.176074484914</v>
      </c>
      <c r="H106" s="17" t="n">
        <f aca="false">SUMPRODUCT(Links!$F$158:$M$158,$O$69:$V$69)*IF(Links!$E$158="CABA",INDEX(Links!$C$13:$L$13,1,(Resumen!$C$3-2025)),IF(Links!$E$158="PBA",1-INDEX(Links!$C$13:$L$13,1,(Resumen!$C$3-2025)),1))</f>
        <v>145.2065706</v>
      </c>
      <c r="I106" s="17" t="n">
        <f aca="false">G106-H106</f>
        <v>-0.030496115085981</v>
      </c>
      <c r="J106" s="6" t="str">
        <f aca="false">IF(ROUND(G106-H106,1)&gt;=0,"✔ Sí","✖ No")</f>
        <v>✔ Sí</v>
      </c>
      <c r="K106" s="17" t="n">
        <f aca="false">IFERROR(INDEX(Links!$C$345:$C$469,MATCH(C106,Links!$B$218:$B$342,0)),1)</f>
        <v>20</v>
      </c>
      <c r="L106" s="17" t="n">
        <f aca="false">IF(K106&gt;0,H106/K106,0)</f>
        <v>7.26032853</v>
      </c>
      <c r="M106" s="37" t="n">
        <f aca="false">IF(E106="kg",1,0)</f>
        <v>0</v>
      </c>
      <c r="N106" s="34" t="n">
        <f aca="false">H106*M106</f>
        <v>0</v>
      </c>
    </row>
    <row r="107" customFormat="false" ht="15" hidden="false" customHeight="false" outlineLevel="0" collapsed="false">
      <c r="A107" s="5" t="s">
        <v>67</v>
      </c>
      <c r="B107" s="5" t="s">
        <v>152</v>
      </c>
      <c r="C107" s="6" t="str">
        <f aca="false">Links!$B$159</f>
        <v>MP-49/ABC25</v>
      </c>
      <c r="D107" s="6" t="str">
        <f aca="false">Links!$C$159</f>
        <v>Manguera con válvula esférica y tobera, carro 25 kg</v>
      </c>
      <c r="E107" s="6" t="str">
        <f aca="false">Links!$D$159</f>
        <v>u</v>
      </c>
      <c r="F107" s="5" t="str">
        <f aca="false">IFERROR(INDEX(Links!$B$345:$B$469,MATCH(C107,Links!$B$218:$B$342,0)),"")</f>
        <v>Caja de 10 u</v>
      </c>
      <c r="G107" s="17" t="n">
        <f aca="false">INDEX(Links!$N$159:$W$159,1,(Resumen!$C$3-2025))</f>
        <v>453.2705332</v>
      </c>
      <c r="H107" s="17" t="n">
        <f aca="false">SUMPRODUCT(Links!$F$159:$M$159,$O$69:$V$69)*IF(Links!$E$159="CABA",INDEX(Links!$C$13:$L$13,1,(Resumen!$C$3-2025)),IF(Links!$E$159="PBA",1-INDEX(Links!$C$13:$L$13,1,(Resumen!$C$3-2025)),1))</f>
        <v>453.6705332</v>
      </c>
      <c r="I107" s="17" t="n">
        <f aca="false">G107-H107</f>
        <v>-0.400000000000034</v>
      </c>
      <c r="J107" s="6" t="str">
        <f aca="false">IF(ROUND(G107-H107,1)&gt;=0,"✔ Sí","✖ No")</f>
        <v>✖ No</v>
      </c>
      <c r="K107" s="17" t="n">
        <f aca="false">IFERROR(INDEX(Links!$C$345:$C$469,MATCH(C107,Links!$B$218:$B$342,0)),1)</f>
        <v>10</v>
      </c>
      <c r="L107" s="17" t="n">
        <f aca="false">IF(K107&gt;0,H107/K107,0)</f>
        <v>45.36705332</v>
      </c>
      <c r="M107" s="37" t="n">
        <f aca="false">IF(E107="kg",1,0)</f>
        <v>0</v>
      </c>
      <c r="N107" s="34" t="n">
        <f aca="false">H107*M107</f>
        <v>0</v>
      </c>
    </row>
    <row r="108" customFormat="false" ht="15" hidden="false" customHeight="false" outlineLevel="0" collapsed="false">
      <c r="A108" s="5" t="s">
        <v>67</v>
      </c>
      <c r="B108" s="5" t="s">
        <v>152</v>
      </c>
      <c r="C108" s="6" t="str">
        <f aca="false">Links!$B$160</f>
        <v>MP-49/ABC50</v>
      </c>
      <c r="D108" s="6" t="str">
        <f aca="false">Links!$C$160</f>
        <v>Manguera con válvula esférica y tobera, carro 50 kg</v>
      </c>
      <c r="E108" s="6" t="str">
        <f aca="false">Links!$D$160</f>
        <v>u</v>
      </c>
      <c r="F108" s="5" t="str">
        <f aca="false">IFERROR(INDEX(Links!$B$345:$B$469,MATCH(C108,Links!$B$218:$B$342,0)),"")</f>
        <v>Caja de 10 u</v>
      </c>
      <c r="G108" s="17" t="n">
        <f aca="false">INDEX(Links!$N$160:$W$160,1,(Resumen!$C$3-2025))</f>
        <v>998.259982820404</v>
      </c>
      <c r="H108" s="17" t="n">
        <f aca="false">SUMPRODUCT(Links!$F$160:$M$160,$O$69:$V$69)*IF(Links!$E$160="CABA",INDEX(Links!$C$13:$L$13,1,(Resumen!$C$3-2025)),IF(Links!$E$160="PBA",1-INDEX(Links!$C$13:$L$13,1,(Resumen!$C$3-2025)),1))</f>
        <v>997.9951731</v>
      </c>
      <c r="I108" s="17" t="n">
        <f aca="false">G108-H108</f>
        <v>0.26480972040406</v>
      </c>
      <c r="J108" s="6" t="str">
        <f aca="false">IF(ROUND(G108-H108,1)&gt;=0,"✔ Sí","✖ No")</f>
        <v>✔ Sí</v>
      </c>
      <c r="K108" s="17" t="n">
        <f aca="false">IFERROR(INDEX(Links!$C$345:$C$469,MATCH(C108,Links!$B$218:$B$342,0)),1)</f>
        <v>10</v>
      </c>
      <c r="L108" s="17" t="n">
        <f aca="false">IF(K108&gt;0,H108/K108,0)</f>
        <v>99.79951731</v>
      </c>
      <c r="M108" s="37" t="n">
        <f aca="false">IF(E108="kg",1,0)</f>
        <v>0</v>
      </c>
      <c r="N108" s="34" t="n">
        <f aca="false">H108*M108</f>
        <v>0</v>
      </c>
    </row>
    <row r="109" customFormat="false" ht="15" hidden="false" customHeight="false" outlineLevel="0" collapsed="false">
      <c r="A109" s="5" t="s">
        <v>67</v>
      </c>
      <c r="B109" s="5" t="s">
        <v>152</v>
      </c>
      <c r="C109" s="6" t="str">
        <f aca="false">Links!$B$161</f>
        <v>MP-49/ABC70</v>
      </c>
      <c r="D109" s="6" t="str">
        <f aca="false">Links!$C$161</f>
        <v>Manguera con válvula esférica y tobera, carro 70 kg</v>
      </c>
      <c r="E109" s="6" t="str">
        <f aca="false">Links!$D$161</f>
        <v>u</v>
      </c>
      <c r="F109" s="5" t="str">
        <f aca="false">IFERROR(INDEX(Links!$B$345:$B$469,MATCH(C109,Links!$B$218:$B$342,0)),"")</f>
        <v>Caja de 10 u</v>
      </c>
      <c r="G109" s="17" t="n">
        <f aca="false">INDEX(Links!$N$161:$W$161,1,(Resumen!$C$3-2025))</f>
        <v>217.569856</v>
      </c>
      <c r="H109" s="17" t="n">
        <f aca="false">SUMPRODUCT(Links!$F$161:$M$161,$O$69:$V$69)*IF(Links!$E$161="CABA",INDEX(Links!$C$13:$L$13,1,(Resumen!$C$3-2025)),IF(Links!$E$161="PBA",1-INDEX(Links!$C$13:$L$13,1,(Resumen!$C$3-2025)),1))</f>
        <v>217.809856</v>
      </c>
      <c r="I109" s="17" t="n">
        <f aca="false">G109-H109</f>
        <v>-0.240000000000009</v>
      </c>
      <c r="J109" s="6" t="str">
        <f aca="false">IF(ROUND(G109-H109,1)&gt;=0,"✔ Sí","✖ No")</f>
        <v>✖ No</v>
      </c>
      <c r="K109" s="17" t="n">
        <f aca="false">IFERROR(INDEX(Links!$C$345:$C$469,MATCH(C109,Links!$B$218:$B$342,0)),1)</f>
        <v>10</v>
      </c>
      <c r="L109" s="17" t="n">
        <f aca="false">IF(K109&gt;0,H109/K109,0)</f>
        <v>21.7809856</v>
      </c>
      <c r="M109" s="37" t="n">
        <f aca="false">IF(E109="kg",1,0)</f>
        <v>0</v>
      </c>
      <c r="N109" s="34" t="n">
        <f aca="false">H109*M109</f>
        <v>0</v>
      </c>
    </row>
    <row r="110" customFormat="false" ht="15" hidden="false" customHeight="false" outlineLevel="0" collapsed="false">
      <c r="A110" s="5" t="s">
        <v>67</v>
      </c>
      <c r="B110" s="5" t="s">
        <v>152</v>
      </c>
      <c r="C110" s="6" t="str">
        <f aca="false">Links!$B$162</f>
        <v>MP-49/ABC100</v>
      </c>
      <c r="D110" s="6" t="str">
        <f aca="false">Links!$C$162</f>
        <v>Manguera con válvula esférica y tobera, carro 100 kg</v>
      </c>
      <c r="E110" s="6" t="str">
        <f aca="false">Links!$D$162</f>
        <v>u</v>
      </c>
      <c r="F110" s="5" t="str">
        <f aca="false">IFERROR(INDEX(Links!$B$345:$B$469,MATCH(C110,Links!$B$218:$B$342,0)),"")</f>
        <v>Caja de 10 u</v>
      </c>
      <c r="G110" s="17" t="n">
        <f aca="false">INDEX(Links!$N$162:$W$162,1,(Resumen!$C$3-2025))</f>
        <v>145.176074484914</v>
      </c>
      <c r="H110" s="17" t="n">
        <f aca="false">SUMPRODUCT(Links!$F$162:$M$162,$O$69:$V$69)*IF(Links!$E$162="CABA",INDEX(Links!$C$13:$L$13,1,(Resumen!$C$3-2025)),IF(Links!$E$162="PBA",1-INDEX(Links!$C$13:$L$13,1,(Resumen!$C$3-2025)),1))</f>
        <v>145.2065706</v>
      </c>
      <c r="I110" s="17" t="n">
        <f aca="false">G110-H110</f>
        <v>-0.030496115085981</v>
      </c>
      <c r="J110" s="6" t="str">
        <f aca="false">IF(ROUND(G110-H110,1)&gt;=0,"✔ Sí","✖ No")</f>
        <v>✔ Sí</v>
      </c>
      <c r="K110" s="17" t="n">
        <f aca="false">IFERROR(INDEX(Links!$C$345:$C$469,MATCH(C110,Links!$B$218:$B$342,0)),1)</f>
        <v>10</v>
      </c>
      <c r="L110" s="17" t="n">
        <f aca="false">IF(K110&gt;0,H110/K110,0)</f>
        <v>14.52065706</v>
      </c>
      <c r="M110" s="37" t="n">
        <f aca="false">IF(E110="kg",1,0)</f>
        <v>0</v>
      </c>
      <c r="N110" s="34" t="n">
        <f aca="false">H110*M110</f>
        <v>0</v>
      </c>
    </row>
    <row r="111" customFormat="false" ht="15" hidden="false" customHeight="false" outlineLevel="0" collapsed="false">
      <c r="A111" s="5" t="s">
        <v>67</v>
      </c>
      <c r="B111" s="5" t="s">
        <v>152</v>
      </c>
      <c r="C111" s="6" t="str">
        <f aca="false">Links!$B$163</f>
        <v>MP-50/M30</v>
      </c>
      <c r="D111" s="6" t="str">
        <f aca="false">Links!$C$163</f>
        <v>Junta tórica del cuello M30</v>
      </c>
      <c r="E111" s="6" t="str">
        <f aca="false">Links!$D$163</f>
        <v>u</v>
      </c>
      <c r="F111" s="5" t="str">
        <f aca="false">IFERROR(INDEX(Links!$B$345:$B$469,MATCH(C111,Links!$B$218:$B$342,0)),"")</f>
        <v>Bolsa de 1.000 u</v>
      </c>
      <c r="G111" s="17" t="n">
        <f aca="false">INDEX(Links!$N$163:$W$163,1,(Resumen!$C$3-2025))</f>
        <v>1451.5305160204</v>
      </c>
      <c r="H111" s="17" t="n">
        <f aca="false">SUMPRODUCT(Links!$F$163:$M$163,$O$69:$V$69)*IF(Links!$E$163="CABA",INDEX(Links!$C$13:$L$13,1,(Resumen!$C$3-2025)),IF(Links!$E$163="PBA",1-INDEX(Links!$C$13:$L$13,1,(Resumen!$C$3-2025)),1))</f>
        <v>1451.6657063</v>
      </c>
      <c r="I111" s="17" t="n">
        <f aca="false">G111-H111</f>
        <v>-0.13519027960001</v>
      </c>
      <c r="J111" s="6" t="str">
        <f aca="false">IF(ROUND(G111-H111,1)&gt;=0,"✔ Sí","✖ No")</f>
        <v>✖ No</v>
      </c>
      <c r="K111" s="17" t="n">
        <f aca="false">IFERROR(INDEX(Links!$C$345:$C$469,MATCH(C111,Links!$B$218:$B$342,0)),1)</f>
        <v>1000</v>
      </c>
      <c r="L111" s="17" t="n">
        <f aca="false">IF(K111&gt;0,H111/K111,0)</f>
        <v>1.4516657063</v>
      </c>
      <c r="M111" s="37" t="n">
        <f aca="false">IF(E111="kg",1,0)</f>
        <v>0</v>
      </c>
      <c r="N111" s="34" t="n">
        <f aca="false">H111*M111</f>
        <v>0</v>
      </c>
    </row>
    <row r="112" customFormat="false" ht="15" hidden="false" customHeight="false" outlineLevel="0" collapsed="false">
      <c r="A112" s="5" t="s">
        <v>67</v>
      </c>
      <c r="B112" s="5" t="s">
        <v>152</v>
      </c>
      <c r="C112" s="6" t="str">
        <f aca="false">Links!$B$164</f>
        <v>MP-50/2½</v>
      </c>
      <c r="D112" s="6" t="str">
        <f aca="false">Links!$C$164</f>
        <v>Junta tórica del cuello 2½"</v>
      </c>
      <c r="E112" s="6" t="str">
        <f aca="false">Links!$D$164</f>
        <v>u</v>
      </c>
      <c r="F112" s="5" t="str">
        <f aca="false">IFERROR(INDEX(Links!$B$345:$B$469,MATCH(C112,Links!$B$218:$B$342,0)),"")</f>
        <v>Bolsa de 1.000 u</v>
      </c>
      <c r="G112" s="17" t="n">
        <f aca="false">INDEX(Links!$N$164:$W$164,1,(Resumen!$C$3-2025))</f>
        <v>362.745930484914</v>
      </c>
      <c r="H112" s="17" t="n">
        <f aca="false">SUMPRODUCT(Links!$F$164:$M$164,$O$69:$V$69)*IF(Links!$E$164="CABA",INDEX(Links!$C$13:$L$13,1,(Resumen!$C$3-2025)),IF(Links!$E$164="PBA",1-INDEX(Links!$C$13:$L$13,1,(Resumen!$C$3-2025)),1))</f>
        <v>363.0164266</v>
      </c>
      <c r="I112" s="17" t="n">
        <f aca="false">G112-H112</f>
        <v>-0.270496115085962</v>
      </c>
      <c r="J112" s="6" t="str">
        <f aca="false">IF(ROUND(G112-H112,1)&gt;=0,"✔ Sí","✖ No")</f>
        <v>✖ No</v>
      </c>
      <c r="K112" s="17" t="n">
        <f aca="false">IFERROR(INDEX(Links!$C$345:$C$469,MATCH(C112,Links!$B$218:$B$342,0)),1)</f>
        <v>1000</v>
      </c>
      <c r="L112" s="17" t="n">
        <f aca="false">IF(K112&gt;0,H112/K112,0)</f>
        <v>0.3630164266</v>
      </c>
      <c r="M112" s="37" t="n">
        <f aca="false">IF(E112="kg",1,0)</f>
        <v>0</v>
      </c>
      <c r="N112" s="34" t="n">
        <f aca="false">H112*M112</f>
        <v>0</v>
      </c>
    </row>
    <row r="113" customFormat="false" ht="15" hidden="false" customHeight="false" outlineLevel="0" collapsed="false">
      <c r="A113" s="5" t="s">
        <v>67</v>
      </c>
      <c r="B113" s="5" t="s">
        <v>153</v>
      </c>
      <c r="C113" s="6" t="str">
        <f aca="false">Links!$B$165</f>
        <v>MP-56/ABC25</v>
      </c>
      <c r="D113" s="6" t="str">
        <f aca="false">Links!$C$165</f>
        <v>Etiqueta de características ABC 25 kg</v>
      </c>
      <c r="E113" s="6" t="str">
        <f aca="false">Links!$D$165</f>
        <v>u</v>
      </c>
      <c r="F113" s="5" t="str">
        <f aca="false">IFERROR(INDEX(Links!$B$345:$B$469,MATCH(C113,Links!$B$218:$B$342,0)),"")</f>
        <v>Rollo de 1.000 u</v>
      </c>
      <c r="G113" s="17" t="n">
        <f aca="false">INDEX(Links!$N$165:$W$165,1,(Resumen!$C$3-2025))</f>
        <v>453.2705332</v>
      </c>
      <c r="H113" s="17" t="n">
        <f aca="false">SUMPRODUCT(Links!$F$165:$M$165,$O$69:$V$69)*IF(Links!$E$165="CABA",INDEX(Links!$C$13:$L$13,1,(Resumen!$C$3-2025)),IF(Links!$E$165="PBA",1-INDEX(Links!$C$13:$L$13,1,(Resumen!$C$3-2025)),1))</f>
        <v>453.6705332</v>
      </c>
      <c r="I113" s="17" t="n">
        <f aca="false">G113-H113</f>
        <v>-0.400000000000034</v>
      </c>
      <c r="J113" s="6" t="str">
        <f aca="false">IF(ROUND(G113-H113,1)&gt;=0,"✔ Sí","✖ No")</f>
        <v>✖ No</v>
      </c>
      <c r="K113" s="17" t="n">
        <f aca="false">IFERROR(INDEX(Links!$C$345:$C$469,MATCH(C113,Links!$B$218:$B$342,0)),1)</f>
        <v>1000</v>
      </c>
      <c r="L113" s="17" t="n">
        <f aca="false">IF(K113&gt;0,H113/K113,0)</f>
        <v>0.4536705332</v>
      </c>
      <c r="M113" s="37" t="n">
        <f aca="false">IF(E113="kg",1,0)</f>
        <v>0</v>
      </c>
      <c r="N113" s="34" t="n">
        <f aca="false">H113*M113</f>
        <v>0</v>
      </c>
    </row>
    <row r="114" customFormat="false" ht="15" hidden="false" customHeight="false" outlineLevel="0" collapsed="false">
      <c r="A114" s="5" t="s">
        <v>67</v>
      </c>
      <c r="B114" s="5" t="s">
        <v>153</v>
      </c>
      <c r="C114" s="6" t="str">
        <f aca="false">Links!$B$166</f>
        <v>MP-56/ABC50</v>
      </c>
      <c r="D114" s="6" t="str">
        <f aca="false">Links!$C$166</f>
        <v>Etiqueta de características ABC 50 kg</v>
      </c>
      <c r="E114" s="6" t="str">
        <f aca="false">Links!$D$166</f>
        <v>u</v>
      </c>
      <c r="F114" s="5" t="str">
        <f aca="false">IFERROR(INDEX(Links!$B$345:$B$469,MATCH(C114,Links!$B$218:$B$342,0)),"")</f>
        <v>Rollo de 1.000 u</v>
      </c>
      <c r="G114" s="17" t="n">
        <f aca="false">INDEX(Links!$N$166:$W$166,1,(Resumen!$C$3-2025))</f>
        <v>998.259982820404</v>
      </c>
      <c r="H114" s="17" t="n">
        <f aca="false">SUMPRODUCT(Links!$F$166:$M$166,$O$69:$V$69)*IF(Links!$E$166="CABA",INDEX(Links!$C$13:$L$13,1,(Resumen!$C$3-2025)),IF(Links!$E$166="PBA",1-INDEX(Links!$C$13:$L$13,1,(Resumen!$C$3-2025)),1))</f>
        <v>997.9951731</v>
      </c>
      <c r="I114" s="17" t="n">
        <f aca="false">G114-H114</f>
        <v>0.26480972040406</v>
      </c>
      <c r="J114" s="6" t="str">
        <f aca="false">IF(ROUND(G114-H114,1)&gt;=0,"✔ Sí","✖ No")</f>
        <v>✔ Sí</v>
      </c>
      <c r="K114" s="17" t="n">
        <f aca="false">IFERROR(INDEX(Links!$C$345:$C$469,MATCH(C114,Links!$B$218:$B$342,0)),1)</f>
        <v>1000</v>
      </c>
      <c r="L114" s="17" t="n">
        <f aca="false">IF(K114&gt;0,H114/K114,0)</f>
        <v>0.9979951731</v>
      </c>
      <c r="M114" s="37" t="n">
        <f aca="false">IF(E114="kg",1,0)</f>
        <v>0</v>
      </c>
      <c r="N114" s="34" t="n">
        <f aca="false">H114*M114</f>
        <v>0</v>
      </c>
    </row>
    <row r="115" customFormat="false" ht="15" hidden="false" customHeight="false" outlineLevel="0" collapsed="false">
      <c r="A115" s="5" t="s">
        <v>67</v>
      </c>
      <c r="B115" s="5" t="s">
        <v>153</v>
      </c>
      <c r="C115" s="6" t="str">
        <f aca="false">Links!$B$167</f>
        <v>MP-56/ABC70</v>
      </c>
      <c r="D115" s="6" t="str">
        <f aca="false">Links!$C$167</f>
        <v>Etiqueta de características ABC 70 kg</v>
      </c>
      <c r="E115" s="6" t="str">
        <f aca="false">Links!$D$167</f>
        <v>u</v>
      </c>
      <c r="F115" s="5" t="str">
        <f aca="false">IFERROR(INDEX(Links!$B$345:$B$469,MATCH(C115,Links!$B$218:$B$342,0)),"")</f>
        <v>Rollo de 1.000 u</v>
      </c>
      <c r="G115" s="17" t="n">
        <f aca="false">INDEX(Links!$N$167:$W$167,1,(Resumen!$C$3-2025))</f>
        <v>217.569856</v>
      </c>
      <c r="H115" s="17" t="n">
        <f aca="false">SUMPRODUCT(Links!$F$167:$M$167,$O$69:$V$69)*IF(Links!$E$167="CABA",INDEX(Links!$C$13:$L$13,1,(Resumen!$C$3-2025)),IF(Links!$E$167="PBA",1-INDEX(Links!$C$13:$L$13,1,(Resumen!$C$3-2025)),1))</f>
        <v>217.809856</v>
      </c>
      <c r="I115" s="17" t="n">
        <f aca="false">G115-H115</f>
        <v>-0.240000000000009</v>
      </c>
      <c r="J115" s="6" t="str">
        <f aca="false">IF(ROUND(G115-H115,1)&gt;=0,"✔ Sí","✖ No")</f>
        <v>✖ No</v>
      </c>
      <c r="K115" s="17" t="n">
        <f aca="false">IFERROR(INDEX(Links!$C$345:$C$469,MATCH(C115,Links!$B$218:$B$342,0)),1)</f>
        <v>1000</v>
      </c>
      <c r="L115" s="17" t="n">
        <f aca="false">IF(K115&gt;0,H115/K115,0)</f>
        <v>0.217809856</v>
      </c>
      <c r="M115" s="37" t="n">
        <f aca="false">IF(E115="kg",1,0)</f>
        <v>0</v>
      </c>
      <c r="N115" s="34" t="n">
        <f aca="false">H115*M115</f>
        <v>0</v>
      </c>
    </row>
    <row r="116" customFormat="false" ht="15" hidden="false" customHeight="false" outlineLevel="0" collapsed="false">
      <c r="A116" s="5" t="s">
        <v>67</v>
      </c>
      <c r="B116" s="5" t="s">
        <v>153</v>
      </c>
      <c r="C116" s="6" t="str">
        <f aca="false">Links!$B$168</f>
        <v>MP-56/ABC100</v>
      </c>
      <c r="D116" s="6" t="str">
        <f aca="false">Links!$C$168</f>
        <v>Etiqueta de características ABC 100 kg</v>
      </c>
      <c r="E116" s="6" t="str">
        <f aca="false">Links!$D$168</f>
        <v>u</v>
      </c>
      <c r="F116" s="5" t="str">
        <f aca="false">IFERROR(INDEX(Links!$B$345:$B$469,MATCH(C116,Links!$B$218:$B$342,0)),"")</f>
        <v>Rollo de 1.000 u</v>
      </c>
      <c r="G116" s="17" t="n">
        <f aca="false">INDEX(Links!$N$168:$W$168,1,(Resumen!$C$3-2025))</f>
        <v>145.176074484914</v>
      </c>
      <c r="H116" s="17" t="n">
        <f aca="false">SUMPRODUCT(Links!$F$168:$M$168,$O$69:$V$69)*IF(Links!$E$168="CABA",INDEX(Links!$C$13:$L$13,1,(Resumen!$C$3-2025)),IF(Links!$E$168="PBA",1-INDEX(Links!$C$13:$L$13,1,(Resumen!$C$3-2025)),1))</f>
        <v>145.2065706</v>
      </c>
      <c r="I116" s="17" t="n">
        <f aca="false">G116-H116</f>
        <v>-0.030496115085981</v>
      </c>
      <c r="J116" s="6" t="str">
        <f aca="false">IF(ROUND(G116-H116,1)&gt;=0,"✔ Sí","✖ No")</f>
        <v>✔ Sí</v>
      </c>
      <c r="K116" s="17" t="n">
        <f aca="false">IFERROR(INDEX(Links!$C$345:$C$469,MATCH(C116,Links!$B$218:$B$342,0)),1)</f>
        <v>1000</v>
      </c>
      <c r="L116" s="17" t="n">
        <f aca="false">IF(K116&gt;0,H116/K116,0)</f>
        <v>0.1452065706</v>
      </c>
      <c r="M116" s="37" t="n">
        <f aca="false">IF(E116="kg",1,0)</f>
        <v>0</v>
      </c>
      <c r="N116" s="34" t="n">
        <f aca="false">H116*M116</f>
        <v>0</v>
      </c>
    </row>
    <row r="117" customFormat="false" ht="15" hidden="false" customHeight="false" outlineLevel="0" collapsed="false">
      <c r="A117" s="5" t="s">
        <v>67</v>
      </c>
      <c r="B117" s="5" t="s">
        <v>153</v>
      </c>
      <c r="C117" s="6" t="str">
        <f aca="false">Links!$B$169</f>
        <v>MP-78</v>
      </c>
      <c r="D117" s="6" t="str">
        <f aca="false">Links!$C$169</f>
        <v>Oblea de fabricación (PBA)</v>
      </c>
      <c r="E117" s="6" t="str">
        <f aca="false">Links!$D$169</f>
        <v>u</v>
      </c>
      <c r="F117" s="5" t="str">
        <f aca="false">IFERROR(INDEX(Links!$B$345:$B$469,MATCH(C117,Links!$B$218:$B$342,0)),"")</f>
        <v>Paquete de 500 u</v>
      </c>
      <c r="G117" s="17" t="n">
        <f aca="false">INDEX(Links!$N$169:$W$169,1,(Resumen!$C$3-2025))</f>
        <v>1385.71683246007</v>
      </c>
      <c r="H117" s="17" t="n">
        <f aca="false">SUMPRODUCT(Links!$F$169:$M$169,$O$69:$V$69)*IF(Links!$E$169="CABA",INDEX(Links!$C$13:$L$13,1,(Resumen!$C$3-2025)),IF(Links!$E$169="PBA",1-INDEX(Links!$C$13:$L$13,1,(Resumen!$C$3-2025)),1))</f>
        <v>1386.02668957523</v>
      </c>
      <c r="I117" s="17" t="n">
        <f aca="false">G117-H117</f>
        <v>-0.309857115156774</v>
      </c>
      <c r="J117" s="6" t="str">
        <f aca="false">IF(ROUND(G117-H117,1)&gt;=0,"✔ Sí","✖ No")</f>
        <v>✖ No</v>
      </c>
      <c r="K117" s="17" t="n">
        <f aca="false">IFERROR(INDEX(Links!$C$345:$C$469,MATCH(C117,Links!$B$218:$B$342,0)),1)</f>
        <v>500</v>
      </c>
      <c r="L117" s="17" t="n">
        <f aca="false">IF(K117&gt;0,H117/K117,0)</f>
        <v>2.77205337915045</v>
      </c>
      <c r="M117" s="37" t="n">
        <f aca="false">IF(E117="kg",1,0)</f>
        <v>0</v>
      </c>
      <c r="N117" s="34" t="n">
        <f aca="false">H117*M117</f>
        <v>0</v>
      </c>
    </row>
    <row r="118" customFormat="false" ht="15" hidden="false" customHeight="false" outlineLevel="0" collapsed="false">
      <c r="A118" s="5" t="s">
        <v>67</v>
      </c>
      <c r="B118" s="5" t="s">
        <v>153</v>
      </c>
      <c r="C118" s="6" t="str">
        <f aca="false">Links!$B$170</f>
        <v>MP-79</v>
      </c>
      <c r="D118" s="6" t="str">
        <f aca="false">Links!$C$170</f>
        <v>Estampilla IRAM de conformidad</v>
      </c>
      <c r="E118" s="6" t="str">
        <f aca="false">Links!$D$170</f>
        <v>u</v>
      </c>
      <c r="F118" s="5" t="str">
        <f aca="false">IFERROR(INDEX(Links!$B$345:$B$469,MATCH(C118,Links!$B$218:$B$342,0)),"")</f>
        <v>Paquete de 500 u</v>
      </c>
      <c r="G118" s="17" t="n">
        <f aca="false">INDEX(Links!$N$170:$W$170,1,(Resumen!$C$3-2025))</f>
        <v>1814.27644650532</v>
      </c>
      <c r="H118" s="17" t="n">
        <f aca="false">SUMPRODUCT(Links!$F$170:$M$170,$O$69:$V$69)*IF(Links!$E$170="CABA",INDEX(Links!$C$13:$L$13,1,(Resumen!$C$3-2025)),IF(Links!$E$170="PBA",1-INDEX(Links!$C$13:$L$13,1,(Resumen!$C$3-2025)),1))</f>
        <v>1814.6821329</v>
      </c>
      <c r="I118" s="17" t="n">
        <f aca="false">G118-H118</f>
        <v>-0.405686394679833</v>
      </c>
      <c r="J118" s="6" t="str">
        <f aca="false">IF(ROUND(G118-H118,1)&gt;=0,"✔ Sí","✖ No")</f>
        <v>✖ No</v>
      </c>
      <c r="K118" s="17" t="n">
        <f aca="false">IFERROR(INDEX(Links!$C$345:$C$469,MATCH(C118,Links!$B$218:$B$342,0)),1)</f>
        <v>500</v>
      </c>
      <c r="L118" s="17" t="n">
        <f aca="false">IF(K118&gt;0,H118/K118,0)</f>
        <v>3.6293642658</v>
      </c>
      <c r="M118" s="37" t="n">
        <f aca="false">IF(E118="kg",1,0)</f>
        <v>0</v>
      </c>
      <c r="N118" s="34" t="n">
        <f aca="false">H118*M118</f>
        <v>0</v>
      </c>
    </row>
    <row r="119" customFormat="false" ht="15" hidden="false" customHeight="false" outlineLevel="0" collapsed="false">
      <c r="A119" s="5" t="s">
        <v>67</v>
      </c>
      <c r="B119" s="5" t="s">
        <v>153</v>
      </c>
      <c r="C119" s="6" t="str">
        <f aca="false">Links!$B$171</f>
        <v>MP-77</v>
      </c>
      <c r="D119" s="6" t="str">
        <f aca="false">Links!$C$171</f>
        <v>Tarjeta de identificación AGC (CABA)</v>
      </c>
      <c r="E119" s="6" t="str">
        <f aca="false">Links!$D$171</f>
        <v>u</v>
      </c>
      <c r="F119" s="5" t="str">
        <f aca="false">IFERROR(INDEX(Links!$B$345:$B$469,MATCH(C119,Links!$B$218:$B$342,0)),"")</f>
        <v>Paquete de 500 u</v>
      </c>
      <c r="G119" s="17" t="n">
        <f aca="false">INDEX(Links!$N$171:$W$171,1,(Resumen!$C$3-2025))</f>
        <v>428.559614045248</v>
      </c>
      <c r="H119" s="17" t="n">
        <f aca="false">SUMPRODUCT(Links!$F$171:$M$171,$O$69:$V$69)*IF(Links!$E$171="CABA",INDEX(Links!$C$13:$L$13,1,(Resumen!$C$3-2025)),IF(Links!$E$171="PBA",1-INDEX(Links!$C$13:$L$13,1,(Resumen!$C$3-2025)),1))</f>
        <v>428.655443324773</v>
      </c>
      <c r="I119" s="17" t="n">
        <f aca="false">G119-H119</f>
        <v>-0.0958292795252191</v>
      </c>
      <c r="J119" s="6" t="str">
        <f aca="false">IF(ROUND(G119-H119,1)&gt;=0,"✔ Sí","✖ No")</f>
        <v>✖ No</v>
      </c>
      <c r="K119" s="17" t="n">
        <f aca="false">IFERROR(INDEX(Links!$C$345:$C$469,MATCH(C119,Links!$B$218:$B$342,0)),1)</f>
        <v>500</v>
      </c>
      <c r="L119" s="17" t="n">
        <f aca="false">IF(K119&gt;0,H119/K119,0)</f>
        <v>0.857310886649547</v>
      </c>
      <c r="M119" s="37" t="n">
        <f aca="false">IF(E119="kg",1,0)</f>
        <v>0</v>
      </c>
      <c r="N119" s="34" t="n">
        <f aca="false">H119*M119</f>
        <v>0</v>
      </c>
    </row>
    <row r="120" customFormat="false" ht="15" hidden="false" customHeight="false" outlineLevel="0" collapsed="false">
      <c r="A120" s="5" t="s">
        <v>67</v>
      </c>
      <c r="B120" s="5" t="s">
        <v>153</v>
      </c>
      <c r="C120" s="6" t="str">
        <f aca="false">Links!$B$172</f>
        <v>MP-80</v>
      </c>
      <c r="D120" s="6" t="str">
        <f aca="false">Links!$C$172</f>
        <v>Etiqueta de n° de serie GS1</v>
      </c>
      <c r="E120" s="6" t="str">
        <f aca="false">Links!$D$172</f>
        <v>u</v>
      </c>
      <c r="F120" s="5" t="str">
        <f aca="false">IFERROR(INDEX(Links!$B$345:$B$469,MATCH(C120,Links!$B$218:$B$342,0)),"")</f>
        <v>Rollo de 1.000 u</v>
      </c>
      <c r="G120" s="17" t="n">
        <f aca="false">INDEX(Links!$N$172:$W$172,1,(Resumen!$C$3-2025))</f>
        <v>1814.27644650532</v>
      </c>
      <c r="H120" s="17" t="n">
        <f aca="false">SUMPRODUCT(Links!$F$172:$M$172,$O$69:$V$69)*IF(Links!$E$172="CABA",INDEX(Links!$C$13:$L$13,1,(Resumen!$C$3-2025)),IF(Links!$E$172="PBA",1-INDEX(Links!$C$13:$L$13,1,(Resumen!$C$3-2025)),1))</f>
        <v>1814.6821329</v>
      </c>
      <c r="I120" s="17" t="n">
        <f aca="false">G120-H120</f>
        <v>-0.405686394679833</v>
      </c>
      <c r="J120" s="6" t="str">
        <f aca="false">IF(ROUND(G120-H120,1)&gt;=0,"✔ Sí","✖ No")</f>
        <v>✖ No</v>
      </c>
      <c r="K120" s="17" t="n">
        <f aca="false">IFERROR(INDEX(Links!$C$345:$C$469,MATCH(C120,Links!$B$218:$B$342,0)),1)</f>
        <v>1000</v>
      </c>
      <c r="L120" s="17" t="n">
        <f aca="false">IF(K120&gt;0,H120/K120,0)</f>
        <v>1.8146821329</v>
      </c>
      <c r="M120" s="37" t="n">
        <f aca="false">IF(E120="kg",1,0)</f>
        <v>0</v>
      </c>
      <c r="N120" s="34" t="n">
        <f aca="false">H120*M120</f>
        <v>0</v>
      </c>
    </row>
    <row r="121" customFormat="false" ht="15" hidden="false" customHeight="false" outlineLevel="0" collapsed="false">
      <c r="A121" s="5" t="s">
        <v>67</v>
      </c>
      <c r="B121" s="5" t="s">
        <v>153</v>
      </c>
      <c r="C121" s="6" t="str">
        <f aca="false">Links!$B$173</f>
        <v>MP-81</v>
      </c>
      <c r="D121" s="6" t="str">
        <f aca="false">Links!$C$173</f>
        <v>Faja de garantía válvula-cuello</v>
      </c>
      <c r="E121" s="6" t="str">
        <f aca="false">Links!$D$173</f>
        <v>u</v>
      </c>
      <c r="F121" s="5" t="str">
        <f aca="false">IFERROR(INDEX(Links!$B$345:$B$469,MATCH(C121,Links!$B$218:$B$342,0)),"")</f>
        <v>Rollo de 1.000 u</v>
      </c>
      <c r="G121" s="17" t="n">
        <f aca="false">INDEX(Links!$N$173:$W$173,1,(Resumen!$C$3-2025))</f>
        <v>1814.27644650532</v>
      </c>
      <c r="H121" s="17" t="n">
        <f aca="false">SUMPRODUCT(Links!$F$173:$M$173,$O$69:$V$69)*IF(Links!$E$173="CABA",INDEX(Links!$C$13:$L$13,1,(Resumen!$C$3-2025)),IF(Links!$E$173="PBA",1-INDEX(Links!$C$13:$L$13,1,(Resumen!$C$3-2025)),1))</f>
        <v>1814.6821329</v>
      </c>
      <c r="I121" s="17" t="n">
        <f aca="false">G121-H121</f>
        <v>-0.405686394679833</v>
      </c>
      <c r="J121" s="6" t="str">
        <f aca="false">IF(ROUND(G121-H121,1)&gt;=0,"✔ Sí","✖ No")</f>
        <v>✖ No</v>
      </c>
      <c r="K121" s="17" t="n">
        <f aca="false">IFERROR(INDEX(Links!$C$345:$C$469,MATCH(C121,Links!$B$218:$B$342,0)),1)</f>
        <v>1000</v>
      </c>
      <c r="L121" s="17" t="n">
        <f aca="false">IF(K121&gt;0,H121/K121,0)</f>
        <v>1.8146821329</v>
      </c>
      <c r="M121" s="37" t="n">
        <f aca="false">IF(E121="kg",1,0)</f>
        <v>0</v>
      </c>
      <c r="N121" s="34" t="n">
        <f aca="false">H121*M121</f>
        <v>0</v>
      </c>
    </row>
    <row r="122" customFormat="false" ht="15" hidden="false" customHeight="false" outlineLevel="0" collapsed="false">
      <c r="A122" s="5" t="s">
        <v>67</v>
      </c>
      <c r="B122" s="5" t="s">
        <v>153</v>
      </c>
      <c r="C122" s="6" t="str">
        <f aca="false">Links!$B$174</f>
        <v>MP-51</v>
      </c>
      <c r="D122" s="6" t="str">
        <f aca="false">Links!$C$174</f>
        <v>Precinto de fábrica</v>
      </c>
      <c r="E122" s="6" t="str">
        <f aca="false">Links!$D$174</f>
        <v>u</v>
      </c>
      <c r="F122" s="5" t="str">
        <f aca="false">IFERROR(INDEX(Links!$B$345:$B$469,MATCH(C122,Links!$B$218:$B$342,0)),"")</f>
        <v>Bolsa de 1.000 u</v>
      </c>
      <c r="G122" s="17" t="n">
        <f aca="false">INDEX(Links!$N$174:$W$174,1,(Resumen!$C$3-2025))</f>
        <v>1814.27644650532</v>
      </c>
      <c r="H122" s="17" t="n">
        <f aca="false">SUMPRODUCT(Links!$F$174:$M$174,$O$69:$V$69)*IF(Links!$E$174="CABA",INDEX(Links!$C$13:$L$13,1,(Resumen!$C$3-2025)),IF(Links!$E$174="PBA",1-INDEX(Links!$C$13:$L$13,1,(Resumen!$C$3-2025)),1))</f>
        <v>1814.6821329</v>
      </c>
      <c r="I122" s="17" t="n">
        <f aca="false">G122-H122</f>
        <v>-0.405686394679833</v>
      </c>
      <c r="J122" s="6" t="str">
        <f aca="false">IF(ROUND(G122-H122,1)&gt;=0,"✔ Sí","✖ No")</f>
        <v>✖ No</v>
      </c>
      <c r="K122" s="17" t="n">
        <f aca="false">IFERROR(INDEX(Links!$C$345:$C$469,MATCH(C122,Links!$B$218:$B$342,0)),1)</f>
        <v>1000</v>
      </c>
      <c r="L122" s="17" t="n">
        <f aca="false">IF(K122&gt;0,H122/K122,0)</f>
        <v>1.8146821329</v>
      </c>
      <c r="M122" s="37" t="n">
        <f aca="false">IF(E122="kg",1,0)</f>
        <v>0</v>
      </c>
      <c r="N122" s="34" t="n">
        <f aca="false">H122*M122</f>
        <v>0</v>
      </c>
    </row>
    <row r="123" customFormat="false" ht="15" hidden="false" customHeight="false" outlineLevel="0" collapsed="false">
      <c r="A123" s="5" t="s">
        <v>67</v>
      </c>
      <c r="B123" s="5" t="s">
        <v>153</v>
      </c>
      <c r="C123" s="6" t="str">
        <f aca="false">Links!$B$175</f>
        <v>MP-88</v>
      </c>
      <c r="D123" s="6" t="str">
        <f aca="false">Links!$C$175</f>
        <v>Etiqueta del cilindro suelto</v>
      </c>
      <c r="E123" s="6" t="str">
        <f aca="false">Links!$D$175</f>
        <v>u</v>
      </c>
      <c r="F123" s="5" t="str">
        <f aca="false">IFERROR(INDEX(Links!$B$345:$B$469,MATCH(C123,Links!$B$218:$B$342,0)),"")</f>
        <v>Rollo de 1.000 u</v>
      </c>
      <c r="G123" s="17" t="n">
        <f aca="false">INDEX(Links!$N$175:$W$175,1,(Resumen!$C$3-2025))</f>
        <v>1287</v>
      </c>
      <c r="H123" s="17" t="n">
        <f aca="false">SUMPRODUCT(Links!$F$175:$M$175,$O$69:$V$69)*IF(Links!$E$175="CABA",INDEX(Links!$C$13:$L$13,1,(Resumen!$C$3-2025)),IF(Links!$E$175="PBA",1-INDEX(Links!$C$13:$L$13,1,(Resumen!$C$3-2025)),1))</f>
        <v>1292.64</v>
      </c>
      <c r="I123" s="17" t="n">
        <f aca="false">G123-H123</f>
        <v>-5.6400000000001</v>
      </c>
      <c r="J123" s="6" t="str">
        <f aca="false">IF(ROUND(G123-H123,1)&gt;=0,"✔ Sí","✖ No")</f>
        <v>✖ No</v>
      </c>
      <c r="K123" s="17" t="n">
        <f aca="false">IFERROR(INDEX(Links!$C$345:$C$469,MATCH(C123,Links!$B$218:$B$342,0)),1)</f>
        <v>1000</v>
      </c>
      <c r="L123" s="17" t="n">
        <f aca="false">IF(K123&gt;0,H123/K123,0)</f>
        <v>1.29264</v>
      </c>
      <c r="M123" s="37" t="n">
        <f aca="false">IF(E123="kg",1,0)</f>
        <v>0</v>
      </c>
      <c r="N123" s="34" t="n">
        <f aca="false">H123*M123</f>
        <v>0</v>
      </c>
    </row>
    <row r="124" customFormat="false" ht="15" hidden="false" customHeight="false" outlineLevel="0" collapsed="false">
      <c r="A124" s="5" t="s">
        <v>67</v>
      </c>
      <c r="B124" s="5" t="s">
        <v>152</v>
      </c>
      <c r="C124" s="6" t="str">
        <f aca="false">Links!$B$176</f>
        <v>MP-62/M30</v>
      </c>
      <c r="D124" s="6" t="str">
        <f aca="false">Links!$C$176</f>
        <v>Tapón protector de rosca M30</v>
      </c>
      <c r="E124" s="6" t="str">
        <f aca="false">Links!$D$176</f>
        <v>u</v>
      </c>
      <c r="F124" s="5" t="str">
        <f aca="false">IFERROR(INDEX(Links!$B$345:$B$469,MATCH(C124,Links!$B$218:$B$342,0)),"")</f>
        <v>Caja de 5.000 u</v>
      </c>
      <c r="G124" s="17" t="n">
        <f aca="false">INDEX(Links!$N$176:$W$176,1,(Resumen!$C$3-2025))</f>
        <v>1030</v>
      </c>
      <c r="H124" s="17" t="n">
        <f aca="false">SUMPRODUCT(Links!$F$176:$M$176,$O$69:$V$69)*IF(Links!$E$176="CABA",INDEX(Links!$C$13:$L$13,1,(Resumen!$C$3-2025)),IF(Links!$E$176="PBA",1-INDEX(Links!$C$13:$L$13,1,(Resumen!$C$3-2025)),1))</f>
        <v>1034.08</v>
      </c>
      <c r="I124" s="17" t="n">
        <f aca="false">G124-H124</f>
        <v>-4.07999999999993</v>
      </c>
      <c r="J124" s="6" t="str">
        <f aca="false">IF(ROUND(G124-H124,1)&gt;=0,"✔ Sí","✖ No")</f>
        <v>✖ No</v>
      </c>
      <c r="K124" s="17" t="n">
        <f aca="false">IFERROR(INDEX(Links!$C$345:$C$469,MATCH(C124,Links!$B$218:$B$342,0)),1)</f>
        <v>5000</v>
      </c>
      <c r="L124" s="17" t="n">
        <f aca="false">IF(K124&gt;0,H124/K124,0)</f>
        <v>0.206816</v>
      </c>
      <c r="M124" s="37" t="n">
        <f aca="false">IF(E124="kg",1,0)</f>
        <v>0</v>
      </c>
      <c r="N124" s="34" t="n">
        <f aca="false">H124*M124</f>
        <v>0</v>
      </c>
    </row>
    <row r="125" customFormat="false" ht="15" hidden="false" customHeight="false" outlineLevel="0" collapsed="false">
      <c r="A125" s="5" t="s">
        <v>67</v>
      </c>
      <c r="B125" s="5" t="s">
        <v>152</v>
      </c>
      <c r="C125" s="6" t="str">
        <f aca="false">Links!$B$177</f>
        <v>MP-62/2½</v>
      </c>
      <c r="D125" s="6" t="str">
        <f aca="false">Links!$C$177</f>
        <v>Tapón protector de rosca 2½"</v>
      </c>
      <c r="E125" s="6" t="str">
        <f aca="false">Links!$D$177</f>
        <v>u</v>
      </c>
      <c r="F125" s="5" t="str">
        <f aca="false">IFERROR(INDEX(Links!$B$345:$B$469,MATCH(C125,Links!$B$218:$B$342,0)),"")</f>
        <v>Caja de 5.000 u</v>
      </c>
      <c r="G125" s="17" t="n">
        <f aca="false">INDEX(Links!$N$177:$W$177,1,(Resumen!$C$3-2025))</f>
        <v>257</v>
      </c>
      <c r="H125" s="17" t="n">
        <f aca="false">SUMPRODUCT(Links!$F$177:$M$177,$O$69:$V$69)*IF(Links!$E$177="CABA",INDEX(Links!$C$13:$L$13,1,(Resumen!$C$3-2025)),IF(Links!$E$177="PBA",1-INDEX(Links!$C$13:$L$13,1,(Resumen!$C$3-2025)),1))</f>
        <v>258.56</v>
      </c>
      <c r="I125" s="17" t="n">
        <f aca="false">G125-H125</f>
        <v>-1.56</v>
      </c>
      <c r="J125" s="6" t="str">
        <f aca="false">IF(ROUND(G125-H125,1)&gt;=0,"✔ Sí","✖ No")</f>
        <v>✖ No</v>
      </c>
      <c r="K125" s="17" t="n">
        <f aca="false">IFERROR(INDEX(Links!$C$345:$C$469,MATCH(C125,Links!$B$218:$B$342,0)),1)</f>
        <v>5000</v>
      </c>
      <c r="L125" s="17" t="n">
        <f aca="false">IF(K125&gt;0,H125/K125,0)</f>
        <v>0.051712</v>
      </c>
      <c r="M125" s="37" t="n">
        <f aca="false">IF(E125="kg",1,0)</f>
        <v>0</v>
      </c>
      <c r="N125" s="34" t="n">
        <f aca="false">H125*M125</f>
        <v>0</v>
      </c>
    </row>
    <row r="126" customFormat="false" ht="15" hidden="false" customHeight="false" outlineLevel="0" collapsed="false">
      <c r="A126" s="5" t="s">
        <v>67</v>
      </c>
      <c r="B126" s="5" t="s">
        <v>153</v>
      </c>
      <c r="C126" s="6" t="str">
        <f aca="false">Links!$B$178</f>
        <v>MP-60</v>
      </c>
      <c r="D126" s="6" t="str">
        <f aca="false">Links!$C$178</f>
        <v>Pallet de madera 1200 × 1000</v>
      </c>
      <c r="E126" s="6" t="str">
        <f aca="false">Links!$D$178</f>
        <v>u</v>
      </c>
      <c r="F126" s="5" t="str">
        <f aca="false">IFERROR(INDEX(Links!$B$345:$B$469,MATCH(C126,Links!$B$218:$B$342,0)),"")</f>
        <v>Pila de 15 u</v>
      </c>
      <c r="G126" s="17" t="n">
        <f aca="false">INDEX(Links!$N$178:$W$178,1,(Resumen!$C$3-2025))</f>
        <v>134.916666666667</v>
      </c>
      <c r="H126" s="17" t="n">
        <f aca="false">SUMPRODUCT(Links!$F$178:$M$178,$O$69:$V$69)*IF(Links!$E$178="CABA",INDEX(Links!$C$13:$L$13,1,(Resumen!$C$3-2025)),IF(Links!$E$178="PBA",1-INDEX(Links!$C$13:$L$13,1,(Resumen!$C$3-2025)),1))</f>
        <v>135.516111111111</v>
      </c>
      <c r="I126" s="17" t="n">
        <f aca="false">G126-H126</f>
        <v>-0.599444444444117</v>
      </c>
      <c r="J126" s="6" t="str">
        <f aca="false">IF(ROUND(G126-H126,1)&gt;=0,"✔ Sí","✖ No")</f>
        <v>✖ No</v>
      </c>
      <c r="K126" s="17" t="n">
        <f aca="false">IFERROR(INDEX(Links!$C$345:$C$469,MATCH(C126,Links!$B$218:$B$342,0)),1)</f>
        <v>15</v>
      </c>
      <c r="L126" s="17" t="n">
        <f aca="false">IF(K126&gt;0,H126/K126,0)</f>
        <v>9.03440740740741</v>
      </c>
      <c r="M126" s="37" t="n">
        <f aca="false">IF(E126="kg",1,0)</f>
        <v>0</v>
      </c>
      <c r="N126" s="34" t="n">
        <f aca="false">H126*M126</f>
        <v>0</v>
      </c>
    </row>
    <row r="127" customFormat="false" ht="15" hidden="false" customHeight="false" outlineLevel="0" collapsed="false">
      <c r="A127" s="5" t="s">
        <v>67</v>
      </c>
      <c r="B127" s="5" t="s">
        <v>153</v>
      </c>
      <c r="C127" s="6" t="str">
        <f aca="false">Links!$B$179</f>
        <v>MP-90</v>
      </c>
      <c r="D127" s="6" t="str">
        <f aca="false">Links!$C$179</f>
        <v>Etiqueta de pallet</v>
      </c>
      <c r="E127" s="6" t="str">
        <f aca="false">Links!$D$179</f>
        <v>u</v>
      </c>
      <c r="F127" s="5" t="str">
        <f aca="false">IFERROR(INDEX(Links!$B$345:$B$469,MATCH(C127,Links!$B$218:$B$342,0)),"")</f>
        <v>Rollo de 1.000 u</v>
      </c>
      <c r="G127" s="17" t="n">
        <f aca="false">INDEX(Links!$N$179:$W$179,1,(Resumen!$C$3-2025))</f>
        <v>134.916666666667</v>
      </c>
      <c r="H127" s="17" t="n">
        <f aca="false">SUMPRODUCT(Links!$F$179:$M$179,$O$69:$V$69)*IF(Links!$E$179="CABA",INDEX(Links!$C$13:$L$13,1,(Resumen!$C$3-2025)),IF(Links!$E$179="PBA",1-INDEX(Links!$C$13:$L$13,1,(Resumen!$C$3-2025)),1))</f>
        <v>135.516111111111</v>
      </c>
      <c r="I127" s="17" t="n">
        <f aca="false">G127-H127</f>
        <v>-0.599444444444117</v>
      </c>
      <c r="J127" s="6" t="str">
        <f aca="false">IF(ROUND(G127-H127,1)&gt;=0,"✔ Sí","✖ No")</f>
        <v>✖ No</v>
      </c>
      <c r="K127" s="17" t="n">
        <f aca="false">IFERROR(INDEX(Links!$C$345:$C$469,MATCH(C127,Links!$B$218:$B$342,0)),1)</f>
        <v>1000</v>
      </c>
      <c r="L127" s="17" t="n">
        <f aca="false">IF(K127&gt;0,H127/K127,0)</f>
        <v>0.135516111111111</v>
      </c>
      <c r="M127" s="37" t="n">
        <f aca="false">IF(E127="kg",1,0)</f>
        <v>0</v>
      </c>
      <c r="N127" s="34" t="n">
        <f aca="false">H127*M127</f>
        <v>0</v>
      </c>
    </row>
    <row r="129" customFormat="false" ht="15" hidden="false" customHeight="false" outlineLevel="0" collapsed="false">
      <c r="A129" s="15" t="s">
        <v>76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</row>
    <row r="130" customFormat="false" ht="15" hidden="false" customHeight="false" outlineLevel="0" collapsed="false">
      <c r="A130" s="4" t="s">
        <v>96</v>
      </c>
      <c r="B130" s="5" t="s">
        <v>313</v>
      </c>
      <c r="O130" s="36" t="n">
        <f aca="false">Resumen!$D$23</f>
        <v>56575.8368575054</v>
      </c>
      <c r="P130" s="36" t="n">
        <f aca="false">Resumen!$D$24</f>
        <v>4860.71011839089</v>
      </c>
      <c r="Q130" s="36" t="n">
        <f aca="false">Resumen!$D$25</f>
        <v>29554.3203107948</v>
      </c>
      <c r="R130" s="36" t="n">
        <f aca="false">Resumen!$D$26</f>
        <v>1751.36955653994</v>
      </c>
      <c r="S130" s="36" t="n">
        <f aca="false">Resumen!$D$27</f>
        <v>2471.83311933763</v>
      </c>
      <c r="T130" s="36" t="n">
        <f aca="false">Resumen!$D$28</f>
        <v>468.458588756731</v>
      </c>
      <c r="U130" s="36" t="n">
        <f aca="false">Resumen!$D$29</f>
        <v>244.066833405312</v>
      </c>
      <c r="V130" s="36" t="n">
        <f aca="false">Resumen!$D$30</f>
        <v>141.356355954645</v>
      </c>
      <c r="W130" s="36" t="n">
        <f aca="false">Resumen!$D$31</f>
        <v>1218.24282190818</v>
      </c>
      <c r="X130" s="36" t="n">
        <f aca="false">Resumen!$D$32</f>
        <v>6648.91332717417</v>
      </c>
      <c r="Y130" s="36" t="n">
        <f aca="false">Resumen!$D$33</f>
        <v>2270.47576029921</v>
      </c>
      <c r="Z130" s="36" t="n">
        <f aca="false">Resumen!$D$34</f>
        <v>372.61985757759</v>
      </c>
      <c r="AA130" s="36" t="n">
        <f aca="false">Resumen!$D$35</f>
        <v>127.86907204172</v>
      </c>
      <c r="AB130" s="36" t="n">
        <f aca="false">Resumen!$D$36</f>
        <v>305.325058646191</v>
      </c>
      <c r="AC130" s="36" t="n">
        <f aca="false">Resumen!$D$37</f>
        <v>670.71512861809</v>
      </c>
      <c r="AD130" s="36" t="n">
        <f aca="false">Resumen!$D$38</f>
        <v>147.156028161701</v>
      </c>
      <c r="AE130" s="36" t="n">
        <f aca="false">Resumen!$D$39</f>
        <v>98.1040185823099</v>
      </c>
      <c r="AF130" s="36" t="n">
        <f aca="false">INDEX(Links!$C$49:$L$49,1,(Resumen!$C$3-2025))</f>
        <v>129.892396568768</v>
      </c>
    </row>
    <row r="131" customFormat="false" ht="30" hidden="false" customHeight="true" outlineLevel="0" collapsed="false">
      <c r="A131" s="3" t="s">
        <v>48</v>
      </c>
      <c r="B131" s="3" t="s">
        <v>133</v>
      </c>
      <c r="C131" s="3" t="s">
        <v>314</v>
      </c>
      <c r="D131" s="3" t="s">
        <v>315</v>
      </c>
      <c r="E131" s="3" t="s">
        <v>136</v>
      </c>
      <c r="F131" s="3" t="s">
        <v>134</v>
      </c>
      <c r="G131" s="3" t="s">
        <v>316</v>
      </c>
      <c r="H131" s="3" t="s">
        <v>317</v>
      </c>
      <c r="I131" s="3" t="s">
        <v>318</v>
      </c>
      <c r="J131" s="3" t="s">
        <v>319</v>
      </c>
      <c r="K131" s="3" t="s">
        <v>320</v>
      </c>
      <c r="L131" s="3" t="s">
        <v>321</v>
      </c>
      <c r="M131" s="3" t="s">
        <v>322</v>
      </c>
      <c r="N131" s="3" t="s">
        <v>323</v>
      </c>
    </row>
    <row r="132" customFormat="false" ht="15" hidden="false" customHeight="false" outlineLevel="0" collapsed="false">
      <c r="A132" s="5" t="s">
        <v>76</v>
      </c>
      <c r="B132" s="5" t="s">
        <v>150</v>
      </c>
      <c r="C132" s="6" t="str">
        <f aca="false">Links!$B$182</f>
        <v>MP-33</v>
      </c>
      <c r="D132" s="6" t="str">
        <f aca="false">Links!$C$182</f>
        <v>Polvo ABC 60 (manuales y sus recargas)</v>
      </c>
      <c r="E132" s="6" t="str">
        <f aca="false">Links!$D$182</f>
        <v>kg</v>
      </c>
      <c r="F132" s="5" t="str">
        <f aca="false">IFERROR(INDEX(Links!$B$345:$B$469,MATCH(C132,Links!$B$218:$B$342,0)),"")</f>
        <v>Big bag de 1.000 kg</v>
      </c>
      <c r="G132" s="17" t="n">
        <f aca="false">INDEX(Links!$X$182:$AG$182,1,(Resumen!$C$3-2025))</f>
        <v>42706.572139183</v>
      </c>
      <c r="H132" s="17" t="n">
        <f aca="false">SUMPRODUCT(Links!$F$182:$W$182,$O$130:$AF$130)*IF(Links!$E$182="CABA",INDEX(Links!$C$14:$L$14,1,(Resumen!$C$3-2025)),IF(Links!$E$182="PBA",1-INDEX(Links!$C$14:$L$14,1,(Resumen!$C$3-2025)),1))</f>
        <v>42315.769643171</v>
      </c>
      <c r="I132" s="17" t="n">
        <f aca="false">G132-H132</f>
        <v>390.802496012009</v>
      </c>
      <c r="J132" s="6" t="str">
        <f aca="false">IF(ROUND(G132-H132,1)&gt;=0,"✔ Sí","✖ No")</f>
        <v>✔ Sí</v>
      </c>
      <c r="K132" s="17" t="n">
        <f aca="false">IFERROR(INDEX(Links!$C$345:$C$469,MATCH(C132,Links!$B$218:$B$342,0)),1)</f>
        <v>1000</v>
      </c>
      <c r="L132" s="17" t="n">
        <f aca="false">IF(K132&gt;0,H132/K132,0)</f>
        <v>42.315769643171</v>
      </c>
      <c r="M132" s="37" t="n">
        <f aca="false">IF(E132="kg",1,0)</f>
        <v>1</v>
      </c>
      <c r="N132" s="34" t="n">
        <f aca="false">H132*M132</f>
        <v>42315.769643171</v>
      </c>
    </row>
    <row r="133" customFormat="false" ht="15" hidden="false" customHeight="false" outlineLevel="0" collapsed="false">
      <c r="A133" s="5" t="s">
        <v>76</v>
      </c>
      <c r="B133" s="5" t="s">
        <v>150</v>
      </c>
      <c r="C133" s="6" t="str">
        <f aca="false">Links!$B$183</f>
        <v>MP-33B</v>
      </c>
      <c r="D133" s="6" t="str">
        <f aca="false">Links!$C$183</f>
        <v>Polvo ABC 90 (carros y sus recargas)</v>
      </c>
      <c r="E133" s="6" t="str">
        <f aca="false">Links!$D$183</f>
        <v>kg</v>
      </c>
      <c r="F133" s="5" t="str">
        <f aca="false">IFERROR(INDEX(Links!$B$345:$B$469,MATCH(C133,Links!$B$218:$B$342,0)),"")</f>
        <v>Big bag de 1.000 kg</v>
      </c>
      <c r="G133" s="17" t="n">
        <f aca="false">INDEX(Links!$X$183:$AG$183,1,(Resumen!$C$3-2025))</f>
        <v>10553.0160608562</v>
      </c>
      <c r="H133" s="17" t="n">
        <f aca="false">SUMPRODUCT(Links!$F$183:$W$183,$O$130:$AF$130)*IF(Links!$E$183="CABA",INDEX(Links!$C$14:$L$14,1,(Resumen!$C$3-2025)),IF(Links!$E$183="PBA",1-INDEX(Links!$C$14:$L$14,1,(Resumen!$C$3-2025)),1))</f>
        <v>10613.9930281523</v>
      </c>
      <c r="I133" s="17" t="n">
        <f aca="false">G133-H133</f>
        <v>-60.9769672960865</v>
      </c>
      <c r="J133" s="6" t="str">
        <f aca="false">IF(ROUND(G133-H133,1)&gt;=0,"✔ Sí","✖ No")</f>
        <v>✖ No</v>
      </c>
      <c r="K133" s="17" t="n">
        <f aca="false">IFERROR(INDEX(Links!$C$345:$C$469,MATCH(C133,Links!$B$218:$B$342,0)),1)</f>
        <v>1000</v>
      </c>
      <c r="L133" s="17" t="n">
        <f aca="false">IF(K133&gt;0,H133/K133,0)</f>
        <v>10.6139930281523</v>
      </c>
      <c r="M133" s="37" t="n">
        <f aca="false">IF(E133="kg",1,0)</f>
        <v>1</v>
      </c>
      <c r="N133" s="34" t="n">
        <f aca="false">H133*M133</f>
        <v>10613.9930281523</v>
      </c>
    </row>
    <row r="134" customFormat="false" ht="15" hidden="false" customHeight="false" outlineLevel="0" collapsed="false">
      <c r="A134" s="5" t="s">
        <v>76</v>
      </c>
      <c r="B134" s="5" t="s">
        <v>150</v>
      </c>
      <c r="C134" s="6" t="str">
        <f aca="false">Links!$B$184</f>
        <v>MP-35</v>
      </c>
      <c r="D134" s="6" t="str">
        <f aca="false">Links!$C$184</f>
        <v>Polvo BC (recargas)</v>
      </c>
      <c r="E134" s="6" t="str">
        <f aca="false">Links!$D$184</f>
        <v>kg</v>
      </c>
      <c r="F134" s="5" t="str">
        <f aca="false">IFERROR(INDEX(Links!$B$345:$B$469,MATCH(C134,Links!$B$218:$B$342,0)),"")</f>
        <v>Bolsa de 25 kg</v>
      </c>
      <c r="G134" s="17" t="n">
        <f aca="false">INDEX(Links!$X$184:$AG$184,1,(Resumen!$C$3-2025))</f>
        <v>725.457135307448</v>
      </c>
      <c r="H134" s="17" t="n">
        <f aca="false">SUMPRODUCT(Links!$F$184:$W$184,$O$130:$AF$130)*IF(Links!$E$184="CABA",INDEX(Links!$C$14:$L$14,1,(Resumen!$C$3-2025)),IF(Links!$E$184="PBA",1-INDEX(Links!$C$14:$L$14,1,(Resumen!$C$3-2025)),1))</f>
        <v>727.985233166422</v>
      </c>
      <c r="I134" s="17" t="n">
        <f aca="false">G134-H134</f>
        <v>-2.52809785897387</v>
      </c>
      <c r="J134" s="6" t="str">
        <f aca="false">IF(ROUND(G134-H134,1)&gt;=0,"✔ Sí","✖ No")</f>
        <v>✖ No</v>
      </c>
      <c r="K134" s="17" t="n">
        <f aca="false">IFERROR(INDEX(Links!$C$345:$C$469,MATCH(C134,Links!$B$218:$B$342,0)),1)</f>
        <v>25</v>
      </c>
      <c r="L134" s="17" t="n">
        <f aca="false">IF(K134&gt;0,H134/K134,0)</f>
        <v>29.1194093266569</v>
      </c>
      <c r="M134" s="37" t="n">
        <f aca="false">IF(E134="kg",1,0)</f>
        <v>1</v>
      </c>
      <c r="N134" s="34" t="n">
        <f aca="false">H134*M134</f>
        <v>727.985233166422</v>
      </c>
    </row>
    <row r="135" customFormat="false" ht="15" hidden="false" customHeight="false" outlineLevel="0" collapsed="false">
      <c r="A135" s="5" t="s">
        <v>76</v>
      </c>
      <c r="B135" s="5" t="s">
        <v>150</v>
      </c>
      <c r="C135" s="6" t="str">
        <f aca="false">Links!$B$185</f>
        <v>MP-36</v>
      </c>
      <c r="D135" s="6" t="str">
        <f aca="false">Links!$C$185</f>
        <v>Polvo clase D (recargas)</v>
      </c>
      <c r="E135" s="6" t="str">
        <f aca="false">Links!$D$185</f>
        <v>kg</v>
      </c>
      <c r="F135" s="5" t="str">
        <f aca="false">IFERROR(INDEX(Links!$B$345:$B$469,MATCH(C135,Links!$B$218:$B$342,0)),"")</f>
        <v>Bolsa de 25 kg</v>
      </c>
      <c r="G135" s="17" t="n">
        <f aca="false">INDEX(Links!$X$185:$AG$185,1,(Resumen!$C$3-2025))</f>
        <v>1163.06980253485</v>
      </c>
      <c r="H135" s="17" t="n">
        <f aca="false">SUMPRODUCT(Links!$F$185:$W$185,$O$130:$AF$130)*IF(Links!$E$185="CABA",INDEX(Links!$C$14:$L$14,1,(Resumen!$C$3-2025)),IF(Links!$E$185="PBA",1-INDEX(Links!$C$14:$L$14,1,(Resumen!$C$3-2025)),1))</f>
        <v>1170.00200918174</v>
      </c>
      <c r="I135" s="17" t="n">
        <f aca="false">G135-H135</f>
        <v>-6.93220664688806</v>
      </c>
      <c r="J135" s="6" t="str">
        <f aca="false">IF(ROUND(G135-H135,1)&gt;=0,"✔ Sí","✖ No")</f>
        <v>✖ No</v>
      </c>
      <c r="K135" s="17" t="n">
        <f aca="false">IFERROR(INDEX(Links!$C$345:$C$469,MATCH(C135,Links!$B$218:$B$342,0)),1)</f>
        <v>25</v>
      </c>
      <c r="L135" s="17" t="n">
        <f aca="false">IF(K135&gt;0,H135/K135,0)</f>
        <v>46.8000803672695</v>
      </c>
      <c r="M135" s="37" t="n">
        <f aca="false">IF(E135="kg",1,0)</f>
        <v>1</v>
      </c>
      <c r="N135" s="34" t="n">
        <f aca="false">H135*M135</f>
        <v>1170.00200918174</v>
      </c>
    </row>
    <row r="136" customFormat="false" ht="15" hidden="false" customHeight="false" outlineLevel="0" collapsed="false">
      <c r="A136" s="5" t="s">
        <v>76</v>
      </c>
      <c r="B136" s="5" t="s">
        <v>256</v>
      </c>
      <c r="C136" s="6" t="str">
        <f aca="false">Links!$B$186</f>
        <v>MP-37</v>
      </c>
      <c r="D136" s="6" t="str">
        <f aca="false">Links!$C$186</f>
        <v>CO₂ líquido (recargas)</v>
      </c>
      <c r="E136" s="6" t="str">
        <f aca="false">Links!$D$186</f>
        <v>kg</v>
      </c>
      <c r="F136" s="5" t="str">
        <f aca="false">IFERROR(INDEX(Links!$B$345:$B$469,MATCH(C136,Links!$B$218:$B$342,0)),"")</f>
        <v>Cilindro de 25 kg</v>
      </c>
      <c r="G136" s="17" t="n">
        <f aca="false">INDEX(Links!$X$186:$AG$186,1,(Resumen!$C$3-2025))</f>
        <v>2474.01024591012</v>
      </c>
      <c r="H136" s="17" t="n">
        <f aca="false">SUMPRODUCT(Links!$F$186:$W$186,$O$130:$AF$130)*IF(Links!$E$186="CABA",INDEX(Links!$C$14:$L$14,1,(Resumen!$C$3-2025)),IF(Links!$E$186="PBA",1-INDEX(Links!$C$14:$L$14,1,(Resumen!$C$3-2025)),1))</f>
        <v>2465.02054558444</v>
      </c>
      <c r="I136" s="17" t="n">
        <f aca="false">G136-H136</f>
        <v>8.98970032568104</v>
      </c>
      <c r="J136" s="6" t="str">
        <f aca="false">IF(ROUND(G136-H136,1)&gt;=0,"✔ Sí","✖ No")</f>
        <v>✔ Sí</v>
      </c>
      <c r="K136" s="17" t="n">
        <f aca="false">IFERROR(INDEX(Links!$C$345:$C$469,MATCH(C136,Links!$B$218:$B$342,0)),1)</f>
        <v>25</v>
      </c>
      <c r="L136" s="17" t="n">
        <f aca="false">IF(K136&gt;0,H136/K136,0)</f>
        <v>98.6008218233776</v>
      </c>
      <c r="M136" s="37" t="n">
        <f aca="false">IF(E136="kg",1,0)</f>
        <v>1</v>
      </c>
      <c r="N136" s="34" t="n">
        <f aca="false">H136*M136</f>
        <v>2465.02054558444</v>
      </c>
    </row>
    <row r="137" customFormat="false" ht="15" hidden="false" customHeight="false" outlineLevel="0" collapsed="false">
      <c r="A137" s="5" t="s">
        <v>76</v>
      </c>
      <c r="B137" s="5" t="s">
        <v>256</v>
      </c>
      <c r="C137" s="6" t="str">
        <f aca="false">Links!$B$187</f>
        <v>MP-38</v>
      </c>
      <c r="D137" s="6" t="str">
        <f aca="false">Links!$C$187</f>
        <v>Agente limpio HCFC-123 (recargas)</v>
      </c>
      <c r="E137" s="6" t="str">
        <f aca="false">Links!$D$187</f>
        <v>kg</v>
      </c>
      <c r="F137" s="5" t="str">
        <f aca="false">IFERROR(INDEX(Links!$B$345:$B$469,MATCH(C137,Links!$B$218:$B$342,0)),"")</f>
        <v>Cilindro de 50 kg</v>
      </c>
      <c r="G137" s="17" t="n">
        <f aca="false">INDEX(Links!$X$187:$AG$187,1,(Resumen!$C$3-2025))</f>
        <v>185.038186767902</v>
      </c>
      <c r="H137" s="17" t="n">
        <f aca="false">SUMPRODUCT(Links!$F$187:$W$187,$O$130:$AF$130)*IF(Links!$E$187="CABA",INDEX(Links!$C$14:$L$14,1,(Resumen!$C$3-2025)),IF(Links!$E$187="PBA",1-INDEX(Links!$C$14:$L$14,1,(Resumen!$C$3-2025)),1))</f>
        <v>186.309928788795</v>
      </c>
      <c r="I137" s="17" t="n">
        <f aca="false">G137-H137</f>
        <v>-1.27174202089299</v>
      </c>
      <c r="J137" s="6" t="str">
        <f aca="false">IF(ROUND(G137-H137,1)&gt;=0,"✔ Sí","✖ No")</f>
        <v>✖ No</v>
      </c>
      <c r="K137" s="17" t="n">
        <f aca="false">IFERROR(INDEX(Links!$C$345:$C$469,MATCH(C137,Links!$B$218:$B$342,0)),1)</f>
        <v>50</v>
      </c>
      <c r="L137" s="17" t="n">
        <f aca="false">IF(K137&gt;0,H137/K137,0)</f>
        <v>3.7261985757759</v>
      </c>
      <c r="M137" s="37" t="n">
        <f aca="false">IF(E137="kg",1,0)</f>
        <v>1</v>
      </c>
      <c r="N137" s="34" t="n">
        <f aca="false">H137*M137</f>
        <v>186.309928788795</v>
      </c>
    </row>
    <row r="138" customFormat="false" ht="15" hidden="false" customHeight="false" outlineLevel="0" collapsed="false">
      <c r="A138" s="5" t="s">
        <v>76</v>
      </c>
      <c r="B138" s="5" t="s">
        <v>257</v>
      </c>
      <c r="C138" s="6" t="str">
        <f aca="false">Links!$B$188</f>
        <v>MP-40</v>
      </c>
      <c r="D138" s="6" t="str">
        <f aca="false">Links!$C$188</f>
        <v>Concentrado AFFF 3 % (recargas)</v>
      </c>
      <c r="E138" s="6" t="str">
        <f aca="false">Links!$D$188</f>
        <v>L</v>
      </c>
      <c r="F138" s="5" t="str">
        <f aca="false">IFERROR(INDEX(Links!$B$345:$B$469,MATCH(C138,Links!$B$218:$B$342,0)),"")</f>
        <v>Bidón de 20 L</v>
      </c>
      <c r="G138" s="17" t="n">
        <f aca="false">INDEX(Links!$X$188:$AG$188,1,(Resumen!$C$3-2025))</f>
        <v>505.427368998169</v>
      </c>
      <c r="H138" s="17" t="n">
        <f aca="false">SUMPRODUCT(Links!$F$188:$W$188,$O$130:$AF$130)*IF(Links!$E$188="CABA",INDEX(Links!$C$14:$L$14,1,(Resumen!$C$3-2025)),IF(Links!$E$188="PBA",1-INDEX(Links!$C$14:$L$14,1,(Resumen!$C$3-2025)),1))</f>
        <v>506.637826734987</v>
      </c>
      <c r="I138" s="17" t="n">
        <f aca="false">G138-H138</f>
        <v>-1.21045773681828</v>
      </c>
      <c r="J138" s="6" t="str">
        <f aca="false">IF(ROUND(G138-H138,1)&gt;=0,"✔ Sí","✖ No")</f>
        <v>✖ No</v>
      </c>
      <c r="K138" s="17" t="n">
        <f aca="false">IFERROR(INDEX(Links!$C$345:$C$469,MATCH(C138,Links!$B$218:$B$342,0)),1)</f>
        <v>20</v>
      </c>
      <c r="L138" s="17" t="n">
        <f aca="false">IF(K138&gt;0,H138/K138,0)</f>
        <v>25.3318913367494</v>
      </c>
      <c r="M138" s="37" t="n">
        <f aca="false">IF(E138="kg",1,0)</f>
        <v>0</v>
      </c>
      <c r="N138" s="34" t="n">
        <f aca="false">H138*M138</f>
        <v>0</v>
      </c>
    </row>
    <row r="139" customFormat="false" ht="15" hidden="false" customHeight="false" outlineLevel="0" collapsed="false">
      <c r="A139" s="5" t="s">
        <v>76</v>
      </c>
      <c r="B139" s="5" t="s">
        <v>257</v>
      </c>
      <c r="C139" s="6" t="str">
        <f aca="false">Links!$B$189</f>
        <v>MP-41</v>
      </c>
      <c r="D139" s="6" t="str">
        <f aca="false">Links!$C$189</f>
        <v>Acetato de potasio Gastro K (recargas)</v>
      </c>
      <c r="E139" s="6" t="str">
        <f aca="false">Links!$D$189</f>
        <v>L</v>
      </c>
      <c r="F139" s="5" t="str">
        <f aca="false">IFERROR(INDEX(Links!$B$345:$B$469,MATCH(C139,Links!$B$218:$B$342,0)),"")</f>
        <v>Bidón de 20 L</v>
      </c>
      <c r="G139" s="17" t="n">
        <f aca="false">INDEX(Links!$X$189:$AG$189,1,(Resumen!$C$3-2025))</f>
        <v>7383.01305370899</v>
      </c>
      <c r="H139" s="17" t="n">
        <f aca="false">SUMPRODUCT(Links!$F$189:$W$189,$O$130:$AF$130)*IF(Links!$E$189="CABA",INDEX(Links!$C$14:$L$14,1,(Resumen!$C$3-2025)),IF(Links!$E$189="PBA",1-INDEX(Links!$C$14:$L$14,1,(Resumen!$C$3-2025)),1))</f>
        <v>7419.09878542082</v>
      </c>
      <c r="I139" s="17" t="n">
        <f aca="false">G139-H139</f>
        <v>-36.0857317118262</v>
      </c>
      <c r="J139" s="6" t="str">
        <f aca="false">IF(ROUND(G139-H139,1)&gt;=0,"✔ Sí","✖ No")</f>
        <v>✖ No</v>
      </c>
      <c r="K139" s="17" t="n">
        <f aca="false">IFERROR(INDEX(Links!$C$345:$C$469,MATCH(C139,Links!$B$218:$B$342,0)),1)</f>
        <v>20</v>
      </c>
      <c r="L139" s="17" t="n">
        <f aca="false">IF(K139&gt;0,H139/K139,0)</f>
        <v>370.954939271041</v>
      </c>
      <c r="M139" s="37" t="n">
        <f aca="false">IF(E139="kg",1,0)</f>
        <v>0</v>
      </c>
      <c r="N139" s="34" t="n">
        <f aca="false">H139*M139</f>
        <v>0</v>
      </c>
    </row>
    <row r="140" customFormat="false" ht="15" hidden="false" customHeight="false" outlineLevel="0" collapsed="false">
      <c r="A140" s="5" t="s">
        <v>76</v>
      </c>
      <c r="B140" s="5" t="s">
        <v>151</v>
      </c>
      <c r="C140" s="6" t="str">
        <f aca="false">Links!$B$190</f>
        <v>MP-34</v>
      </c>
      <c r="D140" s="6" t="str">
        <f aca="false">Links!$C$190</f>
        <v>Nitrógeno seco</v>
      </c>
      <c r="E140" s="6" t="str">
        <f aca="false">Links!$D$190</f>
        <v>m³</v>
      </c>
      <c r="F140" s="5" t="str">
        <f aca="false">IFERROR(INDEX(Links!$B$345:$B$469,MATCH(C140,Links!$B$218:$B$342,0)),"")</f>
        <v>Pack de 12 cilindros</v>
      </c>
      <c r="G140" s="17" t="n">
        <f aca="false">INDEX(Links!$X$190:$AG$190,1,(Resumen!$C$3-2025))</f>
        <v>1852.60216272722</v>
      </c>
      <c r="H140" s="17" t="n">
        <f aca="false">SUMPRODUCT(Links!$F$190:$W$190,$O$130:$AF$130)*IF(Links!$E$190="CABA",INDEX(Links!$C$14:$L$14,1,(Resumen!$C$3-2025)),IF(Links!$E$190="PBA",1-INDEX(Links!$C$14:$L$14,1,(Resumen!$C$3-2025)),1))</f>
        <v>1843.53482815395</v>
      </c>
      <c r="I140" s="17" t="n">
        <f aca="false">G140-H140</f>
        <v>9.06733457327437</v>
      </c>
      <c r="J140" s="6" t="str">
        <f aca="false">IF(ROUND(G140-H140,1)&gt;=0,"✔ Sí","✖ No")</f>
        <v>✔ Sí</v>
      </c>
      <c r="K140" s="17" t="n">
        <f aca="false">IFERROR(INDEX(Links!$C$345:$C$469,MATCH(C140,Links!$B$218:$B$342,0)),1)</f>
        <v>110</v>
      </c>
      <c r="L140" s="17" t="n">
        <f aca="false">IF(K140&gt;0,H140/K140,0)</f>
        <v>16.7594075286722</v>
      </c>
      <c r="M140" s="37" t="n">
        <f aca="false">IF(E140="kg",1,0)</f>
        <v>0</v>
      </c>
      <c r="N140" s="34" t="n">
        <f aca="false">H140*M140</f>
        <v>0</v>
      </c>
    </row>
    <row r="141" customFormat="false" ht="15" hidden="false" customHeight="false" outlineLevel="0" collapsed="false">
      <c r="A141" s="5" t="s">
        <v>76</v>
      </c>
      <c r="B141" s="5" t="s">
        <v>152</v>
      </c>
      <c r="C141" s="6" t="str">
        <f aca="false">Links!$B$191</f>
        <v>MP-50/OT</v>
      </c>
      <c r="D141" s="6" t="str">
        <f aca="false">Links!$C$191</f>
        <v>Junta tórica del cuello (recargas, surtido por medida)</v>
      </c>
      <c r="E141" s="6" t="str">
        <f aca="false">Links!$D$191</f>
        <v>u</v>
      </c>
      <c r="F141" s="5" t="str">
        <f aca="false">IFERROR(INDEX(Links!$B$345:$B$469,MATCH(C141,Links!$B$218:$B$342,0)),"")</f>
        <v>Bolsa de 1.000 u</v>
      </c>
      <c r="G141" s="17" t="n">
        <f aca="false">INDEX(Links!$X$191:$AG$191,1,(Resumen!$C$3-2025))</f>
        <v>102177.896561299</v>
      </c>
      <c r="H141" s="17" t="n">
        <f aca="false">SUMPRODUCT(Links!$F$191:$W$191,$O$130:$AF$130)*IF(Links!$E$191="CABA",INDEX(Links!$C$14:$L$14,1,(Resumen!$C$3-2025)),IF(Links!$E$191="PBA",1-INDEX(Links!$C$14:$L$14,1,(Resumen!$C$3-2025)),1))</f>
        <v>101887.566999411</v>
      </c>
      <c r="I141" s="17" t="n">
        <f aca="false">G141-H141</f>
        <v>290.329561887629</v>
      </c>
      <c r="J141" s="6" t="str">
        <f aca="false">IF(ROUND(G141-H141,1)&gt;=0,"✔ Sí","✖ No")</f>
        <v>✔ Sí</v>
      </c>
      <c r="K141" s="17" t="n">
        <f aca="false">IFERROR(INDEX(Links!$C$345:$C$469,MATCH(C141,Links!$B$218:$B$342,0)),1)</f>
        <v>1000</v>
      </c>
      <c r="L141" s="17" t="n">
        <f aca="false">IF(K141&gt;0,H141/K141,0)</f>
        <v>101.887566999411</v>
      </c>
      <c r="M141" s="37" t="n">
        <f aca="false">IF(E141="kg",1,0)</f>
        <v>0</v>
      </c>
      <c r="N141" s="34" t="n">
        <f aca="false">H141*M141</f>
        <v>0</v>
      </c>
    </row>
    <row r="142" customFormat="false" ht="15" hidden="false" customHeight="false" outlineLevel="0" collapsed="false">
      <c r="A142" s="5" t="s">
        <v>76</v>
      </c>
      <c r="B142" s="5" t="s">
        <v>152</v>
      </c>
      <c r="C142" s="6" t="str">
        <f aca="false">Links!$B$192</f>
        <v>MP-55</v>
      </c>
      <c r="D142" s="6" t="str">
        <f aca="false">Links!$C$192</f>
        <v>Conjunto de seguridad de CO₂ (recargas)</v>
      </c>
      <c r="E142" s="6" t="str">
        <f aca="false">Links!$D$192</f>
        <v>u</v>
      </c>
      <c r="F142" s="5" t="str">
        <f aca="false">IFERROR(INDEX(Links!$B$345:$B$469,MATCH(C142,Links!$B$218:$B$342,0)),"")</f>
        <v>Bolsa de 100 u</v>
      </c>
      <c r="G142" s="17" t="n">
        <f aca="false">INDEX(Links!$X$192:$AG$192,1,(Resumen!$C$3-2025))</f>
        <v>3105.77010888421</v>
      </c>
      <c r="H142" s="17" t="n">
        <f aca="false">SUMPRODUCT(Links!$F$192:$W$192,$O$130:$AF$130)*IF(Links!$E$192="CABA",INDEX(Links!$C$14:$L$14,1,(Resumen!$C$3-2025)),IF(Links!$E$192="PBA",1-INDEX(Links!$C$14:$L$14,1,(Resumen!$C$3-2025)),1))</f>
        <v>3121.78618061568</v>
      </c>
      <c r="I142" s="17" t="n">
        <f aca="false">G142-H142</f>
        <v>-16.0160717314729</v>
      </c>
      <c r="J142" s="6" t="str">
        <f aca="false">IF(ROUND(G142-H142,1)&gt;=0,"✔ Sí","✖ No")</f>
        <v>✖ No</v>
      </c>
      <c r="K142" s="17" t="n">
        <f aca="false">IFERROR(INDEX(Links!$C$345:$C$469,MATCH(C142,Links!$B$218:$B$342,0)),1)</f>
        <v>100</v>
      </c>
      <c r="L142" s="17" t="n">
        <f aca="false">IF(K142&gt;0,H142/K142,0)</f>
        <v>31.2178618061568</v>
      </c>
      <c r="M142" s="37" t="n">
        <f aca="false">IF(E142="kg",1,0)</f>
        <v>0</v>
      </c>
      <c r="N142" s="34" t="n">
        <f aca="false">H142*M142</f>
        <v>0</v>
      </c>
    </row>
    <row r="143" customFormat="false" ht="15" hidden="false" customHeight="false" outlineLevel="0" collapsed="false">
      <c r="A143" s="5" t="s">
        <v>76</v>
      </c>
      <c r="B143" s="5" t="s">
        <v>153</v>
      </c>
      <c r="C143" s="6" t="str">
        <f aca="false">Links!$B$193</f>
        <v>MP-57</v>
      </c>
      <c r="D143" s="6" t="str">
        <f aca="false">Links!$C$193</f>
        <v>Marbete del año</v>
      </c>
      <c r="E143" s="6" t="str">
        <f aca="false">Links!$D$193</f>
        <v>u</v>
      </c>
      <c r="F143" s="5" t="str">
        <f aca="false">IFERROR(INDEX(Links!$B$345:$B$469,MATCH(C143,Links!$B$218:$B$342,0)),"")</f>
        <v>Paquete de 1.000 u</v>
      </c>
      <c r="G143" s="17" t="n">
        <f aca="false">INDEX(Links!$X$193:$AG$193,1,(Resumen!$C$3-2025))</f>
        <v>108186.304977739</v>
      </c>
      <c r="H143" s="17" t="n">
        <f aca="false">SUMPRODUCT(Links!$F$193:$W$193,$O$130:$AF$130)*IF(Links!$E$193="CABA",INDEX(Links!$C$14:$L$14,1,(Resumen!$C$3-2025)),IF(Links!$E$193="PBA",1-INDEX(Links!$C$14:$L$14,1,(Resumen!$C$3-2025)),1))</f>
        <v>107927.372813695</v>
      </c>
      <c r="I143" s="17" t="n">
        <f aca="false">G143-H143</f>
        <v>258.932164044483</v>
      </c>
      <c r="J143" s="6" t="str">
        <f aca="false">IF(ROUND(G143-H143,1)&gt;=0,"✔ Sí","✖ No")</f>
        <v>✔ Sí</v>
      </c>
      <c r="K143" s="17" t="n">
        <f aca="false">IFERROR(INDEX(Links!$C$345:$C$469,MATCH(C143,Links!$B$218:$B$342,0)),1)</f>
        <v>1000</v>
      </c>
      <c r="L143" s="17" t="n">
        <f aca="false">IF(K143&gt;0,H143/K143,0)</f>
        <v>107.927372813695</v>
      </c>
      <c r="M143" s="37" t="n">
        <f aca="false">IF(E143="kg",1,0)</f>
        <v>0</v>
      </c>
      <c r="N143" s="34" t="n">
        <f aca="false">H143*M143</f>
        <v>0</v>
      </c>
    </row>
    <row r="144" customFormat="false" ht="15" hidden="false" customHeight="false" outlineLevel="0" collapsed="false">
      <c r="A144" s="5" t="s">
        <v>76</v>
      </c>
      <c r="B144" s="5" t="s">
        <v>153</v>
      </c>
      <c r="C144" s="6" t="str">
        <f aca="false">Links!$B$194</f>
        <v>MP-97</v>
      </c>
      <c r="D144" s="6" t="str">
        <f aca="false">Links!$C$194</f>
        <v>Precinto del recargador</v>
      </c>
      <c r="E144" s="6" t="str">
        <f aca="false">Links!$D$194</f>
        <v>u</v>
      </c>
      <c r="F144" s="5" t="str">
        <f aca="false">IFERROR(INDEX(Links!$B$345:$B$469,MATCH(C144,Links!$B$218:$B$342,0)),"")</f>
        <v>Bolsa de 1.000 u</v>
      </c>
      <c r="G144" s="17" t="n">
        <f aca="false">INDEX(Links!$X$194:$AG$194,1,(Resumen!$C$3-2025))</f>
        <v>108186.304977739</v>
      </c>
      <c r="H144" s="17" t="n">
        <f aca="false">SUMPRODUCT(Links!$F$194:$W$194,$O$130:$AF$130)*IF(Links!$E$194="CABA",INDEX(Links!$C$14:$L$14,1,(Resumen!$C$3-2025)),IF(Links!$E$194="PBA",1-INDEX(Links!$C$14:$L$14,1,(Resumen!$C$3-2025)),1))</f>
        <v>107927.372813695</v>
      </c>
      <c r="I144" s="17" t="n">
        <f aca="false">G144-H144</f>
        <v>258.932164044483</v>
      </c>
      <c r="J144" s="6" t="str">
        <f aca="false">IF(ROUND(G144-H144,1)&gt;=0,"✔ Sí","✖ No")</f>
        <v>✔ Sí</v>
      </c>
      <c r="K144" s="17" t="n">
        <f aca="false">IFERROR(INDEX(Links!$C$345:$C$469,MATCH(C144,Links!$B$218:$B$342,0)),1)</f>
        <v>1000</v>
      </c>
      <c r="L144" s="17" t="n">
        <f aca="false">IF(K144&gt;0,H144/K144,0)</f>
        <v>107.927372813695</v>
      </c>
      <c r="M144" s="37" t="n">
        <f aca="false">IF(E144="kg",1,0)</f>
        <v>0</v>
      </c>
      <c r="N144" s="34" t="n">
        <f aca="false">H144*M144</f>
        <v>0</v>
      </c>
    </row>
    <row r="145" customFormat="false" ht="15" hidden="false" customHeight="false" outlineLevel="0" collapsed="false">
      <c r="A145" s="5" t="s">
        <v>76</v>
      </c>
      <c r="B145" s="5" t="s">
        <v>153</v>
      </c>
      <c r="C145" s="6" t="str">
        <f aca="false">Links!$B$195</f>
        <v>MP-72</v>
      </c>
      <c r="D145" s="6" t="str">
        <f aca="false">Links!$C$195</f>
        <v>Etiqueta de servicio</v>
      </c>
      <c r="E145" s="6" t="str">
        <f aca="false">Links!$D$195</f>
        <v>u</v>
      </c>
      <c r="F145" s="5" t="str">
        <f aca="false">IFERROR(INDEX(Links!$B$345:$B$469,MATCH(C145,Links!$B$218:$B$342,0)),"")</f>
        <v>Rollo de 1.000 u</v>
      </c>
      <c r="G145" s="17" t="n">
        <f aca="false">INDEX(Links!$X$195:$AG$195,1,(Resumen!$C$3-2025))</f>
        <v>108186.304977739</v>
      </c>
      <c r="H145" s="17" t="n">
        <f aca="false">SUMPRODUCT(Links!$F$195:$W$195,$O$130:$AF$130)*IF(Links!$E$195="CABA",INDEX(Links!$C$14:$L$14,1,(Resumen!$C$3-2025)),IF(Links!$E$195="PBA",1-INDEX(Links!$C$14:$L$14,1,(Resumen!$C$3-2025)),1))</f>
        <v>107927.372813695</v>
      </c>
      <c r="I145" s="17" t="n">
        <f aca="false">G145-H145</f>
        <v>258.932164044483</v>
      </c>
      <c r="J145" s="6" t="str">
        <f aca="false">IF(ROUND(G145-H145,1)&gt;=0,"✔ Sí","✖ No")</f>
        <v>✔ Sí</v>
      </c>
      <c r="K145" s="17" t="n">
        <f aca="false">IFERROR(INDEX(Links!$C$345:$C$469,MATCH(C145,Links!$B$218:$B$342,0)),1)</f>
        <v>1000</v>
      </c>
      <c r="L145" s="17" t="n">
        <f aca="false">IF(K145&gt;0,H145/K145,0)</f>
        <v>107.927372813695</v>
      </c>
      <c r="M145" s="37" t="n">
        <f aca="false">IF(E145="kg",1,0)</f>
        <v>0</v>
      </c>
      <c r="N145" s="34" t="n">
        <f aca="false">H145*M145</f>
        <v>0</v>
      </c>
    </row>
    <row r="146" customFormat="false" ht="15" hidden="false" customHeight="false" outlineLevel="0" collapsed="false">
      <c r="A146" s="5" t="s">
        <v>76</v>
      </c>
      <c r="B146" s="5" t="s">
        <v>153</v>
      </c>
      <c r="C146" s="6" t="str">
        <f aca="false">Links!$B$196</f>
        <v>MP-75</v>
      </c>
      <c r="D146" s="6" t="str">
        <f aca="false">Links!$C$196</f>
        <v>Estampilla y oblea de recarga (PBA)</v>
      </c>
      <c r="E146" s="6" t="str">
        <f aca="false">Links!$D$196</f>
        <v>u</v>
      </c>
      <c r="F146" s="5" t="str">
        <f aca="false">IFERROR(INDEX(Links!$B$345:$B$469,MATCH(C146,Links!$B$218:$B$342,0)),"")</f>
        <v>Paquete de 500 u</v>
      </c>
      <c r="G146" s="17" t="n">
        <f aca="false">INDEX(Links!$X$196:$AG$196,1,(Resumen!$C$3-2025))</f>
        <v>85734.5647571335</v>
      </c>
      <c r="H146" s="17" t="n">
        <f aca="false">SUMPRODUCT(Links!$F$196:$W$196,$O$130:$AF$130)*IF(Links!$E$196="CABA",INDEX(Links!$C$14:$L$14,1,(Resumen!$C$3-2025)),IF(Links!$E$196="PBA",1-INDEX(Links!$C$14:$L$14,1,(Resumen!$C$3-2025)),1))</f>
        <v>85529.3683934112</v>
      </c>
      <c r="I146" s="17" t="n">
        <f aca="false">G146-H146</f>
        <v>205.196363722338</v>
      </c>
      <c r="J146" s="6" t="str">
        <f aca="false">IF(ROUND(G146-H146,1)&gt;=0,"✔ Sí","✖ No")</f>
        <v>✔ Sí</v>
      </c>
      <c r="K146" s="17" t="n">
        <f aca="false">IFERROR(INDEX(Links!$C$345:$C$469,MATCH(C146,Links!$B$218:$B$342,0)),1)</f>
        <v>500</v>
      </c>
      <c r="L146" s="17" t="n">
        <f aca="false">IF(K146&gt;0,H146/K146,0)</f>
        <v>171.058736786822</v>
      </c>
      <c r="M146" s="37" t="n">
        <f aca="false">IF(E146="kg",1,0)</f>
        <v>0</v>
      </c>
      <c r="N146" s="34" t="n">
        <f aca="false">H146*M146</f>
        <v>0</v>
      </c>
    </row>
    <row r="147" customFormat="false" ht="15" hidden="false" customHeight="false" outlineLevel="0" collapsed="false">
      <c r="A147" s="5" t="s">
        <v>76</v>
      </c>
      <c r="B147" s="5" t="s">
        <v>153</v>
      </c>
      <c r="C147" s="6" t="str">
        <f aca="false">Links!$B$197</f>
        <v>MP-76</v>
      </c>
      <c r="D147" s="6" t="str">
        <f aca="false">Links!$C$197</f>
        <v>Tarjeta de identificación DPS (PBA)</v>
      </c>
      <c r="E147" s="6" t="str">
        <f aca="false">Links!$D$197</f>
        <v>u</v>
      </c>
      <c r="F147" s="5" t="str">
        <f aca="false">IFERROR(INDEX(Links!$B$345:$B$469,MATCH(C147,Links!$B$218:$B$342,0)),"")</f>
        <v>Paquete de 500 u</v>
      </c>
      <c r="G147" s="17" t="n">
        <f aca="false">INDEX(Links!$X$197:$AG$197,1,(Resumen!$C$3-2025))</f>
        <v>85734.5647571335</v>
      </c>
      <c r="H147" s="17" t="n">
        <f aca="false">SUMPRODUCT(Links!$F$197:$W$197,$O$130:$AF$130)*IF(Links!$E$197="CABA",INDEX(Links!$C$14:$L$14,1,(Resumen!$C$3-2025)),IF(Links!$E$197="PBA",1-INDEX(Links!$C$14:$L$14,1,(Resumen!$C$3-2025)),1))</f>
        <v>85529.3683934112</v>
      </c>
      <c r="I147" s="17" t="n">
        <f aca="false">G147-H147</f>
        <v>205.196363722338</v>
      </c>
      <c r="J147" s="6" t="str">
        <f aca="false">IF(ROUND(G147-H147,1)&gt;=0,"✔ Sí","✖ No")</f>
        <v>✔ Sí</v>
      </c>
      <c r="K147" s="17" t="n">
        <f aca="false">IFERROR(INDEX(Links!$C$345:$C$469,MATCH(C147,Links!$B$218:$B$342,0)),1)</f>
        <v>500</v>
      </c>
      <c r="L147" s="17" t="n">
        <f aca="false">IF(K147&gt;0,H147/K147,0)</f>
        <v>171.058736786822</v>
      </c>
      <c r="M147" s="37" t="n">
        <f aca="false">IF(E147="kg",1,0)</f>
        <v>0</v>
      </c>
      <c r="N147" s="34" t="n">
        <f aca="false">H147*M147</f>
        <v>0</v>
      </c>
    </row>
    <row r="148" customFormat="false" ht="15" hidden="false" customHeight="false" outlineLevel="0" collapsed="false">
      <c r="A148" s="5" t="s">
        <v>76</v>
      </c>
      <c r="B148" s="5" t="s">
        <v>153</v>
      </c>
      <c r="C148" s="6" t="str">
        <f aca="false">Links!$B$198</f>
        <v>MP-77</v>
      </c>
      <c r="D148" s="6" t="str">
        <f aca="false">Links!$C$198</f>
        <v>Tarjeta de identificación AGC (CABA)</v>
      </c>
      <c r="E148" s="6" t="str">
        <f aca="false">Links!$D$198</f>
        <v>u</v>
      </c>
      <c r="F148" s="5" t="str">
        <f aca="false">IFERROR(INDEX(Links!$B$345:$B$469,MATCH(C148,Links!$B$218:$B$342,0)),"")</f>
        <v>Paquete de 500 u</v>
      </c>
      <c r="G148" s="17" t="n">
        <f aca="false">INDEX(Links!$X$198:$AG$198,1,(Resumen!$C$3-2025))</f>
        <v>22451.7402206056</v>
      </c>
      <c r="H148" s="17" t="n">
        <f aca="false">SUMPRODUCT(Links!$F$198:$W$198,$O$130:$AF$130)*IF(Links!$E$198="CABA",INDEX(Links!$C$14:$L$14,1,(Resumen!$C$3-2025)),IF(Links!$E$198="PBA",1-INDEX(Links!$C$14:$L$14,1,(Resumen!$C$3-2025)),1))</f>
        <v>22398.0044202833</v>
      </c>
      <c r="I148" s="17" t="n">
        <f aca="false">G148-H148</f>
        <v>53.735800322258</v>
      </c>
      <c r="J148" s="6" t="str">
        <f aca="false">IF(ROUND(G148-H148,1)&gt;=0,"✔ Sí","✖ No")</f>
        <v>✔ Sí</v>
      </c>
      <c r="K148" s="17" t="n">
        <f aca="false">IFERROR(INDEX(Links!$C$345:$C$469,MATCH(C148,Links!$B$218:$B$342,0)),1)</f>
        <v>500</v>
      </c>
      <c r="L148" s="17" t="n">
        <f aca="false">IF(K148&gt;0,H148/K148,0)</f>
        <v>44.7960088405667</v>
      </c>
      <c r="M148" s="37" t="n">
        <f aca="false">IF(E148="kg",1,0)</f>
        <v>0</v>
      </c>
      <c r="N148" s="34" t="n">
        <f aca="false">H148*M148</f>
        <v>0</v>
      </c>
    </row>
    <row r="149" customFormat="false" ht="15" hidden="false" customHeight="false" outlineLevel="0" collapsed="false">
      <c r="A149" s="5" t="s">
        <v>76</v>
      </c>
      <c r="B149" s="5" t="s">
        <v>149</v>
      </c>
      <c r="C149" s="6" t="str">
        <f aca="false">Links!$B$199</f>
        <v>MP-65</v>
      </c>
      <c r="D149" s="6" t="str">
        <f aca="false">Links!$C$199</f>
        <v>Esmalte sintético rojo RAL 3000 (recargas)</v>
      </c>
      <c r="E149" s="6" t="str">
        <f aca="false">Links!$D$199</f>
        <v>L</v>
      </c>
      <c r="F149" s="5" t="str">
        <f aca="false">IFERROR(INDEX(Links!$B$345:$B$469,MATCH(C149,Links!$B$218:$B$342,0)),"")</f>
        <v>Lata de 4 L</v>
      </c>
      <c r="G149" s="17" t="n">
        <f aca="false">INDEX(Links!$X$199:$AG$199,1,(Resumen!$C$3-2025))</f>
        <v>278.050490711141</v>
      </c>
      <c r="H149" s="17" t="n">
        <f aca="false">SUMPRODUCT(Links!$F$199:$W$199,$O$130:$AF$130)*IF(Links!$E$199="CABA",INDEX(Links!$C$14:$L$14,1,(Resumen!$C$3-2025)),IF(Links!$E$199="PBA",1-INDEX(Links!$C$14:$L$14,1,(Resumen!$C$3-2025)),1))</f>
        <v>276.796497070763</v>
      </c>
      <c r="I149" s="17" t="n">
        <f aca="false">G149-H149</f>
        <v>1.2539936403777</v>
      </c>
      <c r="J149" s="6" t="str">
        <f aca="false">IF(ROUND(G149-H149,1)&gt;=0,"✔ Sí","✖ No")</f>
        <v>✔ Sí</v>
      </c>
      <c r="K149" s="17" t="n">
        <f aca="false">IFERROR(INDEX(Links!$C$345:$C$469,MATCH(C149,Links!$B$218:$B$342,0)),1)</f>
        <v>4</v>
      </c>
      <c r="L149" s="17" t="n">
        <f aca="false">IF(K149&gt;0,H149/K149,0)</f>
        <v>69.1991242676908</v>
      </c>
      <c r="M149" s="37" t="n">
        <f aca="false">IF(E149="kg",1,0)</f>
        <v>0</v>
      </c>
      <c r="N149" s="34" t="n">
        <f aca="false">H149*M149</f>
        <v>0</v>
      </c>
    </row>
    <row r="150" customFormat="false" ht="15" hidden="false" customHeight="false" outlineLevel="0" collapsed="false">
      <c r="A150" s="5" t="s">
        <v>76</v>
      </c>
      <c r="B150" s="5" t="s">
        <v>153</v>
      </c>
      <c r="C150" s="6" t="str">
        <f aca="false">Links!$B$200</f>
        <v>MP-82</v>
      </c>
      <c r="D150" s="6" t="str">
        <f aca="false">Links!$C$200</f>
        <v>Faja amarilla de sustituto</v>
      </c>
      <c r="E150" s="6" t="str">
        <f aca="false">Links!$D$200</f>
        <v>u</v>
      </c>
      <c r="F150" s="5" t="str">
        <f aca="false">IFERROR(INDEX(Links!$B$345:$B$469,MATCH(C150,Links!$B$218:$B$342,0)),"")</f>
        <v>Rollo de 1.000 u</v>
      </c>
      <c r="G150" s="17" t="n">
        <f aca="false">INDEX(Links!$X$200:$AG$200,1,(Resumen!$C$3-2025))</f>
        <v>129.892396568768</v>
      </c>
      <c r="H150" s="17" t="n">
        <f aca="false">SUMPRODUCT(Links!$F$200:$W$200,$O$130:$AF$130)*IF(Links!$E$200="CABA",INDEX(Links!$C$14:$L$14,1,(Resumen!$C$3-2025)),IF(Links!$E$200="PBA",1-INDEX(Links!$C$14:$L$14,1,(Resumen!$C$3-2025)),1))</f>
        <v>129.892396568768</v>
      </c>
      <c r="I150" s="17" t="n">
        <f aca="false">G150-H150</f>
        <v>0</v>
      </c>
      <c r="J150" s="6" t="str">
        <f aca="false">IF(ROUND(G150-H150,1)&gt;=0,"✔ Sí","✖ No")</f>
        <v>✔ Sí</v>
      </c>
      <c r="K150" s="17" t="n">
        <f aca="false">IFERROR(INDEX(Links!$C$345:$C$469,MATCH(C150,Links!$B$218:$B$342,0)),1)</f>
        <v>1000</v>
      </c>
      <c r="L150" s="17" t="n">
        <f aca="false">IF(K150&gt;0,H150/K150,0)</f>
        <v>0.129892396568768</v>
      </c>
      <c r="M150" s="37" t="n">
        <f aca="false">IF(E150="kg",1,0)</f>
        <v>0</v>
      </c>
      <c r="N150" s="34" t="n">
        <f aca="false">H150*M150</f>
        <v>0</v>
      </c>
    </row>
    <row r="151" customFormat="false" ht="15" hidden="false" customHeight="false" outlineLevel="0" collapsed="false">
      <c r="A151" s="5" t="s">
        <v>76</v>
      </c>
      <c r="B151" s="5" t="s">
        <v>153</v>
      </c>
      <c r="C151" s="6" t="str">
        <f aca="false">Links!$B$201</f>
        <v>MP-83</v>
      </c>
      <c r="D151" s="6" t="str">
        <f aca="false">Links!$C$201</f>
        <v>Tarjeta DPS «sustituto habilitado»</v>
      </c>
      <c r="E151" s="6" t="str">
        <f aca="false">Links!$D$201</f>
        <v>u</v>
      </c>
      <c r="F151" s="5" t="str">
        <f aca="false">IFERROR(INDEX(Links!$B$345:$B$469,MATCH(C151,Links!$B$218:$B$342,0)),"")</f>
        <v>Paquete de 500 u</v>
      </c>
      <c r="G151" s="17" t="n">
        <f aca="false">INDEX(Links!$X$201:$AG$201,1,(Resumen!$C$3-2025))</f>
        <v>102.93602399468</v>
      </c>
      <c r="H151" s="17" t="n">
        <f aca="false">SUMPRODUCT(Links!$F$201:$W$201,$O$130:$AF$130)*IF(Links!$E$201="CABA",INDEX(Links!$C$14:$L$14,1,(Resumen!$C$3-2025)),IF(Links!$E$201="PBA",1-INDEX(Links!$C$14:$L$14,1,(Resumen!$C$3-2025)),1))</f>
        <v>102.93602399468</v>
      </c>
      <c r="I151" s="17" t="n">
        <f aca="false">G151-H151</f>
        <v>0</v>
      </c>
      <c r="J151" s="6" t="str">
        <f aca="false">IF(ROUND(G151-H151,1)&gt;=0,"✔ Sí","✖ No")</f>
        <v>✔ Sí</v>
      </c>
      <c r="K151" s="17" t="n">
        <f aca="false">IFERROR(INDEX(Links!$C$345:$C$469,MATCH(C151,Links!$B$218:$B$342,0)),1)</f>
        <v>500</v>
      </c>
      <c r="L151" s="17" t="n">
        <f aca="false">IF(K151&gt;0,H151/K151,0)</f>
        <v>0.20587204798936</v>
      </c>
      <c r="M151" s="37" t="n">
        <f aca="false">IF(E151="kg",1,0)</f>
        <v>0</v>
      </c>
      <c r="N151" s="34" t="n">
        <f aca="false">H151*M151</f>
        <v>0</v>
      </c>
    </row>
    <row r="152" customFormat="false" ht="15" hidden="false" customHeight="false" outlineLevel="0" collapsed="false">
      <c r="A152" s="5" t="s">
        <v>76</v>
      </c>
      <c r="B152" s="5" t="s">
        <v>153</v>
      </c>
      <c r="C152" s="6" t="str">
        <f aca="false">Links!$B$202</f>
        <v>MP-84</v>
      </c>
      <c r="D152" s="6" t="str">
        <f aca="false">Links!$C$202</f>
        <v>Tarjeta AGC «es sustituto»</v>
      </c>
      <c r="E152" s="6" t="str">
        <f aca="false">Links!$D$202</f>
        <v>u</v>
      </c>
      <c r="F152" s="5" t="str">
        <f aca="false">IFERROR(INDEX(Links!$B$345:$B$469,MATCH(C152,Links!$B$218:$B$342,0)),"")</f>
        <v>Paquete de 500 u</v>
      </c>
      <c r="G152" s="17" t="n">
        <f aca="false">INDEX(Links!$X$202:$AG$202,1,(Resumen!$C$3-2025))</f>
        <v>26.9563725740881</v>
      </c>
      <c r="H152" s="17" t="n">
        <f aca="false">SUMPRODUCT(Links!$F$202:$W$202,$O$130:$AF$130)*IF(Links!$E$202="CABA",INDEX(Links!$C$14:$L$14,1,(Resumen!$C$3-2025)),IF(Links!$E$202="PBA",1-INDEX(Links!$C$14:$L$14,1,(Resumen!$C$3-2025)),1))</f>
        <v>26.9563725740882</v>
      </c>
      <c r="I152" s="17" t="n">
        <f aca="false">G152-H152</f>
        <v>0</v>
      </c>
      <c r="J152" s="6" t="str">
        <f aca="false">IF(ROUND(G152-H152,1)&gt;=0,"✔ Sí","✖ No")</f>
        <v>✔ Sí</v>
      </c>
      <c r="K152" s="17" t="n">
        <f aca="false">IFERROR(INDEX(Links!$C$345:$C$469,MATCH(C152,Links!$B$218:$B$342,0)),1)</f>
        <v>500</v>
      </c>
      <c r="L152" s="17" t="n">
        <f aca="false">IF(K152&gt;0,H152/K152,0)</f>
        <v>0.0539127451481763</v>
      </c>
      <c r="M152" s="37" t="n">
        <f aca="false">IF(E152="kg",1,0)</f>
        <v>0</v>
      </c>
      <c r="N152" s="34" t="n">
        <f aca="false">H152*M152</f>
        <v>0</v>
      </c>
    </row>
    <row r="153" customFormat="false" ht="15" hidden="false" customHeight="false" outlineLevel="0" collapsed="false">
      <c r="A153" s="5" t="s">
        <v>76</v>
      </c>
      <c r="B153" s="5" t="s">
        <v>153</v>
      </c>
      <c r="C153" s="6" t="str">
        <f aca="false">Links!$B$203</f>
        <v>MP-85</v>
      </c>
      <c r="D153" s="6" t="str">
        <f aca="false">Links!$C$203</f>
        <v>Impresos (protocolo de ensayo, remito de préstamo)</v>
      </c>
      <c r="E153" s="6" t="str">
        <f aca="false">Links!$D$203</f>
        <v>u</v>
      </c>
      <c r="F153" s="5" t="str">
        <f aca="false">IFERROR(INDEX(Links!$B$345:$B$469,MATCH(C153,Links!$B$218:$B$342,0)),"")</f>
        <v>Paquete de 500 u</v>
      </c>
      <c r="G153" s="17" t="n">
        <f aca="false">INDEX(Links!$X$203:$AG$203,1,(Resumen!$C$3-2025))</f>
        <v>129.892396568768</v>
      </c>
      <c r="H153" s="17" t="n">
        <f aca="false">SUMPRODUCT(Links!$F$203:$W$203,$O$130:$AF$130)*IF(Links!$E$203="CABA",INDEX(Links!$C$14:$L$14,1,(Resumen!$C$3-2025)),IF(Links!$E$203="PBA",1-INDEX(Links!$C$14:$L$14,1,(Resumen!$C$3-2025)),1))</f>
        <v>129.892396568768</v>
      </c>
      <c r="I153" s="17" t="n">
        <f aca="false">G153-H153</f>
        <v>0</v>
      </c>
      <c r="J153" s="6" t="str">
        <f aca="false">IF(ROUND(G153-H153,1)&gt;=0,"✔ Sí","✖ No")</f>
        <v>✔ Sí</v>
      </c>
      <c r="K153" s="17" t="n">
        <f aca="false">IFERROR(INDEX(Links!$C$345:$C$469,MATCH(C153,Links!$B$218:$B$342,0)),1)</f>
        <v>500</v>
      </c>
      <c r="L153" s="17" t="n">
        <f aca="false">IF(K153&gt;0,H153/K153,0)</f>
        <v>0.259784793137536</v>
      </c>
      <c r="M153" s="37" t="n">
        <f aca="false">IF(E153="kg",1,0)</f>
        <v>0</v>
      </c>
      <c r="N153" s="34" t="n">
        <f aca="false">H153*M153</f>
        <v>0</v>
      </c>
    </row>
    <row r="155" customFormat="false" ht="15" hidden="false" customHeight="false" outlineLevel="0" collapsed="false">
      <c r="A155" s="15" t="s">
        <v>124</v>
      </c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customFormat="false" ht="15" hidden="false" customHeight="false" outlineLevel="0" collapsed="false">
      <c r="A156" s="4" t="s">
        <v>96</v>
      </c>
      <c r="B156" s="5" t="s">
        <v>313</v>
      </c>
      <c r="O156" s="36" t="n">
        <f aca="false">INDEX(Links!$C$50:$L$50,1,(Resumen!$C$3-2025))</f>
        <v>2908.13500312285</v>
      </c>
      <c r="P156" s="36" t="n">
        <f aca="false">INDEX(Links!$C$51:$L$51,1,(Resumen!$C$3-2025))</f>
        <v>971.509933050576</v>
      </c>
      <c r="Q156" s="36" t="n">
        <f aca="false">INDEX(Links!$C$52:$L$52,1,(Resumen!$C$3-2025))</f>
        <v>416.433346495834</v>
      </c>
      <c r="R156" s="36" t="n">
        <f aca="false">INDEX(Links!$C$53:$L$53,1,(Resumen!$C$3-2025))</f>
        <v>277.70377041365</v>
      </c>
      <c r="S156" s="36" t="n">
        <f aca="false">INDEX(Links!$C$54:$L$54,1,(Resumen!$C$3-2025))</f>
        <v>1650.60330969569</v>
      </c>
      <c r="T156" s="36" t="n">
        <f aca="false">INDEX(Links!$C$55:$L$55,1,(Resumen!$C$3-2025))</f>
        <v>7005.27737</v>
      </c>
      <c r="U156" s="36" t="n">
        <f aca="false">INDEX(Links!$C$56:$L$56,1,(Resumen!$C$3-2025))</f>
        <v>3776.01776725347</v>
      </c>
      <c r="V156" s="36" t="n">
        <f aca="false">INDEX(Links!$C$57:$L$57,1,(Resumen!$C$3-2025))</f>
        <v>744.120454978018</v>
      </c>
      <c r="W156" s="36" t="n">
        <f aca="false">INDEX(Links!$C$58:$L$58,1,(Resumen!$C$3-2025))</f>
        <v>277.41598400273</v>
      </c>
    </row>
    <row r="157" customFormat="false" ht="30" hidden="false" customHeight="true" outlineLevel="0" collapsed="false">
      <c r="A157" s="3" t="s">
        <v>48</v>
      </c>
      <c r="B157" s="3" t="s">
        <v>133</v>
      </c>
      <c r="C157" s="3" t="s">
        <v>314</v>
      </c>
      <c r="D157" s="3" t="s">
        <v>315</v>
      </c>
      <c r="E157" s="3" t="s">
        <v>136</v>
      </c>
      <c r="F157" s="3" t="s">
        <v>134</v>
      </c>
      <c r="G157" s="3" t="s">
        <v>316</v>
      </c>
      <c r="H157" s="3" t="s">
        <v>317</v>
      </c>
      <c r="I157" s="3" t="s">
        <v>318</v>
      </c>
      <c r="J157" s="3" t="s">
        <v>319</v>
      </c>
      <c r="K157" s="3" t="s">
        <v>320</v>
      </c>
      <c r="L157" s="3" t="s">
        <v>321</v>
      </c>
      <c r="M157" s="3" t="s">
        <v>322</v>
      </c>
      <c r="N157" s="3" t="s">
        <v>323</v>
      </c>
    </row>
    <row r="158" customFormat="false" ht="15" hidden="false" customHeight="false" outlineLevel="0" collapsed="false">
      <c r="A158" s="5" t="s">
        <v>124</v>
      </c>
      <c r="B158" s="5" t="s">
        <v>324</v>
      </c>
      <c r="C158" s="6" t="str">
        <f aca="false">Links!$B$206</f>
        <v>RV-AGUA_10l</v>
      </c>
      <c r="D158" s="6" t="str">
        <f aca="false">Links!$C$206</f>
        <v>Matafuego Agua 10 l (reventa)</v>
      </c>
      <c r="E158" s="6" t="str">
        <f aca="false">Links!$D$206</f>
        <v>u</v>
      </c>
      <c r="F158" s="5" t="str">
        <f aca="false">IFERROR(INDEX(Links!$B$345:$B$469,MATCH(C158,Links!$B$218:$B$342,0)),"")</f>
        <v>Unidad</v>
      </c>
      <c r="G158" s="17" t="n">
        <f aca="false">INDEX(Links!$O$206:$X$206,1,(Resumen!$C$3-2025))</f>
        <v>2908.13500312285</v>
      </c>
      <c r="H158" s="17" t="n">
        <f aca="false">SUMPRODUCT(Links!$F$206:$N$206,$O$156:$W$156)*1</f>
        <v>2908.13500312285</v>
      </c>
      <c r="I158" s="17" t="n">
        <f aca="false">G158-H158</f>
        <v>0</v>
      </c>
      <c r="J158" s="6" t="str">
        <f aca="false">IF(ROUND(G158-H158,1)&gt;=0,"✔ Sí","✖ No")</f>
        <v>✔ Sí</v>
      </c>
      <c r="K158" s="17" t="n">
        <f aca="false">IFERROR(INDEX(Links!$C$345:$C$469,MATCH(C158,Links!$B$218:$B$342,0)),1)</f>
        <v>1</v>
      </c>
      <c r="L158" s="17" t="n">
        <f aca="false">IF(K158&gt;0,H158/K158,0)</f>
        <v>2908.13500312285</v>
      </c>
      <c r="M158" s="37" t="n">
        <f aca="false">IF(E158="kg",1,0)</f>
        <v>0</v>
      </c>
      <c r="N158" s="34" t="n">
        <f aca="false">H158*M158</f>
        <v>0</v>
      </c>
    </row>
    <row r="159" customFormat="false" ht="15" hidden="false" customHeight="false" outlineLevel="0" collapsed="false">
      <c r="A159" s="5" t="s">
        <v>124</v>
      </c>
      <c r="B159" s="5" t="s">
        <v>324</v>
      </c>
      <c r="C159" s="6" t="str">
        <f aca="false">Links!$B$207</f>
        <v>RV-AFFF_10l</v>
      </c>
      <c r="D159" s="6" t="str">
        <f aca="false">Links!$C$207</f>
        <v>Matafuego AFFF 10 l (reventa)</v>
      </c>
      <c r="E159" s="6" t="str">
        <f aca="false">Links!$D$207</f>
        <v>u</v>
      </c>
      <c r="F159" s="5" t="str">
        <f aca="false">IFERROR(INDEX(Links!$B$345:$B$469,MATCH(C159,Links!$B$218:$B$342,0)),"")</f>
        <v>Unidad</v>
      </c>
      <c r="G159" s="17" t="n">
        <f aca="false">INDEX(Links!$O$207:$X$207,1,(Resumen!$C$3-2025))</f>
        <v>971.509933050576</v>
      </c>
      <c r="H159" s="17" t="n">
        <f aca="false">SUMPRODUCT(Links!$F$207:$N$207,$O$156:$W$156)*1</f>
        <v>971.509933050576</v>
      </c>
      <c r="I159" s="17" t="n">
        <f aca="false">G159-H159</f>
        <v>0</v>
      </c>
      <c r="J159" s="6" t="str">
        <f aca="false">IF(ROUND(G159-H159,1)&gt;=0,"✔ Sí","✖ No")</f>
        <v>✔ Sí</v>
      </c>
      <c r="K159" s="17" t="n">
        <f aca="false">IFERROR(INDEX(Links!$C$345:$C$469,MATCH(C159,Links!$B$218:$B$342,0)),1)</f>
        <v>1</v>
      </c>
      <c r="L159" s="17" t="n">
        <f aca="false">IF(K159&gt;0,H159/K159,0)</f>
        <v>971.509933050576</v>
      </c>
      <c r="M159" s="37" t="n">
        <f aca="false">IF(E159="kg",1,0)</f>
        <v>0</v>
      </c>
      <c r="N159" s="34" t="n">
        <f aca="false">H159*M159</f>
        <v>0</v>
      </c>
    </row>
    <row r="160" customFormat="false" ht="15" hidden="false" customHeight="false" outlineLevel="0" collapsed="false">
      <c r="A160" s="5" t="s">
        <v>124</v>
      </c>
      <c r="B160" s="5" t="s">
        <v>324</v>
      </c>
      <c r="C160" s="6" t="str">
        <f aca="false">Links!$B$208</f>
        <v>RV-AFFF_50l</v>
      </c>
      <c r="D160" s="6" t="str">
        <f aca="false">Links!$C$208</f>
        <v>Matafuego AFFF 50 l (reventa)</v>
      </c>
      <c r="E160" s="6" t="str">
        <f aca="false">Links!$D$208</f>
        <v>u</v>
      </c>
      <c r="F160" s="5" t="str">
        <f aca="false">IFERROR(INDEX(Links!$B$345:$B$469,MATCH(C160,Links!$B$218:$B$342,0)),"")</f>
        <v>Unidad</v>
      </c>
      <c r="G160" s="17" t="n">
        <f aca="false">INDEX(Links!$O$208:$X$208,1,(Resumen!$C$3-2025))</f>
        <v>416.433346495834</v>
      </c>
      <c r="H160" s="17" t="n">
        <f aca="false">SUMPRODUCT(Links!$F$208:$N$208,$O$156:$W$156)*1</f>
        <v>416.433346495834</v>
      </c>
      <c r="I160" s="17" t="n">
        <f aca="false">G160-H160</f>
        <v>0</v>
      </c>
      <c r="J160" s="6" t="str">
        <f aca="false">IF(ROUND(G160-H160,1)&gt;=0,"✔ Sí","✖ No")</f>
        <v>✔ Sí</v>
      </c>
      <c r="K160" s="17" t="n">
        <f aca="false">IFERROR(INDEX(Links!$C$345:$C$469,MATCH(C160,Links!$B$218:$B$342,0)),1)</f>
        <v>1</v>
      </c>
      <c r="L160" s="17" t="n">
        <f aca="false">IF(K160&gt;0,H160/K160,0)</f>
        <v>416.433346495834</v>
      </c>
      <c r="M160" s="37" t="n">
        <f aca="false">IF(E160="kg",1,0)</f>
        <v>0</v>
      </c>
      <c r="N160" s="34" t="n">
        <f aca="false">H160*M160</f>
        <v>0</v>
      </c>
    </row>
    <row r="161" customFormat="false" ht="15" hidden="false" customHeight="false" outlineLevel="0" collapsed="false">
      <c r="A161" s="5" t="s">
        <v>124</v>
      </c>
      <c r="B161" s="5" t="s">
        <v>324</v>
      </c>
      <c r="C161" s="6" t="str">
        <f aca="false">Links!$B$209</f>
        <v>RV-BC_5kg</v>
      </c>
      <c r="D161" s="6" t="str">
        <f aca="false">Links!$C$209</f>
        <v>Matafuego BC 5 kg (reventa)</v>
      </c>
      <c r="E161" s="6" t="str">
        <f aca="false">Links!$D$209</f>
        <v>u</v>
      </c>
      <c r="F161" s="5" t="str">
        <f aca="false">IFERROR(INDEX(Links!$B$345:$B$469,MATCH(C161,Links!$B$218:$B$342,0)),"")</f>
        <v>Unidad</v>
      </c>
      <c r="G161" s="17" t="n">
        <f aca="false">INDEX(Links!$O$209:$X$209,1,(Resumen!$C$3-2025))</f>
        <v>277.70377041365</v>
      </c>
      <c r="H161" s="17" t="n">
        <f aca="false">SUMPRODUCT(Links!$F$209:$N$209,$O$156:$W$156)*1</f>
        <v>277.70377041365</v>
      </c>
      <c r="I161" s="17" t="n">
        <f aca="false">G161-H161</f>
        <v>0</v>
      </c>
      <c r="J161" s="6" t="str">
        <f aca="false">IF(ROUND(G161-H161,1)&gt;=0,"✔ Sí","✖ No")</f>
        <v>✔ Sí</v>
      </c>
      <c r="K161" s="17" t="n">
        <f aca="false">IFERROR(INDEX(Links!$C$345:$C$469,MATCH(C161,Links!$B$218:$B$342,0)),1)</f>
        <v>1</v>
      </c>
      <c r="L161" s="17" t="n">
        <f aca="false">IF(K161&gt;0,H161/K161,0)</f>
        <v>277.70377041365</v>
      </c>
      <c r="M161" s="37" t="n">
        <f aca="false">IF(E161="kg",1,0)</f>
        <v>0</v>
      </c>
      <c r="N161" s="34" t="n">
        <f aca="false">H161*M161</f>
        <v>0</v>
      </c>
    </row>
    <row r="162" customFormat="false" ht="15" hidden="false" customHeight="false" outlineLevel="0" collapsed="false">
      <c r="A162" s="5" t="s">
        <v>124</v>
      </c>
      <c r="B162" s="5" t="s">
        <v>324</v>
      </c>
      <c r="C162" s="6" t="str">
        <f aca="false">Links!$B$210</f>
        <v>RV-SALESK_6l</v>
      </c>
      <c r="D162" s="6" t="str">
        <f aca="false">Links!$C$210</f>
        <v>Matafuego Clase K 6 l (reventa)</v>
      </c>
      <c r="E162" s="6" t="str">
        <f aca="false">Links!$D$210</f>
        <v>u</v>
      </c>
      <c r="F162" s="5" t="str">
        <f aca="false">IFERROR(INDEX(Links!$B$345:$B$469,MATCH(C162,Links!$B$218:$B$342,0)),"")</f>
        <v>Unidad</v>
      </c>
      <c r="G162" s="17" t="n">
        <f aca="false">INDEX(Links!$O$210:$X$210,1,(Resumen!$C$3-2025))</f>
        <v>1650.60330969569</v>
      </c>
      <c r="H162" s="17" t="n">
        <f aca="false">SUMPRODUCT(Links!$F$210:$N$210,$O$156:$W$156)*1</f>
        <v>1650.60330969569</v>
      </c>
      <c r="I162" s="17" t="n">
        <f aca="false">G162-H162</f>
        <v>0</v>
      </c>
      <c r="J162" s="6" t="str">
        <f aca="false">IF(ROUND(G162-H162,1)&gt;=0,"✔ Sí","✖ No")</f>
        <v>✔ Sí</v>
      </c>
      <c r="K162" s="17" t="n">
        <f aca="false">IFERROR(INDEX(Links!$C$345:$C$469,MATCH(C162,Links!$B$218:$B$342,0)),1)</f>
        <v>1</v>
      </c>
      <c r="L162" s="17" t="n">
        <f aca="false">IF(K162&gt;0,H162/K162,0)</f>
        <v>1650.60330969569</v>
      </c>
      <c r="M162" s="37" t="n">
        <f aca="false">IF(E162="kg",1,0)</f>
        <v>0</v>
      </c>
      <c r="N162" s="34" t="n">
        <f aca="false">H162*M162</f>
        <v>0</v>
      </c>
    </row>
    <row r="163" customFormat="false" ht="15" hidden="false" customHeight="false" outlineLevel="0" collapsed="false">
      <c r="A163" s="5" t="s">
        <v>124</v>
      </c>
      <c r="B163" s="5" t="s">
        <v>324</v>
      </c>
      <c r="C163" s="6" t="str">
        <f aca="false">Links!$B$211</f>
        <v>RV-CO2_2kg</v>
      </c>
      <c r="D163" s="6" t="str">
        <f aca="false">Links!$C$211</f>
        <v>Matafuego CO₂ 2 kg (reventa)</v>
      </c>
      <c r="E163" s="6" t="str">
        <f aca="false">Links!$D$211</f>
        <v>u</v>
      </c>
      <c r="F163" s="5" t="str">
        <f aca="false">IFERROR(INDEX(Links!$B$345:$B$469,MATCH(C163,Links!$B$218:$B$342,0)),"")</f>
        <v>Unidad</v>
      </c>
      <c r="G163" s="17" t="n">
        <f aca="false">INDEX(Links!$O$211:$X$211,1,(Resumen!$C$3-2025))</f>
        <v>7005.27737</v>
      </c>
      <c r="H163" s="17" t="n">
        <f aca="false">SUMPRODUCT(Links!$F$211:$N$211,$O$156:$W$156)*1</f>
        <v>7005.27737</v>
      </c>
      <c r="I163" s="17" t="n">
        <f aca="false">G163-H163</f>
        <v>0</v>
      </c>
      <c r="J163" s="6" t="str">
        <f aca="false">IF(ROUND(G163-H163,1)&gt;=0,"✔ Sí","✖ No")</f>
        <v>✔ Sí</v>
      </c>
      <c r="K163" s="17" t="n">
        <f aca="false">IFERROR(INDEX(Links!$C$345:$C$469,MATCH(C163,Links!$B$218:$B$342,0)),1)</f>
        <v>1</v>
      </c>
      <c r="L163" s="17" t="n">
        <f aca="false">IF(K163&gt;0,H163/K163,0)</f>
        <v>7005.27737</v>
      </c>
      <c r="M163" s="37" t="n">
        <f aca="false">IF(E163="kg",1,0)</f>
        <v>0</v>
      </c>
      <c r="N163" s="34" t="n">
        <f aca="false">H163*M163</f>
        <v>0</v>
      </c>
    </row>
    <row r="164" customFormat="false" ht="15" hidden="false" customHeight="false" outlineLevel="0" collapsed="false">
      <c r="A164" s="5" t="s">
        <v>124</v>
      </c>
      <c r="B164" s="5" t="s">
        <v>324</v>
      </c>
      <c r="C164" s="6" t="str">
        <f aca="false">Links!$B$212</f>
        <v>RV-CO2_5kg</v>
      </c>
      <c r="D164" s="6" t="str">
        <f aca="false">Links!$C$212</f>
        <v>Matafuego CO₂ 5 kg (reventa)</v>
      </c>
      <c r="E164" s="6" t="str">
        <f aca="false">Links!$D$212</f>
        <v>u</v>
      </c>
      <c r="F164" s="5" t="str">
        <f aca="false">IFERROR(INDEX(Links!$B$345:$B$469,MATCH(C164,Links!$B$218:$B$342,0)),"")</f>
        <v>Unidad</v>
      </c>
      <c r="G164" s="17" t="n">
        <f aca="false">INDEX(Links!$O$212:$X$212,1,(Resumen!$C$3-2025))</f>
        <v>3776.01776725347</v>
      </c>
      <c r="H164" s="17" t="n">
        <f aca="false">SUMPRODUCT(Links!$F$212:$N$212,$O$156:$W$156)*1</f>
        <v>3776.01776725347</v>
      </c>
      <c r="I164" s="17" t="n">
        <f aca="false">G164-H164</f>
        <v>0</v>
      </c>
      <c r="J164" s="6" t="str">
        <f aca="false">IF(ROUND(G164-H164,1)&gt;=0,"✔ Sí","✖ No")</f>
        <v>✔ Sí</v>
      </c>
      <c r="K164" s="17" t="n">
        <f aca="false">IFERROR(INDEX(Links!$C$345:$C$469,MATCH(C164,Links!$B$218:$B$342,0)),1)</f>
        <v>1</v>
      </c>
      <c r="L164" s="17" t="n">
        <f aca="false">IF(K164&gt;0,H164/K164,0)</f>
        <v>3776.01776725347</v>
      </c>
      <c r="M164" s="37" t="n">
        <f aca="false">IF(E164="kg",1,0)</f>
        <v>0</v>
      </c>
      <c r="N164" s="34" t="n">
        <f aca="false">H164*M164</f>
        <v>0</v>
      </c>
    </row>
    <row r="165" customFormat="false" ht="23.85" hidden="false" customHeight="false" outlineLevel="0" collapsed="false">
      <c r="A165" s="5" t="s">
        <v>124</v>
      </c>
      <c r="B165" s="5" t="s">
        <v>324</v>
      </c>
      <c r="C165" s="6" t="str">
        <f aca="false">Links!$B$213</f>
        <v>RV-HCFC-HFC_5kg</v>
      </c>
      <c r="D165" s="6" t="str">
        <f aca="false">Links!$C$213</f>
        <v>Matafuego HCFC 5 kg (reventa)</v>
      </c>
      <c r="E165" s="6" t="str">
        <f aca="false">Links!$D$213</f>
        <v>u</v>
      </c>
      <c r="F165" s="5" t="str">
        <f aca="false">IFERROR(INDEX(Links!$B$345:$B$469,MATCH(C165,Links!$B$218:$B$342,0)),"")</f>
        <v>Unidad</v>
      </c>
      <c r="G165" s="17" t="n">
        <f aca="false">INDEX(Links!$O$213:$X$213,1,(Resumen!$C$3-2025))</f>
        <v>744.120454978018</v>
      </c>
      <c r="H165" s="17" t="n">
        <f aca="false">SUMPRODUCT(Links!$F$213:$N$213,$O$156:$W$156)*1</f>
        <v>744.120454978018</v>
      </c>
      <c r="I165" s="17" t="n">
        <f aca="false">G165-H165</f>
        <v>0</v>
      </c>
      <c r="J165" s="6" t="str">
        <f aca="false">IF(ROUND(G165-H165,1)&gt;=0,"✔ Sí","✖ No")</f>
        <v>✔ Sí</v>
      </c>
      <c r="K165" s="17" t="n">
        <f aca="false">IFERROR(INDEX(Links!$C$345:$C$469,MATCH(C165,Links!$B$218:$B$342,0)),1)</f>
        <v>1</v>
      </c>
      <c r="L165" s="17" t="n">
        <f aca="false">IF(K165&gt;0,H165/K165,0)</f>
        <v>744.120454978018</v>
      </c>
      <c r="M165" s="37" t="n">
        <f aca="false">IF(E165="kg",1,0)</f>
        <v>0</v>
      </c>
      <c r="N165" s="34" t="n">
        <f aca="false">H165*M165</f>
        <v>0</v>
      </c>
    </row>
    <row r="166" customFormat="false" ht="15" hidden="false" customHeight="false" outlineLevel="0" collapsed="false">
      <c r="A166" s="5" t="s">
        <v>124</v>
      </c>
      <c r="B166" s="5" t="s">
        <v>324</v>
      </c>
      <c r="C166" s="6" t="str">
        <f aca="false">Links!$B$214</f>
        <v>RV-CLASED_9l</v>
      </c>
      <c r="D166" s="6" t="str">
        <f aca="false">Links!$C$214</f>
        <v>Matafuego Clase D 9 l (reventa)</v>
      </c>
      <c r="E166" s="6" t="str">
        <f aca="false">Links!$D$214</f>
        <v>u</v>
      </c>
      <c r="F166" s="5" t="str">
        <f aca="false">IFERROR(INDEX(Links!$B$345:$B$469,MATCH(C166,Links!$B$218:$B$342,0)),"")</f>
        <v>Unidad</v>
      </c>
      <c r="G166" s="17" t="n">
        <f aca="false">INDEX(Links!$O$214:$X$214,1,(Resumen!$C$3-2025))</f>
        <v>277.41598400273</v>
      </c>
      <c r="H166" s="17" t="n">
        <f aca="false">SUMPRODUCT(Links!$F$214:$N$214,$O$156:$W$156)*1</f>
        <v>277.41598400273</v>
      </c>
      <c r="I166" s="17" t="n">
        <f aca="false">G166-H166</f>
        <v>0</v>
      </c>
      <c r="J166" s="6" t="str">
        <f aca="false">IF(ROUND(G166-H166,1)&gt;=0,"✔ Sí","✖ No")</f>
        <v>✔ Sí</v>
      </c>
      <c r="K166" s="17" t="n">
        <f aca="false">IFERROR(INDEX(Links!$C$345:$C$469,MATCH(C166,Links!$B$218:$B$342,0)),1)</f>
        <v>1</v>
      </c>
      <c r="L166" s="17" t="n">
        <f aca="false">IF(K166&gt;0,H166/K166,0)</f>
        <v>277.41598400273</v>
      </c>
      <c r="M166" s="37" t="n">
        <f aca="false">IF(E166="kg",1,0)</f>
        <v>0</v>
      </c>
      <c r="N166" s="34" t="n">
        <f aca="false">H166*M166</f>
        <v>0</v>
      </c>
    </row>
    <row r="167" customFormat="false" ht="15" hidden="false" customHeight="false" outlineLevel="0" collapsed="false">
      <c r="A167" s="5" t="s">
        <v>124</v>
      </c>
      <c r="B167" s="5" t="s">
        <v>153</v>
      </c>
      <c r="C167" s="6" t="str">
        <f aca="false">Links!$B$215</f>
        <v>MP-77</v>
      </c>
      <c r="D167" s="6" t="str">
        <f aca="false">Links!$C$215</f>
        <v>Tarjeta de identificación AGC (CABA)</v>
      </c>
      <c r="E167" s="6" t="str">
        <f aca="false">Links!$D$215</f>
        <v>u</v>
      </c>
      <c r="F167" s="5" t="str">
        <f aca="false">IFERROR(INDEX(Links!$B$345:$B$469,MATCH(C167,Links!$B$218:$B$342,0)),"")</f>
        <v>Paquete de 500 u</v>
      </c>
      <c r="G167" s="17" t="n">
        <f aca="false">INDEX(Links!$O$215:$X$215,1,(Resumen!$C$3-2025))</f>
        <v>4258.3020622765</v>
      </c>
      <c r="H167" s="17" t="n">
        <f aca="false">SUMPRODUCT(Links!$F$215:$N$215,$O$156:$W$156)*1</f>
        <v>18027.2169390128</v>
      </c>
      <c r="I167" s="17" t="n">
        <f aca="false">G167-H167</f>
        <v>-13768.9148767363</v>
      </c>
      <c r="J167" s="6" t="str">
        <f aca="false">IF(ROUND(G167-H167,1)&gt;=0,"✔ Sí","✖ No")</f>
        <v>✖ No</v>
      </c>
      <c r="K167" s="17" t="n">
        <f aca="false">IFERROR(INDEX(Links!$C$345:$C$469,MATCH(C167,Links!$B$218:$B$342,0)),1)</f>
        <v>500</v>
      </c>
      <c r="L167" s="17" t="n">
        <f aca="false">IF(K167&gt;0,H167/K167,0)</f>
        <v>36.0544338780256</v>
      </c>
      <c r="M167" s="37" t="n">
        <f aca="false">IF(E167="kg",1,0)</f>
        <v>0</v>
      </c>
      <c r="N167" s="34" t="n">
        <f aca="false">H167*M167</f>
        <v>0</v>
      </c>
    </row>
  </sheetData>
  <conditionalFormatting sqref="J7:J66">
    <cfRule type="expression" priority="2" aboveAverage="0" equalAverage="0" bottom="0" percent="0" rank="0" text="" dxfId="0">
      <formula>LEFT(J7,1)="✖"</formula>
    </cfRule>
    <cfRule type="expression" priority="3" aboveAverage="0" equalAverage="0" bottom="0" percent="0" rank="0" text="" dxfId="1">
      <formula>LEFT(J7,1)="✔"</formula>
    </cfRule>
  </conditionalFormatting>
  <conditionalFormatting sqref="J71:J127">
    <cfRule type="expression" priority="4" aboveAverage="0" equalAverage="0" bottom="0" percent="0" rank="0" text="" dxfId="0">
      <formula>LEFT(J71,1)="✖"</formula>
    </cfRule>
    <cfRule type="expression" priority="5" aboveAverage="0" equalAverage="0" bottom="0" percent="0" rank="0" text="" dxfId="1">
      <formula>LEFT(J71,1)="✔"</formula>
    </cfRule>
  </conditionalFormatting>
  <conditionalFormatting sqref="J132:J153">
    <cfRule type="expression" priority="6" aboveAverage="0" equalAverage="0" bottom="0" percent="0" rank="0" text="" dxfId="0">
      <formula>LEFT(J132,1)="✖"</formula>
    </cfRule>
    <cfRule type="expression" priority="7" aboveAverage="0" equalAverage="0" bottom="0" percent="0" rank="0" text="" dxfId="1">
      <formula>LEFT(J132,1)="✔"</formula>
    </cfRule>
  </conditionalFormatting>
  <conditionalFormatting sqref="J158:J167">
    <cfRule type="expression" priority="8" aboveAverage="0" equalAverage="0" bottom="0" percent="0" rank="0" text="" dxfId="0">
      <formula>LEFT(J158,1)="✖"</formula>
    </cfRule>
    <cfRule type="expression" priority="9" aboveAverage="0" equalAverage="0" bottom="0" percent="0" rank="0" text="" dxfId="1">
      <formula>LEFT(J158,1)="✔"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2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8" min="7" style="0" width="8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2"/>
  </cols>
  <sheetData>
    <row r="1" customFormat="false" ht="15" hidden="false" customHeight="false" outlineLevel="0" collapsed="false">
      <c r="A1" s="1" t="s">
        <v>325</v>
      </c>
    </row>
    <row r="2" customFormat="false" ht="15" hidden="false" customHeight="false" outlineLevel="0" collapsed="false">
      <c r="A2" s="2" t="s">
        <v>326</v>
      </c>
    </row>
    <row r="4" customFormat="false" ht="15" hidden="false" customHeight="false" outlineLevel="0" collapsed="false">
      <c r="A4" s="33" t="s">
        <v>119</v>
      </c>
      <c r="B4" s="16"/>
      <c r="C4" s="16"/>
      <c r="D4" s="16"/>
      <c r="E4" s="16"/>
      <c r="F4" s="16"/>
      <c r="G4" s="16"/>
      <c r="H4" s="16"/>
      <c r="I4" s="16"/>
      <c r="J4" s="16"/>
      <c r="K4" s="16"/>
    </row>
    <row r="5" customFormat="false" ht="15" hidden="false" customHeight="false" outlineLevel="0" collapsed="false">
      <c r="A5" s="5"/>
      <c r="B5" s="5" t="s">
        <v>327</v>
      </c>
      <c r="C5" s="19" t="n">
        <f aca="false">SUM(Resumen!$D$7:$D$14)</f>
        <v>284462.564373</v>
      </c>
      <c r="D5" s="19"/>
    </row>
    <row r="6" customFormat="false" ht="15" hidden="false" customHeight="false" outlineLevel="0" collapsed="false">
      <c r="A6" s="5"/>
      <c r="B6" s="5" t="s">
        <v>328</v>
      </c>
      <c r="C6" s="19" t="n">
        <f aca="false">MAX(INDEX(Links!$B$502:$M$610,(Resumen!$C$3-2026)*11+10,0))</f>
        <v>33317.08847233</v>
      </c>
      <c r="D6" s="19"/>
    </row>
    <row r="7" customFormat="false" ht="15" hidden="false" customHeight="false" outlineLevel="0" collapsed="false">
      <c r="A7" s="5"/>
      <c r="B7" s="5" t="s">
        <v>329</v>
      </c>
      <c r="C7" s="19" t="n">
        <f aca="false">Links!$B$641</f>
        <v>150</v>
      </c>
      <c r="D7" s="19"/>
    </row>
    <row r="8" customFormat="false" ht="15" hidden="false" customHeight="false" outlineLevel="0" collapsed="false">
      <c r="A8" s="5"/>
      <c r="B8" s="5" t="s">
        <v>330</v>
      </c>
      <c r="C8" s="38" t="n">
        <f aca="false">IF(C6=0,0,C7*3600/C6)</f>
        <v>16.2078988519202</v>
      </c>
      <c r="D8" s="38"/>
    </row>
    <row r="9" customFormat="false" ht="15" hidden="false" customHeight="false" outlineLevel="0" collapsed="false">
      <c r="A9" s="5"/>
      <c r="B9" s="5" t="s">
        <v>331</v>
      </c>
      <c r="C9" s="38" t="n">
        <f aca="false">IF(C5=0,0,F45*3600/C5)</f>
        <v>754.114089272881</v>
      </c>
      <c r="D9" s="38"/>
    </row>
    <row r="10" customFormat="false" ht="15" hidden="false" customHeight="false" outlineLevel="0" collapsed="false">
      <c r="A10" s="5"/>
      <c r="B10" s="5" t="s">
        <v>332</v>
      </c>
      <c r="C10" s="38" t="n">
        <f aca="false">IF(C8=0,0,C9/C8)</f>
        <v>46.5275663528428</v>
      </c>
      <c r="D10" s="38"/>
    </row>
    <row r="11" customFormat="false" ht="15" hidden="false" customHeight="false" outlineLevel="0" collapsed="false">
      <c r="A11" s="5"/>
      <c r="B11" s="5" t="s">
        <v>333</v>
      </c>
      <c r="C11" s="19" t="n">
        <f aca="false">I45</f>
        <v>59</v>
      </c>
      <c r="D11" s="19"/>
    </row>
    <row r="12" customFormat="false" ht="15" hidden="false" customHeight="false" outlineLevel="0" collapsed="false">
      <c r="A12" s="5"/>
      <c r="B12" s="5" t="s">
        <v>334</v>
      </c>
      <c r="C12" s="20" t="n">
        <f aca="false">IF(I45=0,0,SUMPRODUCT(J19:J44,I19:I44)/I45)</f>
        <v>0.617534799537843</v>
      </c>
      <c r="D12" s="20"/>
    </row>
    <row r="13" customFormat="false" ht="23.85" hidden="false" customHeight="false" outlineLevel="0" collapsed="false">
      <c r="A13" s="5"/>
      <c r="B13" s="5" t="s">
        <v>335</v>
      </c>
      <c r="C13" s="4" t="str">
        <f aca="false">INDEX(B19:B44,MATCH(MAX(J19:J44),J19:J44,0))</f>
        <v>Soldadura longitudinal — 2,5 a 10 kg</v>
      </c>
      <c r="D13" s="4"/>
    </row>
    <row r="14" customFormat="false" ht="15" hidden="false" customHeight="false" outlineLevel="0" collapsed="false">
      <c r="A14" s="5"/>
      <c r="B14" s="5" t="s">
        <v>336</v>
      </c>
      <c r="C14" s="20" t="n">
        <f aca="false">MAX(J19:J44)</f>
        <v>0.794917348221706</v>
      </c>
      <c r="D14" s="20"/>
    </row>
    <row r="15" customFormat="false" ht="15" hidden="false" customHeight="false" outlineLevel="0" collapsed="false">
      <c r="A15" s="5"/>
      <c r="B15" s="5" t="s">
        <v>337</v>
      </c>
      <c r="C15" s="20" t="n">
        <f aca="false">IF(C14=0,0,C12/C14)</f>
        <v>0.776854098000651</v>
      </c>
      <c r="D15" s="20"/>
    </row>
    <row r="16" customFormat="false" ht="15" hidden="false" customHeight="false" outlineLevel="0" collapsed="false">
      <c r="A16" s="5"/>
      <c r="B16" s="5" t="s">
        <v>338</v>
      </c>
      <c r="C16" s="20" t="n">
        <f aca="false">1-C15</f>
        <v>0.223145901999349</v>
      </c>
      <c r="D16" s="20"/>
    </row>
    <row r="18" customFormat="false" ht="30" hidden="false" customHeight="true" outlineLevel="0" collapsed="false">
      <c r="A18" s="3" t="s">
        <v>339</v>
      </c>
      <c r="B18" s="3" t="s">
        <v>340</v>
      </c>
      <c r="C18" s="3" t="s">
        <v>341</v>
      </c>
      <c r="D18" s="3" t="s">
        <v>342</v>
      </c>
      <c r="E18" s="3" t="s">
        <v>343</v>
      </c>
      <c r="F18" s="3" t="s">
        <v>344</v>
      </c>
      <c r="G18" s="3" t="s">
        <v>345</v>
      </c>
      <c r="H18" s="3" t="s">
        <v>346</v>
      </c>
      <c r="I18" s="3" t="s">
        <v>347</v>
      </c>
      <c r="J18" s="3" t="s">
        <v>348</v>
      </c>
      <c r="K18" s="3" t="s">
        <v>349</v>
      </c>
    </row>
    <row r="19" customFormat="false" ht="15" hidden="false" customHeight="false" outlineLevel="0" collapsed="false">
      <c r="A19" s="39" t="n">
        <v>1</v>
      </c>
      <c r="B19" s="5" t="s">
        <v>350</v>
      </c>
      <c r="C19" s="5" t="s">
        <v>351</v>
      </c>
      <c r="D19" s="40" t="n">
        <f aca="false">Links!$B$613</f>
        <v>60</v>
      </c>
      <c r="E19" s="22" t="n">
        <f aca="false">INDEX(Links!$B$644:$B$922,(Resumen!$C$3-2026)*28+2)</f>
        <v>284462.564373</v>
      </c>
      <c r="F19" s="17" t="n">
        <f aca="false">E19*D19/3600</f>
        <v>4741.04273955</v>
      </c>
      <c r="G19" s="39" t="n">
        <f aca="false">INDEX(Links!$B$954:$K$954,1,(Resumen!$C$3-2025))</f>
        <v>2</v>
      </c>
      <c r="H19" s="39" t="n">
        <f aca="false">INDEX(Links!$B$983:$K$983,1,(Resumen!$C$3-2025))</f>
        <v>2</v>
      </c>
      <c r="I19" s="39" t="n">
        <f aca="false">G19*H19</f>
        <v>4</v>
      </c>
      <c r="J19" s="18" t="n">
        <f aca="false">INDEX(Links!$B$925:$K$925,1,(Resumen!$C$3-2025))</f>
        <v>0.7111564109325</v>
      </c>
      <c r="K19" s="6" t="str">
        <f aca="false">IF(J19=MAX($J$19:$J$44),"◀ cuello","")</f>
        <v/>
      </c>
    </row>
    <row r="20" customFormat="false" ht="23.85" hidden="false" customHeight="false" outlineLevel="0" collapsed="false">
      <c r="A20" s="39" t="n">
        <v>2</v>
      </c>
      <c r="B20" s="5" t="s">
        <v>352</v>
      </c>
      <c r="C20" s="5" t="s">
        <v>353</v>
      </c>
      <c r="D20" s="40" t="n">
        <f aca="false">Links!$B$614</f>
        <v>6.58155244457863</v>
      </c>
      <c r="E20" s="22" t="n">
        <f aca="false">INDEX(Links!$B$644:$B$922,(Resumen!$C$3-2026)*28+3)</f>
        <v>307140.070945962</v>
      </c>
      <c r="F20" s="17" t="n">
        <f aca="false">E20*D20/3600</f>
        <v>561.516245767347</v>
      </c>
      <c r="G20" s="39" t="n">
        <f aca="false">INDEX(Links!$B$955:$K$955,1,(Resumen!$C$3-2025))</f>
        <v>1</v>
      </c>
      <c r="H20" s="39" t="n">
        <f aca="false">INDEX(Links!$B$984:$K$984,1,(Resumen!$C$3-2025))</f>
        <v>1</v>
      </c>
      <c r="I20" s="39" t="n">
        <f aca="false">G20*H20</f>
        <v>1</v>
      </c>
      <c r="J20" s="18" t="n">
        <f aca="false">INDEX(Links!$B$926:$K$926,1,(Resumen!$C$3-2025))</f>
        <v>0.344405789299173</v>
      </c>
      <c r="K20" s="6" t="str">
        <f aca="false">IF(J20=MAX($J$19:$J$44),"◀ cuello","")</f>
        <v/>
      </c>
    </row>
    <row r="21" customFormat="false" ht="23.85" hidden="false" customHeight="false" outlineLevel="0" collapsed="false">
      <c r="A21" s="39" t="n">
        <v>3</v>
      </c>
      <c r="B21" s="5" t="s">
        <v>354</v>
      </c>
      <c r="C21" s="5" t="s">
        <v>353</v>
      </c>
      <c r="D21" s="40" t="n">
        <f aca="false">Links!$B$615</f>
        <v>4.87938393010552</v>
      </c>
      <c r="E21" s="22" t="n">
        <f aca="false">INDEX(Links!$B$644:$B$922,(Resumen!$C$3-2026)*28+4)</f>
        <v>313905.439342488</v>
      </c>
      <c r="F21" s="17" t="n">
        <f aca="false">E21*D21/3600</f>
        <v>425.462543416791</v>
      </c>
      <c r="G21" s="39" t="n">
        <f aca="false">INDEX(Links!$B$956:$K$956,1,(Resumen!$C$3-2025))</f>
        <v>1</v>
      </c>
      <c r="H21" s="39" t="n">
        <f aca="false">INDEX(Links!$B$985:$K$985,1,(Resumen!$C$3-2025))</f>
        <v>1</v>
      </c>
      <c r="I21" s="39" t="n">
        <f aca="false">G21*H21</f>
        <v>1</v>
      </c>
      <c r="J21" s="18" t="n">
        <f aca="false">INDEX(Links!$B$927:$K$927,1,(Resumen!$C$3-2025))</f>
        <v>0.255651656622165</v>
      </c>
      <c r="K21" s="6" t="str">
        <f aca="false">IF(J21=MAX($J$19:$J$44),"◀ cuello","")</f>
        <v/>
      </c>
    </row>
    <row r="22" customFormat="false" ht="15" hidden="false" customHeight="false" outlineLevel="0" collapsed="false">
      <c r="A22" s="39" t="n">
        <v>4</v>
      </c>
      <c r="B22" s="5" t="s">
        <v>355</v>
      </c>
      <c r="C22" s="5" t="s">
        <v>353</v>
      </c>
      <c r="D22" s="40" t="n">
        <f aca="false">Links!$B$616</f>
        <v>8</v>
      </c>
      <c r="E22" s="22" t="n">
        <f aca="false">INDEX(Links!$B$644:$B$922,(Resumen!$C$3-2026)*28+5)</f>
        <v>568925.128746</v>
      </c>
      <c r="F22" s="17" t="n">
        <f aca="false">E22*D22/3600</f>
        <v>1264.27806388</v>
      </c>
      <c r="G22" s="39" t="n">
        <f aca="false">INDEX(Links!$B$957:$K$957,1,(Resumen!$C$3-2025))</f>
        <v>1</v>
      </c>
      <c r="H22" s="39" t="n">
        <f aca="false">INDEX(Links!$B$986:$K$986,1,(Resumen!$C$3-2025))</f>
        <v>2</v>
      </c>
      <c r="I22" s="39" t="n">
        <f aca="false">G22*H22</f>
        <v>2</v>
      </c>
      <c r="J22" s="18" t="n">
        <f aca="false">INDEX(Links!$B$928:$K$928,1,(Resumen!$C$3-2025))</f>
        <v>0.557769734064706</v>
      </c>
      <c r="K22" s="6" t="str">
        <f aca="false">IF(J22=MAX($J$19:$J$44),"◀ cuello","")</f>
        <v/>
      </c>
    </row>
    <row r="23" customFormat="false" ht="15" hidden="false" customHeight="false" outlineLevel="0" collapsed="false">
      <c r="A23" s="39" t="n">
        <v>5</v>
      </c>
      <c r="B23" s="5" t="s">
        <v>356</v>
      </c>
      <c r="C23" s="5" t="s">
        <v>353</v>
      </c>
      <c r="D23" s="40" t="n">
        <f aca="false">Links!$B$617</f>
        <v>60</v>
      </c>
      <c r="E23" s="22" t="n">
        <f aca="false">INDEX(Links!$B$644:$B$922,(Resumen!$C$3-2026)*28+6)</f>
        <v>284462.564373</v>
      </c>
      <c r="F23" s="17" t="n">
        <f aca="false">E23*D23/3600</f>
        <v>4741.04273955</v>
      </c>
      <c r="G23" s="39" t="n">
        <f aca="false">INDEX(Links!$B$958:$K$958,1,(Resumen!$C$3-2025))</f>
        <v>2</v>
      </c>
      <c r="H23" s="39" t="n">
        <f aca="false">INDEX(Links!$B$987:$K$987,1,(Resumen!$C$3-2025))</f>
        <v>2</v>
      </c>
      <c r="I23" s="39" t="n">
        <f aca="false">G23*H23</f>
        <v>4</v>
      </c>
      <c r="J23" s="18" t="n">
        <f aca="false">INDEX(Links!$B$929:$K$929,1,(Resumen!$C$3-2025))</f>
        <v>0.7111564109325</v>
      </c>
      <c r="K23" s="6" t="str">
        <f aca="false">IF(J23=MAX($J$19:$J$44),"◀ cuello","")</f>
        <v/>
      </c>
    </row>
    <row r="24" customFormat="false" ht="15" hidden="false" customHeight="false" outlineLevel="0" collapsed="false">
      <c r="A24" s="39" t="n">
        <v>6</v>
      </c>
      <c r="B24" s="5" t="s">
        <v>357</v>
      </c>
      <c r="C24" s="5" t="s">
        <v>353</v>
      </c>
      <c r="D24" s="40" t="n">
        <f aca="false">Links!$B$618</f>
        <v>20</v>
      </c>
      <c r="E24" s="22" t="n">
        <f aca="false">INDEX(Links!$B$644:$B$922,(Resumen!$C$3-2026)*28+7)</f>
        <v>284462.564373</v>
      </c>
      <c r="F24" s="17" t="n">
        <f aca="false">E24*D24/3600</f>
        <v>1580.34757985</v>
      </c>
      <c r="G24" s="39" t="n">
        <f aca="false">INDEX(Links!$B$959:$K$959,1,(Resumen!$C$3-2025))</f>
        <v>1</v>
      </c>
      <c r="H24" s="39" t="n">
        <f aca="false">INDEX(Links!$B$988:$K$988,1,(Resumen!$C$3-2025))</f>
        <v>2</v>
      </c>
      <c r="I24" s="39" t="n">
        <f aca="false">G24*H24</f>
        <v>2</v>
      </c>
      <c r="J24" s="18" t="n">
        <f aca="false">INDEX(Links!$B$930:$K$930,1,(Resumen!$C$3-2025))</f>
        <v>0.474104273955</v>
      </c>
      <c r="K24" s="6" t="str">
        <f aca="false">IF(J24=MAX($J$19:$J$44),"◀ cuello","")</f>
        <v/>
      </c>
    </row>
    <row r="25" customFormat="false" ht="15" hidden="false" customHeight="false" outlineLevel="0" collapsed="false">
      <c r="A25" s="39" t="n">
        <v>7</v>
      </c>
      <c r="B25" s="5" t="s">
        <v>358</v>
      </c>
      <c r="C25" s="5" t="s">
        <v>353</v>
      </c>
      <c r="D25" s="40" t="n">
        <f aca="false">Links!$B$619</f>
        <v>25</v>
      </c>
      <c r="E25" s="22" t="n">
        <f aca="false">INDEX(Links!$B$644:$B$922,(Resumen!$C$3-2026)*28+8)</f>
        <v>284462.564373</v>
      </c>
      <c r="F25" s="17" t="n">
        <f aca="false">E25*D25/3600</f>
        <v>1975.4344748125</v>
      </c>
      <c r="G25" s="39" t="n">
        <f aca="false">INDEX(Links!$B$960:$K$960,1,(Resumen!$C$3-2025))</f>
        <v>1</v>
      </c>
      <c r="H25" s="39" t="n">
        <f aca="false">INDEX(Links!$B$989:$K$989,1,(Resumen!$C$3-2025))</f>
        <v>2</v>
      </c>
      <c r="I25" s="39" t="n">
        <f aca="false">G25*H25</f>
        <v>2</v>
      </c>
      <c r="J25" s="18" t="n">
        <f aca="false">INDEX(Links!$B$931:$K$931,1,(Resumen!$C$3-2025))</f>
        <v>0.608866790181935</v>
      </c>
      <c r="K25" s="6" t="str">
        <f aca="false">IF(J25=MAX($J$19:$J$44),"◀ cuello","")</f>
        <v/>
      </c>
    </row>
    <row r="26" customFormat="false" ht="15" hidden="false" customHeight="false" outlineLevel="0" collapsed="false">
      <c r="A26" s="39" t="n">
        <v>8</v>
      </c>
      <c r="B26" s="5" t="s">
        <v>359</v>
      </c>
      <c r="C26" s="5" t="s">
        <v>353</v>
      </c>
      <c r="D26" s="40" t="n">
        <f aca="false">Links!$B$620</f>
        <v>15</v>
      </c>
      <c r="E26" s="22" t="n">
        <f aca="false">INDEX(Links!$B$644:$B$922,(Resumen!$C$3-2026)*28+9)</f>
        <v>284462.564373</v>
      </c>
      <c r="F26" s="17" t="n">
        <f aca="false">E26*D26/3600</f>
        <v>1185.2606848875</v>
      </c>
      <c r="G26" s="39" t="n">
        <f aca="false">INDEX(Links!$B$961:$K$961,1,(Resumen!$C$3-2025))</f>
        <v>1</v>
      </c>
      <c r="H26" s="39" t="n">
        <f aca="false">INDEX(Links!$B$990:$K$990,1,(Resumen!$C$3-2025))</f>
        <v>1</v>
      </c>
      <c r="I26" s="39" t="n">
        <f aca="false">G26*H26</f>
        <v>1</v>
      </c>
      <c r="J26" s="18" t="n">
        <f aca="false">INDEX(Links!$B$932:$K$932,1,(Resumen!$C$3-2025))</f>
        <v>0.720766632701858</v>
      </c>
      <c r="K26" s="6" t="str">
        <f aca="false">IF(J26=MAX($J$19:$J$44),"◀ cuello","")</f>
        <v/>
      </c>
    </row>
    <row r="27" customFormat="false" ht="15" hidden="false" customHeight="false" outlineLevel="0" collapsed="false">
      <c r="A27" s="39" t="n">
        <v>9</v>
      </c>
      <c r="B27" s="5" t="s">
        <v>360</v>
      </c>
      <c r="C27" s="5" t="s">
        <v>353</v>
      </c>
      <c r="D27" s="40" t="n">
        <f aca="false">Links!$B$621</f>
        <v>115</v>
      </c>
      <c r="E27" s="22" t="n">
        <f aca="false">INDEX(Links!$B$644:$B$922,(Resumen!$C$3-2026)*28+10)</f>
        <v>81841.925243</v>
      </c>
      <c r="F27" s="17" t="n">
        <f aca="false">E27*D27/3600</f>
        <v>2614.39483415139</v>
      </c>
      <c r="G27" s="39" t="n">
        <f aca="false">INDEX(Links!$B$962:$K$962,1,(Resumen!$C$3-2025))</f>
        <v>1</v>
      </c>
      <c r="H27" s="39" t="n">
        <f aca="false">INDEX(Links!$B$991:$K$991,1,(Resumen!$C$3-2025))</f>
        <v>2</v>
      </c>
      <c r="I27" s="39" t="n">
        <f aca="false">G27*H27</f>
        <v>2</v>
      </c>
      <c r="J27" s="18" t="n">
        <f aca="false">INDEX(Links!$B$933:$K$933,1,(Resumen!$C$3-2025))</f>
        <v>0.794917348221706</v>
      </c>
      <c r="K27" s="6" t="str">
        <f aca="false">IF(J27=MAX($J$19:$J$44),"◀ cuello","")</f>
        <v>◀ cuello</v>
      </c>
    </row>
    <row r="28" customFormat="false" ht="15" hidden="false" customHeight="false" outlineLevel="0" collapsed="false">
      <c r="A28" s="39" t="n">
        <v>10</v>
      </c>
      <c r="B28" s="5" t="s">
        <v>361</v>
      </c>
      <c r="C28" s="5" t="s">
        <v>353</v>
      </c>
      <c r="D28" s="40" t="n">
        <f aca="false">Links!$B$622</f>
        <v>30</v>
      </c>
      <c r="E28" s="22" t="n">
        <f aca="false">INDEX(Links!$B$644:$B$922,(Resumen!$C$3-2026)*28+11)</f>
        <v>202620.63913</v>
      </c>
      <c r="F28" s="17" t="n">
        <f aca="false">E28*D28/3600</f>
        <v>1688.50532608333</v>
      </c>
      <c r="G28" s="39" t="n">
        <f aca="false">INDEX(Links!$B$963:$K$963,1,(Resumen!$C$3-2025))</f>
        <v>1</v>
      </c>
      <c r="H28" s="39" t="n">
        <f aca="false">INDEX(Links!$B$992:$K$992,1,(Resumen!$C$3-2025))</f>
        <v>2</v>
      </c>
      <c r="I28" s="39" t="n">
        <f aca="false">G28*H28</f>
        <v>2</v>
      </c>
      <c r="J28" s="18" t="n">
        <f aca="false">INDEX(Links!$B$934:$K$934,1,(Resumen!$C$3-2025))</f>
        <v>0.506551597825</v>
      </c>
      <c r="K28" s="6" t="str">
        <f aca="false">IF(J28=MAX($J$19:$J$44),"◀ cuello","")</f>
        <v/>
      </c>
    </row>
    <row r="29" customFormat="false" ht="15" hidden="false" customHeight="false" outlineLevel="0" collapsed="false">
      <c r="A29" s="39" t="n">
        <v>11</v>
      </c>
      <c r="B29" s="5" t="s">
        <v>362</v>
      </c>
      <c r="C29" s="5" t="s">
        <v>353</v>
      </c>
      <c r="D29" s="40" t="n">
        <f aca="false">Links!$B$623</f>
        <v>30</v>
      </c>
      <c r="E29" s="22" t="n">
        <f aca="false">INDEX(Links!$B$644:$B$922,(Resumen!$C$3-2026)*28+12)</f>
        <v>284462.564373</v>
      </c>
      <c r="F29" s="17" t="n">
        <f aca="false">E29*D29/3600</f>
        <v>2370.521369775</v>
      </c>
      <c r="G29" s="39" t="n">
        <f aca="false">INDEX(Links!$B$964:$K$964,1,(Resumen!$C$3-2025))</f>
        <v>1</v>
      </c>
      <c r="H29" s="39" t="n">
        <f aca="false">INDEX(Links!$B$993:$K$993,1,(Resumen!$C$3-2025))</f>
        <v>2</v>
      </c>
      <c r="I29" s="39" t="n">
        <f aca="false">G29*H29</f>
        <v>2</v>
      </c>
      <c r="J29" s="18" t="n">
        <f aca="false">INDEX(Links!$B$935:$K$935,1,(Resumen!$C$3-2025))</f>
        <v>0.724028020180147</v>
      </c>
      <c r="K29" s="6" t="str">
        <f aca="false">IF(J29=MAX($J$19:$J$44),"◀ cuello","")</f>
        <v/>
      </c>
    </row>
    <row r="30" customFormat="false" ht="15" hidden="false" customHeight="false" outlineLevel="0" collapsed="false">
      <c r="A30" s="39" t="n">
        <v>12</v>
      </c>
      <c r="B30" s="5" t="s">
        <v>363</v>
      </c>
      <c r="C30" s="5" t="s">
        <v>353</v>
      </c>
      <c r="D30" s="40" t="n">
        <f aca="false">Links!$B$624</f>
        <v>20</v>
      </c>
      <c r="E30" s="22" t="n">
        <f aca="false">INDEX(Links!$B$644:$B$922,(Resumen!$C$3-2026)*28+13)</f>
        <v>284462.564373</v>
      </c>
      <c r="F30" s="17" t="n">
        <f aca="false">E30*D30/3600</f>
        <v>1580.34757985</v>
      </c>
      <c r="G30" s="39" t="n">
        <f aca="false">INDEX(Links!$B$965:$K$965,1,(Resumen!$C$3-2025))</f>
        <v>1</v>
      </c>
      <c r="H30" s="39" t="n">
        <f aca="false">INDEX(Links!$B$994:$K$994,1,(Resumen!$C$3-2025))</f>
        <v>2</v>
      </c>
      <c r="I30" s="39" t="n">
        <f aca="false">G30*H30</f>
        <v>2</v>
      </c>
      <c r="J30" s="18" t="n">
        <f aca="false">INDEX(Links!$B$936:$K$936,1,(Resumen!$C$3-2025))</f>
        <v>0.482685346786765</v>
      </c>
      <c r="K30" s="6" t="str">
        <f aca="false">IF(J30=MAX($J$19:$J$44),"◀ cuello","")</f>
        <v/>
      </c>
    </row>
    <row r="31" customFormat="false" ht="15" hidden="false" customHeight="false" outlineLevel="0" collapsed="false">
      <c r="A31" s="39" t="n">
        <v>13</v>
      </c>
      <c r="B31" s="5" t="s">
        <v>364</v>
      </c>
      <c r="C31" s="5" t="s">
        <v>353</v>
      </c>
      <c r="D31" s="40" t="n">
        <f aca="false">Links!$B$625</f>
        <v>60</v>
      </c>
      <c r="E31" s="22" t="n">
        <f aca="false">INDEX(Links!$B$644:$B$922,(Resumen!$C$3-2026)*28+14)</f>
        <v>284462.564373</v>
      </c>
      <c r="F31" s="17" t="n">
        <f aca="false">E31*D31/3600</f>
        <v>4741.04273955</v>
      </c>
      <c r="G31" s="39" t="n">
        <f aca="false">INDEX(Links!$B$966:$K$966,1,(Resumen!$C$3-2025))</f>
        <v>2</v>
      </c>
      <c r="H31" s="39" t="n">
        <f aca="false">INDEX(Links!$B$995:$K$995,1,(Resumen!$C$3-2025))</f>
        <v>2</v>
      </c>
      <c r="I31" s="39" t="n">
        <f aca="false">G31*H31</f>
        <v>4</v>
      </c>
      <c r="J31" s="18" t="n">
        <f aca="false">INDEX(Links!$B$937:$K$937,1,(Resumen!$C$3-2025))</f>
        <v>0.724028020180147</v>
      </c>
      <c r="K31" s="6" t="str">
        <f aca="false">IF(J31=MAX($J$19:$J$44),"◀ cuello","")</f>
        <v/>
      </c>
    </row>
    <row r="32" customFormat="false" ht="15" hidden="false" customHeight="false" outlineLevel="0" collapsed="false">
      <c r="A32" s="39" t="n">
        <v>14</v>
      </c>
      <c r="B32" s="5" t="s">
        <v>365</v>
      </c>
      <c r="C32" s="5" t="s">
        <v>351</v>
      </c>
      <c r="D32" s="40" t="n">
        <f aca="false">Links!$B$626</f>
        <v>120</v>
      </c>
      <c r="E32" s="22" t="n">
        <f aca="false">INDEX(Links!$B$644:$B$922,(Resumen!$C$3-2026)*28+15)</f>
        <v>5689.25128746</v>
      </c>
      <c r="F32" s="17" t="n">
        <f aca="false">E32*D32/3600</f>
        <v>189.641709582</v>
      </c>
      <c r="G32" s="39" t="n">
        <f aca="false">INDEX(Links!$B$967:$K$967,1,(Resumen!$C$3-2025))</f>
        <v>1</v>
      </c>
      <c r="H32" s="39" t="n">
        <f aca="false">INDEX(Links!$B$996:$K$996,1,(Resumen!$C$3-2025))</f>
        <v>1</v>
      </c>
      <c r="I32" s="39" t="n">
        <f aca="false">G32*H32</f>
        <v>1</v>
      </c>
      <c r="J32" s="18" t="n">
        <f aca="false">INDEX(Links!$B$938:$K$938,1,(Resumen!$C$3-2025))</f>
        <v>0.1137850257492</v>
      </c>
      <c r="K32" s="6" t="str">
        <f aca="false">IF(J32=MAX($J$19:$J$44),"◀ cuello","")</f>
        <v/>
      </c>
    </row>
    <row r="33" customFormat="false" ht="15" hidden="false" customHeight="false" outlineLevel="0" collapsed="false">
      <c r="A33" s="39" t="n">
        <v>15</v>
      </c>
      <c r="B33" s="5" t="s">
        <v>366</v>
      </c>
      <c r="C33" s="5" t="s">
        <v>353</v>
      </c>
      <c r="D33" s="40" t="n">
        <f aca="false">Links!$B$627</f>
        <v>60</v>
      </c>
      <c r="E33" s="22" t="n">
        <f aca="false">INDEX(Links!$B$644:$B$922,(Resumen!$C$3-2026)*28+16)</f>
        <v>284462.564373</v>
      </c>
      <c r="F33" s="17" t="n">
        <f aca="false">E33*D33/3600</f>
        <v>4741.04273955</v>
      </c>
      <c r="G33" s="39" t="n">
        <f aca="false">INDEX(Links!$B$968:$K$968,1,(Resumen!$C$3-2025))</f>
        <v>2</v>
      </c>
      <c r="H33" s="39" t="n">
        <f aca="false">INDEX(Links!$B$997:$K$997,1,(Resumen!$C$3-2025))</f>
        <v>2</v>
      </c>
      <c r="I33" s="39" t="n">
        <f aca="false">G33*H33</f>
        <v>4</v>
      </c>
      <c r="J33" s="18" t="n">
        <f aca="false">INDEX(Links!$B$939:$K$939,1,(Resumen!$C$3-2025))</f>
        <v>0.724028020180147</v>
      </c>
      <c r="K33" s="6" t="str">
        <f aca="false">IF(J33=MAX($J$19:$J$44),"◀ cuello","")</f>
        <v/>
      </c>
    </row>
    <row r="34" customFormat="false" ht="15" hidden="false" customHeight="false" outlineLevel="0" collapsed="false">
      <c r="A34" s="39" t="n">
        <v>16</v>
      </c>
      <c r="B34" s="5" t="s">
        <v>367</v>
      </c>
      <c r="C34" s="5" t="s">
        <v>353</v>
      </c>
      <c r="D34" s="40" t="n">
        <f aca="false">Links!$B$628</f>
        <v>120</v>
      </c>
      <c r="E34" s="22" t="n">
        <f aca="false">INDEX(Links!$B$644:$B$922,(Resumen!$C$3-2026)*28+17)</f>
        <v>284462.564373</v>
      </c>
      <c r="F34" s="17" t="n">
        <f aca="false">E34*D34/3600</f>
        <v>9482.0854791</v>
      </c>
      <c r="G34" s="39" t="n">
        <f aca="false">INDEX(Links!$B$969:$K$969,1,(Resumen!$C$3-2025))</f>
        <v>4</v>
      </c>
      <c r="H34" s="39" t="n">
        <f aca="false">INDEX(Links!$B$998:$K$998,1,(Resumen!$C$3-2025))</f>
        <v>2</v>
      </c>
      <c r="I34" s="39" t="n">
        <f aca="false">G34*H34</f>
        <v>8</v>
      </c>
      <c r="J34" s="18" t="n">
        <f aca="false">INDEX(Links!$B$940:$K$940,1,(Resumen!$C$3-2025))</f>
        <v>0.7111564109325</v>
      </c>
      <c r="K34" s="6" t="str">
        <f aca="false">IF(J34=MAX($J$19:$J$44),"◀ cuello","")</f>
        <v/>
      </c>
    </row>
    <row r="35" customFormat="false" ht="15" hidden="false" customHeight="false" outlineLevel="0" collapsed="false">
      <c r="A35" s="39" t="n">
        <v>17</v>
      </c>
      <c r="B35" s="5" t="s">
        <v>201</v>
      </c>
      <c r="C35" s="5" t="s">
        <v>353</v>
      </c>
      <c r="D35" s="40" t="n">
        <f aca="false">Links!$B$629</f>
        <v>30</v>
      </c>
      <c r="E35" s="22" t="n">
        <f aca="false">INDEX(Links!$B$644:$B$922,(Resumen!$C$3-2026)*28+18)</f>
        <v>284462.564373</v>
      </c>
      <c r="F35" s="17" t="n">
        <f aca="false">E35*D35/3600</f>
        <v>2370.521369775</v>
      </c>
      <c r="G35" s="39" t="n">
        <f aca="false">INDEX(Links!$B$970:$K$970,1,(Resumen!$C$3-2025))</f>
        <v>1</v>
      </c>
      <c r="H35" s="39" t="n">
        <f aca="false">INDEX(Links!$B$999:$K$999,1,(Resumen!$C$3-2025))</f>
        <v>2</v>
      </c>
      <c r="I35" s="39" t="n">
        <f aca="false">G35*H35</f>
        <v>2</v>
      </c>
      <c r="J35" s="18" t="n">
        <f aca="false">INDEX(Links!$B$941:$K$941,1,(Resumen!$C$3-2025))</f>
        <v>0.7111564109325</v>
      </c>
      <c r="K35" s="6" t="str">
        <f aca="false">IF(J35=MAX($J$19:$J$44),"◀ cuello","")</f>
        <v/>
      </c>
    </row>
    <row r="36" customFormat="false" ht="15" hidden="false" customHeight="false" outlineLevel="0" collapsed="false">
      <c r="A36" s="39" t="n">
        <v>18</v>
      </c>
      <c r="B36" s="5" t="s">
        <v>368</v>
      </c>
      <c r="C36" s="5" t="s">
        <v>351</v>
      </c>
      <c r="D36" s="40" t="n">
        <f aca="false">Links!$B$630</f>
        <v>20</v>
      </c>
      <c r="E36" s="22" t="n">
        <f aca="false">INDEX(Links!$B$644:$B$922,(Resumen!$C$3-2026)*28+19)</f>
        <v>284462.564373</v>
      </c>
      <c r="F36" s="17" t="n">
        <f aca="false">E36*D36/3600</f>
        <v>1580.34757985</v>
      </c>
      <c r="G36" s="39" t="n">
        <f aca="false">INDEX(Links!$B$971:$K$971,1,(Resumen!$C$3-2025))</f>
        <v>1</v>
      </c>
      <c r="H36" s="39" t="n">
        <f aca="false">INDEX(Links!$B$1000:$K$1000,1,(Resumen!$C$3-2025))</f>
        <v>2</v>
      </c>
      <c r="I36" s="39" t="n">
        <f aca="false">G36*H36</f>
        <v>2</v>
      </c>
      <c r="J36" s="18" t="n">
        <f aca="false">INDEX(Links!$B$942:$K$942,1,(Resumen!$C$3-2025))</f>
        <v>0.474104273955</v>
      </c>
      <c r="K36" s="6" t="str">
        <f aca="false">IF(J36=MAX($J$19:$J$44),"◀ cuello","")</f>
        <v/>
      </c>
    </row>
    <row r="37" customFormat="false" ht="15" hidden="false" customHeight="false" outlineLevel="0" collapsed="false">
      <c r="A37" s="39" t="n">
        <v>19</v>
      </c>
      <c r="B37" s="5" t="s">
        <v>369</v>
      </c>
      <c r="C37" s="5" t="s">
        <v>351</v>
      </c>
      <c r="D37" s="40" t="n">
        <f aca="false">Links!$B$631</f>
        <v>180</v>
      </c>
      <c r="E37" s="22" t="n">
        <f aca="false">INDEX(Links!$B$644:$B$922,(Resumen!$C$3-2026)*28+20)</f>
        <v>14223.12821865</v>
      </c>
      <c r="F37" s="17" t="n">
        <f aca="false">E37*D37/3600</f>
        <v>711.1564109325</v>
      </c>
      <c r="G37" s="39" t="n">
        <f aca="false">INDEX(Links!$B$972:$K$972,1,(Resumen!$C$3-2025))</f>
        <v>1</v>
      </c>
      <c r="H37" s="39" t="n">
        <f aca="false">INDEX(Links!$B$1001:$K$1001,1,(Resumen!$C$3-2025))</f>
        <v>1</v>
      </c>
      <c r="I37" s="39" t="n">
        <f aca="false">G37*H37</f>
        <v>1</v>
      </c>
      <c r="J37" s="18" t="n">
        <f aca="false">INDEX(Links!$B$943:$K$943,1,(Resumen!$C$3-2025))</f>
        <v>0.4266938465595</v>
      </c>
      <c r="K37" s="6" t="str">
        <f aca="false">IF(J37=MAX($J$19:$J$44),"◀ cuello","")</f>
        <v/>
      </c>
    </row>
    <row r="38" customFormat="false" ht="15" hidden="false" customHeight="false" outlineLevel="0" collapsed="false">
      <c r="A38" s="39" t="n">
        <v>20</v>
      </c>
      <c r="B38" s="5" t="s">
        <v>370</v>
      </c>
      <c r="C38" s="5" t="s">
        <v>353</v>
      </c>
      <c r="D38" s="40" t="n">
        <f aca="false">Links!$B$632</f>
        <v>25</v>
      </c>
      <c r="E38" s="22" t="n">
        <f aca="false">INDEX(Links!$B$644:$B$922,(Resumen!$C$3-2026)*28+21)</f>
        <v>284462.564373</v>
      </c>
      <c r="F38" s="17" t="n">
        <f aca="false">E38*D38/3600</f>
        <v>1975.4344748125</v>
      </c>
      <c r="G38" s="39" t="n">
        <f aca="false">INDEX(Links!$B$973:$K$973,1,(Resumen!$C$3-2025))</f>
        <v>1</v>
      </c>
      <c r="H38" s="39" t="n">
        <f aca="false">INDEX(Links!$B$1002:$K$1002,1,(Resumen!$C$3-2025))</f>
        <v>2</v>
      </c>
      <c r="I38" s="39" t="n">
        <f aca="false">G38*H38</f>
        <v>2</v>
      </c>
      <c r="J38" s="18" t="n">
        <f aca="false">INDEX(Links!$B$944:$K$944,1,(Resumen!$C$3-2025))</f>
        <v>0.626017967370159</v>
      </c>
      <c r="K38" s="6" t="str">
        <f aca="false">IF(J38=MAX($J$19:$J$44),"◀ cuello","")</f>
        <v/>
      </c>
    </row>
    <row r="39" customFormat="false" ht="15" hidden="false" customHeight="false" outlineLevel="0" collapsed="false">
      <c r="A39" s="39" t="n">
        <v>21</v>
      </c>
      <c r="B39" s="5" t="s">
        <v>207</v>
      </c>
      <c r="C39" s="5" t="s">
        <v>353</v>
      </c>
      <c r="D39" s="40" t="n">
        <f aca="false">Links!$B$633</f>
        <v>45</v>
      </c>
      <c r="E39" s="22" t="n">
        <f aca="false">INDEX(Links!$B$644:$B$922,(Resumen!$C$3-2026)*28+22)</f>
        <v>72169.004373</v>
      </c>
      <c r="F39" s="17" t="n">
        <f aca="false">E39*D39/3600</f>
        <v>902.1125546625</v>
      </c>
      <c r="G39" s="39" t="n">
        <f aca="false">INDEX(Links!$B$974:$K$974,1,(Resumen!$C$3-2025))</f>
        <v>1</v>
      </c>
      <c r="H39" s="39" t="n">
        <f aca="false">INDEX(Links!$B$1003:$K$1003,1,(Resumen!$C$3-2025))</f>
        <v>1</v>
      </c>
      <c r="I39" s="39" t="n">
        <f aca="false">G39*H39</f>
        <v>1</v>
      </c>
      <c r="J39" s="18" t="n">
        <f aca="false">INDEX(Links!$B$945:$K$945,1,(Resumen!$C$3-2025))</f>
        <v>0.5412675327975</v>
      </c>
      <c r="K39" s="6" t="str">
        <f aca="false">IF(J39=MAX($J$19:$J$44),"◀ cuello","")</f>
        <v/>
      </c>
    </row>
    <row r="40" customFormat="false" ht="15" hidden="false" customHeight="false" outlineLevel="0" collapsed="false">
      <c r="A40" s="39" t="n">
        <v>22</v>
      </c>
      <c r="B40" s="5" t="s">
        <v>371</v>
      </c>
      <c r="C40" s="5" t="s">
        <v>351</v>
      </c>
      <c r="D40" s="40" t="n">
        <f aca="false">Links!$B$634</f>
        <v>100</v>
      </c>
      <c r="E40" s="22" t="n">
        <f aca="false">INDEX(Links!$B$644:$B$922,(Resumen!$C$3-2026)*28+23)</f>
        <v>72169.004373</v>
      </c>
      <c r="F40" s="17" t="n">
        <f aca="false">E40*D40/3600</f>
        <v>2004.69456591667</v>
      </c>
      <c r="G40" s="39" t="n">
        <f aca="false">INDEX(Links!$B$975:$K$975,1,(Resumen!$C$3-2025))</f>
        <v>1</v>
      </c>
      <c r="H40" s="39" t="n">
        <f aca="false">INDEX(Links!$B$1004:$K$1004,1,(Resumen!$C$3-2025))</f>
        <v>2</v>
      </c>
      <c r="I40" s="39" t="n">
        <f aca="false">G40*H40</f>
        <v>2</v>
      </c>
      <c r="J40" s="18" t="n">
        <f aca="false">INDEX(Links!$B$946:$K$946,1,(Resumen!$C$3-2025))</f>
        <v>0.612293589137444</v>
      </c>
      <c r="K40" s="6" t="str">
        <f aca="false">IF(J40=MAX($J$19:$J$44),"◀ cuello","")</f>
        <v/>
      </c>
    </row>
    <row r="41" customFormat="false" ht="15" hidden="false" customHeight="false" outlineLevel="0" collapsed="false">
      <c r="A41" s="39" t="n">
        <v>23</v>
      </c>
      <c r="B41" s="5" t="s">
        <v>372</v>
      </c>
      <c r="C41" s="5" t="s">
        <v>353</v>
      </c>
      <c r="D41" s="40" t="n">
        <f aca="false">Links!$B$635</f>
        <v>30</v>
      </c>
      <c r="E41" s="22" t="n">
        <f aca="false">INDEX(Links!$B$644:$B$922,(Resumen!$C$3-2026)*28+24)</f>
        <v>72169.004373</v>
      </c>
      <c r="F41" s="17" t="n">
        <f aca="false">E41*D41/3600</f>
        <v>601.408369775</v>
      </c>
      <c r="G41" s="39" t="n">
        <f aca="false">INDEX(Links!$B$976:$K$976,1,(Resumen!$C$3-2025))</f>
        <v>1</v>
      </c>
      <c r="H41" s="39" t="n">
        <f aca="false">INDEX(Links!$B$1005:$K$1005,1,(Resumen!$C$3-2025))</f>
        <v>1</v>
      </c>
      <c r="I41" s="39" t="n">
        <f aca="false">G41*H41</f>
        <v>1</v>
      </c>
      <c r="J41" s="18" t="n">
        <f aca="false">INDEX(Links!$B$947:$K$947,1,(Resumen!$C$3-2025))</f>
        <v>0.360845021865</v>
      </c>
      <c r="K41" s="6" t="str">
        <f aca="false">IF(J41=MAX($J$19:$J$44),"◀ cuello","")</f>
        <v/>
      </c>
    </row>
    <row r="42" customFormat="false" ht="15" hidden="false" customHeight="false" outlineLevel="0" collapsed="false">
      <c r="A42" s="39" t="n">
        <v>24</v>
      </c>
      <c r="B42" s="5" t="s">
        <v>373</v>
      </c>
      <c r="C42" s="5" t="s">
        <v>353</v>
      </c>
      <c r="D42" s="40" t="n">
        <f aca="false">Links!$B$636</f>
        <v>40</v>
      </c>
      <c r="E42" s="22" t="n">
        <f aca="false">INDEX(Links!$B$644:$B$922,(Resumen!$C$3-2026)*28+25)</f>
        <v>72169.004373</v>
      </c>
      <c r="F42" s="17" t="n">
        <f aca="false">E42*D42/3600</f>
        <v>801.877826366667</v>
      </c>
      <c r="G42" s="39" t="n">
        <f aca="false">INDEX(Links!$B$977:$K$977,1,(Resumen!$C$3-2025))</f>
        <v>1</v>
      </c>
      <c r="H42" s="39" t="n">
        <f aca="false">INDEX(Links!$B$1006:$K$1006,1,(Resumen!$C$3-2025))</f>
        <v>1</v>
      </c>
      <c r="I42" s="39" t="n">
        <f aca="false">G42*H42</f>
        <v>1</v>
      </c>
      <c r="J42" s="18" t="n">
        <f aca="false">INDEX(Links!$B$948:$K$948,1,(Resumen!$C$3-2025))</f>
        <v>0.48112669582</v>
      </c>
      <c r="K42" s="6" t="str">
        <f aca="false">IF(J42=MAX($J$19:$J$44),"◀ cuello","")</f>
        <v/>
      </c>
    </row>
    <row r="43" customFormat="false" ht="15" hidden="false" customHeight="false" outlineLevel="0" collapsed="false">
      <c r="A43" s="39" t="n">
        <v>25</v>
      </c>
      <c r="B43" s="5" t="s">
        <v>374</v>
      </c>
      <c r="C43" s="5" t="s">
        <v>353</v>
      </c>
      <c r="D43" s="40" t="n">
        <f aca="false">Links!$B$637</f>
        <v>60</v>
      </c>
      <c r="E43" s="22" t="n">
        <f aca="false">INDEX(Links!$B$644:$B$922,(Resumen!$C$3-2026)*28+26)</f>
        <v>72169.004373</v>
      </c>
      <c r="F43" s="17" t="n">
        <f aca="false">E43*D43/3600</f>
        <v>1202.81673955</v>
      </c>
      <c r="G43" s="39" t="n">
        <f aca="false">INDEX(Links!$B$978:$K$978,1,(Resumen!$C$3-2025))</f>
        <v>1</v>
      </c>
      <c r="H43" s="39" t="n">
        <f aca="false">INDEX(Links!$B$1007:$K$1007,1,(Resumen!$C$3-2025))</f>
        <v>1</v>
      </c>
      <c r="I43" s="39" t="n">
        <f aca="false">G43*H43</f>
        <v>1</v>
      </c>
      <c r="J43" s="18" t="n">
        <f aca="false">INDEX(Links!$B$949:$K$949,1,(Resumen!$C$3-2025))</f>
        <v>0.72169004373</v>
      </c>
      <c r="K43" s="6" t="str">
        <f aca="false">IF(J43=MAX($J$19:$J$44),"◀ cuello","")</f>
        <v/>
      </c>
    </row>
    <row r="44" customFormat="false" ht="15" hidden="false" customHeight="false" outlineLevel="0" collapsed="false">
      <c r="A44" s="39" t="n">
        <v>26</v>
      </c>
      <c r="B44" s="5" t="s">
        <v>375</v>
      </c>
      <c r="C44" s="5" t="s">
        <v>351</v>
      </c>
      <c r="D44" s="40" t="n">
        <f aca="false">Links!$B$638</f>
        <v>45</v>
      </c>
      <c r="E44" s="22" t="n">
        <f aca="false">INDEX(Links!$B$644:$B$922,(Resumen!$C$3-2026)*28+27)</f>
        <v>284462.564373</v>
      </c>
      <c r="F44" s="17" t="n">
        <f aca="false">E44*D44/3600</f>
        <v>3555.7820546625</v>
      </c>
      <c r="G44" s="39" t="n">
        <f aca="false">INDEX(Links!$B$979:$K$979,1,(Resumen!$C$3-2025))</f>
        <v>2</v>
      </c>
      <c r="H44" s="39" t="n">
        <f aca="false">INDEX(Links!$B$1008:$K$1008,1,(Resumen!$C$3-2025))</f>
        <v>2</v>
      </c>
      <c r="I44" s="39" t="n">
        <f aca="false">G44*H44</f>
        <v>4</v>
      </c>
      <c r="J44" s="18" t="n">
        <f aca="false">INDEX(Links!$B$950:$K$950,1,(Resumen!$C$3-2025))</f>
        <v>0.538150871501612</v>
      </c>
      <c r="K44" s="6" t="str">
        <f aca="false">IF(J44=MAX($J$19:$J$44),"◀ cuello","")</f>
        <v/>
      </c>
    </row>
    <row r="45" customFormat="false" ht="15" hidden="false" customHeight="false" outlineLevel="0" collapsed="false">
      <c r="B45" s="4" t="s">
        <v>376</v>
      </c>
      <c r="F45" s="19" t="n">
        <f aca="false">SUM(F19:F44)</f>
        <v>59588.1187956592</v>
      </c>
      <c r="I45" s="19" t="n">
        <f aca="false">SUM(I19:I44)</f>
        <v>59</v>
      </c>
    </row>
    <row r="48" customFormat="false" ht="15" hidden="false" customHeight="false" outlineLevel="0" collapsed="false">
      <c r="A48" s="33" t="s">
        <v>122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customFormat="false" ht="15" hidden="false" customHeight="false" outlineLevel="0" collapsed="false">
      <c r="A49" s="5"/>
      <c r="B49" s="5" t="s">
        <v>327</v>
      </c>
      <c r="C49" s="19" t="n">
        <f aca="false">SUM(Resumen!$D$15:$D$22)</f>
        <v>3107.3221329</v>
      </c>
      <c r="D49" s="19"/>
    </row>
    <row r="50" customFormat="false" ht="15" hidden="false" customHeight="false" outlineLevel="0" collapsed="false">
      <c r="A50" s="5"/>
      <c r="B50" s="5" t="s">
        <v>328</v>
      </c>
      <c r="C50" s="19" t="n">
        <f aca="false">MAX(INDEX(Links!$B$1024:$M$1132,(Resumen!$C$3-2026)*11+10,0))</f>
        <v>279.658991961</v>
      </c>
      <c r="D50" s="19"/>
    </row>
    <row r="51" customFormat="false" ht="15" hidden="false" customHeight="false" outlineLevel="0" collapsed="false">
      <c r="A51" s="5"/>
      <c r="B51" s="5" t="s">
        <v>329</v>
      </c>
      <c r="C51" s="19" t="n">
        <f aca="false">Links!$B$1155</f>
        <v>150</v>
      </c>
      <c r="D51" s="19"/>
    </row>
    <row r="52" customFormat="false" ht="15" hidden="false" customHeight="false" outlineLevel="0" collapsed="false">
      <c r="A52" s="5"/>
      <c r="B52" s="5" t="s">
        <v>330</v>
      </c>
      <c r="C52" s="38" t="n">
        <f aca="false">IF(C50=0,0,C51*3600/C50)</f>
        <v>1930.92307246572</v>
      </c>
      <c r="D52" s="38"/>
    </row>
    <row r="53" customFormat="false" ht="15" hidden="false" customHeight="false" outlineLevel="0" collapsed="false">
      <c r="A53" s="5"/>
      <c r="B53" s="5" t="s">
        <v>331</v>
      </c>
      <c r="C53" s="38" t="n">
        <f aca="false">IF(C49=0,0,F81*3600/C49)</f>
        <v>6202.12192557386</v>
      </c>
      <c r="D53" s="38"/>
    </row>
    <row r="54" customFormat="false" ht="15" hidden="false" customHeight="false" outlineLevel="0" collapsed="false">
      <c r="A54" s="5"/>
      <c r="B54" s="5" t="s">
        <v>332</v>
      </c>
      <c r="C54" s="38" t="n">
        <f aca="false">IF(C52=0,0,C53/C52)</f>
        <v>3.21199845504667</v>
      </c>
      <c r="D54" s="38"/>
    </row>
    <row r="55" customFormat="false" ht="15" hidden="false" customHeight="false" outlineLevel="0" collapsed="false">
      <c r="A55" s="5"/>
      <c r="B55" s="5" t="s">
        <v>333</v>
      </c>
      <c r="C55" s="19" t="n">
        <f aca="false">I81</f>
        <v>18</v>
      </c>
      <c r="D55" s="19"/>
    </row>
    <row r="56" customFormat="false" ht="15" hidden="false" customHeight="false" outlineLevel="0" collapsed="false">
      <c r="A56" s="5"/>
      <c r="B56" s="5" t="s">
        <v>334</v>
      </c>
      <c r="C56" s="20" t="n">
        <f aca="false">IF(I81=0,0,SUMPRODUCT(J63:J80,I63:I80)/I81)</f>
        <v>0.226808556144568</v>
      </c>
      <c r="D56" s="20"/>
    </row>
    <row r="57" customFormat="false" ht="15" hidden="false" customHeight="false" outlineLevel="0" collapsed="false">
      <c r="A57" s="5"/>
      <c r="B57" s="5" t="s">
        <v>335</v>
      </c>
      <c r="C57" s="4" t="str">
        <f aca="false">INDEX(B63:B80,MATCH(MAX(J63:J80),J63:J80,0))</f>
        <v>Soldadura de accesorios</v>
      </c>
      <c r="D57" s="4"/>
    </row>
    <row r="58" customFormat="false" ht="15" hidden="false" customHeight="false" outlineLevel="0" collapsed="false">
      <c r="A58" s="5"/>
      <c r="B58" s="5" t="s">
        <v>336</v>
      </c>
      <c r="C58" s="20" t="n">
        <f aca="false">MAX(J63:J80)</f>
        <v>0.5230763973169</v>
      </c>
      <c r="D58" s="20"/>
    </row>
    <row r="59" customFormat="false" ht="15" hidden="false" customHeight="false" outlineLevel="0" collapsed="false">
      <c r="A59" s="5"/>
      <c r="B59" s="5" t="s">
        <v>337</v>
      </c>
      <c r="C59" s="20" t="n">
        <f aca="false">IF(C58=0,0,C56/C58)</f>
        <v>0.433605028458508</v>
      </c>
      <c r="D59" s="20"/>
    </row>
    <row r="60" customFormat="false" ht="15" hidden="false" customHeight="false" outlineLevel="0" collapsed="false">
      <c r="A60" s="5"/>
      <c r="B60" s="5" t="s">
        <v>338</v>
      </c>
      <c r="C60" s="20" t="n">
        <f aca="false">1-C59</f>
        <v>0.566394971541492</v>
      </c>
      <c r="D60" s="20"/>
    </row>
    <row r="62" customFormat="false" ht="30" hidden="false" customHeight="true" outlineLevel="0" collapsed="false">
      <c r="A62" s="3" t="s">
        <v>339</v>
      </c>
      <c r="B62" s="3" t="s">
        <v>340</v>
      </c>
      <c r="C62" s="3" t="s">
        <v>341</v>
      </c>
      <c r="D62" s="3" t="s">
        <v>377</v>
      </c>
      <c r="E62" s="3" t="s">
        <v>343</v>
      </c>
      <c r="F62" s="3" t="s">
        <v>344</v>
      </c>
      <c r="G62" s="3" t="s">
        <v>345</v>
      </c>
      <c r="H62" s="3" t="s">
        <v>346</v>
      </c>
      <c r="I62" s="3" t="s">
        <v>347</v>
      </c>
      <c r="J62" s="3" t="s">
        <v>348</v>
      </c>
      <c r="K62" s="3" t="s">
        <v>349</v>
      </c>
    </row>
    <row r="63" customFormat="false" ht="15" hidden="false" customHeight="false" outlineLevel="0" collapsed="false">
      <c r="A63" s="39" t="n">
        <v>1</v>
      </c>
      <c r="B63" s="5" t="s">
        <v>350</v>
      </c>
      <c r="C63" s="5" t="s">
        <v>351</v>
      </c>
      <c r="D63" s="40" t="n">
        <f aca="false">Links!$B$1135</f>
        <v>1.7825</v>
      </c>
      <c r="E63" s="22" t="n">
        <f aca="false">IF(D63=0,0,F63*60/D63)</f>
        <v>3107.3221329</v>
      </c>
      <c r="F63" s="17" t="n">
        <f aca="false">INDEX(Links!$B$1158:$B$1356,(Resumen!$C$3-2026)*20+2)</f>
        <v>92.3133616982375</v>
      </c>
      <c r="G63" s="39" t="n">
        <f aca="false">INDEX(Links!$B$1380:$K$1380,1,(Resumen!$C$3-2025))</f>
        <v>1</v>
      </c>
      <c r="H63" s="39" t="n">
        <f aca="false">INDEX(Links!$B$1401:$K$1401,1,(Resumen!$C$3-2025))</f>
        <v>1</v>
      </c>
      <c r="I63" s="39" t="n">
        <f aca="false">G63*H63</f>
        <v>1</v>
      </c>
      <c r="J63" s="18" t="n">
        <f aca="false">INDEX(Links!$B$1359:$K$1359,1,(Resumen!$C$3-2025))</f>
        <v>0.103499128130054</v>
      </c>
      <c r="K63" s="6" t="str">
        <f aca="false">IF(J63=MAX($J$63:$J$80),"◀ cuello","")</f>
        <v/>
      </c>
    </row>
    <row r="64" customFormat="false" ht="15" hidden="false" customHeight="false" outlineLevel="0" collapsed="false">
      <c r="A64" s="39" t="n">
        <v>2</v>
      </c>
      <c r="B64" s="5" t="s">
        <v>378</v>
      </c>
      <c r="C64" s="5" t="s">
        <v>353</v>
      </c>
      <c r="D64" s="40" t="n">
        <f aca="false">Links!$B$1136</f>
        <v>3.66219412626582</v>
      </c>
      <c r="E64" s="22" t="n">
        <f aca="false">IF(D64=0,0,F64*60/D64)</f>
        <v>3107.80258757142</v>
      </c>
      <c r="F64" s="17" t="n">
        <f aca="false">INDEX(Links!$B$1158:$B$1356,(Resumen!$C$3-2026)*20+3)</f>
        <v>189.689606363296</v>
      </c>
      <c r="G64" s="39" t="n">
        <f aca="false">INDEX(Links!$B$1381:$K$1381,1,(Resumen!$C$3-2025))</f>
        <v>1</v>
      </c>
      <c r="H64" s="39" t="n">
        <f aca="false">INDEX(Links!$B$1402:$K$1402,1,(Resumen!$C$3-2025))</f>
        <v>1</v>
      </c>
      <c r="I64" s="39" t="n">
        <f aca="false">G64*H64</f>
        <v>1</v>
      </c>
      <c r="J64" s="18" t="n">
        <f aca="false">INDEX(Links!$B$1360:$K$1360,1,(Resumen!$C$3-2025))</f>
        <v>0.1760359860402</v>
      </c>
      <c r="K64" s="6" t="str">
        <f aca="false">IF(J64=MAX($J$63:$J$80),"◀ cuello","")</f>
        <v/>
      </c>
    </row>
    <row r="65" customFormat="false" ht="15" hidden="false" customHeight="false" outlineLevel="0" collapsed="false">
      <c r="A65" s="39" t="n">
        <v>3</v>
      </c>
      <c r="B65" s="5" t="s">
        <v>379</v>
      </c>
      <c r="C65" s="5" t="s">
        <v>353</v>
      </c>
      <c r="D65" s="40" t="n">
        <f aca="false">Links!$B$1137</f>
        <v>1.55996129135008</v>
      </c>
      <c r="E65" s="22" t="n">
        <f aca="false">IF(D65=0,0,F65*60/D65)</f>
        <v>3107.42077653397</v>
      </c>
      <c r="F65" s="17" t="n">
        <f aca="false">INDEX(Links!$B$1158:$B$1356,(Resumen!$C$3-2026)*20+4)</f>
        <v>80.7909354555</v>
      </c>
      <c r="G65" s="39" t="n">
        <f aca="false">INDEX(Links!$B$1382:$K$1382,1,(Resumen!$C$3-2025))</f>
        <v>1</v>
      </c>
      <c r="H65" s="39" t="n">
        <f aca="false">INDEX(Links!$B$1403:$K$1403,1,(Resumen!$C$3-2025))</f>
        <v>1</v>
      </c>
      <c r="I65" s="39" t="n">
        <f aca="false">G65*H65</f>
        <v>1</v>
      </c>
      <c r="J65" s="18" t="n">
        <f aca="false">INDEX(Links!$B$1361:$K$1361,1,(Resumen!$C$3-2025))</f>
        <v>0.0606967834955222</v>
      </c>
      <c r="K65" s="6" t="str">
        <f aca="false">IF(J65=MAX($J$63:$J$80),"◀ cuello","")</f>
        <v/>
      </c>
    </row>
    <row r="66" customFormat="false" ht="15" hidden="false" customHeight="false" outlineLevel="0" collapsed="false">
      <c r="A66" s="39" t="n">
        <v>4</v>
      </c>
      <c r="B66" s="5" t="s">
        <v>359</v>
      </c>
      <c r="C66" s="5" t="s">
        <v>353</v>
      </c>
      <c r="D66" s="40" t="n">
        <f aca="false">Links!$B$1138</f>
        <v>3.33817070115948</v>
      </c>
      <c r="E66" s="22" t="n">
        <f aca="false">IF(D66=0,0,F66*60/D66)</f>
        <v>3107.70343800057</v>
      </c>
      <c r="F66" s="17" t="n">
        <f aca="false">INDEX(Links!$B$1158:$B$1356,(Resumen!$C$3-2026)*20+5)</f>
        <v>172.900742743768</v>
      </c>
      <c r="G66" s="39" t="n">
        <f aca="false">INDEX(Links!$B$1383:$K$1383,1,(Resumen!$C$3-2025))</f>
        <v>1</v>
      </c>
      <c r="H66" s="39" t="n">
        <f aca="false">INDEX(Links!$B$1404:$K$1404,1,(Resumen!$C$3-2025))</f>
        <v>1</v>
      </c>
      <c r="I66" s="39" t="n">
        <f aca="false">G66*H66</f>
        <v>1</v>
      </c>
      <c r="J66" s="18" t="n">
        <f aca="false">INDEX(Links!$B$1362:$K$1362,1,(Resumen!$C$3-2025))</f>
        <v>0.143740445646261</v>
      </c>
      <c r="K66" s="6" t="str">
        <f aca="false">IF(J66=MAX($J$63:$J$80),"◀ cuello","")</f>
        <v/>
      </c>
    </row>
    <row r="67" customFormat="false" ht="15" hidden="false" customHeight="false" outlineLevel="0" collapsed="false">
      <c r="A67" s="39" t="n">
        <v>5</v>
      </c>
      <c r="B67" s="5" t="s">
        <v>380</v>
      </c>
      <c r="C67" s="5" t="s">
        <v>351</v>
      </c>
      <c r="D67" s="40" t="n">
        <f aca="false">Links!$B$1139</f>
        <v>4.94850717039361</v>
      </c>
      <c r="E67" s="22" t="n">
        <f aca="false">IF(D67=0,0,F67*60/D67)</f>
        <v>3108.18664119116</v>
      </c>
      <c r="F67" s="17" t="n">
        <f aca="false">INDEX(Links!$B$1158:$B$1356,(Resumen!$C$3-2026)*20+6)</f>
        <v>256.348064680935</v>
      </c>
      <c r="G67" s="39" t="n">
        <f aca="false">INDEX(Links!$B$1384:$K$1384,1,(Resumen!$C$3-2025))</f>
        <v>1</v>
      </c>
      <c r="H67" s="39" t="n">
        <f aca="false">INDEX(Links!$B$1405:$K$1405,1,(Resumen!$C$3-2025))</f>
        <v>1</v>
      </c>
      <c r="I67" s="39" t="n">
        <f aca="false">G67*H67</f>
        <v>1</v>
      </c>
      <c r="J67" s="18" t="n">
        <f aca="false">INDEX(Links!$B$1363:$K$1363,1,(Resumen!$C$3-2025))</f>
        <v>0.164919949919672</v>
      </c>
      <c r="K67" s="6" t="str">
        <f aca="false">IF(J67=MAX($J$63:$J$80),"◀ cuello","")</f>
        <v/>
      </c>
    </row>
    <row r="68" customFormat="false" ht="15" hidden="false" customHeight="false" outlineLevel="0" collapsed="false">
      <c r="A68" s="39" t="n">
        <v>6</v>
      </c>
      <c r="B68" s="5" t="s">
        <v>381</v>
      </c>
      <c r="C68" s="5" t="s">
        <v>353</v>
      </c>
      <c r="D68" s="40" t="n">
        <f aca="false">Links!$B$1140</f>
        <v>3.40068162133757</v>
      </c>
      <c r="E68" s="22" t="n">
        <f aca="false">IF(D68=0,0,F68*60/D68)</f>
        <v>3107.35596878184</v>
      </c>
      <c r="F68" s="17" t="n">
        <f aca="false">INDEX(Links!$B$1158:$B$1356,(Resumen!$C$3-2026)*20+7)</f>
        <v>176.1188055665</v>
      </c>
      <c r="G68" s="39" t="n">
        <f aca="false">INDEX(Links!$B$1385:$K$1385,1,(Resumen!$C$3-2025))</f>
        <v>1</v>
      </c>
      <c r="H68" s="39" t="n">
        <f aca="false">INDEX(Links!$B$1406:$K$1406,1,(Resumen!$C$3-2025))</f>
        <v>1</v>
      </c>
      <c r="I68" s="39" t="n">
        <f aca="false">G68*H68</f>
        <v>1</v>
      </c>
      <c r="J68" s="18" t="n">
        <f aca="false">INDEX(Links!$B$1364:$K$1364,1,(Resumen!$C$3-2025))</f>
        <v>0.123449061117678</v>
      </c>
      <c r="K68" s="6" t="str">
        <f aca="false">IF(J68=MAX($J$63:$J$80),"◀ cuello","")</f>
        <v/>
      </c>
    </row>
    <row r="69" customFormat="false" ht="15" hidden="false" customHeight="false" outlineLevel="0" collapsed="false">
      <c r="A69" s="39" t="n">
        <v>7</v>
      </c>
      <c r="B69" s="5" t="s">
        <v>382</v>
      </c>
      <c r="C69" s="5" t="s">
        <v>353</v>
      </c>
      <c r="D69" s="40" t="n">
        <f aca="false">Links!$B$1141</f>
        <v>3.35989677693355</v>
      </c>
      <c r="E69" s="22" t="n">
        <f aca="false">IF(D69=0,0,F69*60/D69)</f>
        <v>3107.44426383504</v>
      </c>
      <c r="F69" s="17" t="n">
        <f aca="false">INDEX(Links!$B$1158:$B$1356,(Resumen!$C$3-2026)*20+8)</f>
        <v>174.011532776</v>
      </c>
      <c r="G69" s="39" t="n">
        <f aca="false">INDEX(Links!$B$1386:$K$1386,1,(Resumen!$C$3-2025))</f>
        <v>1</v>
      </c>
      <c r="H69" s="39" t="n">
        <f aca="false">INDEX(Links!$B$1407:$K$1407,1,(Resumen!$C$3-2025))</f>
        <v>1</v>
      </c>
      <c r="I69" s="39" t="n">
        <f aca="false">G69*H69</f>
        <v>1</v>
      </c>
      <c r="J69" s="18" t="n">
        <f aca="false">INDEX(Links!$B$1365:$K$1365,1,(Resumen!$C$3-2025))</f>
        <v>0.1244069196656</v>
      </c>
      <c r="K69" s="6" t="str">
        <f aca="false">IF(J69=MAX($J$63:$J$80),"◀ cuello","")</f>
        <v/>
      </c>
    </row>
    <row r="70" customFormat="false" ht="15" hidden="false" customHeight="false" outlineLevel="0" collapsed="false">
      <c r="A70" s="39" t="n">
        <v>8</v>
      </c>
      <c r="B70" s="5" t="s">
        <v>383</v>
      </c>
      <c r="C70" s="5" t="s">
        <v>353</v>
      </c>
      <c r="D70" s="40" t="n">
        <f aca="false">Links!$B$1142</f>
        <v>15.8894096930912</v>
      </c>
      <c r="E70" s="22" t="n">
        <f aca="false">IF(D70=0,0,F70*60/D70)</f>
        <v>3107.44905226711</v>
      </c>
      <c r="F70" s="17" t="n">
        <f aca="false">INDEX(Links!$B$1158:$B$1356,(Resumen!$C$3-2026)*20+9)</f>
        <v>822.925518198</v>
      </c>
      <c r="G70" s="39" t="n">
        <f aca="false">INDEX(Links!$B$1387:$K$1387,1,(Resumen!$C$3-2025))</f>
        <v>1</v>
      </c>
      <c r="H70" s="39" t="n">
        <f aca="false">INDEX(Links!$B$1408:$K$1408,1,(Resumen!$C$3-2025))</f>
        <v>1</v>
      </c>
      <c r="I70" s="39" t="n">
        <f aca="false">G70*H70</f>
        <v>1</v>
      </c>
      <c r="J70" s="18" t="n">
        <f aca="false">INDEX(Links!$B$1366:$K$1366,1,(Resumen!$C$3-2025))</f>
        <v>0.5137553109188</v>
      </c>
      <c r="K70" s="6" t="str">
        <f aca="false">IF(J70=MAX($J$63:$J$80),"◀ cuello","")</f>
        <v/>
      </c>
    </row>
    <row r="71" customFormat="false" ht="15" hidden="false" customHeight="false" outlineLevel="0" collapsed="false">
      <c r="A71" s="39" t="n">
        <v>9</v>
      </c>
      <c r="B71" s="5" t="s">
        <v>384</v>
      </c>
      <c r="C71" s="5" t="s">
        <v>351</v>
      </c>
      <c r="D71" s="40" t="n">
        <f aca="false">Links!$B$1143</f>
        <v>16.1897645223805</v>
      </c>
      <c r="E71" s="22" t="n">
        <f aca="false">IF(D71=0,0,F71*60/D71)</f>
        <v>3107.37315926649</v>
      </c>
      <c r="F71" s="17" t="n">
        <f aca="false">INDEX(Links!$B$1158:$B$1356,(Resumen!$C$3-2026)*20+10)</f>
        <v>838.460662194833</v>
      </c>
      <c r="G71" s="39" t="n">
        <f aca="false">INDEX(Links!$B$1388:$K$1388,1,(Resumen!$C$3-2025))</f>
        <v>1</v>
      </c>
      <c r="H71" s="39" t="n">
        <f aca="false">INDEX(Links!$B$1409:$K$1409,1,(Resumen!$C$3-2025))</f>
        <v>1</v>
      </c>
      <c r="I71" s="39" t="n">
        <f aca="false">G71*H71</f>
        <v>1</v>
      </c>
      <c r="J71" s="18" t="n">
        <f aca="false">INDEX(Links!$B$1367:$K$1367,1,(Resumen!$C$3-2025))</f>
        <v>0.5230763973169</v>
      </c>
      <c r="K71" s="6" t="str">
        <f aca="false">IF(J71=MAX($J$63:$J$80),"◀ cuello","")</f>
        <v>◀ cuello</v>
      </c>
    </row>
    <row r="72" customFormat="false" ht="15" hidden="false" customHeight="false" outlineLevel="0" collapsed="false">
      <c r="A72" s="39" t="n">
        <v>10</v>
      </c>
      <c r="B72" s="5" t="s">
        <v>385</v>
      </c>
      <c r="C72" s="5" t="s">
        <v>351</v>
      </c>
      <c r="D72" s="40" t="n">
        <f aca="false">Links!$B$1144</f>
        <v>11</v>
      </c>
      <c r="E72" s="22" t="n">
        <f aca="false">IF(D72=0,0,F72*60/D72)</f>
        <v>3107.3221329</v>
      </c>
      <c r="F72" s="17" t="n">
        <f aca="false">INDEX(Links!$B$1158:$B$1356,(Resumen!$C$3-2026)*20+11)</f>
        <v>569.675724365</v>
      </c>
      <c r="G72" s="39" t="n">
        <f aca="false">INDEX(Links!$B$1389:$K$1389,1,(Resumen!$C$3-2025))</f>
        <v>1</v>
      </c>
      <c r="H72" s="39" t="n">
        <f aca="false">INDEX(Links!$B$1410:$K$1410,1,(Resumen!$C$3-2025))</f>
        <v>1</v>
      </c>
      <c r="I72" s="39" t="n">
        <f aca="false">G72*H72</f>
        <v>1</v>
      </c>
      <c r="J72" s="18" t="n">
        <f aca="false">INDEX(Links!$B$1368:$K$1368,1,(Resumen!$C$3-2025))</f>
        <v>0.375138767952333</v>
      </c>
      <c r="K72" s="6" t="str">
        <f aca="false">IF(J72=MAX($J$63:$J$80),"◀ cuello","")</f>
        <v/>
      </c>
    </row>
    <row r="73" customFormat="false" ht="15" hidden="false" customHeight="false" outlineLevel="0" collapsed="false">
      <c r="A73" s="39" t="n">
        <v>11</v>
      </c>
      <c r="B73" s="5" t="s">
        <v>366</v>
      </c>
      <c r="C73" s="5" t="s">
        <v>353</v>
      </c>
      <c r="D73" s="40" t="n">
        <f aca="false">Links!$B$1145</f>
        <v>8.97993548558669</v>
      </c>
      <c r="E73" s="22" t="n">
        <f aca="false">IF(D73=0,0,F73*60/D73)</f>
        <v>3107.30169478929</v>
      </c>
      <c r="F73" s="17" t="n">
        <f aca="false">INDEX(Links!$B$1158:$B$1356,(Resumen!$C$3-2026)*20+12)</f>
        <v>465.056145891033</v>
      </c>
      <c r="G73" s="39" t="n">
        <f aca="false">INDEX(Links!$B$1390:$K$1390,1,(Resumen!$C$3-2025))</f>
        <v>1</v>
      </c>
      <c r="H73" s="39" t="n">
        <f aca="false">INDEX(Links!$B$1411:$K$1411,1,(Resumen!$C$3-2025))</f>
        <v>1</v>
      </c>
      <c r="I73" s="39" t="n">
        <f aca="false">G73*H73</f>
        <v>1</v>
      </c>
      <c r="J73" s="18" t="n">
        <f aca="false">INDEX(Links!$B$1369:$K$1369,1,(Resumen!$C$3-2025))</f>
        <v>0.301255909756842</v>
      </c>
      <c r="K73" s="6" t="str">
        <f aca="false">IF(J73=MAX($J$63:$J$80),"◀ cuello","")</f>
        <v/>
      </c>
    </row>
    <row r="74" customFormat="false" ht="15" hidden="false" customHeight="false" outlineLevel="0" collapsed="false">
      <c r="A74" s="39" t="n">
        <v>12</v>
      </c>
      <c r="B74" s="5" t="s">
        <v>367</v>
      </c>
      <c r="C74" s="5" t="s">
        <v>353</v>
      </c>
      <c r="D74" s="40" t="n">
        <f aca="false">Links!$B$1146</f>
        <v>10.0589613178503</v>
      </c>
      <c r="E74" s="22" t="n">
        <f aca="false">IF(D74=0,0,F74*60/D74)</f>
        <v>3107.34331998404</v>
      </c>
      <c r="F74" s="17" t="n">
        <f aca="false">INDEX(Links!$B$1158:$B$1356,(Resumen!$C$3-2026)*20+13)</f>
        <v>520.944104283333</v>
      </c>
      <c r="G74" s="39" t="n">
        <f aca="false">INDEX(Links!$B$1391:$K$1391,1,(Resumen!$C$3-2025))</f>
        <v>1</v>
      </c>
      <c r="H74" s="39" t="n">
        <f aca="false">INDEX(Links!$B$1412:$K$1412,1,(Resumen!$C$3-2025))</f>
        <v>1</v>
      </c>
      <c r="I74" s="39" t="n">
        <f aca="false">G74*H74</f>
        <v>1</v>
      </c>
      <c r="J74" s="18" t="n">
        <f aca="false">INDEX(Links!$B$1370:$K$1370,1,(Resumen!$C$3-2025))</f>
        <v>0.31256646257</v>
      </c>
      <c r="K74" s="6" t="str">
        <f aca="false">IF(J74=MAX($J$63:$J$80),"◀ cuello","")</f>
        <v/>
      </c>
    </row>
    <row r="75" customFormat="false" ht="15" hidden="false" customHeight="false" outlineLevel="0" collapsed="false">
      <c r="A75" s="39" t="n">
        <v>13</v>
      </c>
      <c r="B75" s="5" t="s">
        <v>386</v>
      </c>
      <c r="C75" s="5" t="s">
        <v>351</v>
      </c>
      <c r="D75" s="40" t="n">
        <f aca="false">Links!$B$1147</f>
        <v>1.5999032283752</v>
      </c>
      <c r="E75" s="22" t="n">
        <f aca="false">IF(D75=0,0,F75*60/D75)</f>
        <v>3107.56258533472</v>
      </c>
      <c r="F75" s="17" t="n">
        <f aca="false">INDEX(Links!$B$1158:$B$1356,(Resumen!$C$3-2026)*20+14)</f>
        <v>82.86332354425</v>
      </c>
      <c r="G75" s="39" t="n">
        <f aca="false">INDEX(Links!$B$1392:$K$1392,1,(Resumen!$C$3-2025))</f>
        <v>1</v>
      </c>
      <c r="H75" s="39" t="n">
        <f aca="false">INDEX(Links!$B$1413:$K$1413,1,(Resumen!$C$3-2025))</f>
        <v>1</v>
      </c>
      <c r="I75" s="39" t="n">
        <f aca="false">G75*H75</f>
        <v>1</v>
      </c>
      <c r="J75" s="18" t="n">
        <f aca="false">INDEX(Links!$B$1371:$K$1371,1,(Resumen!$C$3-2025))</f>
        <v>0.0586068830154389</v>
      </c>
      <c r="K75" s="6" t="str">
        <f aca="false">IF(J75=MAX($J$63:$J$80),"◀ cuello","")</f>
        <v/>
      </c>
    </row>
    <row r="76" customFormat="false" ht="15" hidden="false" customHeight="false" outlineLevel="0" collapsed="false">
      <c r="A76" s="39" t="n">
        <v>14</v>
      </c>
      <c r="B76" s="5" t="s">
        <v>387</v>
      </c>
      <c r="C76" s="5" t="s">
        <v>351</v>
      </c>
      <c r="D76" s="40" t="n">
        <f aca="false">Links!$B$1148</f>
        <v>3.12988387405025</v>
      </c>
      <c r="E76" s="22" t="n">
        <f aca="false">IF(D76=0,0,F76*60/D76)</f>
        <v>3107.46962743029</v>
      </c>
      <c r="F76" s="17" t="n">
        <f aca="false">INDEX(Links!$B$1158:$B$1356,(Resumen!$C$3-2026)*20+15)</f>
        <v>162.10031793325</v>
      </c>
      <c r="G76" s="39" t="n">
        <f aca="false">INDEX(Links!$B$1393:$K$1393,1,(Resumen!$C$3-2025))</f>
        <v>1</v>
      </c>
      <c r="H76" s="39" t="n">
        <f aca="false">INDEX(Links!$B$1414:$K$1414,1,(Resumen!$C$3-2025))</f>
        <v>1</v>
      </c>
      <c r="I76" s="39" t="n">
        <f aca="false">G76*H76</f>
        <v>1</v>
      </c>
      <c r="J76" s="18" t="n">
        <f aca="false">INDEX(Links!$B$1372:$K$1372,1,(Resumen!$C$3-2025))</f>
        <v>0.106149079648839</v>
      </c>
      <c r="K76" s="6" t="str">
        <f aca="false">IF(J76=MAX($J$63:$J$80),"◀ cuello","")</f>
        <v/>
      </c>
    </row>
    <row r="77" customFormat="false" ht="15" hidden="false" customHeight="false" outlineLevel="0" collapsed="false">
      <c r="A77" s="39" t="n">
        <v>15</v>
      </c>
      <c r="B77" s="5" t="s">
        <v>388</v>
      </c>
      <c r="C77" s="5" t="s">
        <v>353</v>
      </c>
      <c r="D77" s="40" t="n">
        <f aca="false">Links!$B$1149</f>
        <v>11.3300000000072</v>
      </c>
      <c r="E77" s="22" t="n">
        <f aca="false">IF(D77=0,0,F77*60/D77)</f>
        <v>1814.70967041103</v>
      </c>
      <c r="F77" s="17" t="n">
        <f aca="false">INDEX(Links!$B$1158:$B$1356,(Resumen!$C$3-2026)*20+16)</f>
        <v>342.677676096167</v>
      </c>
      <c r="G77" s="39" t="n">
        <f aca="false">INDEX(Links!$B$1394:$K$1394,1,(Resumen!$C$3-2025))</f>
        <v>1</v>
      </c>
      <c r="H77" s="39" t="n">
        <f aca="false">INDEX(Links!$B$1415:$K$1415,1,(Resumen!$C$3-2025))</f>
        <v>1</v>
      </c>
      <c r="I77" s="39" t="n">
        <f aca="false">G77*H77</f>
        <v>1</v>
      </c>
      <c r="J77" s="18" t="n">
        <f aca="false">INDEX(Links!$B$1373:$K$1373,1,(Resumen!$C$3-2025))</f>
        <v>0.312273272324367</v>
      </c>
      <c r="K77" s="6" t="str">
        <f aca="false">IF(J77=MAX($J$63:$J$80),"◀ cuello","")</f>
        <v/>
      </c>
    </row>
    <row r="78" customFormat="false" ht="15" hidden="false" customHeight="false" outlineLevel="0" collapsed="false">
      <c r="A78" s="39" t="n">
        <v>16</v>
      </c>
      <c r="B78" s="5" t="s">
        <v>389</v>
      </c>
      <c r="C78" s="5" t="s">
        <v>351</v>
      </c>
      <c r="D78" s="40" t="n">
        <f aca="false">Links!$B$1150</f>
        <v>6.31999999999007</v>
      </c>
      <c r="E78" s="22" t="n">
        <f aca="false">IF(D78=0,0,F78*60/D78)</f>
        <v>1814.69605695064</v>
      </c>
      <c r="F78" s="17" t="n">
        <f aca="false">INDEX(Links!$B$1158:$B$1356,(Resumen!$C$3-2026)*20+17)</f>
        <v>191.147984665167</v>
      </c>
      <c r="G78" s="39" t="n">
        <f aca="false">INDEX(Links!$B$1395:$K$1395,1,(Resumen!$C$3-2025))</f>
        <v>1</v>
      </c>
      <c r="H78" s="39" t="n">
        <f aca="false">INDEX(Links!$B$1416:$K$1416,1,(Resumen!$C$3-2025))</f>
        <v>1</v>
      </c>
      <c r="I78" s="39" t="n">
        <f aca="false">G78*H78</f>
        <v>1</v>
      </c>
      <c r="J78" s="18" t="n">
        <f aca="false">INDEX(Links!$B$1374:$K$1374,1,(Resumen!$C$3-2025))</f>
        <v>0.161355457465767</v>
      </c>
      <c r="K78" s="6" t="str">
        <f aca="false">IF(J78=MAX($J$63:$J$80),"◀ cuello","")</f>
        <v/>
      </c>
    </row>
    <row r="79" customFormat="false" ht="15" hidden="false" customHeight="false" outlineLevel="0" collapsed="false">
      <c r="A79" s="39" t="n">
        <v>17</v>
      </c>
      <c r="B79" s="5" t="s">
        <v>390</v>
      </c>
      <c r="C79" s="5" t="s">
        <v>351</v>
      </c>
      <c r="D79" s="40" t="n">
        <f aca="false">Links!$B$1151</f>
        <v>4.79</v>
      </c>
      <c r="E79" s="22" t="n">
        <f aca="false">IF(D79=0,0,F79*60/D79)</f>
        <v>1814.6821329</v>
      </c>
      <c r="F79" s="17" t="n">
        <f aca="false">INDEX(Links!$B$1158:$B$1356,(Resumen!$C$3-2026)*20+18)</f>
        <v>144.87212360985</v>
      </c>
      <c r="G79" s="39" t="n">
        <f aca="false">INDEX(Links!$B$1396:$K$1396,1,(Resumen!$C$3-2025))</f>
        <v>1</v>
      </c>
      <c r="H79" s="39" t="n">
        <f aca="false">INDEX(Links!$B$1417:$K$1417,1,(Resumen!$C$3-2025))</f>
        <v>1</v>
      </c>
      <c r="I79" s="39" t="n">
        <f aca="false">G79*H79</f>
        <v>1</v>
      </c>
      <c r="J79" s="18" t="n">
        <f aca="false">INDEX(Links!$B$1375:$K$1375,1,(Resumen!$C$3-2025))</f>
        <v>0.457145496388132</v>
      </c>
      <c r="K79" s="6" t="str">
        <f aca="false">IF(J79=MAX($J$63:$J$80),"◀ cuello","")</f>
        <v/>
      </c>
    </row>
    <row r="80" customFormat="false" ht="15" hidden="false" customHeight="false" outlineLevel="0" collapsed="false">
      <c r="A80" s="39" t="n">
        <v>18</v>
      </c>
      <c r="B80" s="5" t="s">
        <v>391</v>
      </c>
      <c r="C80" s="5" t="s">
        <v>351</v>
      </c>
      <c r="D80" s="40" t="n">
        <f aca="false">Links!$B$1152</f>
        <v>1.35989677693355</v>
      </c>
      <c r="E80" s="22" t="n">
        <f aca="false">IF(D80=0,0,F80*60/D80)</f>
        <v>3107.62388178416</v>
      </c>
      <c r="F80" s="17" t="n">
        <f aca="false">INDEX(Links!$B$1158:$B$1356,(Resumen!$C$3-2026)*20+19)</f>
        <v>70.434128346</v>
      </c>
      <c r="G80" s="39" t="n">
        <f aca="false">INDEX(Links!$B$1397:$K$1397,1,(Resumen!$C$3-2025))</f>
        <v>1</v>
      </c>
      <c r="H80" s="39" t="n">
        <f aca="false">INDEX(Links!$B$1418:$K$1418,1,(Resumen!$C$3-2025))</f>
        <v>1</v>
      </c>
      <c r="I80" s="39" t="n">
        <f aca="false">G80*H80</f>
        <v>1</v>
      </c>
      <c r="J80" s="18" t="n">
        <f aca="false">INDEX(Links!$B$1376:$K$1376,1,(Resumen!$C$3-2025))</f>
        <v>0.0644826992298222</v>
      </c>
      <c r="K80" s="6" t="str">
        <f aca="false">IF(J80=MAX($J$63:$J$80),"◀ cuello","")</f>
        <v/>
      </c>
    </row>
    <row r="81" customFormat="false" ht="15" hidden="false" customHeight="false" outlineLevel="0" collapsed="false">
      <c r="B81" s="4" t="s">
        <v>376</v>
      </c>
      <c r="F81" s="19" t="n">
        <f aca="false">SUM(F63:F80)</f>
        <v>5353.33075841112</v>
      </c>
      <c r="I81" s="19" t="n">
        <f aca="false">SUM(I63:I80)</f>
        <v>18</v>
      </c>
    </row>
    <row r="84" customFormat="false" ht="15" hidden="false" customHeight="false" outlineLevel="0" collapsed="false">
      <c r="A84" s="33" t="s">
        <v>123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customFormat="false" ht="15" hidden="false" customHeight="false" outlineLevel="0" collapsed="false">
      <c r="A85" s="5"/>
      <c r="B85" s="5" t="s">
        <v>327</v>
      </c>
      <c r="C85" s="19" t="n">
        <f aca="false">SUM(Resumen!$D$23:$D$39)</f>
        <v>107927.372813695</v>
      </c>
      <c r="D85" s="19"/>
    </row>
    <row r="86" customFormat="false" ht="15" hidden="false" customHeight="false" outlineLevel="0" collapsed="false">
      <c r="A86" s="5"/>
      <c r="B86" s="5" t="s">
        <v>328</v>
      </c>
      <c r="C86" s="19" t="n">
        <f aca="false">MAX(INDEX(Links!$B$1440:$M$1757,(Resumen!$C$3-2026)*32+19,0))</f>
        <v>11106.7874474171</v>
      </c>
      <c r="D86" s="19"/>
    </row>
    <row r="87" customFormat="false" ht="15" hidden="false" customHeight="false" outlineLevel="0" collapsed="false">
      <c r="A87" s="5"/>
      <c r="B87" s="5" t="s">
        <v>329</v>
      </c>
      <c r="C87" s="19" t="n">
        <f aca="false">Links!$B$1785</f>
        <v>150</v>
      </c>
      <c r="D87" s="19"/>
    </row>
    <row r="88" customFormat="false" ht="15" hidden="false" customHeight="false" outlineLevel="0" collapsed="false">
      <c r="A88" s="5"/>
      <c r="B88" s="5" t="s">
        <v>330</v>
      </c>
      <c r="C88" s="38" t="n">
        <f aca="false">IF(C86=0,0,C87*3600/C86)</f>
        <v>48.6189190669691</v>
      </c>
      <c r="D88" s="38"/>
    </row>
    <row r="89" customFormat="false" ht="15" hidden="false" customHeight="false" outlineLevel="0" collapsed="false">
      <c r="A89" s="5"/>
      <c r="B89" s="5" t="s">
        <v>331</v>
      </c>
      <c r="C89" s="38" t="n">
        <f aca="false">IF(C85=0,0,F122*3600/C85)</f>
        <v>1184.20146503542</v>
      </c>
      <c r="D89" s="38"/>
    </row>
    <row r="90" customFormat="false" ht="15" hidden="false" customHeight="false" outlineLevel="0" collapsed="false">
      <c r="A90" s="5"/>
      <c r="B90" s="5" t="s">
        <v>332</v>
      </c>
      <c r="C90" s="38" t="n">
        <f aca="false">IF(C88=0,0,C89/C88)</f>
        <v>24.3568036427192</v>
      </c>
      <c r="D90" s="38"/>
    </row>
    <row r="91" customFormat="false" ht="15" hidden="false" customHeight="false" outlineLevel="0" collapsed="false">
      <c r="A91" s="5"/>
      <c r="B91" s="5" t="s">
        <v>333</v>
      </c>
      <c r="C91" s="19" t="n">
        <f aca="false">I122</f>
        <v>47</v>
      </c>
      <c r="D91" s="19"/>
    </row>
    <row r="92" customFormat="false" ht="15" hidden="false" customHeight="false" outlineLevel="0" collapsed="false">
      <c r="A92" s="5"/>
      <c r="B92" s="5" t="s">
        <v>334</v>
      </c>
      <c r="C92" s="20" t="n">
        <f aca="false">IF(I122=0,0,SUMPRODUCT(J99:J121,I99:I121)/I122)</f>
        <v>0.516309446603664</v>
      </c>
      <c r="D92" s="20"/>
    </row>
    <row r="93" customFormat="false" ht="15" hidden="false" customHeight="false" outlineLevel="0" collapsed="false">
      <c r="A93" s="5"/>
      <c r="B93" s="5" t="s">
        <v>335</v>
      </c>
      <c r="C93" s="4" t="str">
        <f aca="false">INDEX(B99:B121,MATCH(MAX(J99:J121),J99:J121,0))</f>
        <v>Ensayo de pérdidas</v>
      </c>
      <c r="D93" s="4"/>
    </row>
    <row r="94" customFormat="false" ht="15" hidden="false" customHeight="false" outlineLevel="0" collapsed="false">
      <c r="A94" s="5"/>
      <c r="B94" s="5" t="s">
        <v>336</v>
      </c>
      <c r="C94" s="20" t="n">
        <f aca="false">MAX(J99:J121)</f>
        <v>0.872681805206095</v>
      </c>
      <c r="D94" s="20"/>
    </row>
    <row r="95" customFormat="false" ht="15" hidden="false" customHeight="false" outlineLevel="0" collapsed="false">
      <c r="A95" s="5"/>
      <c r="B95" s="5" t="s">
        <v>337</v>
      </c>
      <c r="C95" s="20" t="n">
        <f aca="false">IF(C94=0,0,C92/C94)</f>
        <v>0.591635397373423</v>
      </c>
      <c r="D95" s="20"/>
    </row>
    <row r="96" customFormat="false" ht="15" hidden="false" customHeight="false" outlineLevel="0" collapsed="false">
      <c r="A96" s="5"/>
      <c r="B96" s="5" t="s">
        <v>338</v>
      </c>
      <c r="C96" s="20" t="n">
        <f aca="false">1-C95</f>
        <v>0.408364602626577</v>
      </c>
      <c r="D96" s="20"/>
    </row>
    <row r="98" customFormat="false" ht="30" hidden="false" customHeight="true" outlineLevel="0" collapsed="false">
      <c r="A98" s="3" t="s">
        <v>339</v>
      </c>
      <c r="B98" s="3" t="s">
        <v>340</v>
      </c>
      <c r="C98" s="3" t="s">
        <v>341</v>
      </c>
      <c r="D98" s="3" t="s">
        <v>342</v>
      </c>
      <c r="E98" s="3" t="s">
        <v>343</v>
      </c>
      <c r="F98" s="3" t="s">
        <v>344</v>
      </c>
      <c r="G98" s="3" t="s">
        <v>345</v>
      </c>
      <c r="H98" s="3" t="s">
        <v>346</v>
      </c>
      <c r="I98" s="3" t="s">
        <v>347</v>
      </c>
      <c r="J98" s="3" t="s">
        <v>348</v>
      </c>
      <c r="K98" s="3" t="s">
        <v>349</v>
      </c>
    </row>
    <row r="99" customFormat="false" ht="15" hidden="false" customHeight="false" outlineLevel="0" collapsed="false">
      <c r="A99" s="39" t="n">
        <v>1</v>
      </c>
      <c r="B99" s="5" t="s">
        <v>392</v>
      </c>
      <c r="C99" s="5" t="s">
        <v>351</v>
      </c>
      <c r="D99" s="40" t="n">
        <f aca="false">Links!$B$1760</f>
        <v>75</v>
      </c>
      <c r="E99" s="22" t="n">
        <f aca="false">INDEX(Links!$B$1788:$B$2099,(Resumen!$C$3-2026)*32+2)</f>
        <v>115782.991535336</v>
      </c>
      <c r="F99" s="17" t="n">
        <f aca="false">E99*D99/3600</f>
        <v>2412.14565698617</v>
      </c>
      <c r="G99" s="39" t="n">
        <f aca="false">INDEX(Links!$B$2134:$K$2134,1,(Resumen!$C$3-2025))</f>
        <v>2</v>
      </c>
      <c r="H99" s="39" t="n">
        <f aca="false">INDEX(Links!$B$2166:$K$2166,1,(Resumen!$C$3-2025))</f>
        <v>1</v>
      </c>
      <c r="I99" s="39" t="n">
        <f aca="false">G99*H99</f>
        <v>2</v>
      </c>
      <c r="J99" s="18" t="n">
        <f aca="false">INDEX(Links!$B$2102:$K$2102,1,(Resumen!$C$3-2025))</f>
        <v>0.818139192380714</v>
      </c>
      <c r="K99" s="6" t="str">
        <f aca="false">IF(J99=MAX($J$99:$J$121),"◀ cuello","")</f>
        <v/>
      </c>
    </row>
    <row r="100" customFormat="false" ht="15" hidden="false" customHeight="false" outlineLevel="0" collapsed="false">
      <c r="A100" s="39" t="n">
        <v>2</v>
      </c>
      <c r="B100" s="5" t="s">
        <v>393</v>
      </c>
      <c r="C100" s="5" t="s">
        <v>351</v>
      </c>
      <c r="D100" s="40" t="n">
        <f aca="false">Links!$B$1761</f>
        <v>90</v>
      </c>
      <c r="E100" s="22" t="n">
        <f aca="false">INDEX(Links!$B$1788:$B$2099,(Resumen!$C$3-2026)*32+3)</f>
        <v>115782.991535336</v>
      </c>
      <c r="F100" s="17" t="n">
        <f aca="false">E100*D100/3600</f>
        <v>2894.5747883834</v>
      </c>
      <c r="G100" s="39" t="n">
        <f aca="false">INDEX(Links!$B$2135:$K$2135,1,(Resumen!$C$3-2025))</f>
        <v>2</v>
      </c>
      <c r="H100" s="39" t="n">
        <f aca="false">INDEX(Links!$B$2167:$K$2167,1,(Resumen!$C$3-2025))</f>
        <v>2</v>
      </c>
      <c r="I100" s="39" t="n">
        <f aca="false">G100*H100</f>
        <v>4</v>
      </c>
      <c r="J100" s="18" t="n">
        <f aca="false">INDEX(Links!$B$2103:$K$2103,1,(Resumen!$C$3-2025))</f>
        <v>0.490883515428428</v>
      </c>
      <c r="K100" s="6" t="str">
        <f aca="false">IF(J100=MAX($J$99:$J$121),"◀ cuello","")</f>
        <v/>
      </c>
    </row>
    <row r="101" customFormat="false" ht="15" hidden="false" customHeight="false" outlineLevel="0" collapsed="false">
      <c r="A101" s="39" t="n">
        <v>3</v>
      </c>
      <c r="B101" s="5" t="s">
        <v>394</v>
      </c>
      <c r="C101" s="5" t="s">
        <v>353</v>
      </c>
      <c r="D101" s="40" t="n">
        <f aca="false">Links!$B$1762</f>
        <v>85</v>
      </c>
      <c r="E101" s="22" t="n">
        <f aca="false">INDEX(Links!$B$1788:$B$2099,(Resumen!$C$3-2026)*32+4)</f>
        <v>85936.6905397182</v>
      </c>
      <c r="F101" s="17" t="n">
        <f aca="false">E101*D101/3600</f>
        <v>2029.06074885446</v>
      </c>
      <c r="G101" s="39" t="n">
        <f aca="false">INDEX(Links!$B$2136:$K$2136,1,(Resumen!$C$3-2025))</f>
        <v>1</v>
      </c>
      <c r="H101" s="39" t="n">
        <f aca="false">INDEX(Links!$B$2168:$K$2168,1,(Resumen!$C$3-2025))</f>
        <v>2</v>
      </c>
      <c r="I101" s="39" t="n">
        <f aca="false">G101*H101</f>
        <v>2</v>
      </c>
      <c r="J101" s="18" t="n">
        <f aca="false">INDEX(Links!$B$2104:$K$2104,1,(Resumen!$C$3-2025))</f>
        <v>0.706947897705735</v>
      </c>
      <c r="K101" s="6" t="str">
        <f aca="false">IF(J101=MAX($J$99:$J$121),"◀ cuello","")</f>
        <v/>
      </c>
    </row>
    <row r="102" customFormat="false" ht="15" hidden="false" customHeight="false" outlineLevel="0" collapsed="false">
      <c r="A102" s="39" t="n">
        <v>4</v>
      </c>
      <c r="B102" s="5" t="s">
        <v>395</v>
      </c>
      <c r="C102" s="5" t="s">
        <v>353</v>
      </c>
      <c r="D102" s="40" t="n">
        <f aca="false">Links!$B$1763</f>
        <v>85</v>
      </c>
      <c r="E102" s="22" t="n">
        <f aca="false">INDEX(Links!$B$1788:$B$2099,(Resumen!$C$3-2026)*32+5)</f>
        <v>9804.28532767634</v>
      </c>
      <c r="F102" s="17" t="n">
        <f aca="false">E102*D102/3600</f>
        <v>231.490070236802</v>
      </c>
      <c r="G102" s="39" t="n">
        <f aca="false">INDEX(Links!$B$2137:$K$2137,1,(Resumen!$C$3-2025))</f>
        <v>1</v>
      </c>
      <c r="H102" s="39" t="n">
        <f aca="false">INDEX(Links!$B$2169:$K$2169,1,(Resumen!$C$3-2025))</f>
        <v>1</v>
      </c>
      <c r="I102" s="39" t="n">
        <f aca="false">G102*H102</f>
        <v>1</v>
      </c>
      <c r="J102" s="18" t="n">
        <f aca="false">INDEX(Links!$B$2105:$K$2105,1,(Resumen!$C$3-2025))</f>
        <v>0.160454463889964</v>
      </c>
      <c r="K102" s="6" t="str">
        <f aca="false">IF(J102=MAX($J$99:$J$121),"◀ cuello","")</f>
        <v/>
      </c>
    </row>
    <row r="103" customFormat="false" ht="15" hidden="false" customHeight="false" outlineLevel="0" collapsed="false">
      <c r="A103" s="39" t="n">
        <v>5</v>
      </c>
      <c r="B103" s="5" t="s">
        <v>396</v>
      </c>
      <c r="C103" s="5" t="s">
        <v>353</v>
      </c>
      <c r="D103" s="40" t="n">
        <f aca="false">Links!$B$1764</f>
        <v>205</v>
      </c>
      <c r="E103" s="22" t="n">
        <f aca="false">INDEX(Links!$B$1788:$B$2099,(Resumen!$C$3-2026)*32+6)</f>
        <v>5425.45759337632</v>
      </c>
      <c r="F103" s="17" t="n">
        <f aca="false">E103*D103/3600</f>
        <v>308.949668511707</v>
      </c>
      <c r="G103" s="39" t="n">
        <f aca="false">INDEX(Links!$B$2138:$K$2138,1,(Resumen!$C$3-2025))</f>
        <v>1</v>
      </c>
      <c r="H103" s="39" t="n">
        <f aca="false">INDEX(Links!$B$2170:$K$2170,1,(Resumen!$C$3-2025))</f>
        <v>1</v>
      </c>
      <c r="I103" s="39" t="n">
        <f aca="false">G103*H103</f>
        <v>1</v>
      </c>
      <c r="J103" s="18" t="n">
        <f aca="false">INDEX(Links!$B$2106:$K$2106,1,(Resumen!$C$3-2025))</f>
        <v>0.192689818048709</v>
      </c>
      <c r="K103" s="6" t="str">
        <f aca="false">IF(J103=MAX($J$99:$J$121),"◀ cuello","")</f>
        <v/>
      </c>
    </row>
    <row r="104" customFormat="false" ht="15" hidden="false" customHeight="false" outlineLevel="0" collapsed="false">
      <c r="A104" s="39" t="n">
        <v>6</v>
      </c>
      <c r="B104" s="5" t="s">
        <v>397</v>
      </c>
      <c r="C104" s="5" t="s">
        <v>353</v>
      </c>
      <c r="D104" s="40" t="n">
        <f aca="false">Links!$B$1765</f>
        <v>240</v>
      </c>
      <c r="E104" s="22" t="n">
        <f aca="false">INDEX(Links!$B$1788:$B$2099,(Resumen!$C$3-2026)*32+7)</f>
        <v>5407.37963428074</v>
      </c>
      <c r="F104" s="17" t="n">
        <f aca="false">E104*D104/3600</f>
        <v>360.491975618716</v>
      </c>
      <c r="G104" s="39" t="n">
        <f aca="false">INDEX(Links!$B$2139:$K$2139,1,(Resumen!$C$3-2025))</f>
        <v>1</v>
      </c>
      <c r="H104" s="39" t="n">
        <f aca="false">INDEX(Links!$B$2171:$K$2171,1,(Resumen!$C$3-2025))</f>
        <v>1</v>
      </c>
      <c r="I104" s="39" t="n">
        <f aca="false">G104*H104</f>
        <v>1</v>
      </c>
      <c r="J104" s="18" t="n">
        <f aca="false">INDEX(Links!$B$2107:$K$2107,1,(Resumen!$C$3-2025))</f>
        <v>0.241427758247903</v>
      </c>
      <c r="K104" s="6" t="str">
        <f aca="false">IF(J104=MAX($J$99:$J$121),"◀ cuello","")</f>
        <v/>
      </c>
    </row>
    <row r="105" customFormat="false" ht="15" hidden="false" customHeight="false" outlineLevel="0" collapsed="false">
      <c r="A105" s="39" t="n">
        <v>7</v>
      </c>
      <c r="B105" s="5" t="s">
        <v>398</v>
      </c>
      <c r="C105" s="5" t="s">
        <v>353</v>
      </c>
      <c r="D105" s="40" t="n">
        <f aca="false">Links!$B$1766</f>
        <v>895</v>
      </c>
      <c r="E105" s="22" t="n">
        <f aca="false">INDEX(Links!$B$1788:$B$2099,(Resumen!$C$3-2026)*32+8)</f>
        <v>130.416950152156</v>
      </c>
      <c r="F105" s="17" t="n">
        <f aca="false">E105*D105/3600</f>
        <v>32.4231028850499</v>
      </c>
      <c r="G105" s="39" t="n">
        <f aca="false">INDEX(Links!$B$2140:$K$2140,1,(Resumen!$C$3-2025))</f>
        <v>1</v>
      </c>
      <c r="H105" s="39" t="n">
        <f aca="false">INDEX(Links!$B$2172:$K$2172,1,(Resumen!$C$3-2025))</f>
        <v>1</v>
      </c>
      <c r="I105" s="39" t="n">
        <f aca="false">G105*H105</f>
        <v>1</v>
      </c>
      <c r="J105" s="18" t="n">
        <f aca="false">INDEX(Links!$B$2108:$K$2108,1,(Resumen!$C$3-2025))</f>
        <v>0.0196390091701007</v>
      </c>
      <c r="K105" s="6" t="str">
        <f aca="false">IF(J105=MAX($J$99:$J$121),"◀ cuello","")</f>
        <v/>
      </c>
    </row>
    <row r="106" customFormat="false" ht="15" hidden="false" customHeight="false" outlineLevel="0" collapsed="false">
      <c r="A106" s="39" t="n">
        <v>8</v>
      </c>
      <c r="B106" s="5" t="s">
        <v>399</v>
      </c>
      <c r="C106" s="5" t="s">
        <v>351</v>
      </c>
      <c r="D106" s="40" t="n">
        <f aca="false">Links!$B$1767</f>
        <v>105</v>
      </c>
      <c r="E106" s="22" t="n">
        <f aca="false">INDEX(Links!$B$1788:$B$2099,(Resumen!$C$3-2026)*32+9)</f>
        <v>100779.974597257</v>
      </c>
      <c r="F106" s="17" t="n">
        <f aca="false">E106*D106/3600</f>
        <v>2939.41592575333</v>
      </c>
      <c r="G106" s="39" t="n">
        <f aca="false">INDEX(Links!$B$2141:$K$2141,1,(Resumen!$C$3-2025))</f>
        <v>2</v>
      </c>
      <c r="H106" s="39" t="n">
        <f aca="false">INDEX(Links!$B$2173:$K$2173,1,(Resumen!$C$3-2025))</f>
        <v>2</v>
      </c>
      <c r="I106" s="39" t="n">
        <f aca="false">G106*H106</f>
        <v>4</v>
      </c>
      <c r="J106" s="18" t="n">
        <f aca="false">INDEX(Links!$B$2109:$K$2109,1,(Resumen!$C$3-2025))</f>
        <v>0.511785688008206</v>
      </c>
      <c r="K106" s="6" t="str">
        <f aca="false">IF(J106=MAX($J$99:$J$121),"◀ cuello","")</f>
        <v/>
      </c>
    </row>
    <row r="107" customFormat="false" ht="15" hidden="false" customHeight="false" outlineLevel="0" collapsed="false">
      <c r="A107" s="39" t="n">
        <v>9</v>
      </c>
      <c r="B107" s="5" t="s">
        <v>400</v>
      </c>
      <c r="C107" s="5" t="s">
        <v>351</v>
      </c>
      <c r="D107" s="40" t="n">
        <f aca="false">Links!$B$1768</f>
        <v>176</v>
      </c>
      <c r="E107" s="22" t="n">
        <f aca="false">INDEX(Links!$B$1788:$B$2099,(Resumen!$C$3-2026)*32+10)</f>
        <v>8517.24166942188</v>
      </c>
      <c r="F107" s="17" t="n">
        <f aca="false">E107*D107/3600</f>
        <v>416.398481616181</v>
      </c>
      <c r="G107" s="39" t="n">
        <f aca="false">INDEX(Links!$B$2142:$K$2142,1,(Resumen!$C$3-2025))</f>
        <v>1</v>
      </c>
      <c r="H107" s="39" t="n">
        <f aca="false">INDEX(Links!$B$2174:$K$2174,1,(Resumen!$C$3-2025))</f>
        <v>1</v>
      </c>
      <c r="I107" s="39" t="n">
        <f aca="false">G107*H107</f>
        <v>1</v>
      </c>
      <c r="J107" s="18" t="n">
        <f aca="false">INDEX(Links!$B$2110:$K$2110,1,(Resumen!$C$3-2025))</f>
        <v>0.265291253368301</v>
      </c>
      <c r="K107" s="6" t="str">
        <f aca="false">IF(J107=MAX($J$99:$J$121),"◀ cuello","")</f>
        <v/>
      </c>
    </row>
    <row r="108" customFormat="false" ht="15" hidden="false" customHeight="false" outlineLevel="0" collapsed="false">
      <c r="A108" s="39" t="n">
        <v>10</v>
      </c>
      <c r="B108" s="5" t="s">
        <v>401</v>
      </c>
      <c r="C108" s="5" t="s">
        <v>353</v>
      </c>
      <c r="D108" s="40" t="n">
        <f aca="false">Links!$B$1769</f>
        <v>3180</v>
      </c>
      <c r="E108" s="22" t="n">
        <f aca="false">INDEX(Links!$B$1788:$B$2099,(Resumen!$C$3-2026)*32+11)</f>
        <v>1045.99445559417</v>
      </c>
      <c r="F108" s="17" t="n">
        <f aca="false">E108*D108/3600</f>
        <v>923.961769108184</v>
      </c>
      <c r="G108" s="39" t="n">
        <f aca="false">INDEX(Links!$B$2143:$K$2143,1,(Resumen!$C$3-2025))</f>
        <v>1</v>
      </c>
      <c r="H108" s="39" t="n">
        <f aca="false">INDEX(Links!$B$2175:$K$2175,1,(Resumen!$C$3-2025))</f>
        <v>1</v>
      </c>
      <c r="I108" s="39" t="n">
        <f aca="false">G108*H108</f>
        <v>1</v>
      </c>
      <c r="J108" s="18" t="n">
        <f aca="false">INDEX(Links!$B$2111:$K$2111,1,(Resumen!$C$3-2025))</f>
        <v>0.643837628420217</v>
      </c>
      <c r="K108" s="6" t="str">
        <f aca="false">IF(J108=MAX($J$99:$J$121),"◀ cuello","")</f>
        <v/>
      </c>
    </row>
    <row r="109" customFormat="false" ht="15" hidden="false" customHeight="false" outlineLevel="0" collapsed="false">
      <c r="A109" s="39" t="n">
        <v>11</v>
      </c>
      <c r="B109" s="5" t="s">
        <v>366</v>
      </c>
      <c r="C109" s="5" t="s">
        <v>353</v>
      </c>
      <c r="D109" s="40" t="n">
        <f aca="false">Links!$B$1770</f>
        <v>302</v>
      </c>
      <c r="E109" s="22" t="n">
        <f aca="false">INDEX(Links!$B$1788:$B$2099,(Resumen!$C$3-2026)*32+12)</f>
        <v>30659.0502817423</v>
      </c>
      <c r="F109" s="17" t="n">
        <f aca="false">E109*D109/3600</f>
        <v>2571.95366252394</v>
      </c>
      <c r="G109" s="39" t="n">
        <f aca="false">INDEX(Links!$B$2144:$K$2144,1,(Resumen!$C$3-2025))</f>
        <v>2</v>
      </c>
      <c r="H109" s="39" t="n">
        <f aca="false">INDEX(Links!$B$2176:$K$2176,1,(Resumen!$C$3-2025))</f>
        <v>1</v>
      </c>
      <c r="I109" s="39" t="n">
        <f aca="false">G109*H109</f>
        <v>2</v>
      </c>
      <c r="J109" s="18" t="n">
        <f aca="false">INDEX(Links!$B$2112:$K$2112,1,(Resumen!$C$3-2025))</f>
        <v>0.863657312636971</v>
      </c>
      <c r="K109" s="6" t="str">
        <f aca="false">IF(J109=MAX($J$99:$J$121),"◀ cuello","")</f>
        <v/>
      </c>
    </row>
    <row r="110" customFormat="false" ht="15" hidden="false" customHeight="false" outlineLevel="0" collapsed="false">
      <c r="A110" s="39" t="n">
        <v>12</v>
      </c>
      <c r="B110" s="5" t="s">
        <v>367</v>
      </c>
      <c r="C110" s="5" t="s">
        <v>353</v>
      </c>
      <c r="D110" s="40" t="n">
        <f aca="false">Links!$B$1771</f>
        <v>180</v>
      </c>
      <c r="E110" s="22" t="n">
        <f aca="false">INDEX(Links!$B$1788:$B$2099,(Resumen!$C$3-2026)*32+13)</f>
        <v>28525.7956315497</v>
      </c>
      <c r="F110" s="17" t="n">
        <f aca="false">E110*D110/3600</f>
        <v>1426.28978157749</v>
      </c>
      <c r="G110" s="39" t="n">
        <f aca="false">INDEX(Links!$B$2145:$K$2145,1,(Resumen!$C$3-2025))</f>
        <v>1</v>
      </c>
      <c r="H110" s="39" t="n">
        <f aca="false">INDEX(Links!$B$2177:$K$2177,1,(Resumen!$C$3-2025))</f>
        <v>2</v>
      </c>
      <c r="I110" s="39" t="n">
        <f aca="false">G110*H110</f>
        <v>2</v>
      </c>
      <c r="J110" s="18" t="n">
        <f aca="false">INDEX(Links!$B$2113:$K$2113,1,(Resumen!$C$3-2025))</f>
        <v>0.488531185600817</v>
      </c>
      <c r="K110" s="6" t="str">
        <f aca="false">IF(J110=MAX($J$99:$J$121),"◀ cuello","")</f>
        <v/>
      </c>
    </row>
    <row r="111" customFormat="false" ht="15" hidden="false" customHeight="false" outlineLevel="0" collapsed="false">
      <c r="A111" s="39" t="n">
        <v>13</v>
      </c>
      <c r="B111" s="5" t="s">
        <v>402</v>
      </c>
      <c r="C111" s="5" t="s">
        <v>351</v>
      </c>
      <c r="D111" s="40" t="n">
        <f aca="false">Links!$B$1772</f>
        <v>85</v>
      </c>
      <c r="E111" s="22" t="n">
        <f aca="false">INDEX(Links!$B$1788:$B$2099,(Resumen!$C$3-2026)*32+14)</f>
        <v>28525.7956315497</v>
      </c>
      <c r="F111" s="17" t="n">
        <f aca="false">E111*D111/3600</f>
        <v>673.525730189368</v>
      </c>
      <c r="G111" s="39" t="n">
        <f aca="false">INDEX(Links!$B$2146:$K$2146,1,(Resumen!$C$3-2025))</f>
        <v>1</v>
      </c>
      <c r="H111" s="39" t="n">
        <f aca="false">INDEX(Links!$B$2178:$K$2178,1,(Resumen!$C$3-2025))</f>
        <v>1</v>
      </c>
      <c r="I111" s="39" t="n">
        <f aca="false">G111*H111</f>
        <v>1</v>
      </c>
      <c r="J111" s="18" t="n">
        <f aca="false">INDEX(Links!$B$2114:$K$2114,1,(Resumen!$C$3-2025))</f>
        <v>0.46139056417855</v>
      </c>
      <c r="K111" s="6" t="str">
        <f aca="false">IF(J111=MAX($J$99:$J$121),"◀ cuello","")</f>
        <v/>
      </c>
    </row>
    <row r="112" customFormat="false" ht="15" hidden="false" customHeight="false" outlineLevel="0" collapsed="false">
      <c r="A112" s="39" t="n">
        <v>14</v>
      </c>
      <c r="B112" s="5" t="s">
        <v>149</v>
      </c>
      <c r="C112" s="5" t="s">
        <v>353</v>
      </c>
      <c r="D112" s="40" t="n">
        <f aca="false">Links!$B$1773</f>
        <v>615</v>
      </c>
      <c r="E112" s="22" t="n">
        <f aca="false">INDEX(Links!$B$1788:$B$2099,(Resumen!$C$3-2026)*32+15)</f>
        <v>17367.4487303004</v>
      </c>
      <c r="F112" s="17" t="n">
        <f aca="false">E112*D112/3600</f>
        <v>2966.93915809299</v>
      </c>
      <c r="G112" s="39" t="n">
        <f aca="false">INDEX(Links!$B$2147:$K$2147,1,(Resumen!$C$3-2025))</f>
        <v>2</v>
      </c>
      <c r="H112" s="39" t="n">
        <f aca="false">INDEX(Links!$B$2179:$K$2179,1,(Resumen!$C$3-2025))</f>
        <v>2</v>
      </c>
      <c r="I112" s="39" t="n">
        <f aca="false">G112*H112</f>
        <v>4</v>
      </c>
      <c r="J112" s="18" t="n">
        <f aca="false">INDEX(Links!$B$2115:$K$2115,1,(Resumen!$C$3-2025))</f>
        <v>0.503155603314139</v>
      </c>
      <c r="K112" s="6" t="str">
        <f aca="false">IF(J112=MAX($J$99:$J$121),"◀ cuello","")</f>
        <v/>
      </c>
    </row>
    <row r="113" customFormat="false" ht="15" hidden="false" customHeight="false" outlineLevel="0" collapsed="false">
      <c r="A113" s="39" t="n">
        <v>15</v>
      </c>
      <c r="B113" s="5" t="s">
        <v>403</v>
      </c>
      <c r="C113" s="5" t="s">
        <v>353</v>
      </c>
      <c r="D113" s="40" t="n">
        <f aca="false">Links!$B$1774</f>
        <v>100</v>
      </c>
      <c r="E113" s="22" t="n">
        <f aca="false">INDEX(Links!$B$1788:$B$2099,(Resumen!$C$3-2026)*32+16)</f>
        <v>100970.779665283</v>
      </c>
      <c r="F113" s="17" t="n">
        <f aca="false">E113*D113/3600</f>
        <v>2804.74387959119</v>
      </c>
      <c r="G113" s="39" t="n">
        <f aca="false">INDEX(Links!$B$2148:$K$2148,1,(Resumen!$C$3-2025))</f>
        <v>2</v>
      </c>
      <c r="H113" s="39" t="n">
        <f aca="false">INDEX(Links!$B$2180:$K$2180,1,(Resumen!$C$3-2025))</f>
        <v>2</v>
      </c>
      <c r="I113" s="39" t="n">
        <f aca="false">G113*H113</f>
        <v>4</v>
      </c>
      <c r="J113" s="18" t="n">
        <f aca="false">INDEX(Links!$B$2116:$K$2116,1,(Resumen!$C$3-2025))</f>
        <v>0.488151071623876</v>
      </c>
      <c r="K113" s="6" t="str">
        <f aca="false">IF(J113=MAX($J$99:$J$121),"◀ cuello","")</f>
        <v/>
      </c>
    </row>
    <row r="114" customFormat="false" ht="15" hidden="false" customHeight="false" outlineLevel="0" collapsed="false">
      <c r="A114" s="39" t="n">
        <v>16</v>
      </c>
      <c r="B114" s="5" t="s">
        <v>404</v>
      </c>
      <c r="C114" s="5" t="s">
        <v>351</v>
      </c>
      <c r="D114" s="40" t="n">
        <f aca="false">Links!$B$1775</f>
        <v>120</v>
      </c>
      <c r="E114" s="22" t="n">
        <f aca="false">INDEX(Links!$B$1788:$B$2099,(Resumen!$C$3-2026)*32+17)</f>
        <v>100779.974597257</v>
      </c>
      <c r="F114" s="17" t="n">
        <f aca="false">E114*D114/3600</f>
        <v>3359.33248657523</v>
      </c>
      <c r="G114" s="39" t="n">
        <f aca="false">INDEX(Links!$B$2149:$K$2149,1,(Resumen!$C$3-2025))</f>
        <v>2</v>
      </c>
      <c r="H114" s="39" t="n">
        <f aca="false">INDEX(Links!$B$2181:$K$2181,1,(Resumen!$C$3-2025))</f>
        <v>2</v>
      </c>
      <c r="I114" s="39" t="n">
        <f aca="false">G114*H114</f>
        <v>4</v>
      </c>
      <c r="J114" s="18" t="n">
        <f aca="false">INDEX(Links!$B$2117:$K$2117,1,(Resumen!$C$3-2025))</f>
        <v>0.584897929152236</v>
      </c>
      <c r="K114" s="6" t="str">
        <f aca="false">IF(J114=MAX($J$99:$J$121),"◀ cuello","")</f>
        <v/>
      </c>
    </row>
    <row r="115" customFormat="false" ht="15" hidden="false" customHeight="false" outlineLevel="0" collapsed="false">
      <c r="A115" s="39" t="n">
        <v>17</v>
      </c>
      <c r="B115" s="5" t="s">
        <v>405</v>
      </c>
      <c r="C115" s="5" t="s">
        <v>353</v>
      </c>
      <c r="D115" s="40" t="n">
        <f aca="false">Links!$B$1776</f>
        <v>73</v>
      </c>
      <c r="E115" s="22" t="n">
        <f aca="false">INDEX(Links!$B$1788:$B$2099,(Resumen!$C$3-2026)*32+18)</f>
        <v>100779.974597257</v>
      </c>
      <c r="F115" s="17" t="n">
        <f aca="false">E115*D115/3600</f>
        <v>2043.59392933327</v>
      </c>
      <c r="G115" s="39" t="n">
        <f aca="false">INDEX(Links!$B$2150:$K$2150,1,(Resumen!$C$3-2025))</f>
        <v>1</v>
      </c>
      <c r="H115" s="39" t="n">
        <f aca="false">INDEX(Links!$B$2182:$K$2182,1,(Resumen!$C$3-2025))</f>
        <v>2</v>
      </c>
      <c r="I115" s="39" t="n">
        <f aca="false">G115*H115</f>
        <v>2</v>
      </c>
      <c r="J115" s="18" t="n">
        <f aca="false">INDEX(Links!$B$2118:$K$2118,1,(Resumen!$C$3-2025))</f>
        <v>0.711625813801887</v>
      </c>
      <c r="K115" s="6" t="str">
        <f aca="false">IF(J115=MAX($J$99:$J$121),"◀ cuello","")</f>
        <v/>
      </c>
    </row>
    <row r="116" customFormat="false" ht="15" hidden="false" customHeight="false" outlineLevel="0" collapsed="false">
      <c r="A116" s="39" t="n">
        <v>18</v>
      </c>
      <c r="B116" s="5" t="s">
        <v>406</v>
      </c>
      <c r="C116" s="5" t="s">
        <v>351</v>
      </c>
      <c r="D116" s="40" t="n">
        <f aca="false">Links!$B$1777</f>
        <v>170</v>
      </c>
      <c r="E116" s="22" t="n">
        <f aca="false">INDEX(Links!$B$1788:$B$2099,(Resumen!$C$3-2026)*32+19)</f>
        <v>8517.24166942188</v>
      </c>
      <c r="F116" s="17" t="n">
        <f aca="false">E116*D116/3600</f>
        <v>402.203078833811</v>
      </c>
      <c r="G116" s="39" t="n">
        <f aca="false">INDEX(Links!$B$2151:$K$2151,1,(Resumen!$C$3-2025))</f>
        <v>1</v>
      </c>
      <c r="H116" s="39" t="n">
        <f aca="false">INDEX(Links!$B$2183:$K$2183,1,(Resumen!$C$3-2025))</f>
        <v>1</v>
      </c>
      <c r="I116" s="39" t="n">
        <f aca="false">G116*H116</f>
        <v>1</v>
      </c>
      <c r="J116" s="18" t="n">
        <f aca="false">INDEX(Links!$B$2119:$K$2119,1,(Resumen!$C$3-2025))</f>
        <v>0.256247233367109</v>
      </c>
      <c r="K116" s="6" t="str">
        <f aca="false">IF(J116=MAX($J$99:$J$121),"◀ cuello","")</f>
        <v/>
      </c>
    </row>
    <row r="117" customFormat="false" ht="15" hidden="false" customHeight="false" outlineLevel="0" collapsed="false">
      <c r="A117" s="39" t="n">
        <v>19</v>
      </c>
      <c r="B117" s="5" t="s">
        <v>407</v>
      </c>
      <c r="C117" s="5" t="s">
        <v>351</v>
      </c>
      <c r="D117" s="40" t="n">
        <f aca="false">Links!$B$1778</f>
        <v>40</v>
      </c>
      <c r="E117" s="22" t="n">
        <f aca="false">INDEX(Links!$B$1788:$B$2099,(Resumen!$C$3-2026)*32+20)</f>
        <v>6039.80581428313</v>
      </c>
      <c r="F117" s="17" t="n">
        <f aca="false">E117*D117/3600</f>
        <v>67.1089534920348</v>
      </c>
      <c r="G117" s="39" t="n">
        <f aca="false">INDEX(Links!$B$2152:$K$2152,1,(Resumen!$C$3-2025))</f>
        <v>1</v>
      </c>
      <c r="H117" s="39" t="n">
        <f aca="false">INDEX(Links!$B$2184:$K$2184,1,(Resumen!$C$3-2025))</f>
        <v>1</v>
      </c>
      <c r="I117" s="39" t="n">
        <f aca="false">G117*H117</f>
        <v>1</v>
      </c>
      <c r="J117" s="18" t="n">
        <f aca="false">INDEX(Links!$B$2120:$K$2120,1,(Resumen!$C$3-2025))</f>
        <v>0.0446368096716545</v>
      </c>
      <c r="K117" s="6" t="str">
        <f aca="false">IF(J117=MAX($J$99:$J$121),"◀ cuello","")</f>
        <v/>
      </c>
    </row>
    <row r="118" customFormat="false" ht="15" hidden="false" customHeight="false" outlineLevel="0" collapsed="false">
      <c r="A118" s="39" t="n">
        <v>20</v>
      </c>
      <c r="B118" s="5" t="s">
        <v>408</v>
      </c>
      <c r="C118" s="5" t="s">
        <v>353</v>
      </c>
      <c r="D118" s="40" t="n">
        <f aca="false">Links!$B$1779</f>
        <v>80</v>
      </c>
      <c r="E118" s="22" t="n">
        <f aca="false">INDEX(Links!$B$1788:$B$2099,(Resumen!$C$3-2026)*32+21)</f>
        <v>115782.991535336</v>
      </c>
      <c r="F118" s="17" t="n">
        <f aca="false">E118*D118/3600</f>
        <v>2572.95536745191</v>
      </c>
      <c r="G118" s="39" t="n">
        <f aca="false">INDEX(Links!$B$2153:$K$2153,1,(Resumen!$C$3-2025))</f>
        <v>2</v>
      </c>
      <c r="H118" s="39" t="n">
        <f aca="false">INDEX(Links!$B$2185:$K$2185,1,(Resumen!$C$3-2025))</f>
        <v>1</v>
      </c>
      <c r="I118" s="39" t="n">
        <f aca="false">G118*H118</f>
        <v>2</v>
      </c>
      <c r="J118" s="18" t="n">
        <f aca="false">INDEX(Links!$B$2121:$K$2121,1,(Resumen!$C$3-2025))</f>
        <v>0.872681805206095</v>
      </c>
      <c r="K118" s="6" t="str">
        <f aca="false">IF(J118=MAX($J$99:$J$121),"◀ cuello","")</f>
        <v>◀ cuello</v>
      </c>
    </row>
    <row r="119" customFormat="false" ht="15" hidden="false" customHeight="false" outlineLevel="0" collapsed="false">
      <c r="A119" s="39" t="n">
        <v>21</v>
      </c>
      <c r="B119" s="5" t="s">
        <v>409</v>
      </c>
      <c r="C119" s="5" t="s">
        <v>351</v>
      </c>
      <c r="D119" s="40" t="n">
        <f aca="false">Links!$B$1780</f>
        <v>86</v>
      </c>
      <c r="E119" s="22" t="n">
        <f aca="false">INDEX(Links!$B$1788:$B$2099,(Resumen!$C$3-2026)*32+22)</f>
        <v>115782.991535336</v>
      </c>
      <c r="F119" s="17" t="n">
        <f aca="false">E119*D119/3600</f>
        <v>2765.9270200108</v>
      </c>
      <c r="G119" s="39" t="n">
        <f aca="false">INDEX(Links!$B$2154:$K$2154,1,(Resumen!$C$3-2025))</f>
        <v>2</v>
      </c>
      <c r="H119" s="39" t="n">
        <f aca="false">INDEX(Links!$B$2186:$K$2186,1,(Resumen!$C$3-2025))</f>
        <v>2</v>
      </c>
      <c r="I119" s="39" t="n">
        <f aca="false">G119*H119</f>
        <v>4</v>
      </c>
      <c r="J119" s="18" t="n">
        <f aca="false">INDEX(Links!$B$2122:$K$2122,1,(Resumen!$C$3-2025))</f>
        <v>0.469066470298276</v>
      </c>
      <c r="K119" s="6" t="str">
        <f aca="false">IF(J119=MAX($J$99:$J$121),"◀ cuello","")</f>
        <v/>
      </c>
    </row>
    <row r="120" customFormat="false" ht="15" hidden="false" customHeight="false" outlineLevel="0" collapsed="false">
      <c r="A120" s="39" t="n">
        <v>22</v>
      </c>
      <c r="B120" s="5" t="s">
        <v>286</v>
      </c>
      <c r="C120" s="5" t="s">
        <v>353</v>
      </c>
      <c r="D120" s="40" t="n">
        <f aca="false">Links!$B$1781</f>
        <v>390</v>
      </c>
      <c r="E120" s="22" t="n">
        <f aca="false">INDEX(Links!$B$1788:$B$2099,(Resumen!$C$3-2026)*32+23)</f>
        <v>9113.98283803566</v>
      </c>
      <c r="F120" s="17" t="n">
        <f aca="false">E120*D120/3600</f>
        <v>987.348140787196</v>
      </c>
      <c r="G120" s="39" t="n">
        <f aca="false">INDEX(Links!$B$2155:$K$2155,1,(Resumen!$C$3-2025))</f>
        <v>1</v>
      </c>
      <c r="H120" s="39" t="n">
        <f aca="false">INDEX(Links!$B$2187:$K$2187,1,(Resumen!$C$3-2025))</f>
        <v>1</v>
      </c>
      <c r="I120" s="39" t="n">
        <f aca="false">G120*H120</f>
        <v>1</v>
      </c>
      <c r="J120" s="18" t="n">
        <f aca="false">INDEX(Links!$B$2123:$K$2123,1,(Resumen!$C$3-2025))</f>
        <v>0.671765090059277</v>
      </c>
      <c r="K120" s="6" t="str">
        <f aca="false">IF(J120=MAX($J$99:$J$121),"◀ cuello","")</f>
        <v/>
      </c>
    </row>
    <row r="121" customFormat="false" ht="15" hidden="false" customHeight="false" outlineLevel="0" collapsed="false">
      <c r="A121" s="39" t="n">
        <v>23</v>
      </c>
      <c r="B121" s="5" t="s">
        <v>410</v>
      </c>
      <c r="C121" s="5" t="s">
        <v>353</v>
      </c>
      <c r="D121" s="40" t="n">
        <f aca="false">Links!$B$1782</f>
        <v>300</v>
      </c>
      <c r="E121" s="22" t="n">
        <f aca="false">INDEX(Links!$B$1788:$B$2099,(Resumen!$C$3-2026)*32+24)</f>
        <v>3735.84282771281</v>
      </c>
      <c r="F121" s="17" t="n">
        <f aca="false">E121*D121/3600</f>
        <v>311.320235642734</v>
      </c>
      <c r="G121" s="39" t="n">
        <f aca="false">INDEX(Links!$B$2156:$K$2156,1,(Resumen!$C$3-2025))</f>
        <v>1</v>
      </c>
      <c r="H121" s="39" t="n">
        <f aca="false">INDEX(Links!$B$2188:$K$2188,1,(Resumen!$C$3-2025))</f>
        <v>1</v>
      </c>
      <c r="I121" s="39" t="n">
        <f aca="false">G121*H121</f>
        <v>1</v>
      </c>
      <c r="J121" s="18" t="n">
        <f aca="false">INDEX(Links!$B$2124:$K$2124,1,(Resumen!$C$3-2025))</f>
        <v>0.194236835985356</v>
      </c>
      <c r="K121" s="6" t="str">
        <f aca="false">IF(J121=MAX($J$99:$J$121),"◀ cuello","")</f>
        <v/>
      </c>
    </row>
    <row r="122" customFormat="false" ht="15" hidden="false" customHeight="false" outlineLevel="0" collapsed="false">
      <c r="B122" s="4" t="s">
        <v>376</v>
      </c>
      <c r="F122" s="19" t="n">
        <f aca="false">SUM(F99:F121)</f>
        <v>35502.153612056</v>
      </c>
      <c r="I122" s="19" t="n">
        <f aca="false">SUM(I99:I121)</f>
        <v>47</v>
      </c>
    </row>
  </sheetData>
  <mergeCells count="3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</mergeCells>
  <conditionalFormatting sqref="J19:J44">
    <cfRule type="expression" priority="2" aboveAverage="0" equalAverage="0" bottom="0" percent="0" rank="0" text="" dxfId="2">
      <formula>J19&gt;=0.9</formula>
    </cfRule>
    <cfRule type="expression" priority="3" aboveAverage="0" equalAverage="0" bottom="0" percent="0" rank="0" text="" dxfId="4">
      <formula>AND(J19&gt;=0.75,J19&lt;0.9)</formula>
    </cfRule>
    <cfRule type="expression" priority="4" aboveAverage="0" equalAverage="0" bottom="0" percent="0" rank="0" text="" dxfId="3">
      <formula>J19&lt;0.75</formula>
    </cfRule>
  </conditionalFormatting>
  <conditionalFormatting sqref="J63:J80">
    <cfRule type="expression" priority="5" aboveAverage="0" equalAverage="0" bottom="0" percent="0" rank="0" text="" dxfId="2">
      <formula>J63&gt;=0.9</formula>
    </cfRule>
    <cfRule type="expression" priority="6" aboveAverage="0" equalAverage="0" bottom="0" percent="0" rank="0" text="" dxfId="4">
      <formula>AND(J63&gt;=0.75,J63&lt;0.9)</formula>
    </cfRule>
    <cfRule type="expression" priority="7" aboveAverage="0" equalAverage="0" bottom="0" percent="0" rank="0" text="" dxfId="3">
      <formula>J63&lt;0.75</formula>
    </cfRule>
  </conditionalFormatting>
  <conditionalFormatting sqref="J99:J121">
    <cfRule type="expression" priority="8" aboveAverage="0" equalAverage="0" bottom="0" percent="0" rank="0" text="" dxfId="2">
      <formula>J99&gt;=0.9</formula>
    </cfRule>
    <cfRule type="expression" priority="9" aboveAverage="0" equalAverage="0" bottom="0" percent="0" rank="0" text="" dxfId="4">
      <formula>AND(J99&gt;=0.75,J99&lt;0.9)</formula>
    </cfRule>
    <cfRule type="expression" priority="10" aboveAverage="0" equalAverage="0" bottom="0" percent="0" rank="0" text="" dxfId="3">
      <formula>J99&lt;0.75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2026-10-21T06:43:14Z</dcterms:created>
  <dc:creator>openpyxl</dc:creator>
  <dc:description/>
  <dc:language>en-US</dc:language>
  <cp:lastModifiedBy/>
  <dcterms:modified xsi:type="dcterms:W3CDTF">2026-10-21T06:43:15Z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