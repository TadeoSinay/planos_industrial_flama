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s" sheetId="1" state="visible" r:id="rId3"/>
    <sheet name="datos_base" sheetId="2" state="visible" r:id="rId4"/>
    <sheet name="parametros_manuales" sheetId="3" state="visible" r:id="rId5"/>
    <sheet name="Plan mensual" sheetId="4" state="visible" r:id="rId6"/>
    <sheet name="Demanda puesto sin sobrestock" sheetId="5" state="visible" r:id="rId7"/>
    <sheet name="Resumen cap. sin sobrestock" sheetId="6" state="visible" r:id="rId8"/>
    <sheet name="Demanda puesto con sobrestock" sheetId="7" state="visible" r:id="rId9"/>
    <sheet name="Resumen cap. con sobresto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0" authorId="0">
      <text>
        <r>
          <rPr>
            <sz val="10"/>
            <rFont val="Arial"/>
            <family val="2"/>
          </rPr>
          <t xml:space="preserve">Esto porque la operación es manual
======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0" authorId="0">
      <text>
        <r>
          <rPr>
            <sz val="10"/>
            <rFont val="Arial"/>
            <family val="2"/>
          </rPr>
          <t xml:space="preserve">Esto porque la operación es manual
======</t>
        </r>
      </text>
    </comment>
  </commentList>
</comments>
</file>

<file path=xl/sharedStrings.xml><?xml version="1.0" encoding="utf-8"?>
<sst xmlns="http://schemas.openxmlformats.org/spreadsheetml/2006/main" count="1348" uniqueCount="297">
  <si>
    <t xml:space="preserve">Links e IMPORTRANGE</t>
  </si>
  <si>
    <t xml:space="preserve">Pegar en B el link de cada Google Sheet. La primera vez, tocar la primera celda de cada bloque y «Permitir acceso». Todos los IMPORTRANGE del libro están en esta hoja; las demás la leen.</t>
  </si>
  <si>
    <t xml:space="preserve">Archivo</t>
  </si>
  <si>
    <t xml:space="preserve">Link</t>
  </si>
  <si>
    <t xml:space="preserve">Qué se importa</t>
  </si>
  <si>
    <t xml:space="preserve">Estado</t>
  </si>
  <si>
    <t xml:space="preserve">Proyecciones</t>
  </si>
  <si>
    <t xml:space="preserve">https://docs.google.com/spreadsheets/d/1xc4xDAwSYT3l-RulPYtcePxiCninrbQGzaBUsgO0YEs/edit?gid=1764491891#gid=1764491891</t>
  </si>
  <si>
    <t xml:space="preserve">Indexado Dim Técnico B3:K10 y B15:K22 → datos_base y carros en las guillotinas compartidas</t>
  </si>
  <si>
    <t xml:space="preserve">Aprovechamiento Recargas Planta Comercial</t>
  </si>
  <si>
    <t xml:space="preserve">PEGAR ACÁ EL LINK DEL GOOGLE SHEET</t>
  </si>
  <si>
    <t xml:space="preserve">sobrestock_sustitutos B73:K76 y B86:K89: alta de sustitutos ABC (cilindros vacíos)</t>
  </si>
  <si>
    <t xml:space="preserve">Aprovechamiento Recargas Planta Industrial</t>
  </si>
  <si>
    <t xml:space="preserve">sobrestock_sustitutos B73:K76 y B86:K89: alta de sustitutos ABC (terminados)</t>
  </si>
  <si>
    <t xml:space="preserve">MRP (FLAMA_MRP)</t>
  </si>
  <si>
    <t xml:space="preserve">ESTACIONALIDAD C4:N6 (E01, E02 y E03) → parametros_manuales</t>
  </si>
  <si>
    <t xml:space="preserve">Análisis alternativas corte chapa</t>
  </si>
  <si>
    <t xml:space="preserve">Corte B19:G27 (piezas y golpes por hoja; golpes por minuto) → parametros_manuales filas 118 a 137</t>
  </si>
  <si>
    <t xml:space="preserve">Proyecciones · Indexado Dim Técnico!B3:K6: matafuegos terminados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</si>
  <si>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</si>
  <si>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</si>
  <si>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</si>
  <si>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</si>
  <si>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</si>
  <si>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</si>
  <si>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</si>
  <si>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</si>
  <si>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</si>
  <si>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</si>
  <si>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ABC 1 kg</t>
  </si>
  <si>
    <t xml:space="preserve">ABC 2,5 kg</t>
  </si>
  <si>
    <t xml:space="preserve">ABC 5 kg</t>
  </si>
  <si>
    <t xml:space="preserve">ABC 10 kg</t>
  </si>
  <si>
    <t xml:space="preserve">Proyecciones · Indexado Dim Técnico!B15:K18: cilindros vendidos vacíos</t>
  </si>
  <si>
    <t xml:space="preserve">Aprovechamiento Recargas Planta Industrial · sobrestock_sustitutos!B73:K76: alta de sustitutos ABC terminados</t>
  </si>
  <si>
    <t xml:space="preserve">Aprovechamiento Recargas Planta Comercial · sobrestock_sustitutos!B73:K76: alta de sustitutos ABC cilindros vacíos</t>
  </si>
  <si>
    <t xml:space="preserve">MRP (FLAMA_MRP) · ESTACIONALIDAD!C4:N4: E01 automotor (1 kg)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</si>
  <si>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</si>
  <si>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</si>
  <si>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</si>
  <si>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</si>
  <si>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</si>
  <si>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</si>
  <si>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</si>
  <si>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</si>
  <si>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</si>
  <si>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</si>
  <si>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</si>
  <si>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</si>
  <si>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E01 automotor (1 kg)</t>
  </si>
  <si>
    <t xml:space="preserve">MRP (FLAMA_MRP) · ESTACIONALIDAD!C5:N5: E02 manual comercial (2,5 a 10 kg)</t>
  </si>
  <si>
    <t xml:space="preserve">E02 manual comercial (2,5 a 10 kg)</t>
  </si>
  <si>
    <t xml:space="preserve">Análisis alternativas corte chapa · Corte!B19:G22: piezas, golpes y tandas por hoja y golpes por minuto (1 a 10 kg)</t>
  </si>
  <si>
    <t xml:space="preserve">Piezas por hoja</t>
  </si>
  <si>
    <t xml:space="preserve">Golpes G1 por hoja</t>
  </si>
  <si>
    <t xml:space="preserve">Golpes G2 por hoja</t>
  </si>
  <si>
    <t xml:space="preserve">Tandas G2 por hoja</t>
  </si>
  <si>
    <t xml:space="preserve">Golpes/min G1</t>
  </si>
  <si>
    <t xml:space="preserve">Golpes/min G2</t>
  </si>
  <si>
    <t xml:space="preserve">Análisis alternativas corte chapa · Corte!B23:G27: piezas y golpes por hoja (25 a 100 kg y hoja mixta)</t>
  </si>
  <si>
    <t xml:space="preserve">25 kg</t>
  </si>
  <si>
    <t xml:space="preserve">50 kg</t>
  </si>
  <si>
    <t xml:space="preserve">70 kg</t>
  </si>
  <si>
    <t xml:space="preserve">100 kg</t>
  </si>
  <si>
    <t xml:space="preserve">Hoja mixta 70 + 100 kg</t>
  </si>
  <si>
    <t xml:space="preserve">Proyecciones · Indexado Dim Técnico!B7:K10: carros terminados</t>
  </si>
  <si>
    <t xml:space="preserve">Proyecciones · Indexado Dim Técnico!B19:K22: cilindros de carros vacíos</t>
  </si>
  <si>
    <t xml:space="preserve">Aprovechamiento Recargas Planta Industrial · sobrestock_sustitutos!B86:K89: alta de sustitutos ABC terminados (carros)</t>
  </si>
  <si>
    <t xml:space="preserve">Aprovechamiento Recargas Planta Comercial · sobrestock_sustitutos!B86:K89: alta de sustitutos ABC cilindros (carros)</t>
  </si>
  <si>
    <t xml:space="preserve">MRP (FLAMA_MRP) · ESTACIONALIDAD!C6:N6: E03 rodantes (25 a 100 kg)</t>
  </si>
  <si>
    <t xml:space="preserve">E03 rodantes (25 a 100 kg)</t>
  </si>
  <si>
    <t xml:space="preserve">Matafuegos terminados (total para el cálculo = base + planta industrial)</t>
  </si>
  <si>
    <t xml:space="preserve">Total terminados</t>
  </si>
  <si>
    <t xml:space="preserve">Cilindros vendidos vacíos (total para el cálculo = base + planta comercial)</t>
  </si>
  <si>
    <t xml:space="preserve">Cilindros ABC 1 kg</t>
  </si>
  <si>
    <t xml:space="preserve">Cilindros ABC 2,5 kg</t>
  </si>
  <si>
    <t xml:space="preserve">Cilindros ABC 5 kg</t>
  </si>
  <si>
    <t xml:space="preserve">Cilindros ABC 10 kg</t>
  </si>
  <si>
    <t xml:space="preserve">Total cilindros</t>
  </si>
  <si>
    <t xml:space="preserve">Total recipientes a fabricar</t>
  </si>
  <si>
    <t xml:space="preserve">PROYECCIONES — Matafuegos terminados (Indexado Dim Técnico B3:K6, hoja Links)</t>
  </si>
  <si>
    <t xml:space="preserve">Total base terminados</t>
  </si>
  <si>
    <t xml:space="preserve">PROYECCIONES — Cilindros vendidos vacíos (Indexado Dim Técnico B15:K18, hoja Links)</t>
  </si>
  <si>
    <t xml:space="preserve">Total base cilindros</t>
  </si>
  <si>
    <t xml:space="preserve">PLANTA INDUSTRIAL — Sustitutos ABC terminados: alta anual (sobrestock_sustitutos, paso 4)</t>
  </si>
  <si>
    <t xml:space="preserve">Total sustitutos planta industrial</t>
  </si>
  <si>
    <t xml:space="preserve">PLANTA COMERCIAL — Sustitutos ABC cilindros vacíos: alta anual (sobrestock_sustitutos, paso 4)</t>
  </si>
  <si>
    <t xml:space="preserve">Total sustitutos planta comercial</t>
  </si>
  <si>
    <t xml:space="preserve">A la línea de manuales entran solo los ABC de 1 a 10 kg; los demás tipos se compran.</t>
  </si>
  <si>
    <t xml:space="preserve">Parámetro</t>
  </si>
  <si>
    <t xml:space="preserve">Valor</t>
  </si>
  <si>
    <t xml:space="preserve">Nota</t>
  </si>
  <si>
    <t xml:space="preserve">Días hábiles por mes</t>
  </si>
  <si>
    <t xml:space="preserve">Excel original, Parametros B37</t>
  </si>
  <si>
    <t xml:space="preserve">Horas por día (1 turno)</t>
  </si>
  <si>
    <t xml:space="preserve">Excel original, Parametros D37</t>
  </si>
  <si>
    <t xml:space="preserve">Refrigerio (min/turno)</t>
  </si>
  <si>
    <t xml:space="preserve">Excel original, Parametros H37</t>
  </si>
  <si>
    <t xml:space="preserve">Horas productivas por turno</t>
  </si>
  <si>
    <t xml:space="preserve">Horas/día − refrigerio</t>
  </si>
  <si>
    <t xml:space="preserve">Turnos por día</t>
  </si>
  <si>
    <t xml:space="preserve">Un solo turno (editable)</t>
  </si>
  <si>
    <t xml:space="preserve">Horas productivas por mes</t>
  </si>
  <si>
    <t xml:space="preserve">Días × horas productivas × turnos</t>
  </si>
  <si>
    <t xml:space="preserve">Umbral de aprovechamiento</t>
  </si>
  <si>
    <t xml:space="preserve">Límite duro (análisis de riesgos) · Word de recargas § 8</t>
  </si>
  <si>
    <t xml:space="preserve">Año de inicio del 2° turno (antes: más máquinas)</t>
  </si>
  <si>
    <t xml:space="preserve">Todos los turnos entran ese año · Word de recargas § 8</t>
  </si>
  <si>
    <t xml:space="preserve">ESTACIONALIDAD (% de la demanda anual por mes; MRP, hoja Links)</t>
  </si>
  <si>
    <t xml:space="preserve">Modelo</t>
  </si>
  <si>
    <t xml:space="preserve">Total</t>
  </si>
  <si>
    <t xml:space="preserve">1 kg</t>
  </si>
  <si>
    <t xml:space="preserve">MRP, ESTACIONALIDAD E01 automotor (1 kg) (hoja Links)</t>
  </si>
  <si>
    <t xml:space="preserve">2,5 kg</t>
  </si>
  <si>
    <t xml:space="preserve">MRP, ESTACIONALIDAD E02 manual comercial (2,5 a 10 kg) (hoja Links)</t>
  </si>
  <si>
    <t xml:space="preserve">5 kg</t>
  </si>
  <si>
    <t xml:space="preserve">10 kg</t>
  </si>
  <si>
    <t xml:space="preserve">CAPACIDAD POR PUESTO</t>
  </si>
  <si>
    <t xml:space="preserve">N°</t>
  </si>
  <si>
    <t xml:space="preserve">Puesto</t>
  </si>
  <si>
    <t xml:space="preserve">Máquina</t>
  </si>
  <si>
    <t xml:space="preserve">Alcance</t>
  </si>
  <si>
    <t xml:space="preserve">Piezas por unidad</t>
  </si>
  <si>
    <t xml:space="preserve">% que pasa</t>
  </si>
  <si>
    <t xml:space="preserve">Tiempo tipo (s/u)</t>
  </si>
  <si>
    <t xml:space="preserve">Disponibilidad</t>
  </si>
  <si>
    <t xml:space="preserve">Cap. real (u/h)</t>
  </si>
  <si>
    <t xml:space="preserve">Cap. real (u/mes)</t>
  </si>
  <si>
    <t xml:space="preserve">SUPOSICIONES</t>
  </si>
  <si>
    <t xml:space="preserve">Recepción de materia prima</t>
  </si>
  <si>
    <t xml:space="preserve">Autoelevador Heli CPCD50 + micrómetro</t>
  </si>
  <si>
    <t xml:space="preserve">Todos</t>
  </si>
  <si>
    <t xml:space="preserve">25 min x pallet de 20 hojas en carros (1,25 min x hoja)</t>
  </si>
  <si>
    <t xml:space="preserve">Corte de chapa — 1.er corte en franjas (guillotina 1, manuales + carros)</t>
  </si>
  <si>
    <t xml:space="preserve">Guillotina hidráulica Ermaksan CNC HGS 2600-6 (tope 1.000 mm), compartida con carros</t>
  </si>
  <si>
    <t xml:space="preserve">(Golpes G1 × min por corte + parte de la manipulación por hoja) ÷ piezas; promedio ponderado (fila 128). La carga de carros se suma en Demanda puesto (filas 148 a 157)</t>
  </si>
  <si>
    <t xml:space="preserve">Corte de chapa — 2.º corte en piezas (guillotina 2, manuales + carros)</t>
  </si>
  <si>
    <t xml:space="preserve">Guillotina hidráulica QC12Y 6 × 2500 (tope 800 mm), compartida con carros</t>
  </si>
  <si>
    <t xml:space="preserve">(Golpes G2 × min por corte + resto de la manipulación) ÷ piezas; promedio ponderado (fila 128). La carga de carros se suma en Demanda puesto (filas 160 a 169)</t>
  </si>
  <si>
    <t xml:space="preserve">Corte de disco y embutido (cúpula y fondo)</t>
  </si>
  <si>
    <t xml:space="preserve">Prensa embutidora Sangiacomo + alimentador Cena PRE-1</t>
  </si>
  <si>
    <t xml:space="preserve">Son 10c segundos contemplando cupula y fondo</t>
  </si>
  <si>
    <t xml:space="preserve">Preparación de cuello</t>
  </si>
  <si>
    <t xml:space="preserve">Prensa de banco Pannier MarkFirst MB-21</t>
  </si>
  <si>
    <t xml:space="preserve">Numerado de cúpula</t>
  </si>
  <si>
    <t xml:space="preserve">Micropercusión Pannier ADP120160D Deep Marker</t>
  </si>
  <si>
    <t xml:space="preserve">Soldadura del cuello a la cúpula</t>
  </si>
  <si>
    <t xml:space="preserve">Firesafer FS-HFM1 (versión manual)</t>
  </si>
  <si>
    <t xml:space="preserve">Cilindrado</t>
  </si>
  <si>
    <t xml:space="preserve">Cilindradora Firesafer × 2 (cotización FS202609FFCLM01, ítem 8), moldes de 1 a 10 kg</t>
  </si>
  <si>
    <t xml:space="preserve">Cotización Firesafer: 4 a 10 piezas/min; se toma 4 (15 s). Son 2 máquinas (ítem 8 × 2, CNY 58.500 c/u) más moldes de CNY 8.000 por tamaño; en los resúmenes queda 1 máquina</t>
  </si>
  <si>
    <t xml:space="preserve">Soldadura longitudinal — 2,5 a 10 kg</t>
  </si>
  <si>
    <t xml:space="preserve">Soldadora longitudinal Firesafer</t>
  </si>
  <si>
    <t xml:space="preserve">Soldadura longitudinal TIG — 1 kg</t>
  </si>
  <si>
    <t xml:space="preserve">Soldadora longitudinal Firesafer + fuente TIG (cotización FS202609FFCLM01, ítems 13 y 14)</t>
  </si>
  <si>
    <t xml:space="preserve">Cotización Firesafer: 2 a 4 piezas/min; se toma 2 (30 s). Puesto exclusivo del 1 kg (Ø76,2 × 0,90 × 263,5 mm), CNY 58.500 + CNY 11.000 de la fuente TIG</t>
  </si>
  <si>
    <t xml:space="preserve">Encastre de fondo</t>
  </si>
  <si>
    <t xml:space="preserve">Prensa hidráulica motorizada Del Fabro 30 t</t>
  </si>
  <si>
    <t xml:space="preserve">Bordoneado</t>
  </si>
  <si>
    <t xml:space="preserve">Bordoneadora motorizada Pilman SWM-400</t>
  </si>
  <si>
    <t xml:space="preserve">Soldadura circunferencial de cúpula y fondo</t>
  </si>
  <si>
    <t xml:space="preserve">Soldadora circunferencial Firesafer</t>
  </si>
  <si>
    <t xml:space="preserve">Control de calidad — Espesor</t>
  </si>
  <si>
    <t xml:space="preserve">Medidor de espesores Melisam MR017</t>
  </si>
  <si>
    <t xml:space="preserve">Prueba hidráulica</t>
  </si>
  <si>
    <t xml:space="preserve">Banco Firesafer FS-JD12A</t>
  </si>
  <si>
    <t xml:space="preserve">Secado</t>
  </si>
  <si>
    <t xml:space="preserve">Secadora de cilindros Yukon</t>
  </si>
  <si>
    <t xml:space="preserve">las 4 maquinas sirven para secado de carros</t>
  </si>
  <si>
    <t xml:space="preserve">Granallado</t>
  </si>
  <si>
    <t xml:space="preserve">Granalladora de rodillos AirBlast G-100</t>
  </si>
  <si>
    <t xml:space="preserve">Detección de defectos</t>
  </si>
  <si>
    <t xml:space="preserve">Mesa de inspección con iluminación</t>
  </si>
  <si>
    <t xml:space="preserve">Corrección de defectos</t>
  </si>
  <si>
    <t xml:space="preserve">Amoladora 115 mm + machos y calibres</t>
  </si>
  <si>
    <t xml:space="preserve">Pintura en polvo + horno</t>
  </si>
  <si>
    <t xml:space="preserve">Línea de pintura en polvo Firesafer</t>
  </si>
  <si>
    <t xml:space="preserve">Carga de polvo</t>
  </si>
  <si>
    <t xml:space="preserve">Cargadora Firesafer FS-A10 / Yukon M-000121</t>
  </si>
  <si>
    <t xml:space="preserve">Terminados</t>
  </si>
  <si>
    <t xml:space="preserve">Ensamblaje</t>
  </si>
  <si>
    <t xml:space="preserve">Puesto manual con llave dinamométrica</t>
  </si>
  <si>
    <t xml:space="preserve">Presurización</t>
  </si>
  <si>
    <t xml:space="preserve">Pinza neumática Yukon M-000150 + pack N₂</t>
  </si>
  <si>
    <t xml:space="preserve">Control de calidad — Ensayo de pérdidas</t>
  </si>
  <si>
    <t xml:space="preserve">Tanque de inmersión de acero inoxidable</t>
  </si>
  <si>
    <t xml:space="preserve">W-MAN, «Ensayo de pérdidas»: tandas de 6 en el tanque; 1 min para bajarlos + 2 min de observación + 1 min para sacarlos = 4 min por tanda, 40 s por matafuego</t>
  </si>
  <si>
    <t xml:space="preserve">Etiquetado</t>
  </si>
  <si>
    <t xml:space="preserve">Dispensador de etiquetas + impresora Zebra ZD421</t>
  </si>
  <si>
    <t xml:space="preserve">Embalaje y paletizado</t>
  </si>
  <si>
    <t xml:space="preserve">Armadora de cajas + envolvedora EDOS PS 5</t>
  </si>
  <si>
    <t xml:space="preserve">25 seg embalaje + 20 seg paletizado (1000kg pallet/13 kg mat)=76 mat x pallet *20s = 25 min x pallet</t>
  </si>
  <si>
    <t xml:space="preserve">Alcance: "Todos" = matafuegos terminados + cilindros vacíos; "Terminados" = solo los que se cargan como matafuego.</t>
  </si>
  <si>
    <t xml:space="preserve">Tiempo tipo = tiempo PCP del Excel original ((tpr + tdl + ta) / rendimiento). Disponibilidad = descuento por cambios de matriz del Excel original.</t>
  </si>
  <si>
    <t xml:space="preserve">Cap. real (u/h) = 3600 / tiempo tipo × disponibilidad. Cap. real (u/mes) = cap. real × horas productivas del mes.</t>
  </si>
  <si>
    <t xml:space="preserve">DISPONIBILIDAD</t>
  </si>
  <si>
    <t xml:space="preserve">Cambio de matriz (min/cambio)</t>
  </si>
  <si>
    <t xml:space="preserve">N° cambios/mes (est.)</t>
  </si>
  <si>
    <t xml:space="preserve">Pérdida por cambios (h/mes)</t>
  </si>
  <si>
    <t xml:space="preserve">Disponibilidad (cambios)</t>
  </si>
  <si>
    <t xml:space="preserve">Más 8,6 min/día de tiras de accesorios de carros (W-CAR: placas 1,7 + patas 1,9 + 5,0)</t>
  </si>
  <si>
    <t xml:space="preserve">Igual que la G1: cambio de tope y de programa por formato</t>
  </si>
  <si>
    <t xml:space="preserve">Es 32 porque contemplamos 4 cambios de cupula y 4 de fondo x semana (8*4)</t>
  </si>
  <si>
    <t xml:space="preserve">Puesto exclusivo del 1 kg: sin cambios de molde</t>
  </si>
  <si>
    <t xml:space="preserve">PRODUCCIÓN CON SOBRESTOCK (perfil mensual de producción, % de la demanda anual)</t>
  </si>
  <si>
    <t xml:space="preserve">Regla: el pico de diciembre y enero se cubre con stock fabricado antes. Diciembre puede salir de stock del mismo año; enero solo de stock hecho en octubre y noviembre, porque recién desde octubre se puede numerar con el año siguiente.</t>
  </si>
  <si>
    <t xml:space="preserve">Nivel máximo de producción (L): el mínimo que cumple la regla del lote. El stock de enero tiene que entrar en la capacidad libre de octubre y noviembre: (Ene − L) ≤ (L − Oct) + (L − Nov), o sea L ≥ (Ene + Oct + Nov) / 3.</t>
  </si>
  <si>
    <t xml:space="preserve">Meses de sobrestock: se fabrica lo más tarde posible, hacia atrás desde noviembre y usando toda la capacidad libre hasta L, para que sean los menos meses posibles.</t>
  </si>
  <si>
    <t xml:space="preserve">Nivel máximo de producción mensual L (% del año)</t>
  </si>
  <si>
    <t xml:space="preserve">Por defecto el mayor de los L mínimos (lo fija el 1 kg). Se puede escribir otro valor, siempre que la columna G diga OK.</t>
  </si>
  <si>
    <t xml:space="preserve">L mínimo por regla de lote</t>
  </si>
  <si>
    <t xml:space="preserve">Exceso de diciembre</t>
  </si>
  <si>
    <t xml:space="preserve">Exceso de enero (año siguiente)</t>
  </si>
  <si>
    <t xml:space="preserve">Stock a fabricar (% del año)</t>
  </si>
  <si>
    <t xml:space="preserve">Meses de sobrestock</t>
  </si>
  <si>
    <t xml:space="preserve">Stock de enero cubierto en oct–nov</t>
  </si>
  <si>
    <t xml:space="preserve">Stock máximo acumulado (% del año)</t>
  </si>
  <si>
    <t xml:space="preserve">Modelo 1 kg</t>
  </si>
  <si>
    <t xml:space="preserve">Demanda (% del año)</t>
  </si>
  <si>
    <t xml:space="preserve">Capacidad libre hasta L</t>
  </si>
  <si>
    <t xml:space="preserve">Sobrestock fabricado</t>
  </si>
  <si>
    <t xml:space="preserve">PRODUCCIÓN (% del año)</t>
  </si>
  <si>
    <t xml:space="preserve">Modelo 2,5 kg</t>
  </si>
  <si>
    <t xml:space="preserve">Modelo 5 kg</t>
  </si>
  <si>
    <t xml:space="preserve">Modelo 10 kg</t>
  </si>
  <si>
    <t xml:space="preserve">Control: la fila PRODUCCIÓN suma 100 %, porque el stock de enero que se fabrica en oct–nov reemplaza al que se recibió del año anterior. En 2026, el primer año, no hay stock previo para enero.</t>
  </si>
  <si>
    <t xml:space="preserve">CORTE DE CHAPA: DOS GUILLOTINAS EN SERIE (Word «Esquema de corte en guillotina»: G1 Ermaksan CNC HGS 2600-6, G2 QC12Y 6 × 2500)</t>
  </si>
  <si>
    <t xml:space="preserve">Golpes por minuto G1 (Ermaksan CNC HGS 2600-6)</t>
  </si>
  <si>
    <t xml:space="preserve">Ficha Ermaksan HGS 2600-6: 24 golpes/min, tope trasero 1.000 mm</t>
  </si>
  <si>
    <t xml:space="preserve">Golpes por minuto G2 (QC12Y 6 × 2500)</t>
  </si>
  <si>
    <t xml:space="preserve">Molinari Panther HG 6 × 2500 / publicación Alibaba QC12Y: 20 golpes/min</t>
  </si>
  <si>
    <t xml:space="preserve">Parte de la manipulación por hoja que va a la guillotina 1 (el resto, a la 2)</t>
  </si>
  <si>
    <t xml:space="preserve">Criterio: traer la hoja (G1) y recargar las franjas (G2) llevan lo mismo</t>
  </si>
  <si>
    <t xml:space="preserve">Tiempos por corte y manipulación por hoja</t>
  </si>
  <si>
    <t xml:space="preserve">W-MAN, «Corte de chapa»: 0,3 min por corte y 2 min por hoja (0,4 y 3 en 2,0 mm); el 1 kg como el 2,5 kg. Carros: W-CAR (0,4 y 0,6 min por corte; min por hoja − cortes)</t>
  </si>
  <si>
    <t xml:space="preserve">Hoja (mm)</t>
  </si>
  <si>
    <t xml:space="preserve">Tiempo por corte (min)</t>
  </si>
  <si>
    <t xml:space="preserve">Manipulación por hoja (min)</t>
  </si>
  <si>
    <t xml:space="preserve">G1 (s/cuerpo)</t>
  </si>
  <si>
    <t xml:space="preserve">G2 (s/cuerpo)</t>
  </si>
  <si>
    <t xml:space="preserve">Recipientes 2035 (peso)</t>
  </si>
  <si>
    <t xml:space="preserve">1.220 × 2.440</t>
  </si>
  <si>
    <t xml:space="preserve">1.000 × 2.000</t>
  </si>
  <si>
    <t xml:space="preserve">1.500 × 3.000</t>
  </si>
  <si>
    <t xml:space="preserve">Promedio ponderado = tiempo tipo del puesto</t>
  </si>
  <si>
    <t xml:space="preserve">Piezas y golpes por hoja: Excel de corte (hoja Links). El tiempo tipo es uno solo por puesto: se pondera por los recipientes de 2035 (terminados + cilindros vacíos).</t>
  </si>
  <si>
    <t xml:space="preserve">GUILLOTINAS COMPARTIDAS: CARGA DE CARROS EN G1 Y G2 (los puestos 2 y 3 quedan consolidados)</t>
  </si>
  <si>
    <t xml:space="preserve">Mismo modelo de tiempos con los datos de W-CAR. La carga de carros pasa a unidades equivalentes de manuales (tiempo de carros ÷ tiempo tipo del puesto) y se suma en las hojas Demanda puesto.</t>
  </si>
  <si>
    <t xml:space="preserve">G1 (min/cuerpo)</t>
  </si>
  <si>
    <t xml:space="preserve">G2 (min/cuerpo)</t>
  </si>
  <si>
    <t xml:space="preserve">Carros a fabricar (terminados + cilindros + sustitutos)</t>
  </si>
  <si>
    <t xml:space="preserve">Carro 25 kg</t>
  </si>
  <si>
    <t xml:space="preserve">Carro 50 kg</t>
  </si>
  <si>
    <t xml:space="preserve">Carro 70 kg</t>
  </si>
  <si>
    <t xml:space="preserve">Carro 100 kg</t>
  </si>
  <si>
    <t xml:space="preserve">Perfil de producción de carros (MRP, E03)</t>
  </si>
  <si>
    <t xml:space="preserve">Carga de carros en G1 (unidades equivalentes de manuales por mes)</t>
  </si>
  <si>
    <t xml:space="preserve">Carga de carros en G2 (unidades equivalentes de manuales por mes)</t>
  </si>
  <si>
    <t xml:space="preserve">Tiras de accesorios de carros en la G1: 8,6 min/día en el pico (W-CAR), en la disponibilidad del puesto 2 (fila 53).</t>
  </si>
  <si>
    <t xml:space="preserve">Producto</t>
  </si>
  <si>
    <t xml:space="preserve">Tipo</t>
  </si>
  <si>
    <t xml:space="preserve">Total anual</t>
  </si>
  <si>
    <t xml:space="preserve">Terminado</t>
  </si>
  <si>
    <t xml:space="preserve">Cilindro</t>
  </si>
  <si>
    <t xml:space="preserve">Total recipientes</t>
  </si>
  <si>
    <t xml:space="preserve">Año 2026</t>
  </si>
  <si>
    <t xml:space="preserve">Mes pico (u/mes)</t>
  </si>
  <si>
    <t xml:space="preserve">Demanda pico (u/h)</t>
  </si>
  <si>
    <t xml:space="preserve">Mes pico</t>
  </si>
  <si>
    <t xml:space="preserve">Año 2027</t>
  </si>
  <si>
    <t xml:space="preserve">Año 2028</t>
  </si>
  <si>
    <t xml:space="preserve">Año 2029</t>
  </si>
  <si>
    <t xml:space="preserve">Año 2030</t>
  </si>
  <si>
    <t xml:space="preserve">Año 2031</t>
  </si>
  <si>
    <t xml:space="preserve">Año 2032</t>
  </si>
  <si>
    <t xml:space="preserve">Año 2033</t>
  </si>
  <si>
    <t xml:space="preserve">Año 2034</t>
  </si>
  <si>
    <t xml:space="preserve">Año 2035</t>
  </si>
  <si>
    <t xml:space="preserve">Aprovechamiento por puesto</t>
  </si>
  <si>
    <t xml:space="preserve">Recurso</t>
  </si>
  <si>
    <t xml:space="preserve">Manual</t>
  </si>
  <si>
    <t xml:space="preserve">Agrega máquina</t>
  </si>
  <si>
    <t xml:space="preserve">Agrega turno</t>
  </si>
  <si>
    <t xml:space="preserve">Agrega operario (puesto manual)</t>
  </si>
  <si>
    <t xml:space="preserve">Tercerizado</t>
  </si>
  <si>
    <t xml:space="preserve">Revisar</t>
  </si>
  <si>
    <t xml:space="preserve">Colores automáticos contra el año anterior · Word de recargas § 9</t>
  </si>
  <si>
    <t xml:space="preserve">Aprovechamiento máximo</t>
  </si>
  <si>
    <t xml:space="preserve">Máquinas/operarios en el puesto</t>
  </si>
  <si>
    <t xml:space="preserve">TOTAL máquinas / puestos</t>
  </si>
  <si>
    <t xml:space="preserve">Cantidad de turnos </t>
  </si>
  <si>
    <t xml:space="preserve">Cantidad de turnos en el año </t>
  </si>
  <si>
    <t xml:space="preserve">Producción con sobrestock = demanda anual × perfil de producción (parametros_manuales, bloque PRODUCCIÓN CON SOBRESTOCK).</t>
  </si>
  <si>
    <t xml:space="preserve">Máquinas y turnos: regla del 90 % con el 2.° turno en un solo año (parametros_manuales B8 y B9); se pueden cambiar a mano.</t>
  </si>
  <si>
    <t xml:space="preserve">COMPARACIÓN DE APROVECHAMIENTO MÁXIMO (cada hoja con sus propias máquinas y turnos)</t>
  </si>
  <si>
    <t xml:space="preserve">Sin sobrestock</t>
  </si>
  <si>
    <t xml:space="preserve">Con sobrestock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</si>
</sst>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"/>
    <numFmt numFmtId="170" formatCode="0%"/>
    <numFmt numFmtId="171" formatCode="0.00%"/>
    <numFmt numFmtId="172" formatCode="#,##0.0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Calibri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  <bgColor rgb="FFD9D9D9"/>
      </patternFill>
    </fill>
    <fill>
      <patternFill patternType="solid">
        <fgColor rgb="FFD9D9D9"/>
        <bgColor rgb="FFD9EAD3"/>
      </patternFill>
    </fill>
    <fill>
      <patternFill patternType="solid">
        <fgColor rgb="FFFFF2CC"/>
        <bgColor rgb="FFF2F2F2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808080"/>
      </patternFill>
    </fill>
    <fill>
      <patternFill patternType="solid">
        <fgColor rgb="FFE06666"/>
        <bgColor rgb="FFFF6600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9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6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0" fillId="6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4A86E8"/>
        </patternFill>
      </fill>
    </dxf>
    <dxf>
      <fill>
        <patternFill>
          <bgColor rgb="FFFF00FF"/>
        </patternFill>
      </fill>
    </dxf>
    <dxf>
      <fill>
        <patternFill>
          <bgColor rgb="FFE06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E0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3" min="2" style="1" width="11"/>
    <col collapsed="false" customWidth="true" hidden="false" outlineLevel="0" max="14" min="14" style="1" width="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/>
      <c r="D3" s="4"/>
      <c r="E3" s="4"/>
      <c r="F3" s="4"/>
      <c r="G3" s="4" t="s">
        <v>4</v>
      </c>
      <c r="H3" s="4"/>
      <c r="I3" s="4"/>
      <c r="J3" s="4"/>
      <c r="K3" s="4"/>
      <c r="L3" s="4"/>
      <c r="M3" s="4" t="s">
        <v>5</v>
      </c>
    </row>
    <row r="4" customFormat="false" ht="23.25" hidden="false" customHeight="true" outlineLevel="0" collapsed="false">
      <c r="A4" s="5" t="s">
        <v>6</v>
      </c>
      <c r="B4" s="6" t="s">
        <v>7</v>
      </c>
      <c r="C4" s="6"/>
      <c r="D4" s="6"/>
      <c r="E4" s="6"/>
      <c r="F4" s="6"/>
      <c r="G4" s="6" t="s">
        <v>8</v>
      </c>
      <c r="H4" s="6"/>
      <c r="I4" s="6"/>
      <c r="J4" s="6"/>
      <c r="K4" s="6"/>
      <c r="L4" s="6"/>
      <c r="M4" s="7" t="str">
        <f aca="false">IF(ISERROR(B13),"Falta el link o «Permitir acceso»","OK")</f>
        <v>OK</v>
      </c>
    </row>
    <row r="5" customFormat="false" ht="15" hidden="false" customHeight="true" outlineLevel="0" collapsed="false">
      <c r="A5" s="5" t="s">
        <v>9</v>
      </c>
      <c r="B5" s="6" t="s">
        <v>10</v>
      </c>
      <c r="C5" s="6"/>
      <c r="D5" s="6"/>
      <c r="E5" s="6"/>
      <c r="F5" s="6"/>
      <c r="G5" s="6" t="s">
        <v>11</v>
      </c>
      <c r="H5" s="6"/>
      <c r="I5" s="6"/>
      <c r="J5" s="6"/>
      <c r="K5" s="6"/>
      <c r="L5" s="6"/>
      <c r="M5" s="7" t="str">
        <f aca="false">IF(ISERROR(B34),"Falta el link o «Permitir acceso»","OK")</f>
        <v>OK</v>
      </c>
    </row>
    <row r="6" customFormat="false" ht="15" hidden="false" customHeight="true" outlineLevel="0" collapsed="false">
      <c r="A6" s="5" t="s">
        <v>12</v>
      </c>
      <c r="B6" s="6" t="s">
        <v>10</v>
      </c>
      <c r="C6" s="6"/>
      <c r="D6" s="6"/>
      <c r="E6" s="6"/>
      <c r="F6" s="6"/>
      <c r="G6" s="6" t="s">
        <v>13</v>
      </c>
      <c r="H6" s="6"/>
      <c r="I6" s="6"/>
      <c r="J6" s="6"/>
      <c r="K6" s="6"/>
      <c r="L6" s="6"/>
      <c r="M6" s="7" t="str">
        <f aca="false">IF(ISERROR(B27),"Falta el link o «Permitir acceso»","OK")</f>
        <v>OK</v>
      </c>
    </row>
    <row r="7" customFormat="false" ht="15" hidden="false" customHeight="true" outlineLevel="0" collapsed="false">
      <c r="A7" s="5" t="s">
        <v>14</v>
      </c>
      <c r="B7" s="6" t="s">
        <v>10</v>
      </c>
      <c r="C7" s="6"/>
      <c r="D7" s="6"/>
      <c r="E7" s="6"/>
      <c r="F7" s="6"/>
      <c r="G7" s="6" t="s">
        <v>15</v>
      </c>
      <c r="H7" s="6"/>
      <c r="I7" s="6"/>
      <c r="J7" s="6"/>
      <c r="K7" s="6"/>
      <c r="L7" s="6"/>
      <c r="M7" s="7" t="str">
        <f aca="false">IF(ISERROR(B41),"Falta el link o «Permitir acceso»","OK")</f>
        <v>OK</v>
      </c>
    </row>
    <row r="8" customFormat="false" ht="15" hidden="false" customHeight="true" outlineLevel="0" collapsed="false">
      <c r="A8" s="5" t="s">
        <v>16</v>
      </c>
      <c r="B8" s="6" t="s">
        <v>10</v>
      </c>
      <c r="C8" s="6"/>
      <c r="D8" s="6"/>
      <c r="E8" s="6"/>
      <c r="F8" s="6"/>
      <c r="G8" s="6" t="s">
        <v>17</v>
      </c>
      <c r="H8" s="6"/>
      <c r="I8" s="6"/>
      <c r="J8" s="6"/>
      <c r="K8" s="6"/>
      <c r="L8" s="6"/>
      <c r="M8" s="7" t="str">
        <f aca="false">IF(ISERROR(B49),"Falta el link o «Permitir acceso»","OK")</f>
        <v>OK</v>
      </c>
    </row>
    <row r="11" customFormat="false" ht="15" hidden="false" customHeight="true" outlineLevel="0" collapsed="false">
      <c r="A11" s="8" t="s">
        <v>18</v>
      </c>
    </row>
    <row r="12" customFormat="false" ht="15" hidden="false" customHeight="true" outlineLevel="0" collapsed="false">
      <c r="A12" s="4"/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4" t="s">
        <v>25</v>
      </c>
      <c r="I12" s="4" t="s">
        <v>26</v>
      </c>
      <c r="J12" s="4" t="s">
        <v>27</v>
      </c>
      <c r="K12" s="4" t="s">
        <v>28</v>
      </c>
    </row>
    <row r="13" customFormat="false" ht="15" hidden="false" customHeight="true" outlineLevel="0" collapsed="false">
      <c r="A13" s="6" t="s">
        <v>29</v>
      </c>
      <c r="B13" s="9" t="n">
        <f aca="false">IFERROR(__xludf.DUMMYFUNCTION("IMPORTRANGE(Links!$B$4,""Indexado Dim Técnico!B3:K6"")"),4178.736543)</f>
        <v>4178.736543</v>
      </c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" hidden="false" customHeight="true" outlineLevel="0" collapsed="false">
      <c r="A14" s="6" t="s">
        <v>30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" hidden="false" customHeight="true" outlineLevel="0" collapsed="false">
      <c r="A15" s="6" t="s">
        <v>31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" hidden="false" customHeight="true" outlineLevel="0" collapsed="false">
      <c r="A16" s="6" t="s">
        <v>32</v>
      </c>
      <c r="B16" s="9"/>
      <c r="C16" s="9"/>
      <c r="D16" s="9"/>
      <c r="E16" s="9"/>
      <c r="F16" s="9"/>
      <c r="G16" s="9"/>
      <c r="H16" s="9"/>
      <c r="I16" s="9"/>
      <c r="J16" s="9"/>
      <c r="K16" s="9"/>
    </row>
    <row r="18" customFormat="false" ht="15" hidden="false" customHeight="true" outlineLevel="0" collapsed="false">
      <c r="A18" s="8" t="s">
        <v>33</v>
      </c>
    </row>
    <row r="19" customFormat="false" ht="15" hidden="false" customHeight="true" outlineLevel="0" collapsed="false">
      <c r="A19" s="4"/>
      <c r="B19" s="4" t="s">
        <v>19</v>
      </c>
      <c r="C19" s="4" t="s">
        <v>20</v>
      </c>
      <c r="D19" s="4" t="s">
        <v>21</v>
      </c>
      <c r="E19" s="4" t="s">
        <v>22</v>
      </c>
      <c r="F19" s="4" t="s">
        <v>23</v>
      </c>
      <c r="G19" s="4" t="s">
        <v>24</v>
      </c>
      <c r="H19" s="4" t="s">
        <v>25</v>
      </c>
      <c r="I19" s="4" t="s">
        <v>26</v>
      </c>
      <c r="J19" s="4" t="s">
        <v>27</v>
      </c>
      <c r="K19" s="4" t="s">
        <v>28</v>
      </c>
    </row>
    <row r="20" customFormat="false" ht="15" hidden="false" customHeight="true" outlineLevel="0" collapsed="false">
      <c r="A20" s="6" t="s">
        <v>29</v>
      </c>
      <c r="B20" s="9" t="n">
        <f aca="false">IFERROR(__xludf.DUMMYFUNCTION("IMPORTRANGE(Links!$B$4,""Indexado Dim Técnico!B15:K18"")"),0)</f>
        <v>0</v>
      </c>
      <c r="C20" s="9"/>
      <c r="D20" s="9"/>
      <c r="E20" s="9"/>
      <c r="F20" s="9"/>
      <c r="G20" s="9"/>
      <c r="H20" s="9"/>
      <c r="I20" s="9"/>
      <c r="J20" s="9"/>
      <c r="K20" s="9"/>
    </row>
    <row r="21" customFormat="false" ht="15" hidden="false" customHeight="true" outlineLevel="0" collapsed="false">
      <c r="A21" s="6" t="s">
        <v>30</v>
      </c>
      <c r="B21" s="9"/>
      <c r="C21" s="9"/>
      <c r="D21" s="9"/>
      <c r="E21" s="9"/>
      <c r="F21" s="9"/>
      <c r="G21" s="9"/>
      <c r="H21" s="9"/>
      <c r="I21" s="9"/>
      <c r="J21" s="9"/>
      <c r="K21" s="9"/>
    </row>
    <row r="22" customFormat="false" ht="15" hidden="false" customHeight="true" outlineLevel="0" collapsed="false">
      <c r="A22" s="6" t="s">
        <v>31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customFormat="false" ht="15" hidden="false" customHeight="true" outlineLevel="0" collapsed="false">
      <c r="A23" s="6" t="s">
        <v>32</v>
      </c>
      <c r="B23" s="9"/>
      <c r="C23" s="9"/>
      <c r="D23" s="9"/>
      <c r="E23" s="9"/>
      <c r="F23" s="9"/>
      <c r="G23" s="9"/>
      <c r="H23" s="9"/>
      <c r="I23" s="9"/>
      <c r="J23" s="9"/>
      <c r="K23" s="9"/>
    </row>
    <row r="25" customFormat="false" ht="15" hidden="false" customHeight="true" outlineLevel="0" collapsed="false">
      <c r="A25" s="8" t="s">
        <v>34</v>
      </c>
    </row>
    <row r="26" customFormat="false" ht="15" hidden="false" customHeight="true" outlineLevel="0" collapsed="false">
      <c r="A26" s="4"/>
      <c r="B26" s="4" t="s">
        <v>19</v>
      </c>
      <c r="C26" s="4" t="s">
        <v>20</v>
      </c>
      <c r="D26" s="4" t="s">
        <v>21</v>
      </c>
      <c r="E26" s="4" t="s">
        <v>22</v>
      </c>
      <c r="F26" s="4" t="s">
        <v>23</v>
      </c>
      <c r="G26" s="4" t="s">
        <v>24</v>
      </c>
      <c r="H26" s="4" t="s">
        <v>25</v>
      </c>
      <c r="I26" s="4" t="s">
        <v>26</v>
      </c>
      <c r="J26" s="4" t="s">
        <v>27</v>
      </c>
      <c r="K26" s="4" t="s">
        <v>28</v>
      </c>
    </row>
    <row r="27" customFormat="false" ht="15" hidden="false" customHeight="true" outlineLevel="0" collapsed="false">
      <c r="A27" s="6" t="s">
        <v>29</v>
      </c>
      <c r="B27" s="9" t="n">
        <f aca="false">IFERROR(__xludf.DUMMYFUNCTION("IMPORTRANGE(Links!$B$6,""sobrestock_sustitutos!B73:K76"")"),0)</f>
        <v>0</v>
      </c>
      <c r="C27" s="9"/>
      <c r="D27" s="9"/>
      <c r="E27" s="9"/>
      <c r="F27" s="9"/>
      <c r="G27" s="9"/>
      <c r="H27" s="9"/>
      <c r="I27" s="9"/>
      <c r="J27" s="9"/>
      <c r="K27" s="9"/>
    </row>
    <row r="28" customFormat="false" ht="15" hidden="false" customHeight="true" outlineLevel="0" collapsed="false">
      <c r="A28" s="6" t="s">
        <v>30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customFormat="false" ht="15" hidden="false" customHeight="true" outlineLevel="0" collapsed="false">
      <c r="A29" s="6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</row>
    <row r="30" customFormat="false" ht="15" hidden="false" customHeight="true" outlineLevel="0" collapsed="false">
      <c r="A30" s="6" t="s">
        <v>32</v>
      </c>
      <c r="B30" s="9"/>
      <c r="C30" s="9"/>
      <c r="D30" s="9"/>
      <c r="E30" s="9"/>
      <c r="F30" s="9"/>
      <c r="G30" s="9"/>
      <c r="H30" s="9"/>
      <c r="I30" s="9"/>
      <c r="J30" s="9"/>
      <c r="K30" s="9"/>
    </row>
    <row r="32" customFormat="false" ht="15" hidden="false" customHeight="true" outlineLevel="0" collapsed="false">
      <c r="A32" s="8" t="s">
        <v>35</v>
      </c>
    </row>
    <row r="33" customFormat="false" ht="15" hidden="false" customHeight="true" outlineLevel="0" collapsed="false">
      <c r="A33" s="4"/>
      <c r="B33" s="4" t="s">
        <v>19</v>
      </c>
      <c r="C33" s="4" t="s">
        <v>20</v>
      </c>
      <c r="D33" s="4" t="s">
        <v>21</v>
      </c>
      <c r="E33" s="4" t="s">
        <v>22</v>
      </c>
      <c r="F33" s="4" t="s">
        <v>23</v>
      </c>
      <c r="G33" s="4" t="s">
        <v>24</v>
      </c>
      <c r="H33" s="4" t="s">
        <v>25</v>
      </c>
      <c r="I33" s="4" t="s">
        <v>26</v>
      </c>
      <c r="J33" s="4" t="s">
        <v>27</v>
      </c>
      <c r="K33" s="4" t="s">
        <v>28</v>
      </c>
    </row>
    <row r="34" customFormat="false" ht="15" hidden="false" customHeight="true" outlineLevel="0" collapsed="false">
      <c r="A34" s="6" t="s">
        <v>29</v>
      </c>
      <c r="B34" s="9" t="n">
        <f aca="false">IFERROR(__xludf.DUMMYFUNCTION("IMPORTRANGE(Links!$B$5,""sobrestock_sustitutos!B73:K76"")"),0)</f>
        <v>0</v>
      </c>
      <c r="C34" s="9"/>
      <c r="D34" s="9"/>
      <c r="E34" s="9"/>
      <c r="F34" s="9"/>
      <c r="G34" s="9"/>
      <c r="H34" s="9"/>
      <c r="I34" s="9"/>
      <c r="J34" s="9"/>
      <c r="K34" s="9"/>
    </row>
    <row r="35" customFormat="false" ht="15" hidden="false" customHeight="true" outlineLevel="0" collapsed="false">
      <c r="A35" s="6" t="s">
        <v>30</v>
      </c>
      <c r="B35" s="9"/>
      <c r="C35" s="9"/>
      <c r="D35" s="9"/>
      <c r="E35" s="9"/>
      <c r="F35" s="9"/>
      <c r="G35" s="9"/>
      <c r="H35" s="9"/>
      <c r="I35" s="9"/>
      <c r="J35" s="9"/>
      <c r="K35" s="9"/>
    </row>
    <row r="36" customFormat="false" ht="15" hidden="false" customHeight="true" outlineLevel="0" collapsed="false">
      <c r="A36" s="6" t="s">
        <v>31</v>
      </c>
      <c r="B36" s="9"/>
      <c r="C36" s="9"/>
      <c r="D36" s="9"/>
      <c r="E36" s="9"/>
      <c r="F36" s="9"/>
      <c r="G36" s="9"/>
      <c r="H36" s="9"/>
      <c r="I36" s="9"/>
      <c r="J36" s="9"/>
      <c r="K36" s="9"/>
    </row>
    <row r="37" customFormat="false" ht="15" hidden="false" customHeight="true" outlineLevel="0" collapsed="false">
      <c r="A37" s="6" t="s">
        <v>32</v>
      </c>
      <c r="B37" s="9"/>
      <c r="C37" s="9"/>
      <c r="D37" s="9"/>
      <c r="E37" s="9"/>
      <c r="F37" s="9"/>
      <c r="G37" s="9"/>
      <c r="H37" s="9"/>
      <c r="I37" s="9"/>
      <c r="J37" s="9"/>
      <c r="K37" s="9"/>
    </row>
    <row r="39" customFormat="false" ht="15" hidden="false" customHeight="true" outlineLevel="0" collapsed="false">
      <c r="A39" s="8" t="s">
        <v>36</v>
      </c>
    </row>
    <row r="40" customFormat="false" ht="15" hidden="false" customHeight="true" outlineLevel="0" collapsed="false">
      <c r="A40" s="4"/>
      <c r="B40" s="4" t="s">
        <v>37</v>
      </c>
      <c r="C40" s="4" t="s">
        <v>38</v>
      </c>
      <c r="D40" s="4" t="s">
        <v>39</v>
      </c>
      <c r="E40" s="4" t="s">
        <v>40</v>
      </c>
      <c r="F40" s="4" t="s">
        <v>41</v>
      </c>
      <c r="G40" s="4" t="s">
        <v>42</v>
      </c>
      <c r="H40" s="4" t="s">
        <v>43</v>
      </c>
      <c r="I40" s="4" t="s">
        <v>44</v>
      </c>
      <c r="J40" s="4" t="s">
        <v>45</v>
      </c>
      <c r="K40" s="4" t="s">
        <v>46</v>
      </c>
      <c r="L40" s="4" t="s">
        <v>47</v>
      </c>
      <c r="M40" s="4" t="s">
        <v>48</v>
      </c>
    </row>
    <row r="41" customFormat="false" ht="15" hidden="false" customHeight="true" outlineLevel="0" collapsed="false">
      <c r="A41" s="6" t="s">
        <v>49</v>
      </c>
      <c r="B41" s="10" t="n">
        <f aca="false">IFERROR(__xludf.DUMMYFUNCTION("IMPORTRANGE(Links!$B$7,""ESTACIONALIDAD!C4:N4"")"),0.12)</f>
        <v>0.12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3" customFormat="false" ht="15" hidden="false" customHeight="true" outlineLevel="0" collapsed="false">
      <c r="A43" s="8" t="s">
        <v>50</v>
      </c>
    </row>
    <row r="44" customFormat="false" ht="15" hidden="false" customHeight="true" outlineLevel="0" collapsed="false">
      <c r="A44" s="4"/>
      <c r="B44" s="4" t="s">
        <v>37</v>
      </c>
      <c r="C44" s="4" t="s">
        <v>38</v>
      </c>
      <c r="D44" s="4" t="s">
        <v>39</v>
      </c>
      <c r="E44" s="4" t="s">
        <v>40</v>
      </c>
      <c r="F44" s="4" t="s">
        <v>41</v>
      </c>
      <c r="G44" s="4" t="s">
        <v>42</v>
      </c>
      <c r="H44" s="4" t="s">
        <v>43</v>
      </c>
      <c r="I44" s="4" t="s">
        <v>44</v>
      </c>
      <c r="J44" s="4" t="s">
        <v>45</v>
      </c>
      <c r="K44" s="4" t="s">
        <v>46</v>
      </c>
      <c r="L44" s="4" t="s">
        <v>47</v>
      </c>
      <c r="M44" s="4" t="s">
        <v>48</v>
      </c>
    </row>
    <row r="45" customFormat="false" ht="15" hidden="false" customHeight="true" outlineLevel="0" collapsed="false">
      <c r="A45" s="6" t="s">
        <v>51</v>
      </c>
      <c r="B45" s="10" t="n">
        <f aca="false">IFERROR(__xludf.DUMMYFUNCTION("IMPORTRANGE(Links!$B$7,""ESTACIONALIDAD!C5:N5"")"),0.1)</f>
        <v>0.1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7" customFormat="false" ht="15" hidden="false" customHeight="true" outlineLevel="0" collapsed="false">
      <c r="A47" s="8" t="s">
        <v>52</v>
      </c>
    </row>
    <row r="48" customFormat="false" ht="23.25" hidden="false" customHeight="true" outlineLevel="0" collapsed="false">
      <c r="A48" s="4"/>
      <c r="B48" s="4" t="s">
        <v>53</v>
      </c>
      <c r="C48" s="4" t="s">
        <v>54</v>
      </c>
      <c r="D48" s="4" t="s">
        <v>55</v>
      </c>
      <c r="E48" s="4" t="s">
        <v>56</v>
      </c>
      <c r="F48" s="4" t="s">
        <v>57</v>
      </c>
      <c r="G48" s="4" t="s">
        <v>58</v>
      </c>
    </row>
    <row r="49" customFormat="false" ht="15" hidden="false" customHeight="true" outlineLevel="0" collapsed="false">
      <c r="A49" s="6" t="s">
        <v>29</v>
      </c>
      <c r="B49" s="11" t="n">
        <f aca="false">IFERROR(__xludf.DUMMYFUNCTION("IMPORTRANGE(Links!$B$8,""Corte!B19:G22"")"),45)</f>
        <v>45</v>
      </c>
      <c r="C49" s="11"/>
      <c r="D49" s="11"/>
      <c r="E49" s="11"/>
      <c r="F49" s="11"/>
      <c r="G49" s="11"/>
    </row>
    <row r="50" customFormat="false" ht="15" hidden="false" customHeight="true" outlineLevel="0" collapsed="false">
      <c r="A50" s="6" t="s">
        <v>30</v>
      </c>
      <c r="B50" s="11"/>
      <c r="C50" s="11"/>
      <c r="D50" s="11"/>
      <c r="E50" s="11"/>
      <c r="F50" s="11"/>
      <c r="G50" s="11"/>
    </row>
    <row r="51" customFormat="false" ht="15" hidden="false" customHeight="true" outlineLevel="0" collapsed="false">
      <c r="A51" s="6" t="s">
        <v>31</v>
      </c>
      <c r="B51" s="11"/>
      <c r="C51" s="11"/>
      <c r="D51" s="11"/>
      <c r="E51" s="11"/>
      <c r="F51" s="11"/>
      <c r="G51" s="11"/>
    </row>
    <row r="52" customFormat="false" ht="15" hidden="false" customHeight="true" outlineLevel="0" collapsed="false">
      <c r="A52" s="6" t="s">
        <v>32</v>
      </c>
      <c r="B52" s="11"/>
      <c r="C52" s="11"/>
      <c r="D52" s="11"/>
      <c r="E52" s="11"/>
      <c r="F52" s="11"/>
      <c r="G52" s="11"/>
    </row>
    <row r="54" customFormat="false" ht="15" hidden="false" customHeight="true" outlineLevel="0" collapsed="false">
      <c r="A54" s="8" t="s">
        <v>59</v>
      </c>
    </row>
    <row r="55" customFormat="false" ht="23.25" hidden="false" customHeight="true" outlineLevel="0" collapsed="false">
      <c r="A55" s="4"/>
      <c r="B55" s="4" t="s">
        <v>53</v>
      </c>
      <c r="C55" s="4" t="s">
        <v>54</v>
      </c>
      <c r="D55" s="4" t="s">
        <v>55</v>
      </c>
      <c r="E55" s="4" t="s">
        <v>56</v>
      </c>
      <c r="F55" s="4" t="s">
        <v>57</v>
      </c>
      <c r="G55" s="4" t="s">
        <v>58</v>
      </c>
    </row>
    <row r="56" customFormat="false" ht="15" hidden="false" customHeight="true" outlineLevel="0" collapsed="false">
      <c r="A56" s="6" t="s">
        <v>60</v>
      </c>
      <c r="B56" s="11" t="n">
        <f aca="false">IFERROR(__xludf.DUMMYFUNCTION("IMPORTRANGE(Links!$B$8,""Corte!B23:G27"")"),7.11198427852906)</f>
        <v>7.11198427852906</v>
      </c>
      <c r="C56" s="11"/>
      <c r="D56" s="11"/>
      <c r="E56" s="11"/>
      <c r="F56" s="11"/>
      <c r="G56" s="11"/>
    </row>
    <row r="57" customFormat="false" ht="15" hidden="false" customHeight="true" outlineLevel="0" collapsed="false">
      <c r="A57" s="6" t="s">
        <v>61</v>
      </c>
      <c r="B57" s="11"/>
      <c r="C57" s="11"/>
      <c r="D57" s="11"/>
      <c r="E57" s="11"/>
      <c r="F57" s="11"/>
      <c r="G57" s="11"/>
    </row>
    <row r="58" customFormat="false" ht="15" hidden="false" customHeight="true" outlineLevel="0" collapsed="false">
      <c r="A58" s="6" t="s">
        <v>62</v>
      </c>
      <c r="B58" s="11"/>
      <c r="C58" s="11"/>
      <c r="D58" s="11"/>
      <c r="E58" s="11"/>
      <c r="F58" s="11"/>
      <c r="G58" s="11"/>
    </row>
    <row r="59" customFormat="false" ht="15" hidden="false" customHeight="true" outlineLevel="0" collapsed="false">
      <c r="A59" s="6" t="s">
        <v>63</v>
      </c>
      <c r="B59" s="11"/>
      <c r="C59" s="11"/>
      <c r="D59" s="11"/>
      <c r="E59" s="11"/>
      <c r="F59" s="11"/>
      <c r="G59" s="11"/>
    </row>
    <row r="60" customFormat="false" ht="15" hidden="false" customHeight="true" outlineLevel="0" collapsed="false">
      <c r="A60" s="6" t="s">
        <v>64</v>
      </c>
      <c r="B60" s="11"/>
      <c r="C60" s="11"/>
      <c r="D60" s="11"/>
      <c r="E60" s="11"/>
      <c r="F60" s="11"/>
      <c r="G60" s="11"/>
    </row>
    <row r="62" customFormat="false" ht="15" hidden="false" customHeight="true" outlineLevel="0" collapsed="false">
      <c r="A62" s="8" t="s">
        <v>65</v>
      </c>
    </row>
    <row r="63" customFormat="false" ht="15" hidden="false" customHeight="true" outlineLevel="0" collapsed="false">
      <c r="A63" s="4"/>
      <c r="B63" s="4" t="s">
        <v>19</v>
      </c>
      <c r="C63" s="4" t="s">
        <v>20</v>
      </c>
      <c r="D63" s="4" t="s">
        <v>21</v>
      </c>
      <c r="E63" s="4" t="s">
        <v>22</v>
      </c>
      <c r="F63" s="4" t="s">
        <v>23</v>
      </c>
      <c r="G63" s="4" t="s">
        <v>24</v>
      </c>
      <c r="H63" s="4" t="s">
        <v>25</v>
      </c>
      <c r="I63" s="4" t="s">
        <v>26</v>
      </c>
      <c r="J63" s="4" t="s">
        <v>27</v>
      </c>
      <c r="K63" s="4" t="s">
        <v>28</v>
      </c>
    </row>
    <row r="64" customFormat="false" ht="15" hidden="false" customHeight="true" outlineLevel="0" collapsed="false">
      <c r="A64" s="6" t="s">
        <v>60</v>
      </c>
      <c r="B64" s="9" t="n">
        <f aca="false">IFERROR(__xludf.DUMMYFUNCTION("IMPORTRANGE(Links!$B$4,""Indexado Dim Técnico!B7:K10"")"),34.05179136)</f>
        <v>34.05179136</v>
      </c>
      <c r="C64" s="9"/>
      <c r="D64" s="9"/>
      <c r="E64" s="9"/>
      <c r="F64" s="9"/>
      <c r="G64" s="9"/>
      <c r="H64" s="9"/>
      <c r="I64" s="9"/>
      <c r="J64" s="9"/>
      <c r="K64" s="9"/>
    </row>
    <row r="65" customFormat="false" ht="15" hidden="false" customHeight="true" outlineLevel="0" collapsed="false">
      <c r="A65" s="6" t="s">
        <v>61</v>
      </c>
      <c r="B65" s="9"/>
      <c r="C65" s="9"/>
      <c r="D65" s="9"/>
      <c r="E65" s="9"/>
      <c r="F65" s="9"/>
      <c r="G65" s="9"/>
      <c r="H65" s="9"/>
      <c r="I65" s="9"/>
      <c r="J65" s="9"/>
      <c r="K65" s="9"/>
    </row>
    <row r="66" customFormat="false" ht="15" hidden="false" customHeight="true" outlineLevel="0" collapsed="false">
      <c r="A66" s="6" t="s">
        <v>62</v>
      </c>
      <c r="B66" s="9"/>
      <c r="C66" s="9"/>
      <c r="D66" s="9"/>
      <c r="E66" s="9"/>
      <c r="F66" s="9"/>
      <c r="G66" s="9"/>
      <c r="H66" s="9"/>
      <c r="I66" s="9"/>
      <c r="J66" s="9"/>
      <c r="K66" s="9"/>
    </row>
    <row r="67" customFormat="false" ht="15" hidden="false" customHeight="true" outlineLevel="0" collapsed="false">
      <c r="A67" s="6" t="s">
        <v>63</v>
      </c>
      <c r="B67" s="9"/>
      <c r="C67" s="9"/>
      <c r="D67" s="9"/>
      <c r="E67" s="9"/>
      <c r="F67" s="9"/>
      <c r="G67" s="9"/>
      <c r="H67" s="9"/>
      <c r="I67" s="9"/>
      <c r="J67" s="9"/>
      <c r="K67" s="9"/>
    </row>
    <row r="69" customFormat="false" ht="15" hidden="false" customHeight="true" outlineLevel="0" collapsed="false">
      <c r="A69" s="8" t="s">
        <v>66</v>
      </c>
    </row>
    <row r="70" customFormat="false" ht="15" hidden="false" customHeight="true" outlineLevel="0" collapsed="false">
      <c r="A70" s="4"/>
      <c r="B70" s="4" t="s">
        <v>19</v>
      </c>
      <c r="C70" s="4" t="s">
        <v>20</v>
      </c>
      <c r="D70" s="4" t="s">
        <v>21</v>
      </c>
      <c r="E70" s="4" t="s">
        <v>22</v>
      </c>
      <c r="F70" s="4" t="s">
        <v>23</v>
      </c>
      <c r="G70" s="4" t="s">
        <v>24</v>
      </c>
      <c r="H70" s="4" t="s">
        <v>25</v>
      </c>
      <c r="I70" s="4" t="s">
        <v>26</v>
      </c>
      <c r="J70" s="4" t="s">
        <v>27</v>
      </c>
      <c r="K70" s="4" t="s">
        <v>28</v>
      </c>
    </row>
    <row r="71" customFormat="false" ht="15" hidden="false" customHeight="true" outlineLevel="0" collapsed="false">
      <c r="A71" s="6" t="s">
        <v>60</v>
      </c>
      <c r="B71" s="9" t="n">
        <f aca="false">IFERROR(__xludf.DUMMYFUNCTION("IMPORTRANGE(Links!$B$4,""Indexado Dim Técnico!B19:K22"")"),0)</f>
        <v>0</v>
      </c>
      <c r="C71" s="9"/>
      <c r="D71" s="9"/>
      <c r="E71" s="9"/>
      <c r="F71" s="9"/>
      <c r="G71" s="9"/>
      <c r="H71" s="9"/>
      <c r="I71" s="9"/>
      <c r="J71" s="9"/>
      <c r="K71" s="9"/>
    </row>
    <row r="72" customFormat="false" ht="15" hidden="false" customHeight="true" outlineLevel="0" collapsed="false">
      <c r="A72" s="6" t="s">
        <v>61</v>
      </c>
      <c r="B72" s="9"/>
      <c r="C72" s="9"/>
      <c r="D72" s="9"/>
      <c r="E72" s="9"/>
      <c r="F72" s="9"/>
      <c r="G72" s="9"/>
      <c r="H72" s="9"/>
      <c r="I72" s="9"/>
      <c r="J72" s="9"/>
      <c r="K72" s="9"/>
    </row>
    <row r="73" customFormat="false" ht="15" hidden="false" customHeight="true" outlineLevel="0" collapsed="false">
      <c r="A73" s="6" t="s">
        <v>62</v>
      </c>
      <c r="B73" s="9"/>
      <c r="C73" s="9"/>
      <c r="D73" s="9"/>
      <c r="E73" s="9"/>
      <c r="F73" s="9"/>
      <c r="G73" s="9"/>
      <c r="H73" s="9"/>
      <c r="I73" s="9"/>
      <c r="J73" s="9"/>
      <c r="K73" s="9"/>
    </row>
    <row r="74" customFormat="false" ht="15" hidden="false" customHeight="true" outlineLevel="0" collapsed="false">
      <c r="A74" s="6" t="s">
        <v>63</v>
      </c>
      <c r="B74" s="9"/>
      <c r="C74" s="9"/>
      <c r="D74" s="9"/>
      <c r="E74" s="9"/>
      <c r="F74" s="9"/>
      <c r="G74" s="9"/>
      <c r="H74" s="9"/>
      <c r="I74" s="9"/>
      <c r="J74" s="9"/>
      <c r="K74" s="9"/>
    </row>
    <row r="76" customFormat="false" ht="15" hidden="false" customHeight="true" outlineLevel="0" collapsed="false">
      <c r="A76" s="8" t="s">
        <v>67</v>
      </c>
    </row>
    <row r="77" customFormat="false" ht="15" hidden="false" customHeight="true" outlineLevel="0" collapsed="false">
      <c r="A77" s="4"/>
      <c r="B77" s="4" t="s">
        <v>19</v>
      </c>
      <c r="C77" s="4" t="s">
        <v>20</v>
      </c>
      <c r="D77" s="4" t="s">
        <v>21</v>
      </c>
      <c r="E77" s="4" t="s">
        <v>22</v>
      </c>
      <c r="F77" s="4" t="s">
        <v>23</v>
      </c>
      <c r="G77" s="4" t="s">
        <v>24</v>
      </c>
      <c r="H77" s="4" t="s">
        <v>25</v>
      </c>
      <c r="I77" s="4" t="s">
        <v>26</v>
      </c>
      <c r="J77" s="4" t="s">
        <v>27</v>
      </c>
      <c r="K77" s="4" t="s">
        <v>28</v>
      </c>
    </row>
    <row r="78" customFormat="false" ht="15" hidden="false" customHeight="true" outlineLevel="0" collapsed="false">
      <c r="A78" s="6" t="s">
        <v>60</v>
      </c>
      <c r="B78" s="9" t="n">
        <f aca="false">IFERROR(__xludf.DUMMYFUNCTION("IMPORTRANGE(Links!$B$6,""sobrestock_sustitutos!B86:K89"")"),1)</f>
        <v>1</v>
      </c>
      <c r="C78" s="9"/>
      <c r="D78" s="9"/>
      <c r="E78" s="9"/>
      <c r="F78" s="9"/>
      <c r="G78" s="9"/>
      <c r="H78" s="9"/>
      <c r="I78" s="9"/>
      <c r="J78" s="9"/>
      <c r="K78" s="9"/>
    </row>
    <row r="79" customFormat="false" ht="15" hidden="false" customHeight="true" outlineLevel="0" collapsed="false">
      <c r="A79" s="6" t="s">
        <v>61</v>
      </c>
      <c r="B79" s="9"/>
      <c r="C79" s="9"/>
      <c r="D79" s="9"/>
      <c r="E79" s="9"/>
      <c r="F79" s="9"/>
      <c r="G79" s="9"/>
      <c r="H79" s="9"/>
      <c r="I79" s="9"/>
      <c r="J79" s="9"/>
      <c r="K79" s="9"/>
    </row>
    <row r="80" customFormat="false" ht="15" hidden="false" customHeight="true" outlineLevel="0" collapsed="false">
      <c r="A80" s="6" t="s">
        <v>62</v>
      </c>
      <c r="B80" s="9"/>
      <c r="C80" s="9"/>
      <c r="D80" s="9"/>
      <c r="E80" s="9"/>
      <c r="F80" s="9"/>
      <c r="G80" s="9"/>
      <c r="H80" s="9"/>
      <c r="I80" s="9"/>
      <c r="J80" s="9"/>
      <c r="K80" s="9"/>
    </row>
    <row r="81" customFormat="false" ht="15" hidden="false" customHeight="true" outlineLevel="0" collapsed="false">
      <c r="A81" s="6" t="s">
        <v>63</v>
      </c>
      <c r="B81" s="9"/>
      <c r="C81" s="9"/>
      <c r="D81" s="9"/>
      <c r="E81" s="9"/>
      <c r="F81" s="9"/>
      <c r="G81" s="9"/>
      <c r="H81" s="9"/>
      <c r="I81" s="9"/>
      <c r="J81" s="9"/>
      <c r="K81" s="9"/>
    </row>
    <row r="83" customFormat="false" ht="15" hidden="false" customHeight="true" outlineLevel="0" collapsed="false">
      <c r="A83" s="8" t="s">
        <v>68</v>
      </c>
    </row>
    <row r="84" customFormat="false" ht="15" hidden="false" customHeight="true" outlineLevel="0" collapsed="false">
      <c r="A84" s="4"/>
      <c r="B84" s="4" t="s">
        <v>19</v>
      </c>
      <c r="C84" s="4" t="s">
        <v>20</v>
      </c>
      <c r="D84" s="4" t="s">
        <v>21</v>
      </c>
      <c r="E84" s="4" t="s">
        <v>22</v>
      </c>
      <c r="F84" s="4" t="s">
        <v>23</v>
      </c>
      <c r="G84" s="4" t="s">
        <v>24</v>
      </c>
      <c r="H84" s="4" t="s">
        <v>25</v>
      </c>
      <c r="I84" s="4" t="s">
        <v>26</v>
      </c>
      <c r="J84" s="4" t="s">
        <v>27</v>
      </c>
      <c r="K84" s="4" t="s">
        <v>28</v>
      </c>
    </row>
    <row r="85" customFormat="false" ht="15" hidden="false" customHeight="true" outlineLevel="0" collapsed="false">
      <c r="A85" s="6" t="s">
        <v>60</v>
      </c>
      <c r="B85" s="9" t="n">
        <f aca="false">IFERROR(__xludf.DUMMYFUNCTION("IMPORTRANGE(Links!$B$5,""sobrestock_sustitutos!B86:K89"")"),1)</f>
        <v>1</v>
      </c>
      <c r="C85" s="9"/>
      <c r="D85" s="9"/>
      <c r="E85" s="9"/>
      <c r="F85" s="9"/>
      <c r="G85" s="9"/>
      <c r="H85" s="9"/>
      <c r="I85" s="9"/>
      <c r="J85" s="9"/>
      <c r="K85" s="9"/>
    </row>
    <row r="86" customFormat="false" ht="15" hidden="false" customHeight="true" outlineLevel="0" collapsed="false">
      <c r="A86" s="6" t="s">
        <v>61</v>
      </c>
      <c r="B86" s="9"/>
      <c r="C86" s="9"/>
      <c r="D86" s="9"/>
      <c r="E86" s="9"/>
      <c r="F86" s="9"/>
      <c r="G86" s="9"/>
      <c r="H86" s="9"/>
      <c r="I86" s="9"/>
      <c r="J86" s="9"/>
      <c r="K86" s="9"/>
    </row>
    <row r="87" customFormat="false" ht="15" hidden="false" customHeight="true" outlineLevel="0" collapsed="false">
      <c r="A87" s="6" t="s">
        <v>62</v>
      </c>
      <c r="B87" s="9"/>
      <c r="C87" s="9"/>
      <c r="D87" s="9"/>
      <c r="E87" s="9"/>
      <c r="F87" s="9"/>
      <c r="G87" s="9"/>
      <c r="H87" s="9"/>
      <c r="I87" s="9"/>
      <c r="J87" s="9"/>
      <c r="K87" s="9"/>
    </row>
    <row r="88" customFormat="false" ht="15" hidden="false" customHeight="true" outlineLevel="0" collapsed="false">
      <c r="A88" s="6" t="s">
        <v>63</v>
      </c>
      <c r="B88" s="9"/>
      <c r="C88" s="9"/>
      <c r="D88" s="9"/>
      <c r="E88" s="9"/>
      <c r="F88" s="9"/>
      <c r="G88" s="9"/>
      <c r="H88" s="9"/>
      <c r="I88" s="9"/>
      <c r="J88" s="9"/>
      <c r="K88" s="9"/>
    </row>
    <row r="90" customFormat="false" ht="15" hidden="false" customHeight="true" outlineLevel="0" collapsed="false">
      <c r="A90" s="8" t="s">
        <v>69</v>
      </c>
    </row>
    <row r="91" customFormat="false" ht="15" hidden="false" customHeight="true" outlineLevel="0" collapsed="false">
      <c r="A91" s="4"/>
      <c r="B91" s="4" t="s">
        <v>37</v>
      </c>
      <c r="C91" s="4" t="s">
        <v>38</v>
      </c>
      <c r="D91" s="4" t="s">
        <v>39</v>
      </c>
      <c r="E91" s="4" t="s">
        <v>40</v>
      </c>
      <c r="F91" s="4" t="s">
        <v>41</v>
      </c>
      <c r="G91" s="4" t="s">
        <v>42</v>
      </c>
      <c r="H91" s="4" t="s">
        <v>43</v>
      </c>
      <c r="I91" s="4" t="s">
        <v>44</v>
      </c>
      <c r="J91" s="4" t="s">
        <v>45</v>
      </c>
      <c r="K91" s="4" t="s">
        <v>46</v>
      </c>
      <c r="L91" s="4" t="s">
        <v>47</v>
      </c>
      <c r="M91" s="4" t="s">
        <v>48</v>
      </c>
    </row>
    <row r="92" customFormat="false" ht="15" hidden="false" customHeight="true" outlineLevel="0" collapsed="false">
      <c r="A92" s="6" t="s">
        <v>70</v>
      </c>
      <c r="B92" s="10" t="n">
        <f aca="false">IFERROR(__xludf.DUMMYFUNCTION("IMPORTRANGE(Links!$B$7,""ESTACIONALIDAD!C6:N6"")"),0.085)</f>
        <v>0.085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</sheetData>
  <mergeCells count="12">
    <mergeCell ref="B3:F3"/>
    <mergeCell ref="G3:L3"/>
    <mergeCell ref="B4:F4"/>
    <mergeCell ref="G4:L4"/>
    <mergeCell ref="B5:F5"/>
    <mergeCell ref="G5:L5"/>
    <mergeCell ref="B6:F6"/>
    <mergeCell ref="G6:L6"/>
    <mergeCell ref="B7:F7"/>
    <mergeCell ref="G7:L7"/>
    <mergeCell ref="B8:F8"/>
    <mergeCell ref="G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1" min="2" style="1" width="11"/>
  </cols>
  <sheetData>
    <row r="1" customFormat="false" ht="14.25" hidden="false" customHeight="true" outlineLevel="0" collapsed="false">
      <c r="A1" s="12" t="s">
        <v>71</v>
      </c>
      <c r="B1" s="12" t="n">
        <v>2026</v>
      </c>
      <c r="C1" s="12" t="n">
        <v>2027</v>
      </c>
      <c r="D1" s="12" t="n">
        <v>2028</v>
      </c>
      <c r="E1" s="12" t="n">
        <v>2029</v>
      </c>
      <c r="F1" s="12" t="n">
        <v>2030</v>
      </c>
      <c r="G1" s="12" t="n">
        <v>2031</v>
      </c>
      <c r="H1" s="12" t="n">
        <v>2032</v>
      </c>
      <c r="I1" s="12" t="n">
        <v>2033</v>
      </c>
      <c r="J1" s="12" t="n">
        <v>2034</v>
      </c>
      <c r="K1" s="12" t="n">
        <v>2035</v>
      </c>
    </row>
    <row r="2" customFormat="false" ht="14.25" hidden="false" customHeight="true" outlineLevel="0" collapsed="false">
      <c r="A2" s="13" t="s">
        <v>29</v>
      </c>
      <c r="B2" s="14" t="n">
        <f aca="false">B19+B33</f>
        <v>4178.736543</v>
      </c>
      <c r="C2" s="14" t="n">
        <f aca="false">C19+C33</f>
        <v>5997.303977</v>
      </c>
      <c r="D2" s="14" t="n">
        <f aca="false">D19+D33</f>
        <v>6851.747758</v>
      </c>
      <c r="E2" s="14" t="n">
        <f aca="false">E19+E33</f>
        <v>8467.135549</v>
      </c>
      <c r="F2" s="14" t="n">
        <f aca="false">F19+F33</f>
        <v>12680.63271</v>
      </c>
      <c r="G2" s="14" t="n">
        <f aca="false">G19+G33</f>
        <v>15620.25307</v>
      </c>
      <c r="H2" s="14" t="n">
        <f aca="false">H19+H33</f>
        <v>20332.55326</v>
      </c>
      <c r="I2" s="14" t="n">
        <f aca="false">I19+I33</f>
        <v>25132.07848</v>
      </c>
      <c r="J2" s="14" t="n">
        <f aca="false">J19+J33</f>
        <v>28573.33614</v>
      </c>
      <c r="K2" s="14" t="n">
        <f aca="false">K19+K33</f>
        <v>32072.63913</v>
      </c>
    </row>
    <row r="3" customFormat="false" ht="14.25" hidden="false" customHeight="true" outlineLevel="0" collapsed="false">
      <c r="A3" s="13" t="s">
        <v>30</v>
      </c>
      <c r="B3" s="14" t="n">
        <f aca="false">B20+B34</f>
        <v>297.0303572</v>
      </c>
      <c r="C3" s="14" t="n">
        <f aca="false">C20+C34</f>
        <v>714.8874503</v>
      </c>
      <c r="D3" s="14" t="n">
        <f aca="false">D20+D34</f>
        <v>994.4280576</v>
      </c>
      <c r="E3" s="14" t="n">
        <f aca="false">E20+E34</f>
        <v>1513.758174</v>
      </c>
      <c r="F3" s="14" t="n">
        <f aca="false">F20+F34</f>
        <v>2325.707726</v>
      </c>
      <c r="G3" s="14" t="n">
        <f aca="false">G20+G34</f>
        <v>3267.829887</v>
      </c>
      <c r="H3" s="14" t="n">
        <f aca="false">H20+H34</f>
        <v>4116.235524</v>
      </c>
      <c r="I3" s="14" t="n">
        <f aca="false">I20+I34</f>
        <v>5115.026587</v>
      </c>
      <c r="J3" s="14" t="n">
        <f aca="false">J20+J34</f>
        <v>6205.386243</v>
      </c>
      <c r="K3" s="14" t="n">
        <f aca="false">K20+K34</f>
        <v>7436.458444</v>
      </c>
    </row>
    <row r="4" customFormat="false" ht="14.25" hidden="false" customHeight="true" outlineLevel="0" collapsed="false">
      <c r="A4" s="13" t="s">
        <v>31</v>
      </c>
      <c r="B4" s="14" t="n">
        <f aca="false">B21+B35</f>
        <v>2264.773025</v>
      </c>
      <c r="C4" s="14" t="n">
        <f aca="false">C21+C35</f>
        <v>3874.698881</v>
      </c>
      <c r="D4" s="14" t="n">
        <f aca="false">D21+D35</f>
        <v>5141.417591</v>
      </c>
      <c r="E4" s="14" t="n">
        <f aca="false">E21+E35</f>
        <v>6901.595313</v>
      </c>
      <c r="F4" s="14" t="n">
        <f aca="false">F21+F35</f>
        <v>10899.54694</v>
      </c>
      <c r="G4" s="14" t="n">
        <f aca="false">G21+G35</f>
        <v>14695.64411</v>
      </c>
      <c r="H4" s="14" t="n">
        <f aca="false">H21+H35</f>
        <v>18955.19984</v>
      </c>
      <c r="I4" s="14" t="n">
        <f aca="false">I21+I35</f>
        <v>23433.94637</v>
      </c>
      <c r="J4" s="14" t="n">
        <f aca="false">J21+J35</f>
        <v>27028.52455</v>
      </c>
      <c r="K4" s="14" t="n">
        <f aca="false">K21+K35</f>
        <v>30814.97872</v>
      </c>
    </row>
    <row r="5" customFormat="false" ht="14.25" hidden="false" customHeight="true" outlineLevel="0" collapsed="false">
      <c r="A5" s="13" t="s">
        <v>32</v>
      </c>
      <c r="B5" s="14" t="n">
        <f aca="false">B22+B36</f>
        <v>92.83318153</v>
      </c>
      <c r="C5" s="14" t="n">
        <f aca="false">C22+C36</f>
        <v>179.3272967</v>
      </c>
      <c r="D5" s="14" t="n">
        <f aca="false">D22+D36</f>
        <v>256.2187798</v>
      </c>
      <c r="E5" s="14" t="n">
        <f aca="false">E22+E36</f>
        <v>362.5004941</v>
      </c>
      <c r="F5" s="14" t="n">
        <f aca="false">F22+F36</f>
        <v>607.5181519</v>
      </c>
      <c r="G5" s="14" t="n">
        <f aca="false">G22+G36</f>
        <v>878.725032</v>
      </c>
      <c r="H5" s="14" t="n">
        <f aca="false">H22+H36</f>
        <v>1131.680545</v>
      </c>
      <c r="I5" s="14" t="n">
        <f aca="false">I22+I36</f>
        <v>1399.204812</v>
      </c>
      <c r="J5" s="14" t="n">
        <f aca="false">J22+J36</f>
        <v>1616.270054</v>
      </c>
      <c r="K5" s="14" t="n">
        <f aca="false">K22+K36</f>
        <v>1844.928079</v>
      </c>
    </row>
    <row r="6" customFormat="false" ht="14.25" hidden="false" customHeight="true" outlineLevel="0" collapsed="false">
      <c r="A6" s="15" t="s">
        <v>72</v>
      </c>
      <c r="B6" s="16" t="n">
        <f aca="false">SUM(B2:B5)</f>
        <v>6833.37310673</v>
      </c>
      <c r="C6" s="16" t="n">
        <f aca="false">SUM(C2:C5)</f>
        <v>10766.217605</v>
      </c>
      <c r="D6" s="16" t="n">
        <f aca="false">SUM(D2:D5)</f>
        <v>13243.8121864</v>
      </c>
      <c r="E6" s="16" t="n">
        <f aca="false">SUM(E2:E5)</f>
        <v>17244.9895301</v>
      </c>
      <c r="F6" s="16" t="n">
        <f aca="false">SUM(F2:F5)</f>
        <v>26513.4055279</v>
      </c>
      <c r="G6" s="16" t="n">
        <f aca="false">SUM(G2:G5)</f>
        <v>34462.452099</v>
      </c>
      <c r="H6" s="16" t="n">
        <f aca="false">SUM(H2:H5)</f>
        <v>44535.669169</v>
      </c>
      <c r="I6" s="16" t="n">
        <f aca="false">SUM(I2:I5)</f>
        <v>55080.256249</v>
      </c>
      <c r="J6" s="16" t="n">
        <f aca="false">SUM(J2:J5)</f>
        <v>63423.516987</v>
      </c>
      <c r="K6" s="16" t="n">
        <f aca="false">SUM(K2:K5)</f>
        <v>72169.004373</v>
      </c>
    </row>
    <row r="7" customFormat="false" ht="14.25" hidden="false" customHeight="true" outlineLevel="0" collapsed="false"/>
    <row r="8" customFormat="false" ht="14.25" hidden="false" customHeight="true" outlineLevel="0" collapsed="false">
      <c r="A8" s="12" t="s">
        <v>73</v>
      </c>
      <c r="B8" s="12" t="n">
        <v>2026</v>
      </c>
      <c r="C8" s="12" t="n">
        <v>2027</v>
      </c>
      <c r="D8" s="12" t="n">
        <v>2028</v>
      </c>
      <c r="E8" s="12" t="n">
        <v>2029</v>
      </c>
      <c r="F8" s="12" t="n">
        <v>2030</v>
      </c>
      <c r="G8" s="12" t="n">
        <v>2031</v>
      </c>
      <c r="H8" s="12" t="n">
        <v>2032</v>
      </c>
      <c r="I8" s="12" t="n">
        <v>2033</v>
      </c>
      <c r="J8" s="12" t="n">
        <v>2034</v>
      </c>
      <c r="K8" s="12" t="n">
        <v>2035</v>
      </c>
    </row>
    <row r="9" customFormat="false" ht="14.25" hidden="false" customHeight="true" outlineLevel="0" collapsed="false">
      <c r="A9" s="13" t="s">
        <v>74</v>
      </c>
      <c r="B9" s="14" t="n">
        <f aca="false">B26+B41</f>
        <v>0</v>
      </c>
      <c r="C9" s="14" t="n">
        <f aca="false">C26+C41</f>
        <v>0</v>
      </c>
      <c r="D9" s="14" t="n">
        <f aca="false">D26+D41</f>
        <v>7662.4</v>
      </c>
      <c r="E9" s="14" t="n">
        <f aca="false">E26+E41</f>
        <v>26694.8</v>
      </c>
      <c r="F9" s="14" t="n">
        <f aca="false">F26+F41</f>
        <v>49434.8</v>
      </c>
      <c r="G9" s="14" t="n">
        <f aca="false">G26+G41</f>
        <v>71680.2</v>
      </c>
      <c r="H9" s="14" t="n">
        <f aca="false">H26+H41</f>
        <v>101340.6</v>
      </c>
      <c r="I9" s="14" t="n">
        <f aca="false">I26+I41</f>
        <v>131001</v>
      </c>
      <c r="J9" s="14" t="n">
        <f aca="false">J26+J41</f>
        <v>146819.8</v>
      </c>
      <c r="K9" s="14" t="n">
        <f aca="false">K26+K41</f>
        <v>170548</v>
      </c>
    </row>
    <row r="10" customFormat="false" ht="14.25" hidden="false" customHeight="true" outlineLevel="0" collapsed="false">
      <c r="A10" s="13" t="s">
        <v>75</v>
      </c>
      <c r="B10" s="14" t="n">
        <f aca="false">B27+B42</f>
        <v>3</v>
      </c>
      <c r="C10" s="14" t="n">
        <f aca="false">C27+C42</f>
        <v>9.24</v>
      </c>
      <c r="D10" s="14" t="n">
        <f aca="false">D27+D42</f>
        <v>315.56</v>
      </c>
      <c r="E10" s="14" t="n">
        <f aca="false">E27+E42</f>
        <v>1067.96</v>
      </c>
      <c r="F10" s="14" t="n">
        <f aca="false">F27+F42</f>
        <v>1958.92</v>
      </c>
      <c r="G10" s="14" t="n">
        <f aca="false">G27+G42</f>
        <v>2831.68</v>
      </c>
      <c r="H10" s="14" t="n">
        <f aca="false">H27+H42</f>
        <v>3989.52</v>
      </c>
      <c r="I10" s="14" t="n">
        <f aca="false">I27+I42</f>
        <v>5144.04</v>
      </c>
      <c r="J10" s="14" t="n">
        <f aca="false">J27+J42</f>
        <v>5762.4</v>
      </c>
      <c r="K10" s="14" t="n">
        <f aca="false">K27+K42</f>
        <v>6689.88</v>
      </c>
    </row>
    <row r="11" customFormat="false" ht="14.25" hidden="false" customHeight="true" outlineLevel="0" collapsed="false">
      <c r="A11" s="13" t="s">
        <v>76</v>
      </c>
      <c r="B11" s="14" t="n">
        <f aca="false">B28+B43</f>
        <v>17</v>
      </c>
      <c r="C11" s="14" t="n">
        <f aca="false">C28+C43</f>
        <v>53.36</v>
      </c>
      <c r="D11" s="14" t="n">
        <f aca="false">D28+D43</f>
        <v>1570.32</v>
      </c>
      <c r="E11" s="14" t="n">
        <f aca="false">E28+E43</f>
        <v>5302.4</v>
      </c>
      <c r="F11" s="14" t="n">
        <f aca="false">F28+F43</f>
        <v>9693.24</v>
      </c>
      <c r="G11" s="14" t="n">
        <f aca="false">G28+G43</f>
        <v>14005.96</v>
      </c>
      <c r="H11" s="14" t="n">
        <f aca="false">H28+H43</f>
        <v>19709.4</v>
      </c>
      <c r="I11" s="14" t="n">
        <f aca="false">I28+I43</f>
        <v>25408.28</v>
      </c>
      <c r="J11" s="14" t="n">
        <f aca="false">J28+J43</f>
        <v>28452.84</v>
      </c>
      <c r="K11" s="14" t="n">
        <f aca="false">K28+K43</f>
        <v>33037.68</v>
      </c>
    </row>
    <row r="12" customFormat="false" ht="14.25" hidden="false" customHeight="true" outlineLevel="0" collapsed="false">
      <c r="A12" s="13" t="s">
        <v>77</v>
      </c>
      <c r="B12" s="14" t="n">
        <f aca="false">B29+B44</f>
        <v>2</v>
      </c>
      <c r="C12" s="14" t="n">
        <f aca="false">C29+C44</f>
        <v>3.16</v>
      </c>
      <c r="D12" s="14" t="n">
        <f aca="false">D29+D44</f>
        <v>95.8</v>
      </c>
      <c r="E12" s="14" t="n">
        <f aca="false">E29+E44</f>
        <v>324.8</v>
      </c>
      <c r="F12" s="14" t="n">
        <f aca="false">F29+F44</f>
        <v>592.92</v>
      </c>
      <c r="G12" s="14" t="n">
        <f aca="false">G29+G44</f>
        <v>856.96</v>
      </c>
      <c r="H12" s="14" t="n">
        <f aca="false">H29+H44</f>
        <v>1204.28</v>
      </c>
      <c r="I12" s="14" t="n">
        <f aca="false">I29+I44</f>
        <v>1552.36</v>
      </c>
      <c r="J12" s="14" t="n">
        <f aca="false">J29+J44</f>
        <v>1739.08</v>
      </c>
      <c r="K12" s="14" t="n">
        <f aca="false">K29+K44</f>
        <v>2018</v>
      </c>
    </row>
    <row r="13" customFormat="false" ht="14.25" hidden="false" customHeight="true" outlineLevel="0" collapsed="false">
      <c r="A13" s="15" t="s">
        <v>78</v>
      </c>
      <c r="B13" s="16" t="n">
        <f aca="false">SUM(B9:B12)</f>
        <v>22</v>
      </c>
      <c r="C13" s="16" t="n">
        <f aca="false">SUM(C9:C12)</f>
        <v>65.76</v>
      </c>
      <c r="D13" s="16" t="n">
        <f aca="false">SUM(D9:D12)</f>
        <v>9644.08</v>
      </c>
      <c r="E13" s="16" t="n">
        <f aca="false">SUM(E9:E12)</f>
        <v>33389.96</v>
      </c>
      <c r="F13" s="16" t="n">
        <f aca="false">SUM(F9:F12)</f>
        <v>61679.88</v>
      </c>
      <c r="G13" s="16" t="n">
        <f aca="false">SUM(G9:G12)</f>
        <v>89374.8</v>
      </c>
      <c r="H13" s="16" t="n">
        <f aca="false">SUM(H9:H12)</f>
        <v>126243.8</v>
      </c>
      <c r="I13" s="16" t="n">
        <f aca="false">SUM(I9:I12)</f>
        <v>163105.68</v>
      </c>
      <c r="J13" s="16" t="n">
        <f aca="false">SUM(J9:J12)</f>
        <v>182774.12</v>
      </c>
      <c r="K13" s="16" t="n">
        <f aca="false">SUM(K9:K12)</f>
        <v>212293.56</v>
      </c>
    </row>
    <row r="14" customFormat="false" ht="14.25" hidden="false" customHeight="true" outlineLevel="0" collapsed="false"/>
    <row r="15" customFormat="false" ht="14.25" hidden="false" customHeight="true" outlineLevel="0" collapsed="false">
      <c r="A15" s="15" t="s">
        <v>79</v>
      </c>
      <c r="B15" s="16" t="n">
        <f aca="false">B6+B13</f>
        <v>6855.37310673</v>
      </c>
      <c r="C15" s="16" t="n">
        <f aca="false">C6+C13</f>
        <v>10831.977605</v>
      </c>
      <c r="D15" s="16" t="n">
        <f aca="false">D6+D13</f>
        <v>22887.8921864</v>
      </c>
      <c r="E15" s="16" t="n">
        <f aca="false">E6+E13</f>
        <v>50634.9495301</v>
      </c>
      <c r="F15" s="16" t="n">
        <f aca="false">F6+F13</f>
        <v>88193.2855279</v>
      </c>
      <c r="G15" s="16" t="n">
        <f aca="false">G6+G13</f>
        <v>123837.252099</v>
      </c>
      <c r="H15" s="16" t="n">
        <f aca="false">H6+H13</f>
        <v>170779.469169</v>
      </c>
      <c r="I15" s="16" t="n">
        <f aca="false">I6+I13</f>
        <v>218185.936249</v>
      </c>
      <c r="J15" s="16" t="n">
        <f aca="false">J6+J13</f>
        <v>246197.636987</v>
      </c>
      <c r="K15" s="16" t="n">
        <f aca="false">K6+K13</f>
        <v>284462.564373</v>
      </c>
    </row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>
      <c r="A18" s="12" t="s">
        <v>80</v>
      </c>
      <c r="B18" s="12" t="n">
        <v>2026</v>
      </c>
      <c r="C18" s="12" t="n">
        <v>2027</v>
      </c>
      <c r="D18" s="12" t="n">
        <v>2028</v>
      </c>
      <c r="E18" s="12" t="n">
        <v>2029</v>
      </c>
      <c r="F18" s="12" t="n">
        <v>2030</v>
      </c>
      <c r="G18" s="12" t="n">
        <v>2031</v>
      </c>
      <c r="H18" s="12" t="n">
        <v>2032</v>
      </c>
      <c r="I18" s="12" t="n">
        <v>2033</v>
      </c>
      <c r="J18" s="12" t="n">
        <v>2034</v>
      </c>
      <c r="K18" s="12" t="n">
        <v>2035</v>
      </c>
    </row>
    <row r="19" customFormat="false" ht="14.25" hidden="false" customHeight="true" outlineLevel="0" collapsed="false">
      <c r="A19" s="13" t="s">
        <v>29</v>
      </c>
      <c r="B19" s="14" t="n">
        <f aca="false">Links!B13</f>
        <v>4178.736543</v>
      </c>
      <c r="C19" s="14" t="n">
        <f aca="false">Links!C13</f>
        <v>5997.303977</v>
      </c>
      <c r="D19" s="14" t="n">
        <f aca="false">Links!D13</f>
        <v>6851.747758</v>
      </c>
      <c r="E19" s="14" t="n">
        <f aca="false">Links!E13</f>
        <v>8467.135549</v>
      </c>
      <c r="F19" s="14" t="n">
        <f aca="false">Links!F13</f>
        <v>12680.63271</v>
      </c>
      <c r="G19" s="14" t="n">
        <f aca="false">Links!G13</f>
        <v>15620.25307</v>
      </c>
      <c r="H19" s="14" t="n">
        <f aca="false">Links!H13</f>
        <v>20332.55326</v>
      </c>
      <c r="I19" s="14" t="n">
        <f aca="false">Links!I13</f>
        <v>25132.07848</v>
      </c>
      <c r="J19" s="14" t="n">
        <f aca="false">Links!J13</f>
        <v>28573.33614</v>
      </c>
      <c r="K19" s="14" t="n">
        <f aca="false">Links!K13</f>
        <v>32072.63913</v>
      </c>
    </row>
    <row r="20" customFormat="false" ht="14.25" hidden="false" customHeight="true" outlineLevel="0" collapsed="false">
      <c r="A20" s="13" t="s">
        <v>30</v>
      </c>
      <c r="B20" s="14" t="n">
        <f aca="false">Links!B14</f>
        <v>295.0303572</v>
      </c>
      <c r="C20" s="14" t="n">
        <f aca="false">Links!C14</f>
        <v>709.7274503</v>
      </c>
      <c r="D20" s="14" t="n">
        <f aca="false">Links!D14</f>
        <v>986.8680576</v>
      </c>
      <c r="E20" s="14" t="n">
        <f aca="false">Links!E14</f>
        <v>1500.638174</v>
      </c>
      <c r="F20" s="14" t="n">
        <f aca="false">Links!F14</f>
        <v>2312.627726</v>
      </c>
      <c r="G20" s="14" t="n">
        <f aca="false">Links!G14</f>
        <v>3252.869887</v>
      </c>
      <c r="H20" s="14" t="n">
        <f aca="false">Links!H14</f>
        <v>4102.315524</v>
      </c>
      <c r="I20" s="14" t="n">
        <f aca="false">Links!I14</f>
        <v>5104.306587</v>
      </c>
      <c r="J20" s="14" t="n">
        <f aca="false">Links!J14</f>
        <v>6195.186243</v>
      </c>
      <c r="K20" s="14" t="n">
        <f aca="false">Links!K14</f>
        <v>7424.858444</v>
      </c>
    </row>
    <row r="21" customFormat="false" ht="14.25" hidden="false" customHeight="true" outlineLevel="0" collapsed="false">
      <c r="A21" s="13" t="s">
        <v>31</v>
      </c>
      <c r="B21" s="14" t="n">
        <f aca="false">Links!B15</f>
        <v>2255.773025</v>
      </c>
      <c r="C21" s="14" t="n">
        <f aca="false">Links!C15</f>
        <v>3846.978881</v>
      </c>
      <c r="D21" s="14" t="n">
        <f aca="false">Links!D15</f>
        <v>5093.537591</v>
      </c>
      <c r="E21" s="14" t="n">
        <f aca="false">Links!E15</f>
        <v>6823.115313</v>
      </c>
      <c r="F21" s="14" t="n">
        <f aca="false">Links!F15</f>
        <v>10819.30694</v>
      </c>
      <c r="G21" s="14" t="n">
        <f aca="false">Links!G15</f>
        <v>14605.96411</v>
      </c>
      <c r="H21" s="14" t="n">
        <f aca="false">Links!H15</f>
        <v>18877.75984</v>
      </c>
      <c r="I21" s="14" t="n">
        <f aca="false">Links!I15</f>
        <v>23368.18637</v>
      </c>
      <c r="J21" s="14" t="n">
        <f aca="false">Links!J15</f>
        <v>26967.72455</v>
      </c>
      <c r="K21" s="14" t="n">
        <f aca="false">Links!K15</f>
        <v>30750.77872</v>
      </c>
    </row>
    <row r="22" customFormat="false" ht="14.25" hidden="false" customHeight="true" outlineLevel="0" collapsed="false">
      <c r="A22" s="13" t="s">
        <v>32</v>
      </c>
      <c r="B22" s="14" t="n">
        <f aca="false">Links!B16</f>
        <v>91.83318153</v>
      </c>
      <c r="C22" s="14" t="n">
        <f aca="false">Links!C16</f>
        <v>177.2472967</v>
      </c>
      <c r="D22" s="14" t="n">
        <f aca="false">Links!D16</f>
        <v>252.9787798</v>
      </c>
      <c r="E22" s="14" t="n">
        <f aca="false">Links!E16</f>
        <v>358.0204941</v>
      </c>
      <c r="F22" s="14" t="n">
        <f aca="false">Links!F16</f>
        <v>602.7181519</v>
      </c>
      <c r="G22" s="14" t="n">
        <f aca="false">Links!G16</f>
        <v>872.605032</v>
      </c>
      <c r="H22" s="14" t="n">
        <f aca="false">Links!H16</f>
        <v>1127.160545</v>
      </c>
      <c r="I22" s="14" t="n">
        <f aca="false">Links!I16</f>
        <v>1395.444812</v>
      </c>
      <c r="J22" s="14" t="n">
        <f aca="false">Links!J16</f>
        <v>1612.350054</v>
      </c>
      <c r="K22" s="14" t="n">
        <f aca="false">Links!K16</f>
        <v>1840.848079</v>
      </c>
    </row>
    <row r="23" customFormat="false" ht="14.25" hidden="false" customHeight="true" outlineLevel="0" collapsed="false">
      <c r="A23" s="15" t="s">
        <v>81</v>
      </c>
      <c r="B23" s="16" t="n">
        <f aca="false">SUM(B19:B22)</f>
        <v>6821.37310673</v>
      </c>
      <c r="C23" s="16" t="n">
        <f aca="false">SUM(C19:C22)</f>
        <v>10731.257605</v>
      </c>
      <c r="D23" s="16" t="n">
        <f aca="false">SUM(D19:D22)</f>
        <v>13185.1321864</v>
      </c>
      <c r="E23" s="16" t="n">
        <f aca="false">SUM(E19:E22)</f>
        <v>17148.9095301</v>
      </c>
      <c r="F23" s="16" t="n">
        <f aca="false">SUM(F19:F22)</f>
        <v>26415.2855279</v>
      </c>
      <c r="G23" s="16" t="n">
        <f aca="false">SUM(G19:G22)</f>
        <v>34351.692099</v>
      </c>
      <c r="H23" s="16" t="n">
        <f aca="false">SUM(H19:H22)</f>
        <v>44439.789169</v>
      </c>
      <c r="I23" s="16" t="n">
        <f aca="false">SUM(I19:I22)</f>
        <v>55000.016249</v>
      </c>
      <c r="J23" s="16" t="n">
        <f aca="false">SUM(J19:J22)</f>
        <v>63348.596987</v>
      </c>
      <c r="K23" s="16" t="n">
        <f aca="false">SUM(K19:K22)</f>
        <v>72089.124373</v>
      </c>
    </row>
    <row r="24" customFormat="false" ht="14.25" hidden="false" customHeight="true" outlineLevel="0" collapsed="false"/>
    <row r="25" customFormat="false" ht="14.25" hidden="false" customHeight="true" outlineLevel="0" collapsed="false">
      <c r="A25" s="12" t="s">
        <v>82</v>
      </c>
      <c r="B25" s="12" t="n">
        <v>2026</v>
      </c>
      <c r="C25" s="12" t="n">
        <v>2027</v>
      </c>
      <c r="D25" s="12" t="n">
        <v>2028</v>
      </c>
      <c r="E25" s="12" t="n">
        <v>2029</v>
      </c>
      <c r="F25" s="12" t="n">
        <v>2030</v>
      </c>
      <c r="G25" s="12" t="n">
        <v>2031</v>
      </c>
      <c r="H25" s="12" t="n">
        <v>2032</v>
      </c>
      <c r="I25" s="12" t="n">
        <v>2033</v>
      </c>
      <c r="J25" s="12" t="n">
        <v>2034</v>
      </c>
      <c r="K25" s="12" t="n">
        <v>2035</v>
      </c>
    </row>
    <row r="26" customFormat="false" ht="14.25" hidden="false" customHeight="true" outlineLevel="0" collapsed="false">
      <c r="A26" s="13" t="s">
        <v>74</v>
      </c>
      <c r="B26" s="14" t="n">
        <f aca="false">Links!B20</f>
        <v>0</v>
      </c>
      <c r="C26" s="14" t="n">
        <f aca="false">Links!C20</f>
        <v>0</v>
      </c>
      <c r="D26" s="14" t="n">
        <f aca="false">Links!D20</f>
        <v>7662.4</v>
      </c>
      <c r="E26" s="14" t="n">
        <f aca="false">Links!E20</f>
        <v>26694.8</v>
      </c>
      <c r="F26" s="14" t="n">
        <f aca="false">Links!F20</f>
        <v>49434.8</v>
      </c>
      <c r="G26" s="14" t="n">
        <f aca="false">Links!G20</f>
        <v>71680.2</v>
      </c>
      <c r="H26" s="14" t="n">
        <f aca="false">Links!H20</f>
        <v>101340.6</v>
      </c>
      <c r="I26" s="14" t="n">
        <f aca="false">Links!I20</f>
        <v>131001</v>
      </c>
      <c r="J26" s="14" t="n">
        <f aca="false">Links!J20</f>
        <v>146819.8</v>
      </c>
      <c r="K26" s="14" t="n">
        <f aca="false">Links!K20</f>
        <v>170548</v>
      </c>
    </row>
    <row r="27" customFormat="false" ht="14.25" hidden="false" customHeight="true" outlineLevel="0" collapsed="false">
      <c r="A27" s="13" t="s">
        <v>75</v>
      </c>
      <c r="B27" s="14" t="n">
        <f aca="false">Links!B21</f>
        <v>0</v>
      </c>
      <c r="C27" s="14" t="n">
        <f aca="false">Links!C21</f>
        <v>0</v>
      </c>
      <c r="D27" s="14" t="n">
        <f aca="false">Links!D21</f>
        <v>299.6</v>
      </c>
      <c r="E27" s="14" t="n">
        <f aca="false">Links!E21</f>
        <v>1043.8</v>
      </c>
      <c r="F27" s="14" t="n">
        <f aca="false">Links!F21</f>
        <v>1933</v>
      </c>
      <c r="G27" s="14" t="n">
        <f aca="false">Links!G21</f>
        <v>2803</v>
      </c>
      <c r="H27" s="14" t="n">
        <f aca="false">Links!H21</f>
        <v>3963</v>
      </c>
      <c r="I27" s="14" t="n">
        <f aca="false">Links!I21</f>
        <v>5123</v>
      </c>
      <c r="J27" s="14" t="n">
        <f aca="false">Links!J21</f>
        <v>5741.4</v>
      </c>
      <c r="K27" s="14" t="n">
        <f aca="false">Links!K21</f>
        <v>6669</v>
      </c>
    </row>
    <row r="28" customFormat="false" ht="14.25" hidden="false" customHeight="true" outlineLevel="0" collapsed="false">
      <c r="A28" s="13" t="s">
        <v>76</v>
      </c>
      <c r="B28" s="14" t="n">
        <f aca="false">Links!B22</f>
        <v>0</v>
      </c>
      <c r="C28" s="14" t="n">
        <f aca="false">Links!C22</f>
        <v>0</v>
      </c>
      <c r="D28" s="14" t="n">
        <f aca="false">Links!D22</f>
        <v>1478.8</v>
      </c>
      <c r="E28" s="14" t="n">
        <f aca="false">Links!E22</f>
        <v>5152</v>
      </c>
      <c r="F28" s="14" t="n">
        <f aca="false">Links!F22</f>
        <v>9540.8</v>
      </c>
      <c r="G28" s="14" t="n">
        <f aca="false">Links!G22</f>
        <v>13834.2</v>
      </c>
      <c r="H28" s="14" t="n">
        <f aca="false">Links!H22</f>
        <v>19558.6</v>
      </c>
      <c r="I28" s="14" t="n">
        <f aca="false">Links!I22</f>
        <v>25283</v>
      </c>
      <c r="J28" s="14" t="n">
        <f aca="false">Links!J22</f>
        <v>28335.8</v>
      </c>
      <c r="K28" s="14" t="n">
        <f aca="false">Links!K22</f>
        <v>32915</v>
      </c>
    </row>
    <row r="29" customFormat="false" ht="14.25" hidden="false" customHeight="true" outlineLevel="0" collapsed="false">
      <c r="A29" s="13" t="s">
        <v>77</v>
      </c>
      <c r="B29" s="14" t="n">
        <f aca="false">Links!B23</f>
        <v>0</v>
      </c>
      <c r="C29" s="14" t="n">
        <f aca="false">Links!C23</f>
        <v>0</v>
      </c>
      <c r="D29" s="14" t="n">
        <f aca="false">Links!D23</f>
        <v>90.4</v>
      </c>
      <c r="E29" s="14" t="n">
        <f aca="false">Links!E23</f>
        <v>315</v>
      </c>
      <c r="F29" s="14" t="n">
        <f aca="false">Links!F23</f>
        <v>583.4</v>
      </c>
      <c r="G29" s="14" t="n">
        <f aca="false">Links!G23</f>
        <v>845.8</v>
      </c>
      <c r="H29" s="14" t="n">
        <f aca="false">Links!H23</f>
        <v>1195.4</v>
      </c>
      <c r="I29" s="14" t="n">
        <f aca="false">Links!I23</f>
        <v>1545</v>
      </c>
      <c r="J29" s="14" t="n">
        <f aca="false">Links!J23</f>
        <v>1731.4</v>
      </c>
      <c r="K29" s="14" t="n">
        <f aca="false">Links!K23</f>
        <v>2011</v>
      </c>
    </row>
    <row r="30" customFormat="false" ht="14.25" hidden="false" customHeight="true" outlineLevel="0" collapsed="false">
      <c r="A30" s="15" t="s">
        <v>83</v>
      </c>
      <c r="B30" s="16" t="n">
        <f aca="false">SUM(B26:B29)</f>
        <v>0</v>
      </c>
      <c r="C30" s="16" t="n">
        <f aca="false">SUM(C26:C29)</f>
        <v>0</v>
      </c>
      <c r="D30" s="16" t="n">
        <f aca="false">SUM(D26:D29)</f>
        <v>9531.2</v>
      </c>
      <c r="E30" s="16" t="n">
        <f aca="false">SUM(E26:E29)</f>
        <v>33205.6</v>
      </c>
      <c r="F30" s="16" t="n">
        <f aca="false">SUM(F26:F29)</f>
        <v>61492</v>
      </c>
      <c r="G30" s="16" t="n">
        <f aca="false">SUM(G26:G29)</f>
        <v>89163.2</v>
      </c>
      <c r="H30" s="16" t="n">
        <f aca="false">SUM(H26:H29)</f>
        <v>126057.6</v>
      </c>
      <c r="I30" s="16" t="n">
        <f aca="false">SUM(I26:I29)</f>
        <v>162952</v>
      </c>
      <c r="J30" s="16" t="n">
        <f aca="false">SUM(J26:J29)</f>
        <v>182628.4</v>
      </c>
      <c r="K30" s="16" t="n">
        <f aca="false">SUM(K26:K29)</f>
        <v>212143</v>
      </c>
    </row>
    <row r="31" customFormat="false" ht="14.25" hidden="false" customHeight="true" outlineLevel="0" collapsed="false"/>
    <row r="32" customFormat="false" ht="14.25" hidden="false" customHeight="true" outlineLevel="0" collapsed="false">
      <c r="A32" s="12" t="s">
        <v>84</v>
      </c>
      <c r="B32" s="12" t="n">
        <v>2026</v>
      </c>
      <c r="C32" s="12" t="n">
        <v>2027</v>
      </c>
      <c r="D32" s="12" t="n">
        <v>2028</v>
      </c>
      <c r="E32" s="12" t="n">
        <v>2029</v>
      </c>
      <c r="F32" s="12" t="n">
        <v>2030</v>
      </c>
      <c r="G32" s="12" t="n">
        <v>2031</v>
      </c>
      <c r="H32" s="12" t="n">
        <v>2032</v>
      </c>
      <c r="I32" s="12" t="n">
        <v>2033</v>
      </c>
      <c r="J32" s="12" t="n">
        <v>2034</v>
      </c>
      <c r="K32" s="12" t="n">
        <v>2035</v>
      </c>
    </row>
    <row r="33" customFormat="false" ht="14.25" hidden="false" customHeight="true" outlineLevel="0" collapsed="false">
      <c r="A33" s="13" t="s">
        <v>29</v>
      </c>
      <c r="B33" s="14" t="n">
        <f aca="false">IFERROR(Links!B27,0)</f>
        <v>0</v>
      </c>
      <c r="C33" s="14" t="n">
        <f aca="false">IFERROR(Links!C27,0)</f>
        <v>0</v>
      </c>
      <c r="D33" s="14" t="n">
        <f aca="false">IFERROR(Links!D27,0)</f>
        <v>0</v>
      </c>
      <c r="E33" s="14" t="n">
        <f aca="false">IFERROR(Links!E27,0)</f>
        <v>0</v>
      </c>
      <c r="F33" s="14" t="n">
        <f aca="false">IFERROR(Links!F27,0)</f>
        <v>0</v>
      </c>
      <c r="G33" s="14" t="n">
        <f aca="false">IFERROR(Links!G27,0)</f>
        <v>0</v>
      </c>
      <c r="H33" s="14" t="n">
        <f aca="false">IFERROR(Links!H27,0)</f>
        <v>0</v>
      </c>
      <c r="I33" s="14" t="n">
        <f aca="false">IFERROR(Links!I27,0)</f>
        <v>0</v>
      </c>
      <c r="J33" s="14" t="n">
        <f aca="false">IFERROR(Links!J27,0)</f>
        <v>0</v>
      </c>
      <c r="K33" s="14" t="n">
        <f aca="false">IFERROR(Links!K27,0)</f>
        <v>0</v>
      </c>
    </row>
    <row r="34" customFormat="false" ht="14.25" hidden="false" customHeight="true" outlineLevel="0" collapsed="false">
      <c r="A34" s="13" t="s">
        <v>30</v>
      </c>
      <c r="B34" s="14" t="n">
        <f aca="false">IFERROR(Links!B28,0)</f>
        <v>2</v>
      </c>
      <c r="C34" s="14" t="n">
        <f aca="false">IFERROR(Links!C28,0)</f>
        <v>5.16</v>
      </c>
      <c r="D34" s="14" t="n">
        <f aca="false">IFERROR(Links!D28,0)</f>
        <v>7.56</v>
      </c>
      <c r="E34" s="14" t="n">
        <f aca="false">IFERROR(Links!E28,0)</f>
        <v>13.12</v>
      </c>
      <c r="F34" s="14" t="n">
        <f aca="false">IFERROR(Links!F28,0)</f>
        <v>13.08</v>
      </c>
      <c r="G34" s="14" t="n">
        <f aca="false">IFERROR(Links!G28,0)</f>
        <v>14.96</v>
      </c>
      <c r="H34" s="14" t="n">
        <f aca="false">IFERROR(Links!H28,0)</f>
        <v>13.92</v>
      </c>
      <c r="I34" s="14" t="n">
        <f aca="false">IFERROR(Links!I28,0)</f>
        <v>10.72</v>
      </c>
      <c r="J34" s="14" t="n">
        <f aca="false">IFERROR(Links!J28,0)</f>
        <v>10.2</v>
      </c>
      <c r="K34" s="14" t="n">
        <f aca="false">IFERROR(Links!K28,0)</f>
        <v>11.6</v>
      </c>
    </row>
    <row r="35" customFormat="false" ht="14.25" hidden="false" customHeight="true" outlineLevel="0" collapsed="false">
      <c r="A35" s="13" t="s">
        <v>31</v>
      </c>
      <c r="B35" s="14" t="n">
        <f aca="false">IFERROR(Links!B29,0)</f>
        <v>9</v>
      </c>
      <c r="C35" s="14" t="n">
        <f aca="false">IFERROR(Links!C29,0)</f>
        <v>27.72</v>
      </c>
      <c r="D35" s="14" t="n">
        <f aca="false">IFERROR(Links!D29,0)</f>
        <v>47.88</v>
      </c>
      <c r="E35" s="14" t="n">
        <f aca="false">IFERROR(Links!E29,0)</f>
        <v>78.48</v>
      </c>
      <c r="F35" s="14" t="n">
        <f aca="false">IFERROR(Links!F29,0)</f>
        <v>80.24</v>
      </c>
      <c r="G35" s="14" t="n">
        <f aca="false">IFERROR(Links!G29,0)</f>
        <v>89.68</v>
      </c>
      <c r="H35" s="14" t="n">
        <f aca="false">IFERROR(Links!H29,0)</f>
        <v>77.44</v>
      </c>
      <c r="I35" s="14" t="n">
        <f aca="false">IFERROR(Links!I29,0)</f>
        <v>65.76</v>
      </c>
      <c r="J35" s="14" t="n">
        <f aca="false">IFERROR(Links!J29,0)</f>
        <v>60.8</v>
      </c>
      <c r="K35" s="14" t="n">
        <f aca="false">IFERROR(Links!K29,0)</f>
        <v>64.2</v>
      </c>
    </row>
    <row r="36" customFormat="false" ht="14.25" hidden="false" customHeight="true" outlineLevel="0" collapsed="false">
      <c r="A36" s="13" t="s">
        <v>32</v>
      </c>
      <c r="B36" s="14" t="n">
        <f aca="false">IFERROR(Links!B30,0)</f>
        <v>1</v>
      </c>
      <c r="C36" s="14" t="n">
        <f aca="false">IFERROR(Links!C30,0)</f>
        <v>2.08</v>
      </c>
      <c r="D36" s="14" t="n">
        <f aca="false">IFERROR(Links!D30,0)</f>
        <v>3.24</v>
      </c>
      <c r="E36" s="14" t="n">
        <f aca="false">IFERROR(Links!E30,0)</f>
        <v>4.48</v>
      </c>
      <c r="F36" s="14" t="n">
        <f aca="false">IFERROR(Links!F30,0)</f>
        <v>4.8</v>
      </c>
      <c r="G36" s="14" t="n">
        <f aca="false">IFERROR(Links!G30,0)</f>
        <v>6.12</v>
      </c>
      <c r="H36" s="14" t="n">
        <f aca="false">IFERROR(Links!H30,0)</f>
        <v>4.52</v>
      </c>
      <c r="I36" s="14" t="n">
        <f aca="false">IFERROR(Links!I30,0)</f>
        <v>3.76</v>
      </c>
      <c r="J36" s="14" t="n">
        <f aca="false">IFERROR(Links!J30,0)</f>
        <v>3.92</v>
      </c>
      <c r="K36" s="14" t="n">
        <f aca="false">IFERROR(Links!K30,0)</f>
        <v>4.08</v>
      </c>
    </row>
    <row r="37" customFormat="false" ht="14.25" hidden="false" customHeight="true" outlineLevel="0" collapsed="false">
      <c r="A37" s="15" t="s">
        <v>85</v>
      </c>
      <c r="B37" s="16" t="n">
        <f aca="false">SUM(B33:B36)</f>
        <v>12</v>
      </c>
      <c r="C37" s="16" t="n">
        <f aca="false">SUM(C33:C36)</f>
        <v>34.96</v>
      </c>
      <c r="D37" s="16" t="n">
        <f aca="false">SUM(D33:D36)</f>
        <v>58.68</v>
      </c>
      <c r="E37" s="16" t="n">
        <f aca="false">SUM(E33:E36)</f>
        <v>96.08</v>
      </c>
      <c r="F37" s="16" t="n">
        <f aca="false">SUM(F33:F36)</f>
        <v>98.12</v>
      </c>
      <c r="G37" s="16" t="n">
        <f aca="false">SUM(G33:G36)</f>
        <v>110.76</v>
      </c>
      <c r="H37" s="16" t="n">
        <f aca="false">SUM(H33:H36)</f>
        <v>95.88</v>
      </c>
      <c r="I37" s="16" t="n">
        <f aca="false">SUM(I33:I36)</f>
        <v>80.24</v>
      </c>
      <c r="J37" s="16" t="n">
        <f aca="false">SUM(J33:J36)</f>
        <v>74.92</v>
      </c>
      <c r="K37" s="16" t="n">
        <f aca="false">SUM(K33:K36)</f>
        <v>79.88</v>
      </c>
    </row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>
      <c r="A40" s="12" t="s">
        <v>86</v>
      </c>
      <c r="B40" s="12" t="n">
        <v>2026</v>
      </c>
      <c r="C40" s="12" t="n">
        <v>2027</v>
      </c>
      <c r="D40" s="12" t="n">
        <v>2028</v>
      </c>
      <c r="E40" s="12" t="n">
        <v>2029</v>
      </c>
      <c r="F40" s="12" t="n">
        <v>2030</v>
      </c>
      <c r="G40" s="12" t="n">
        <v>2031</v>
      </c>
      <c r="H40" s="12" t="n">
        <v>2032</v>
      </c>
      <c r="I40" s="12" t="n">
        <v>2033</v>
      </c>
      <c r="J40" s="12" t="n">
        <v>2034</v>
      </c>
      <c r="K40" s="12" t="n">
        <v>2035</v>
      </c>
    </row>
    <row r="41" customFormat="false" ht="14.25" hidden="false" customHeight="true" outlineLevel="0" collapsed="false">
      <c r="A41" s="13" t="s">
        <v>29</v>
      </c>
      <c r="B41" s="14" t="n">
        <f aca="false">IFERROR(Links!B34,0)</f>
        <v>0</v>
      </c>
      <c r="C41" s="14" t="n">
        <f aca="false">IFERROR(Links!C34,0)</f>
        <v>0</v>
      </c>
      <c r="D41" s="14" t="n">
        <f aca="false">IFERROR(Links!D34,0)</f>
        <v>0</v>
      </c>
      <c r="E41" s="14" t="n">
        <f aca="false">IFERROR(Links!E34,0)</f>
        <v>0</v>
      </c>
      <c r="F41" s="14" t="n">
        <f aca="false">IFERROR(Links!F34,0)</f>
        <v>0</v>
      </c>
      <c r="G41" s="14" t="n">
        <f aca="false">IFERROR(Links!G34,0)</f>
        <v>0</v>
      </c>
      <c r="H41" s="14" t="n">
        <f aca="false">IFERROR(Links!H34,0)</f>
        <v>0</v>
      </c>
      <c r="I41" s="14" t="n">
        <f aca="false">IFERROR(Links!I34,0)</f>
        <v>0</v>
      </c>
      <c r="J41" s="14" t="n">
        <f aca="false">IFERROR(Links!J34,0)</f>
        <v>0</v>
      </c>
      <c r="K41" s="14" t="n">
        <f aca="false">IFERROR(Links!K34,0)</f>
        <v>0</v>
      </c>
    </row>
    <row r="42" customFormat="false" ht="14.25" hidden="false" customHeight="true" outlineLevel="0" collapsed="false">
      <c r="A42" s="13" t="s">
        <v>30</v>
      </c>
      <c r="B42" s="14" t="n">
        <f aca="false">IFERROR(Links!B35,0)</f>
        <v>3</v>
      </c>
      <c r="C42" s="14" t="n">
        <f aca="false">IFERROR(Links!C35,0)</f>
        <v>9.24</v>
      </c>
      <c r="D42" s="14" t="n">
        <f aca="false">IFERROR(Links!D35,0)</f>
        <v>15.96</v>
      </c>
      <c r="E42" s="14" t="n">
        <f aca="false">IFERROR(Links!E35,0)</f>
        <v>24.16</v>
      </c>
      <c r="F42" s="14" t="n">
        <f aca="false">IFERROR(Links!F35,0)</f>
        <v>25.92</v>
      </c>
      <c r="G42" s="14" t="n">
        <f aca="false">IFERROR(Links!G35,0)</f>
        <v>28.68</v>
      </c>
      <c r="H42" s="14" t="n">
        <f aca="false">IFERROR(Links!H35,0)</f>
        <v>26.52</v>
      </c>
      <c r="I42" s="14" t="n">
        <f aca="false">IFERROR(Links!I35,0)</f>
        <v>21.04</v>
      </c>
      <c r="J42" s="14" t="n">
        <f aca="false">IFERROR(Links!J35,0)</f>
        <v>21</v>
      </c>
      <c r="K42" s="14" t="n">
        <f aca="false">IFERROR(Links!K35,0)</f>
        <v>20.88</v>
      </c>
    </row>
    <row r="43" customFormat="false" ht="14.25" hidden="false" customHeight="true" outlineLevel="0" collapsed="false">
      <c r="A43" s="13" t="s">
        <v>31</v>
      </c>
      <c r="B43" s="14" t="n">
        <f aca="false">IFERROR(Links!B36,0)</f>
        <v>17</v>
      </c>
      <c r="C43" s="14" t="n">
        <f aca="false">IFERROR(Links!C36,0)</f>
        <v>53.36</v>
      </c>
      <c r="D43" s="14" t="n">
        <f aca="false">IFERROR(Links!D36,0)</f>
        <v>91.52</v>
      </c>
      <c r="E43" s="14" t="n">
        <f aca="false">IFERROR(Links!E36,0)</f>
        <v>150.4</v>
      </c>
      <c r="F43" s="14" t="n">
        <f aca="false">IFERROR(Links!F36,0)</f>
        <v>152.44</v>
      </c>
      <c r="G43" s="14" t="n">
        <f aca="false">IFERROR(Links!G36,0)</f>
        <v>171.76</v>
      </c>
      <c r="H43" s="14" t="n">
        <f aca="false">IFERROR(Links!H36,0)</f>
        <v>150.8</v>
      </c>
      <c r="I43" s="14" t="n">
        <f aca="false">IFERROR(Links!I36,0)</f>
        <v>125.28</v>
      </c>
      <c r="J43" s="14" t="n">
        <f aca="false">IFERROR(Links!J36,0)</f>
        <v>117.04</v>
      </c>
      <c r="K43" s="14" t="n">
        <f aca="false">IFERROR(Links!K36,0)</f>
        <v>122.68</v>
      </c>
    </row>
    <row r="44" customFormat="false" ht="14.25" hidden="false" customHeight="true" outlineLevel="0" collapsed="false">
      <c r="A44" s="13" t="s">
        <v>32</v>
      </c>
      <c r="B44" s="14" t="n">
        <f aca="false">IFERROR(Links!B37,0)</f>
        <v>2</v>
      </c>
      <c r="C44" s="14" t="n">
        <f aca="false">IFERROR(Links!C37,0)</f>
        <v>3.16</v>
      </c>
      <c r="D44" s="14" t="n">
        <f aca="false">IFERROR(Links!D37,0)</f>
        <v>5.4</v>
      </c>
      <c r="E44" s="14" t="n">
        <f aca="false">IFERROR(Links!E37,0)</f>
        <v>9.8</v>
      </c>
      <c r="F44" s="14" t="n">
        <f aca="false">IFERROR(Links!F37,0)</f>
        <v>9.52</v>
      </c>
      <c r="G44" s="14" t="n">
        <f aca="false">IFERROR(Links!G37,0)</f>
        <v>11.16</v>
      </c>
      <c r="H44" s="14" t="n">
        <f aca="false">IFERROR(Links!H37,0)</f>
        <v>8.88</v>
      </c>
      <c r="I44" s="14" t="n">
        <f aca="false">IFERROR(Links!I37,0)</f>
        <v>7.36</v>
      </c>
      <c r="J44" s="14" t="n">
        <f aca="false">IFERROR(Links!J37,0)</f>
        <v>7.68</v>
      </c>
      <c r="K44" s="14" t="n">
        <f aca="false">IFERROR(Links!K37,0)</f>
        <v>7</v>
      </c>
    </row>
    <row r="45" customFormat="false" ht="14.25" hidden="false" customHeight="true" outlineLevel="0" collapsed="false">
      <c r="A45" s="15" t="s">
        <v>87</v>
      </c>
      <c r="B45" s="16" t="n">
        <f aca="false">SUM(B41:B44)</f>
        <v>22</v>
      </c>
      <c r="C45" s="16" t="n">
        <f aca="false">SUM(C41:C44)</f>
        <v>65.76</v>
      </c>
      <c r="D45" s="16" t="n">
        <f aca="false">SUM(D41:D44)</f>
        <v>112.88</v>
      </c>
      <c r="E45" s="16" t="n">
        <f aca="false">SUM(E41:E44)</f>
        <v>184.36</v>
      </c>
      <c r="F45" s="16" t="n">
        <f aca="false">SUM(F41:F44)</f>
        <v>187.88</v>
      </c>
      <c r="G45" s="16" t="n">
        <f aca="false">SUM(G41:G44)</f>
        <v>211.6</v>
      </c>
      <c r="H45" s="16" t="n">
        <f aca="false">SUM(H41:H44)</f>
        <v>186.2</v>
      </c>
      <c r="I45" s="16" t="n">
        <f aca="false">SUM(I41:I44)</f>
        <v>153.68</v>
      </c>
      <c r="J45" s="16" t="n">
        <f aca="false">SUM(J41:J44)</f>
        <v>145.72</v>
      </c>
      <c r="K45" s="16" t="n">
        <f aca="false">SUM(K41:K44)</f>
        <v>150.56</v>
      </c>
    </row>
    <row r="46" customFormat="false" ht="14.25" hidden="false" customHeight="true" outlineLevel="0" collapsed="false"/>
    <row r="47" customFormat="false" ht="14.25" hidden="false" customHeight="true" outlineLevel="0" collapsed="false">
      <c r="A47" s="1" t="s">
        <v>88</v>
      </c>
    </row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9.14"/>
    <col collapsed="false" customWidth="true" hidden="false" outlineLevel="0" max="2" min="2" style="1" width="22.86"/>
    <col collapsed="false" customWidth="true" hidden="false" outlineLevel="0" max="3" min="3" style="1" width="40"/>
    <col collapsed="false" customWidth="true" hidden="false" outlineLevel="0" max="6" min="4" style="1" width="18"/>
    <col collapsed="false" customWidth="true" hidden="false" outlineLevel="0" max="7" min="7" style="1" width="16.71"/>
    <col collapsed="false" customWidth="true" hidden="false" outlineLevel="0" max="14" min="8" style="1" width="11"/>
    <col collapsed="false" customWidth="true" hidden="false" outlineLevel="0" max="15" min="15" style="1" width="54.86"/>
    <col collapsed="false" customWidth="true" hidden="false" outlineLevel="0" max="26" min="16" style="1" width="8.57"/>
  </cols>
  <sheetData>
    <row r="1" customFormat="false" ht="14.25" hidden="false" customHeight="true" outlineLevel="0" collapsed="false">
      <c r="A1" s="12" t="s">
        <v>89</v>
      </c>
      <c r="B1" s="12" t="s">
        <v>90</v>
      </c>
      <c r="C1" s="12" t="s">
        <v>91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customFormat="false" ht="14.25" hidden="false" customHeight="true" outlineLevel="0" collapsed="false">
      <c r="A2" s="18" t="s">
        <v>92</v>
      </c>
      <c r="B2" s="19" t="n">
        <v>20</v>
      </c>
      <c r="C2" s="18" t="s">
        <v>93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customFormat="false" ht="14.25" hidden="false" customHeight="true" outlineLevel="0" collapsed="false">
      <c r="A3" s="18" t="s">
        <v>94</v>
      </c>
      <c r="B3" s="20" t="n">
        <v>8</v>
      </c>
      <c r="C3" s="18" t="s">
        <v>95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customFormat="false" ht="14.25" hidden="false" customHeight="true" outlineLevel="0" collapsed="false">
      <c r="A4" s="18" t="s">
        <v>96</v>
      </c>
      <c r="B4" s="19" t="n">
        <v>30</v>
      </c>
      <c r="C4" s="18" t="s">
        <v>97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customFormat="false" ht="14.25" hidden="false" customHeight="true" outlineLevel="0" collapsed="false">
      <c r="A5" s="18" t="s">
        <v>98</v>
      </c>
      <c r="B5" s="21" t="n">
        <f aca="false">B3-B4/60</f>
        <v>7.5</v>
      </c>
      <c r="C5" s="18" t="s">
        <v>99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customFormat="false" ht="14.25" hidden="false" customHeight="true" outlineLevel="0" collapsed="false">
      <c r="A6" s="18" t="s">
        <v>100</v>
      </c>
      <c r="B6" s="19" t="n">
        <v>1</v>
      </c>
      <c r="C6" s="18" t="s">
        <v>101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customFormat="false" ht="14.25" hidden="false" customHeight="true" outlineLevel="0" collapsed="false">
      <c r="A7" s="18" t="s">
        <v>102</v>
      </c>
      <c r="B7" s="20" t="n">
        <f aca="false">B2*B5*B6</f>
        <v>150</v>
      </c>
      <c r="C7" s="18" t="s">
        <v>103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customFormat="false" ht="14.25" hidden="false" customHeight="true" outlineLevel="0" collapsed="false">
      <c r="A8" s="18" t="s">
        <v>104</v>
      </c>
      <c r="B8" s="22" t="n">
        <v>0.9</v>
      </c>
      <c r="C8" s="18" t="s">
        <v>105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customFormat="false" ht="14.25" hidden="false" customHeight="true" outlineLevel="0" collapsed="false">
      <c r="A9" s="18" t="s">
        <v>106</v>
      </c>
      <c r="B9" s="19" t="n">
        <v>2032</v>
      </c>
      <c r="C9" s="18" t="s">
        <v>107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customFormat="false" ht="14.25" hidden="false" customHeight="true" outlineLevel="0" collapsed="false">
      <c r="A10" s="23" t="s">
        <v>108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customFormat="false" ht="14.25" hidden="false" customHeight="true" outlineLevel="0" collapsed="false">
      <c r="A11" s="12" t="s">
        <v>109</v>
      </c>
      <c r="B11" s="12" t="s">
        <v>37</v>
      </c>
      <c r="C11" s="12" t="s">
        <v>38</v>
      </c>
      <c r="D11" s="12" t="s">
        <v>39</v>
      </c>
      <c r="E11" s="12" t="s">
        <v>40</v>
      </c>
      <c r="F11" s="12" t="s">
        <v>41</v>
      </c>
      <c r="G11" s="12" t="s">
        <v>42</v>
      </c>
      <c r="H11" s="12" t="s">
        <v>43</v>
      </c>
      <c r="I11" s="12" t="s">
        <v>44</v>
      </c>
      <c r="J11" s="12" t="s">
        <v>45</v>
      </c>
      <c r="K11" s="12" t="s">
        <v>46</v>
      </c>
      <c r="L11" s="12" t="s">
        <v>47</v>
      </c>
      <c r="M11" s="12" t="s">
        <v>48</v>
      </c>
      <c r="N11" s="12" t="s">
        <v>110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customFormat="false" ht="14.25" hidden="false" customHeight="true" outlineLevel="0" collapsed="false">
      <c r="A12" s="18" t="s">
        <v>111</v>
      </c>
      <c r="B12" s="24" t="n">
        <f aca="false">Links!B41</f>
        <v>0.12</v>
      </c>
      <c r="C12" s="24" t="n">
        <f aca="false">Links!C41</f>
        <v>0.09</v>
      </c>
      <c r="D12" s="24" t="n">
        <f aca="false">Links!D41</f>
        <v>0.08</v>
      </c>
      <c r="E12" s="24" t="n">
        <f aca="false">Links!E41</f>
        <v>0.075</v>
      </c>
      <c r="F12" s="24" t="n">
        <f aca="false">Links!F41</f>
        <v>0.07</v>
      </c>
      <c r="G12" s="24" t="n">
        <f aca="false">Links!G41</f>
        <v>0.07</v>
      </c>
      <c r="H12" s="24" t="n">
        <f aca="false">Links!H41</f>
        <v>0.075</v>
      </c>
      <c r="I12" s="24" t="n">
        <f aca="false">Links!I41</f>
        <v>0.075</v>
      </c>
      <c r="J12" s="24" t="n">
        <f aca="false">Links!J41</f>
        <v>0.075</v>
      </c>
      <c r="K12" s="24" t="n">
        <f aca="false">Links!K41</f>
        <v>0.075</v>
      </c>
      <c r="L12" s="24" t="n">
        <f aca="false">Links!L41</f>
        <v>0.075</v>
      </c>
      <c r="M12" s="24" t="n">
        <f aca="false">Links!M41</f>
        <v>0.12</v>
      </c>
      <c r="N12" s="24" t="n">
        <f aca="false">SUM(B12:M12)</f>
        <v>1</v>
      </c>
      <c r="O12" s="18" t="s">
        <v>112</v>
      </c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customFormat="false" ht="14.25" hidden="false" customHeight="true" outlineLevel="0" collapsed="false">
      <c r="A13" s="18" t="s">
        <v>113</v>
      </c>
      <c r="B13" s="24" t="n">
        <f aca="false">Links!B45</f>
        <v>0.1</v>
      </c>
      <c r="C13" s="24" t="n">
        <f aca="false">Links!C45</f>
        <v>0.08</v>
      </c>
      <c r="D13" s="24" t="n">
        <f aca="false">Links!D45</f>
        <v>0.085</v>
      </c>
      <c r="E13" s="24" t="n">
        <f aca="false">Links!E45</f>
        <v>0.085</v>
      </c>
      <c r="F13" s="24" t="n">
        <f aca="false">Links!F45</f>
        <v>0.08</v>
      </c>
      <c r="G13" s="24" t="n">
        <f aca="false">Links!G45</f>
        <v>0.075</v>
      </c>
      <c r="H13" s="24" t="n">
        <f aca="false">Links!H45</f>
        <v>0.08</v>
      </c>
      <c r="I13" s="24" t="n">
        <f aca="false">Links!I45</f>
        <v>0.08</v>
      </c>
      <c r="J13" s="24" t="n">
        <f aca="false">Links!J45</f>
        <v>0.08</v>
      </c>
      <c r="K13" s="24" t="n">
        <f aca="false">Links!K45</f>
        <v>0.075</v>
      </c>
      <c r="L13" s="24" t="n">
        <f aca="false">Links!L45</f>
        <v>0.07</v>
      </c>
      <c r="M13" s="24" t="n">
        <f aca="false">Links!M45</f>
        <v>0.11</v>
      </c>
      <c r="N13" s="24" t="n">
        <f aca="false">SUM(B13:M13)</f>
        <v>1</v>
      </c>
      <c r="O13" s="18" t="s">
        <v>114</v>
      </c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customFormat="false" ht="14.25" hidden="false" customHeight="true" outlineLevel="0" collapsed="false">
      <c r="A14" s="18" t="s">
        <v>115</v>
      </c>
      <c r="B14" s="24" t="n">
        <f aca="false">Links!B45</f>
        <v>0.1</v>
      </c>
      <c r="C14" s="24" t="n">
        <f aca="false">Links!C45</f>
        <v>0.08</v>
      </c>
      <c r="D14" s="24" t="n">
        <f aca="false">Links!D45</f>
        <v>0.085</v>
      </c>
      <c r="E14" s="24" t="n">
        <f aca="false">Links!E45</f>
        <v>0.085</v>
      </c>
      <c r="F14" s="24" t="n">
        <f aca="false">Links!F45</f>
        <v>0.08</v>
      </c>
      <c r="G14" s="24" t="n">
        <f aca="false">Links!G45</f>
        <v>0.075</v>
      </c>
      <c r="H14" s="24" t="n">
        <f aca="false">Links!H45</f>
        <v>0.08</v>
      </c>
      <c r="I14" s="24" t="n">
        <f aca="false">Links!I45</f>
        <v>0.08</v>
      </c>
      <c r="J14" s="24" t="n">
        <f aca="false">Links!J45</f>
        <v>0.08</v>
      </c>
      <c r="K14" s="24" t="n">
        <f aca="false">Links!K45</f>
        <v>0.075</v>
      </c>
      <c r="L14" s="24" t="n">
        <f aca="false">Links!L45</f>
        <v>0.07</v>
      </c>
      <c r="M14" s="24" t="n">
        <f aca="false">Links!M45</f>
        <v>0.11</v>
      </c>
      <c r="N14" s="24" t="n">
        <f aca="false">SUM(B14:M14)</f>
        <v>1</v>
      </c>
      <c r="O14" s="17" t="s">
        <v>114</v>
      </c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customFormat="false" ht="14.25" hidden="false" customHeight="true" outlineLevel="0" collapsed="false">
      <c r="A15" s="18" t="s">
        <v>116</v>
      </c>
      <c r="B15" s="24" t="n">
        <f aca="false">Links!B45</f>
        <v>0.1</v>
      </c>
      <c r="C15" s="24" t="n">
        <f aca="false">Links!C45</f>
        <v>0.08</v>
      </c>
      <c r="D15" s="24" t="n">
        <f aca="false">Links!D45</f>
        <v>0.085</v>
      </c>
      <c r="E15" s="24" t="n">
        <f aca="false">Links!E45</f>
        <v>0.085</v>
      </c>
      <c r="F15" s="24" t="n">
        <f aca="false">Links!F45</f>
        <v>0.08</v>
      </c>
      <c r="G15" s="24" t="n">
        <f aca="false">Links!G45</f>
        <v>0.075</v>
      </c>
      <c r="H15" s="24" t="n">
        <f aca="false">Links!H45</f>
        <v>0.08</v>
      </c>
      <c r="I15" s="24" t="n">
        <f aca="false">Links!I45</f>
        <v>0.08</v>
      </c>
      <c r="J15" s="24" t="n">
        <f aca="false">Links!J45</f>
        <v>0.08</v>
      </c>
      <c r="K15" s="24" t="n">
        <f aca="false">Links!K45</f>
        <v>0.075</v>
      </c>
      <c r="L15" s="24" t="n">
        <f aca="false">Links!L45</f>
        <v>0.07</v>
      </c>
      <c r="M15" s="24" t="n">
        <f aca="false">Links!M45</f>
        <v>0.11</v>
      </c>
      <c r="N15" s="24" t="n">
        <f aca="false">SUM(B15:M15)</f>
        <v>1</v>
      </c>
      <c r="O15" s="17" t="s">
        <v>114</v>
      </c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customFormat="false" ht="14.25" hidden="false" customHeight="true" outlineLevel="0" collapsed="false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customFormat="false" ht="14.25" hidden="false" customHeight="true" outlineLevel="0" collapsed="false">
      <c r="A17" s="23" t="s">
        <v>117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customFormat="false" ht="45" hidden="false" customHeight="true" outlineLevel="0" collapsed="false">
      <c r="A18" s="25" t="s">
        <v>118</v>
      </c>
      <c r="B18" s="25" t="s">
        <v>119</v>
      </c>
      <c r="C18" s="25" t="s">
        <v>120</v>
      </c>
      <c r="D18" s="25" t="s">
        <v>111</v>
      </c>
      <c r="E18" s="25" t="s">
        <v>113</v>
      </c>
      <c r="F18" s="25" t="s">
        <v>115</v>
      </c>
      <c r="G18" s="25" t="s">
        <v>116</v>
      </c>
      <c r="H18" s="25" t="s">
        <v>121</v>
      </c>
      <c r="I18" s="25" t="s">
        <v>122</v>
      </c>
      <c r="J18" s="25" t="s">
        <v>123</v>
      </c>
      <c r="K18" s="25" t="s">
        <v>124</v>
      </c>
      <c r="L18" s="25" t="s">
        <v>125</v>
      </c>
      <c r="M18" s="25" t="s">
        <v>126</v>
      </c>
      <c r="N18" s="25" t="s">
        <v>127</v>
      </c>
      <c r="O18" s="25" t="s">
        <v>128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customFormat="false" ht="14.25" hidden="false" customHeight="true" outlineLevel="0" collapsed="false">
      <c r="A19" s="26" t="n">
        <v>1</v>
      </c>
      <c r="B19" s="27" t="s">
        <v>129</v>
      </c>
      <c r="C19" s="26" t="s">
        <v>130</v>
      </c>
      <c r="D19" s="26" t="n">
        <v>1</v>
      </c>
      <c r="E19" s="26" t="n">
        <v>1</v>
      </c>
      <c r="F19" s="26" t="n">
        <v>1</v>
      </c>
      <c r="G19" s="26" t="n">
        <v>1</v>
      </c>
      <c r="H19" s="26" t="s">
        <v>131</v>
      </c>
      <c r="I19" s="26" t="n">
        <v>1</v>
      </c>
      <c r="J19" s="28" t="n">
        <v>1</v>
      </c>
      <c r="K19" s="29" t="n">
        <v>60</v>
      </c>
      <c r="L19" s="30" t="n">
        <f aca="false">F52</f>
        <v>1</v>
      </c>
      <c r="M19" s="31" t="n">
        <f aca="false">IF(K19&gt;0,3600/K19*L19,0)</f>
        <v>60</v>
      </c>
      <c r="N19" s="32" t="n">
        <f aca="false">M19*$B$7</f>
        <v>9000</v>
      </c>
      <c r="O19" s="33" t="s">
        <v>132</v>
      </c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customFormat="false" ht="14.25" hidden="false" customHeight="true" outlineLevel="0" collapsed="false">
      <c r="A20" s="26" t="n">
        <v>2</v>
      </c>
      <c r="B20" s="27" t="s">
        <v>133</v>
      </c>
      <c r="C20" s="26" t="s">
        <v>134</v>
      </c>
      <c r="D20" s="26" t="n">
        <v>1</v>
      </c>
      <c r="E20" s="26" t="n">
        <v>1</v>
      </c>
      <c r="F20" s="26" t="n">
        <v>1</v>
      </c>
      <c r="G20" s="26" t="n">
        <v>1</v>
      </c>
      <c r="H20" s="26" t="s">
        <v>131</v>
      </c>
      <c r="I20" s="26" t="n">
        <v>1</v>
      </c>
      <c r="J20" s="28" t="n">
        <v>1</v>
      </c>
      <c r="K20" s="29" t="n">
        <f aca="false">$H$128</f>
        <v>6.58155244457863</v>
      </c>
      <c r="L20" s="30" t="n">
        <f aca="false">F53</f>
        <v>0.974222222222222</v>
      </c>
      <c r="M20" s="31" t="n">
        <f aca="false">IF(K20&gt;0,3600/K20*L20,0)</f>
        <v>532.883393322948</v>
      </c>
      <c r="N20" s="32" t="n">
        <f aca="false">M20*$B$7</f>
        <v>79932.5089984422</v>
      </c>
      <c r="O20" s="33" t="s">
        <v>135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customFormat="false" ht="14.25" hidden="false" customHeight="true" outlineLevel="0" collapsed="false">
      <c r="A21" s="26" t="n">
        <v>3</v>
      </c>
      <c r="B21" s="27" t="s">
        <v>136</v>
      </c>
      <c r="C21" s="26" t="s">
        <v>137</v>
      </c>
      <c r="D21" s="26" t="n">
        <v>1</v>
      </c>
      <c r="E21" s="26" t="n">
        <v>1</v>
      </c>
      <c r="F21" s="26" t="n">
        <v>1</v>
      </c>
      <c r="G21" s="26" t="n">
        <v>1</v>
      </c>
      <c r="H21" s="26" t="s">
        <v>131</v>
      </c>
      <c r="I21" s="26" t="n">
        <v>1</v>
      </c>
      <c r="J21" s="28" t="n">
        <v>1</v>
      </c>
      <c r="K21" s="29" t="n">
        <f aca="false">$I$128</f>
        <v>4.87938393010552</v>
      </c>
      <c r="L21" s="30" t="n">
        <f aca="false">F54</f>
        <v>0.993333333333333</v>
      </c>
      <c r="M21" s="31" t="n">
        <f aca="false">IF(K21&gt;0,3600/K21*L21,0)</f>
        <v>732.879406749751</v>
      </c>
      <c r="N21" s="32" t="n">
        <f aca="false">M21*$B$7</f>
        <v>109931.911012463</v>
      </c>
      <c r="O21" s="33" t="s">
        <v>138</v>
      </c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customFormat="false" ht="14.25" hidden="false" customHeight="true" outlineLevel="0" collapsed="false">
      <c r="A22" s="26" t="n">
        <v>4</v>
      </c>
      <c r="B22" s="27" t="s">
        <v>139</v>
      </c>
      <c r="C22" s="26" t="s">
        <v>140</v>
      </c>
      <c r="D22" s="26" t="n">
        <v>1</v>
      </c>
      <c r="E22" s="26" t="n">
        <v>1</v>
      </c>
      <c r="F22" s="26" t="n">
        <v>1</v>
      </c>
      <c r="G22" s="26" t="n">
        <v>1</v>
      </c>
      <c r="H22" s="26" t="s">
        <v>131</v>
      </c>
      <c r="I22" s="26" t="n">
        <v>2</v>
      </c>
      <c r="J22" s="28" t="n">
        <v>1</v>
      </c>
      <c r="K22" s="29" t="n">
        <v>8</v>
      </c>
      <c r="L22" s="30" t="n">
        <f aca="false">F55</f>
        <v>0.68</v>
      </c>
      <c r="M22" s="31" t="n">
        <f aca="false">IF(K22&gt;0,3600/K22*L22,0)</f>
        <v>306</v>
      </c>
      <c r="N22" s="32" t="n">
        <f aca="false">M22*$B$7</f>
        <v>45900</v>
      </c>
      <c r="O22" s="33" t="s">
        <v>141</v>
      </c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customFormat="false" ht="14.25" hidden="false" customHeight="true" outlineLevel="0" collapsed="false">
      <c r="A23" s="26" t="n">
        <v>5</v>
      </c>
      <c r="B23" s="27" t="s">
        <v>142</v>
      </c>
      <c r="C23" s="26" t="s">
        <v>143</v>
      </c>
      <c r="D23" s="26" t="n">
        <v>1</v>
      </c>
      <c r="E23" s="26" t="n">
        <v>1</v>
      </c>
      <c r="F23" s="26" t="n">
        <v>1</v>
      </c>
      <c r="G23" s="26" t="n">
        <v>1</v>
      </c>
      <c r="H23" s="26" t="s">
        <v>131</v>
      </c>
      <c r="I23" s="26" t="n">
        <v>1</v>
      </c>
      <c r="J23" s="28" t="n">
        <v>1</v>
      </c>
      <c r="K23" s="29" t="n">
        <v>60</v>
      </c>
      <c r="L23" s="30" t="n">
        <f aca="false">F56</f>
        <v>1</v>
      </c>
      <c r="M23" s="31" t="n">
        <f aca="false">IF(K23&gt;0,3600/K23*L23,0)</f>
        <v>60</v>
      </c>
      <c r="N23" s="32" t="n">
        <f aca="false">M23*$B$7</f>
        <v>9000</v>
      </c>
      <c r="O23" s="33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customFormat="false" ht="14.25" hidden="false" customHeight="true" outlineLevel="0" collapsed="false">
      <c r="A24" s="26" t="n">
        <v>6</v>
      </c>
      <c r="B24" s="27" t="s">
        <v>144</v>
      </c>
      <c r="C24" s="26" t="s">
        <v>145</v>
      </c>
      <c r="D24" s="26" t="n">
        <v>1</v>
      </c>
      <c r="E24" s="26" t="n">
        <v>1</v>
      </c>
      <c r="F24" s="26" t="n">
        <v>1</v>
      </c>
      <c r="G24" s="26" t="n">
        <v>1</v>
      </c>
      <c r="H24" s="26" t="s">
        <v>131</v>
      </c>
      <c r="I24" s="26" t="n">
        <v>1</v>
      </c>
      <c r="J24" s="28" t="n">
        <v>1</v>
      </c>
      <c r="K24" s="29" t="n">
        <v>20</v>
      </c>
      <c r="L24" s="30" t="n">
        <f aca="false">F57</f>
        <v>1</v>
      </c>
      <c r="M24" s="31" t="n">
        <f aca="false">IF(K24&gt;0,3600/K24*L24,0)</f>
        <v>180</v>
      </c>
      <c r="N24" s="32" t="n">
        <f aca="false">M24*$B$7</f>
        <v>27000</v>
      </c>
      <c r="O24" s="33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customFormat="false" ht="14.25" hidden="false" customHeight="true" outlineLevel="0" collapsed="false">
      <c r="A25" s="26" t="n">
        <v>7</v>
      </c>
      <c r="B25" s="27" t="s">
        <v>146</v>
      </c>
      <c r="C25" s="26" t="s">
        <v>147</v>
      </c>
      <c r="D25" s="26" t="n">
        <v>1</v>
      </c>
      <c r="E25" s="26" t="n">
        <v>1</v>
      </c>
      <c r="F25" s="26" t="n">
        <v>1</v>
      </c>
      <c r="G25" s="26" t="n">
        <v>1</v>
      </c>
      <c r="H25" s="26" t="s">
        <v>131</v>
      </c>
      <c r="I25" s="26" t="n">
        <v>1</v>
      </c>
      <c r="J25" s="28" t="n">
        <v>1</v>
      </c>
      <c r="K25" s="29" t="n">
        <v>25</v>
      </c>
      <c r="L25" s="30" t="n">
        <f aca="false">F58</f>
        <v>0.973333333333333</v>
      </c>
      <c r="M25" s="31" t="n">
        <f aca="false">IF(K25&gt;0,3600/K25*L25,0)</f>
        <v>140.16</v>
      </c>
      <c r="N25" s="32" t="n">
        <f aca="false">M25*$B$7</f>
        <v>21024</v>
      </c>
      <c r="O25" s="33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customFormat="false" ht="14.25" hidden="false" customHeight="true" outlineLevel="0" collapsed="false">
      <c r="A26" s="26" t="n">
        <v>8</v>
      </c>
      <c r="B26" s="27" t="s">
        <v>148</v>
      </c>
      <c r="C26" s="26" t="s">
        <v>149</v>
      </c>
      <c r="D26" s="26" t="n">
        <v>1</v>
      </c>
      <c r="E26" s="26" t="n">
        <v>1</v>
      </c>
      <c r="F26" s="26" t="n">
        <v>1</v>
      </c>
      <c r="G26" s="26" t="n">
        <v>1</v>
      </c>
      <c r="H26" s="26" t="s">
        <v>131</v>
      </c>
      <c r="I26" s="26" t="n">
        <v>1</v>
      </c>
      <c r="J26" s="28" t="n">
        <v>1</v>
      </c>
      <c r="K26" s="29" t="n">
        <v>15</v>
      </c>
      <c r="L26" s="30" t="n">
        <f aca="false">F59</f>
        <v>0.986666666666667</v>
      </c>
      <c r="M26" s="31" t="n">
        <f aca="false">IF(K26&gt;0,3600/K26*L26,0)</f>
        <v>236.8</v>
      </c>
      <c r="N26" s="32" t="n">
        <f aca="false">M26*$B$7</f>
        <v>35520</v>
      </c>
      <c r="O26" s="33" t="s">
        <v>150</v>
      </c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customFormat="false" ht="14.25" hidden="false" customHeight="true" outlineLevel="0" collapsed="false">
      <c r="A27" s="26" t="n">
        <v>9</v>
      </c>
      <c r="B27" s="27" t="s">
        <v>151</v>
      </c>
      <c r="C27" s="26" t="s">
        <v>152</v>
      </c>
      <c r="D27" s="26" t="n">
        <v>0</v>
      </c>
      <c r="E27" s="26" t="n">
        <v>1</v>
      </c>
      <c r="F27" s="26" t="n">
        <v>1</v>
      </c>
      <c r="G27" s="26" t="n">
        <v>1</v>
      </c>
      <c r="H27" s="26" t="s">
        <v>131</v>
      </c>
      <c r="I27" s="26" t="n">
        <v>1</v>
      </c>
      <c r="J27" s="28" t="n">
        <v>1</v>
      </c>
      <c r="K27" s="29" t="n">
        <v>115</v>
      </c>
      <c r="L27" s="30" t="n">
        <f aca="false">F60</f>
        <v>0.986666666666667</v>
      </c>
      <c r="M27" s="31" t="n">
        <f aca="false">IF(K27&gt;0,3600/K27*L27,0)</f>
        <v>30.8869565217391</v>
      </c>
      <c r="N27" s="32" t="n">
        <f aca="false">M27*$B$7</f>
        <v>4633.04347826087</v>
      </c>
      <c r="O27" s="33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customFormat="false" ht="14.25" hidden="false" customHeight="true" outlineLevel="0" collapsed="false">
      <c r="A28" s="26" t="n">
        <v>10</v>
      </c>
      <c r="B28" s="27" t="s">
        <v>153</v>
      </c>
      <c r="C28" s="26" t="s">
        <v>154</v>
      </c>
      <c r="D28" s="26" t="n">
        <v>1</v>
      </c>
      <c r="E28" s="26" t="n">
        <v>0</v>
      </c>
      <c r="F28" s="26" t="n">
        <v>0</v>
      </c>
      <c r="G28" s="26" t="n">
        <v>0</v>
      </c>
      <c r="H28" s="26" t="s">
        <v>131</v>
      </c>
      <c r="I28" s="26" t="n">
        <v>1</v>
      </c>
      <c r="J28" s="28" t="n">
        <v>1</v>
      </c>
      <c r="K28" s="29" t="n">
        <v>30</v>
      </c>
      <c r="L28" s="30" t="n">
        <f aca="false">F61</f>
        <v>1</v>
      </c>
      <c r="M28" s="31" t="n">
        <f aca="false">IF(K28&gt;0,3600/K28*L28,0)</f>
        <v>120</v>
      </c>
      <c r="N28" s="32" t="n">
        <f aca="false">M28*$B$7</f>
        <v>18000</v>
      </c>
      <c r="O28" s="33" t="s">
        <v>155</v>
      </c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customFormat="false" ht="14.25" hidden="false" customHeight="true" outlineLevel="0" collapsed="false">
      <c r="A29" s="26" t="n">
        <v>11</v>
      </c>
      <c r="B29" s="27" t="s">
        <v>156</v>
      </c>
      <c r="C29" s="26" t="s">
        <v>157</v>
      </c>
      <c r="D29" s="26" t="n">
        <v>1</v>
      </c>
      <c r="E29" s="26" t="n">
        <v>1</v>
      </c>
      <c r="F29" s="26" t="n">
        <v>1</v>
      </c>
      <c r="G29" s="26" t="n">
        <v>1</v>
      </c>
      <c r="H29" s="26" t="s">
        <v>131</v>
      </c>
      <c r="I29" s="26" t="n">
        <v>1</v>
      </c>
      <c r="J29" s="28" t="n">
        <v>1</v>
      </c>
      <c r="K29" s="29" t="n">
        <v>30</v>
      </c>
      <c r="L29" s="30" t="n">
        <f aca="false">F62</f>
        <v>0.982222222222222</v>
      </c>
      <c r="M29" s="31" t="n">
        <f aca="false">IF(K29&gt;0,3600/K29*L29,0)</f>
        <v>117.866666666667</v>
      </c>
      <c r="N29" s="32" t="n">
        <f aca="false">M29*$B$7</f>
        <v>17680</v>
      </c>
      <c r="O29" s="33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customFormat="false" ht="14.25" hidden="false" customHeight="true" outlineLevel="0" collapsed="false">
      <c r="A30" s="26" t="n">
        <v>12</v>
      </c>
      <c r="B30" s="27" t="s">
        <v>158</v>
      </c>
      <c r="C30" s="26" t="s">
        <v>159</v>
      </c>
      <c r="D30" s="26" t="n">
        <v>1</v>
      </c>
      <c r="E30" s="26" t="n">
        <v>1</v>
      </c>
      <c r="F30" s="26" t="n">
        <v>1</v>
      </c>
      <c r="G30" s="26" t="n">
        <v>1</v>
      </c>
      <c r="H30" s="26" t="s">
        <v>131</v>
      </c>
      <c r="I30" s="26" t="n">
        <v>1</v>
      </c>
      <c r="J30" s="28" t="n">
        <v>1</v>
      </c>
      <c r="K30" s="29" t="n">
        <v>20</v>
      </c>
      <c r="L30" s="30" t="n">
        <f aca="false">F63</f>
        <v>0.982222222222222</v>
      </c>
      <c r="M30" s="31" t="n">
        <f aca="false">IF(K30&gt;0,3600/K30*L30,0)</f>
        <v>176.8</v>
      </c>
      <c r="N30" s="32" t="n">
        <f aca="false">M30*$B$7</f>
        <v>26520</v>
      </c>
      <c r="O30" s="33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customFormat="false" ht="14.25" hidden="false" customHeight="true" outlineLevel="0" collapsed="false">
      <c r="A31" s="26" t="n">
        <v>13</v>
      </c>
      <c r="B31" s="27" t="s">
        <v>160</v>
      </c>
      <c r="C31" s="26" t="s">
        <v>161</v>
      </c>
      <c r="D31" s="26" t="n">
        <v>1</v>
      </c>
      <c r="E31" s="26" t="n">
        <v>1</v>
      </c>
      <c r="F31" s="26" t="n">
        <v>1</v>
      </c>
      <c r="G31" s="26" t="n">
        <v>1</v>
      </c>
      <c r="H31" s="26" t="s">
        <v>131</v>
      </c>
      <c r="I31" s="26" t="n">
        <v>1</v>
      </c>
      <c r="J31" s="28" t="n">
        <v>1</v>
      </c>
      <c r="K31" s="29" t="n">
        <v>60</v>
      </c>
      <c r="L31" s="30" t="n">
        <f aca="false">F64</f>
        <v>0.982222222222222</v>
      </c>
      <c r="M31" s="31" t="n">
        <f aca="false">IF(K31&gt;0,3600/K31*L31,0)</f>
        <v>58.9333333333333</v>
      </c>
      <c r="N31" s="32" t="n">
        <f aca="false">M31*$B$7</f>
        <v>8840</v>
      </c>
      <c r="O31" s="33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customFormat="false" ht="14.25" hidden="false" customHeight="true" outlineLevel="0" collapsed="false">
      <c r="A32" s="26" t="n">
        <v>14</v>
      </c>
      <c r="B32" s="27" t="s">
        <v>162</v>
      </c>
      <c r="C32" s="26" t="s">
        <v>163</v>
      </c>
      <c r="D32" s="26" t="n">
        <v>1</v>
      </c>
      <c r="E32" s="26" t="n">
        <v>1</v>
      </c>
      <c r="F32" s="26" t="n">
        <v>1</v>
      </c>
      <c r="G32" s="26" t="n">
        <v>1</v>
      </c>
      <c r="H32" s="26" t="s">
        <v>131</v>
      </c>
      <c r="I32" s="26" t="n">
        <v>1</v>
      </c>
      <c r="J32" s="28" t="n">
        <v>0.02</v>
      </c>
      <c r="K32" s="29" t="n">
        <v>120</v>
      </c>
      <c r="L32" s="30" t="n">
        <f aca="false">F65</f>
        <v>1</v>
      </c>
      <c r="M32" s="31" t="n">
        <f aca="false">IF(K32&gt;0,3600/K32*L32,0)</f>
        <v>30</v>
      </c>
      <c r="N32" s="32" t="n">
        <f aca="false">M32*$B$7</f>
        <v>4500</v>
      </c>
      <c r="O32" s="33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customFormat="false" ht="14.25" hidden="false" customHeight="true" outlineLevel="0" collapsed="false">
      <c r="A33" s="26" t="n">
        <v>15</v>
      </c>
      <c r="B33" s="27" t="s">
        <v>164</v>
      </c>
      <c r="C33" s="26" t="s">
        <v>165</v>
      </c>
      <c r="D33" s="26" t="n">
        <v>1</v>
      </c>
      <c r="E33" s="26" t="n">
        <v>1</v>
      </c>
      <c r="F33" s="26" t="n">
        <v>1</v>
      </c>
      <c r="G33" s="26" t="n">
        <v>1</v>
      </c>
      <c r="H33" s="26" t="s">
        <v>131</v>
      </c>
      <c r="I33" s="26" t="n">
        <v>1</v>
      </c>
      <c r="J33" s="28" t="n">
        <v>1</v>
      </c>
      <c r="K33" s="29" t="n">
        <v>60</v>
      </c>
      <c r="L33" s="30" t="n">
        <f aca="false">F66</f>
        <v>0.982222222222222</v>
      </c>
      <c r="M33" s="31" t="n">
        <f aca="false">IF(K33&gt;0,3600/K33*L33,0)</f>
        <v>58.9333333333333</v>
      </c>
      <c r="N33" s="32" t="n">
        <f aca="false">M33*$B$7</f>
        <v>8840</v>
      </c>
      <c r="O33" s="33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customFormat="false" ht="14.25" hidden="false" customHeight="true" outlineLevel="0" collapsed="false">
      <c r="A34" s="26" t="n">
        <v>16</v>
      </c>
      <c r="B34" s="27" t="s">
        <v>166</v>
      </c>
      <c r="C34" s="26" t="s">
        <v>167</v>
      </c>
      <c r="D34" s="26" t="n">
        <v>1</v>
      </c>
      <c r="E34" s="26" t="n">
        <v>1</v>
      </c>
      <c r="F34" s="26" t="n">
        <v>1</v>
      </c>
      <c r="G34" s="26" t="n">
        <v>1</v>
      </c>
      <c r="H34" s="26" t="s">
        <v>131</v>
      </c>
      <c r="I34" s="26" t="n">
        <v>1</v>
      </c>
      <c r="J34" s="28" t="n">
        <v>1</v>
      </c>
      <c r="K34" s="29" t="n">
        <v>120</v>
      </c>
      <c r="L34" s="30" t="n">
        <f aca="false">F67</f>
        <v>1</v>
      </c>
      <c r="M34" s="31" t="n">
        <f aca="false">IF(K34&gt;0,3600/K34*L34,0)</f>
        <v>30</v>
      </c>
      <c r="N34" s="32" t="n">
        <f aca="false">M34*$B$7</f>
        <v>4500</v>
      </c>
      <c r="O34" s="33" t="s">
        <v>168</v>
      </c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customFormat="false" ht="14.25" hidden="false" customHeight="true" outlineLevel="0" collapsed="false">
      <c r="A35" s="26" t="n">
        <v>17</v>
      </c>
      <c r="B35" s="27" t="s">
        <v>169</v>
      </c>
      <c r="C35" s="26" t="s">
        <v>170</v>
      </c>
      <c r="D35" s="26" t="n">
        <v>1</v>
      </c>
      <c r="E35" s="26" t="n">
        <v>1</v>
      </c>
      <c r="F35" s="26" t="n">
        <v>1</v>
      </c>
      <c r="G35" s="26" t="n">
        <v>1</v>
      </c>
      <c r="H35" s="26" t="s">
        <v>131</v>
      </c>
      <c r="I35" s="26" t="n">
        <v>1</v>
      </c>
      <c r="J35" s="28" t="n">
        <v>1</v>
      </c>
      <c r="K35" s="29" t="n">
        <v>30</v>
      </c>
      <c r="L35" s="30" t="n">
        <f aca="false">F68</f>
        <v>1</v>
      </c>
      <c r="M35" s="31" t="n">
        <f aca="false">IF(K35&gt;0,3600/K35*L35,0)</f>
        <v>120</v>
      </c>
      <c r="N35" s="32" t="n">
        <f aca="false">M35*$B$7</f>
        <v>18000</v>
      </c>
      <c r="O35" s="33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customFormat="false" ht="14.25" hidden="false" customHeight="true" outlineLevel="0" collapsed="false">
      <c r="A36" s="26" t="n">
        <v>18</v>
      </c>
      <c r="B36" s="27" t="s">
        <v>171</v>
      </c>
      <c r="C36" s="26" t="s">
        <v>172</v>
      </c>
      <c r="D36" s="26" t="n">
        <v>1</v>
      </c>
      <c r="E36" s="26" t="n">
        <v>1</v>
      </c>
      <c r="F36" s="26" t="n">
        <v>1</v>
      </c>
      <c r="G36" s="26" t="n">
        <v>1</v>
      </c>
      <c r="H36" s="26" t="s">
        <v>131</v>
      </c>
      <c r="I36" s="26" t="n">
        <v>1</v>
      </c>
      <c r="J36" s="28" t="n">
        <v>1</v>
      </c>
      <c r="K36" s="29" t="n">
        <v>20</v>
      </c>
      <c r="L36" s="30" t="n">
        <f aca="false">F69</f>
        <v>1</v>
      </c>
      <c r="M36" s="31" t="n">
        <f aca="false">IF(K36&gt;0,3600/K36*L36,0)</f>
        <v>180</v>
      </c>
      <c r="N36" s="32" t="n">
        <f aca="false">M36*$B$7</f>
        <v>27000</v>
      </c>
      <c r="O36" s="33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customFormat="false" ht="14.25" hidden="false" customHeight="true" outlineLevel="0" collapsed="false">
      <c r="A37" s="26" t="n">
        <v>19</v>
      </c>
      <c r="B37" s="27" t="s">
        <v>173</v>
      </c>
      <c r="C37" s="26" t="s">
        <v>174</v>
      </c>
      <c r="D37" s="26" t="n">
        <v>1</v>
      </c>
      <c r="E37" s="26" t="n">
        <v>1</v>
      </c>
      <c r="F37" s="26" t="n">
        <v>1</v>
      </c>
      <c r="G37" s="26" t="n">
        <v>1</v>
      </c>
      <c r="H37" s="26" t="s">
        <v>131</v>
      </c>
      <c r="I37" s="26" t="n">
        <v>1</v>
      </c>
      <c r="J37" s="28" t="n">
        <v>0.05</v>
      </c>
      <c r="K37" s="29" t="n">
        <v>180</v>
      </c>
      <c r="L37" s="30" t="n">
        <f aca="false">F70</f>
        <v>1</v>
      </c>
      <c r="M37" s="31" t="n">
        <f aca="false">IF(K37&gt;0,3600/K37*L37,0)</f>
        <v>20</v>
      </c>
      <c r="N37" s="32" t="n">
        <f aca="false">M37*$B$7</f>
        <v>3000</v>
      </c>
      <c r="O37" s="33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customFormat="false" ht="14.25" hidden="false" customHeight="true" outlineLevel="0" collapsed="false">
      <c r="A38" s="26" t="n">
        <v>20</v>
      </c>
      <c r="B38" s="27" t="s">
        <v>175</v>
      </c>
      <c r="C38" s="26" t="s">
        <v>176</v>
      </c>
      <c r="D38" s="26" t="n">
        <v>1</v>
      </c>
      <c r="E38" s="26" t="n">
        <v>1</v>
      </c>
      <c r="F38" s="26" t="n">
        <v>1</v>
      </c>
      <c r="G38" s="26" t="n">
        <v>1</v>
      </c>
      <c r="H38" s="26" t="s">
        <v>131</v>
      </c>
      <c r="I38" s="26" t="n">
        <v>1</v>
      </c>
      <c r="J38" s="28" t="n">
        <v>1</v>
      </c>
      <c r="K38" s="29" t="n">
        <v>25</v>
      </c>
      <c r="L38" s="30" t="n">
        <f aca="false">F71</f>
        <v>0.946666666666667</v>
      </c>
      <c r="M38" s="31" t="n">
        <f aca="false">IF(K38&gt;0,3600/K38*L38,0)</f>
        <v>136.32</v>
      </c>
      <c r="N38" s="32" t="n">
        <f aca="false">M38*$B$7</f>
        <v>20448</v>
      </c>
      <c r="O38" s="33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customFormat="false" ht="14.25" hidden="false" customHeight="true" outlineLevel="0" collapsed="false">
      <c r="A39" s="26" t="n">
        <v>21</v>
      </c>
      <c r="B39" s="27" t="s">
        <v>177</v>
      </c>
      <c r="C39" s="26" t="s">
        <v>178</v>
      </c>
      <c r="D39" s="26" t="n">
        <v>1</v>
      </c>
      <c r="E39" s="26" t="n">
        <v>1</v>
      </c>
      <c r="F39" s="26" t="n">
        <v>1</v>
      </c>
      <c r="G39" s="26" t="n">
        <v>1</v>
      </c>
      <c r="H39" s="26" t="s">
        <v>179</v>
      </c>
      <c r="I39" s="26" t="n">
        <v>1</v>
      </c>
      <c r="J39" s="28" t="n">
        <v>1</v>
      </c>
      <c r="K39" s="29" t="n">
        <v>45</v>
      </c>
      <c r="L39" s="30" t="n">
        <f aca="false">F72</f>
        <v>1</v>
      </c>
      <c r="M39" s="31" t="n">
        <f aca="false">IF(K39&gt;0,3600/K39*L39,0)</f>
        <v>80</v>
      </c>
      <c r="N39" s="32" t="n">
        <f aca="false">M39*$B$7</f>
        <v>12000</v>
      </c>
      <c r="O39" s="33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customFormat="false" ht="14.25" hidden="false" customHeight="true" outlineLevel="0" collapsed="false">
      <c r="A40" s="26" t="n">
        <v>22</v>
      </c>
      <c r="B40" s="27" t="s">
        <v>180</v>
      </c>
      <c r="C40" s="26" t="s">
        <v>181</v>
      </c>
      <c r="D40" s="26" t="n">
        <v>1</v>
      </c>
      <c r="E40" s="26" t="n">
        <v>1</v>
      </c>
      <c r="F40" s="26" t="n">
        <v>1</v>
      </c>
      <c r="G40" s="26" t="n">
        <v>1</v>
      </c>
      <c r="H40" s="26" t="s">
        <v>179</v>
      </c>
      <c r="I40" s="26" t="n">
        <v>1</v>
      </c>
      <c r="J40" s="28" t="n">
        <v>1</v>
      </c>
      <c r="K40" s="29" t="n">
        <v>100</v>
      </c>
      <c r="L40" s="30" t="n">
        <f aca="false">F73</f>
        <v>0.982222222222222</v>
      </c>
      <c r="M40" s="31" t="n">
        <f aca="false">IF(K40&gt;0,3600/K40*L40,0)</f>
        <v>35.36</v>
      </c>
      <c r="N40" s="32" t="n">
        <f aca="false">M40*$B$7</f>
        <v>5304</v>
      </c>
      <c r="O40" s="33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customFormat="false" ht="14.25" hidden="false" customHeight="true" outlineLevel="0" collapsed="false">
      <c r="A41" s="26" t="n">
        <v>23</v>
      </c>
      <c r="B41" s="27" t="s">
        <v>182</v>
      </c>
      <c r="C41" s="26" t="s">
        <v>183</v>
      </c>
      <c r="D41" s="26" t="n">
        <v>1</v>
      </c>
      <c r="E41" s="26" t="n">
        <v>1</v>
      </c>
      <c r="F41" s="26" t="n">
        <v>1</v>
      </c>
      <c r="G41" s="26" t="n">
        <v>1</v>
      </c>
      <c r="H41" s="26" t="s">
        <v>179</v>
      </c>
      <c r="I41" s="26" t="n">
        <v>1</v>
      </c>
      <c r="J41" s="28" t="n">
        <v>1</v>
      </c>
      <c r="K41" s="29" t="n">
        <v>30</v>
      </c>
      <c r="L41" s="30" t="n">
        <f aca="false">F74</f>
        <v>1</v>
      </c>
      <c r="M41" s="31" t="n">
        <f aca="false">IF(K41&gt;0,3600/K41*L41,0)</f>
        <v>120</v>
      </c>
      <c r="N41" s="32" t="n">
        <f aca="false">M41*$B$7</f>
        <v>18000</v>
      </c>
      <c r="O41" s="33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customFormat="false" ht="14.25" hidden="false" customHeight="true" outlineLevel="0" collapsed="false">
      <c r="A42" s="26" t="n">
        <v>24</v>
      </c>
      <c r="B42" s="27" t="s">
        <v>184</v>
      </c>
      <c r="C42" s="26" t="s">
        <v>185</v>
      </c>
      <c r="D42" s="26" t="n">
        <v>1</v>
      </c>
      <c r="E42" s="26" t="n">
        <v>1</v>
      </c>
      <c r="F42" s="26" t="n">
        <v>1</v>
      </c>
      <c r="G42" s="26" t="n">
        <v>1</v>
      </c>
      <c r="H42" s="26" t="s">
        <v>179</v>
      </c>
      <c r="I42" s="26" t="n">
        <v>1</v>
      </c>
      <c r="J42" s="28" t="n">
        <v>1</v>
      </c>
      <c r="K42" s="29" t="n">
        <f aca="false">(60+120+60)/6</f>
        <v>40</v>
      </c>
      <c r="L42" s="30" t="n">
        <f aca="false">F75</f>
        <v>1</v>
      </c>
      <c r="M42" s="31" t="n">
        <f aca="false">IF(K42&gt;0,3600/K42*L42,0)</f>
        <v>90</v>
      </c>
      <c r="N42" s="32" t="n">
        <f aca="false">M42*$B$7</f>
        <v>13500</v>
      </c>
      <c r="O42" s="33" t="s">
        <v>186</v>
      </c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customFormat="false" ht="14.25" hidden="false" customHeight="true" outlineLevel="0" collapsed="false">
      <c r="A43" s="26" t="n">
        <v>25</v>
      </c>
      <c r="B43" s="27" t="s">
        <v>187</v>
      </c>
      <c r="C43" s="26" t="s">
        <v>188</v>
      </c>
      <c r="D43" s="26" t="n">
        <v>1</v>
      </c>
      <c r="E43" s="26" t="n">
        <v>1</v>
      </c>
      <c r="F43" s="26" t="n">
        <v>1</v>
      </c>
      <c r="G43" s="26" t="n">
        <v>1</v>
      </c>
      <c r="H43" s="26" t="s">
        <v>179</v>
      </c>
      <c r="I43" s="26" t="n">
        <v>1</v>
      </c>
      <c r="J43" s="28" t="n">
        <v>1</v>
      </c>
      <c r="K43" s="29" t="n">
        <v>60</v>
      </c>
      <c r="L43" s="30" t="n">
        <f aca="false">F76</f>
        <v>1</v>
      </c>
      <c r="M43" s="31" t="n">
        <f aca="false">IF(K43&gt;0,3600/K43*L43,0)</f>
        <v>60</v>
      </c>
      <c r="N43" s="32" t="n">
        <f aca="false">M43*$B$7</f>
        <v>9000</v>
      </c>
      <c r="O43" s="33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customFormat="false" ht="14.25" hidden="false" customHeight="true" outlineLevel="0" collapsed="false">
      <c r="A44" s="26" t="n">
        <v>26</v>
      </c>
      <c r="B44" s="27" t="s">
        <v>189</v>
      </c>
      <c r="C44" s="26" t="s">
        <v>190</v>
      </c>
      <c r="D44" s="26" t="n">
        <v>1</v>
      </c>
      <c r="E44" s="26" t="n">
        <v>1</v>
      </c>
      <c r="F44" s="26" t="n">
        <v>1</v>
      </c>
      <c r="G44" s="26" t="n">
        <v>1</v>
      </c>
      <c r="H44" s="26" t="s">
        <v>131</v>
      </c>
      <c r="I44" s="26" t="n">
        <v>1</v>
      </c>
      <c r="J44" s="28" t="n">
        <v>1</v>
      </c>
      <c r="K44" s="29" t="n">
        <v>45</v>
      </c>
      <c r="L44" s="30" t="n">
        <f aca="false">F77</f>
        <v>0.991111111111111</v>
      </c>
      <c r="M44" s="31" t="n">
        <f aca="false">IF(K44&gt;0,3600/K44*L44,0)</f>
        <v>79.2888888888889</v>
      </c>
      <c r="N44" s="32" t="n">
        <f aca="false">M44*$B$7</f>
        <v>11893.3333333333</v>
      </c>
      <c r="O44" s="33" t="s">
        <v>191</v>
      </c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customFormat="false" ht="14.25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customFormat="false" ht="14.25" hidden="false" customHeight="true" outlineLevel="0" collapsed="false">
      <c r="A46" s="34" t="s">
        <v>192</v>
      </c>
      <c r="B46" s="34"/>
      <c r="C46" s="34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customFormat="false" ht="14.25" hidden="false" customHeight="true" outlineLevel="0" collapsed="false">
      <c r="A47" s="34" t="s">
        <v>193</v>
      </c>
      <c r="B47" s="34"/>
      <c r="C47" s="3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customFormat="false" ht="14.25" hidden="false" customHeight="true" outlineLevel="0" collapsed="false">
      <c r="A48" s="34" t="s">
        <v>194</v>
      </c>
      <c r="B48" s="34"/>
      <c r="C48" s="34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customFormat="false" ht="14.25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customFormat="false" ht="14.25" hidden="false" customHeight="true" outlineLevel="0" collapsed="false">
      <c r="A50" s="12" t="s">
        <v>195</v>
      </c>
      <c r="B50" s="12"/>
      <c r="C50" s="12"/>
      <c r="D50" s="12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customFormat="false" ht="14.25" hidden="false" customHeight="true" outlineLevel="0" collapsed="false">
      <c r="A51" s="25" t="s">
        <v>118</v>
      </c>
      <c r="B51" s="25" t="s">
        <v>119</v>
      </c>
      <c r="C51" s="35" t="s">
        <v>196</v>
      </c>
      <c r="D51" s="35" t="s">
        <v>197</v>
      </c>
      <c r="E51" s="35" t="s">
        <v>198</v>
      </c>
      <c r="F51" s="35" t="s">
        <v>199</v>
      </c>
      <c r="G51" s="35" t="s">
        <v>128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customFormat="false" ht="14.25" hidden="false" customHeight="true" outlineLevel="0" collapsed="false">
      <c r="A52" s="26" t="n">
        <v>1</v>
      </c>
      <c r="B52" s="27" t="s">
        <v>129</v>
      </c>
      <c r="C52" s="26" t="n">
        <v>0</v>
      </c>
      <c r="D52" s="26" t="n">
        <v>0</v>
      </c>
      <c r="E52" s="26" t="n">
        <f aca="false">C52*D52/60</f>
        <v>0</v>
      </c>
      <c r="F52" s="36" t="n">
        <f aca="false">MAX(0,1-E52/150)</f>
        <v>1</v>
      </c>
      <c r="G52" s="33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customFormat="false" ht="14.25" hidden="false" customHeight="true" outlineLevel="0" collapsed="false">
      <c r="A53" s="26" t="n">
        <v>2</v>
      </c>
      <c r="B53" s="27" t="s">
        <v>133</v>
      </c>
      <c r="C53" s="33" t="n">
        <v>5</v>
      </c>
      <c r="D53" s="33" t="n">
        <v>12</v>
      </c>
      <c r="E53" s="26" t="n">
        <f aca="false">C53*D53/60+8.6*$B$2/60</f>
        <v>3.86666666666667</v>
      </c>
      <c r="F53" s="36" t="n">
        <f aca="false">MAX(0,1-E53/150)</f>
        <v>0.974222222222222</v>
      </c>
      <c r="G53" s="33" t="s">
        <v>200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customFormat="false" ht="14.25" hidden="false" customHeight="true" outlineLevel="0" collapsed="false">
      <c r="A54" s="26" t="n">
        <v>3</v>
      </c>
      <c r="B54" s="27" t="s">
        <v>136</v>
      </c>
      <c r="C54" s="33" t="n">
        <v>5</v>
      </c>
      <c r="D54" s="33" t="n">
        <v>12</v>
      </c>
      <c r="E54" s="26" t="n">
        <f aca="false">C54*D54/60</f>
        <v>1</v>
      </c>
      <c r="F54" s="36" t="n">
        <f aca="false">MAX(0,1-E54/150)</f>
        <v>0.993333333333333</v>
      </c>
      <c r="G54" s="33" t="s">
        <v>201</v>
      </c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customFormat="false" ht="14.25" hidden="false" customHeight="true" outlineLevel="0" collapsed="false">
      <c r="A55" s="26" t="n">
        <v>4</v>
      </c>
      <c r="B55" s="27" t="s">
        <v>139</v>
      </c>
      <c r="C55" s="33" t="n">
        <v>90</v>
      </c>
      <c r="D55" s="33" t="n">
        <v>32</v>
      </c>
      <c r="E55" s="26" t="n">
        <f aca="false">C55*D55/60</f>
        <v>48</v>
      </c>
      <c r="F55" s="36" t="n">
        <f aca="false">MAX(0,1-E55/150)</f>
        <v>0.68</v>
      </c>
      <c r="G55" s="33" t="s">
        <v>202</v>
      </c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customFormat="false" ht="14.25" hidden="false" customHeight="true" outlineLevel="0" collapsed="false">
      <c r="A56" s="26" t="n">
        <v>5</v>
      </c>
      <c r="B56" s="27" t="s">
        <v>142</v>
      </c>
      <c r="C56" s="33" t="n">
        <v>0</v>
      </c>
      <c r="D56" s="33" t="n">
        <v>0</v>
      </c>
      <c r="E56" s="26" t="n">
        <f aca="false">C56*D56/60</f>
        <v>0</v>
      </c>
      <c r="F56" s="36" t="n">
        <f aca="false">MAX(0,1-E56/150)</f>
        <v>1</v>
      </c>
      <c r="G56" s="33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customFormat="false" ht="14.25" hidden="false" customHeight="true" outlineLevel="0" collapsed="false">
      <c r="A57" s="26" t="n">
        <v>6</v>
      </c>
      <c r="B57" s="27" t="s">
        <v>144</v>
      </c>
      <c r="C57" s="33"/>
      <c r="D57" s="33"/>
      <c r="E57" s="26" t="n">
        <f aca="false">C57*D57/60</f>
        <v>0</v>
      </c>
      <c r="F57" s="36" t="n">
        <f aca="false">MAX(0,1-E57/150)</f>
        <v>1</v>
      </c>
      <c r="G57" s="33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customFormat="false" ht="14.25" hidden="false" customHeight="true" outlineLevel="0" collapsed="false">
      <c r="A58" s="26" t="n">
        <v>7</v>
      </c>
      <c r="B58" s="27" t="s">
        <v>146</v>
      </c>
      <c r="C58" s="33" t="n">
        <v>15</v>
      </c>
      <c r="D58" s="33" t="n">
        <v>16</v>
      </c>
      <c r="E58" s="26" t="n">
        <f aca="false">C58*D58/60</f>
        <v>4</v>
      </c>
      <c r="F58" s="36" t="n">
        <f aca="false">MAX(0,1-E58/150)</f>
        <v>0.973333333333333</v>
      </c>
      <c r="G58" s="33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customFormat="false" ht="14.25" hidden="false" customHeight="true" outlineLevel="0" collapsed="false">
      <c r="A59" s="26" t="n">
        <v>8</v>
      </c>
      <c r="B59" s="27" t="s">
        <v>148</v>
      </c>
      <c r="C59" s="33" t="n">
        <v>10</v>
      </c>
      <c r="D59" s="33" t="n">
        <v>12</v>
      </c>
      <c r="E59" s="26" t="n">
        <f aca="false">C59*D59/60</f>
        <v>2</v>
      </c>
      <c r="F59" s="36" t="n">
        <f aca="false">MAX(0,1-E59/150)</f>
        <v>0.986666666666667</v>
      </c>
      <c r="G59" s="33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customFormat="false" ht="14.25" hidden="false" customHeight="true" outlineLevel="0" collapsed="false">
      <c r="A60" s="26" t="n">
        <v>9</v>
      </c>
      <c r="B60" s="27" t="s">
        <v>151</v>
      </c>
      <c r="C60" s="33" t="n">
        <v>10</v>
      </c>
      <c r="D60" s="33" t="n">
        <v>12</v>
      </c>
      <c r="E60" s="26" t="n">
        <f aca="false">C60*D60/60</f>
        <v>2</v>
      </c>
      <c r="F60" s="36" t="n">
        <f aca="false">MAX(0,1-E60/150)</f>
        <v>0.986666666666667</v>
      </c>
      <c r="G60" s="33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customFormat="false" ht="14.25" hidden="false" customHeight="true" outlineLevel="0" collapsed="false">
      <c r="A61" s="26" t="n">
        <v>10</v>
      </c>
      <c r="B61" s="27" t="s">
        <v>153</v>
      </c>
      <c r="C61" s="33" t="n">
        <v>0</v>
      </c>
      <c r="D61" s="33" t="n">
        <v>0</v>
      </c>
      <c r="E61" s="26" t="n">
        <f aca="false">C61*D61/60</f>
        <v>0</v>
      </c>
      <c r="F61" s="36" t="n">
        <f aca="false">MAX(0,1-E61/150)</f>
        <v>1</v>
      </c>
      <c r="G61" s="33" t="s">
        <v>203</v>
      </c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customFormat="false" ht="14.25" hidden="false" customHeight="true" outlineLevel="0" collapsed="false">
      <c r="A62" s="26" t="n">
        <v>11</v>
      </c>
      <c r="B62" s="27" t="s">
        <v>156</v>
      </c>
      <c r="C62" s="33" t="n">
        <v>10</v>
      </c>
      <c r="D62" s="33" t="n">
        <v>16</v>
      </c>
      <c r="E62" s="26" t="n">
        <f aca="false">C62*D62/60</f>
        <v>2.66666666666667</v>
      </c>
      <c r="F62" s="36" t="n">
        <f aca="false">MAX(0,1-E62/150)</f>
        <v>0.982222222222222</v>
      </c>
      <c r="G62" s="33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customFormat="false" ht="14.25" hidden="false" customHeight="true" outlineLevel="0" collapsed="false">
      <c r="A63" s="26" t="n">
        <v>12</v>
      </c>
      <c r="B63" s="27" t="s">
        <v>158</v>
      </c>
      <c r="C63" s="33" t="n">
        <v>10</v>
      </c>
      <c r="D63" s="33" t="n">
        <v>16</v>
      </c>
      <c r="E63" s="26" t="n">
        <f aca="false">C63*D63/60</f>
        <v>2.66666666666667</v>
      </c>
      <c r="F63" s="36" t="n">
        <f aca="false">MAX(0,1-E63/150)</f>
        <v>0.982222222222222</v>
      </c>
      <c r="G63" s="33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customFormat="false" ht="14.25" hidden="false" customHeight="true" outlineLevel="0" collapsed="false">
      <c r="A64" s="26" t="n">
        <v>13</v>
      </c>
      <c r="B64" s="27" t="s">
        <v>160</v>
      </c>
      <c r="C64" s="33" t="n">
        <v>10</v>
      </c>
      <c r="D64" s="33" t="n">
        <v>16</v>
      </c>
      <c r="E64" s="26" t="n">
        <f aca="false">C64*D64/60</f>
        <v>2.66666666666667</v>
      </c>
      <c r="F64" s="36" t="n">
        <f aca="false">MAX(0,1-E64/150)</f>
        <v>0.982222222222222</v>
      </c>
      <c r="G64" s="33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customFormat="false" ht="14.25" hidden="false" customHeight="true" outlineLevel="0" collapsed="false">
      <c r="A65" s="26" t="n">
        <v>14</v>
      </c>
      <c r="B65" s="27" t="s">
        <v>162</v>
      </c>
      <c r="C65" s="33" t="n">
        <v>0</v>
      </c>
      <c r="D65" s="33" t="n">
        <v>0</v>
      </c>
      <c r="E65" s="26" t="n">
        <f aca="false">C65*D65/60</f>
        <v>0</v>
      </c>
      <c r="F65" s="36" t="n">
        <f aca="false">MAX(0,1-E65/150)</f>
        <v>1</v>
      </c>
      <c r="G65" s="33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customFormat="false" ht="14.25" hidden="false" customHeight="true" outlineLevel="0" collapsed="false">
      <c r="A66" s="26" t="n">
        <v>15</v>
      </c>
      <c r="B66" s="27" t="s">
        <v>164</v>
      </c>
      <c r="C66" s="33" t="n">
        <v>10</v>
      </c>
      <c r="D66" s="33" t="n">
        <v>16</v>
      </c>
      <c r="E66" s="26" t="n">
        <f aca="false">C66*D66/60</f>
        <v>2.66666666666667</v>
      </c>
      <c r="F66" s="36" t="n">
        <f aca="false">MAX(0,1-E66/150)</f>
        <v>0.982222222222222</v>
      </c>
      <c r="G66" s="33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customFormat="false" ht="14.25" hidden="false" customHeight="true" outlineLevel="0" collapsed="false">
      <c r="A67" s="26" t="n">
        <v>16</v>
      </c>
      <c r="B67" s="27" t="s">
        <v>166</v>
      </c>
      <c r="C67" s="33" t="n">
        <v>0</v>
      </c>
      <c r="D67" s="33" t="n">
        <v>0</v>
      </c>
      <c r="E67" s="26" t="n">
        <f aca="false">C67*D67/60</f>
        <v>0</v>
      </c>
      <c r="F67" s="36" t="n">
        <f aca="false">MAX(0,1-E67/150)</f>
        <v>1</v>
      </c>
      <c r="G67" s="33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customFormat="false" ht="14.25" hidden="false" customHeight="true" outlineLevel="0" collapsed="false">
      <c r="A68" s="26" t="n">
        <v>17</v>
      </c>
      <c r="B68" s="27" t="s">
        <v>169</v>
      </c>
      <c r="C68" s="33" t="n">
        <v>10</v>
      </c>
      <c r="D68" s="33" t="n">
        <v>0</v>
      </c>
      <c r="E68" s="26" t="n">
        <f aca="false">C68*D68/60</f>
        <v>0</v>
      </c>
      <c r="F68" s="36" t="n">
        <f aca="false">MAX(0,1-E68/150)</f>
        <v>1</v>
      </c>
      <c r="G68" s="33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customFormat="false" ht="14.25" hidden="false" customHeight="true" outlineLevel="0" collapsed="false">
      <c r="A69" s="26" t="n">
        <v>18</v>
      </c>
      <c r="B69" s="27" t="s">
        <v>171</v>
      </c>
      <c r="C69" s="33" t="n">
        <v>0</v>
      </c>
      <c r="D69" s="33" t="n">
        <v>0</v>
      </c>
      <c r="E69" s="26" t="n">
        <f aca="false">C69*D69/60</f>
        <v>0</v>
      </c>
      <c r="F69" s="36" t="n">
        <f aca="false">MAX(0,1-E69/150)</f>
        <v>1</v>
      </c>
      <c r="G69" s="33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customFormat="false" ht="14.25" hidden="false" customHeight="true" outlineLevel="0" collapsed="false">
      <c r="A70" s="26" t="n">
        <v>19</v>
      </c>
      <c r="B70" s="27" t="s">
        <v>173</v>
      </c>
      <c r="C70" s="33" t="n">
        <v>0</v>
      </c>
      <c r="D70" s="33" t="n">
        <v>0</v>
      </c>
      <c r="E70" s="26" t="n">
        <f aca="false">C70*D70/60</f>
        <v>0</v>
      </c>
      <c r="F70" s="36" t="n">
        <f aca="false">MAX(0,1-E70/150)</f>
        <v>1</v>
      </c>
      <c r="G70" s="33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customFormat="false" ht="14.25" hidden="false" customHeight="true" outlineLevel="0" collapsed="false">
      <c r="A71" s="26" t="n">
        <v>20</v>
      </c>
      <c r="B71" s="27" t="s">
        <v>175</v>
      </c>
      <c r="C71" s="33" t="n">
        <v>30</v>
      </c>
      <c r="D71" s="33" t="n">
        <v>16</v>
      </c>
      <c r="E71" s="26" t="n">
        <f aca="false">C71*D71/60</f>
        <v>8</v>
      </c>
      <c r="F71" s="36" t="n">
        <f aca="false">MAX(0,1-E71/150)</f>
        <v>0.946666666666667</v>
      </c>
      <c r="G71" s="33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customFormat="false" ht="14.25" hidden="false" customHeight="true" outlineLevel="0" collapsed="false">
      <c r="A72" s="26" t="n">
        <v>21</v>
      </c>
      <c r="B72" s="27" t="s">
        <v>177</v>
      </c>
      <c r="C72" s="33" t="n">
        <v>0</v>
      </c>
      <c r="D72" s="33" t="n">
        <v>0</v>
      </c>
      <c r="E72" s="26" t="n">
        <f aca="false">C72*D72/60</f>
        <v>0</v>
      </c>
      <c r="F72" s="36" t="n">
        <f aca="false">MAX(0,1-E72/150)</f>
        <v>1</v>
      </c>
      <c r="G72" s="33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customFormat="false" ht="14.25" hidden="false" customHeight="true" outlineLevel="0" collapsed="false">
      <c r="A73" s="26" t="n">
        <v>22</v>
      </c>
      <c r="B73" s="27" t="s">
        <v>180</v>
      </c>
      <c r="C73" s="33" t="n">
        <v>10</v>
      </c>
      <c r="D73" s="33" t="n">
        <v>16</v>
      </c>
      <c r="E73" s="26" t="n">
        <f aca="false">C73*D73/60</f>
        <v>2.66666666666667</v>
      </c>
      <c r="F73" s="36" t="n">
        <f aca="false">MAX(0,1-E73/150)</f>
        <v>0.982222222222222</v>
      </c>
      <c r="G73" s="33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customFormat="false" ht="14.25" hidden="false" customHeight="true" outlineLevel="0" collapsed="false">
      <c r="A74" s="26" t="n">
        <v>23</v>
      </c>
      <c r="B74" s="27" t="s">
        <v>182</v>
      </c>
      <c r="C74" s="33" t="n">
        <v>0</v>
      </c>
      <c r="D74" s="33" t="n">
        <v>0</v>
      </c>
      <c r="E74" s="26" t="n">
        <f aca="false">C74*D74/60</f>
        <v>0</v>
      </c>
      <c r="F74" s="36" t="n">
        <f aca="false">MAX(0,1-E74/150)</f>
        <v>1</v>
      </c>
      <c r="G74" s="33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customFormat="false" ht="14.25" hidden="false" customHeight="true" outlineLevel="0" collapsed="false">
      <c r="A75" s="26" t="n">
        <v>24</v>
      </c>
      <c r="B75" s="27" t="s">
        <v>184</v>
      </c>
      <c r="C75" s="33" t="n">
        <v>0</v>
      </c>
      <c r="D75" s="33" t="n">
        <v>0</v>
      </c>
      <c r="E75" s="26" t="n">
        <f aca="false">C75*D75/60</f>
        <v>0</v>
      </c>
      <c r="F75" s="36" t="n">
        <f aca="false">MAX(0,1-E75/150)</f>
        <v>1</v>
      </c>
      <c r="G75" s="33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customFormat="false" ht="14.25" hidden="false" customHeight="true" outlineLevel="0" collapsed="false">
      <c r="A76" s="26" t="n">
        <v>25</v>
      </c>
      <c r="B76" s="27" t="s">
        <v>187</v>
      </c>
      <c r="C76" s="33" t="n">
        <v>0</v>
      </c>
      <c r="D76" s="33" t="n">
        <v>0</v>
      </c>
      <c r="E76" s="26" t="n">
        <f aca="false">C76*D76/60</f>
        <v>0</v>
      </c>
      <c r="F76" s="36" t="n">
        <f aca="false">MAX(0,1-E76/150)</f>
        <v>1</v>
      </c>
      <c r="G76" s="33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customFormat="false" ht="14.25" hidden="false" customHeight="true" outlineLevel="0" collapsed="false">
      <c r="A77" s="26" t="n">
        <v>26</v>
      </c>
      <c r="B77" s="27" t="s">
        <v>189</v>
      </c>
      <c r="C77" s="33" t="n">
        <v>5</v>
      </c>
      <c r="D77" s="33" t="n">
        <v>16</v>
      </c>
      <c r="E77" s="26" t="n">
        <f aca="false">C77*D77/60</f>
        <v>1.33333333333333</v>
      </c>
      <c r="F77" s="36" t="n">
        <f aca="false">MAX(0,1-E77/150)</f>
        <v>0.991111111111111</v>
      </c>
      <c r="G77" s="33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customFormat="false" ht="14.25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customFormat="false" ht="14.25" hidden="false" customHeight="tru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customFormat="false" ht="14.25" hidden="false" customHeight="true" outlineLevel="0" collapsed="false">
      <c r="A80" s="23" t="s">
        <v>204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customFormat="false" ht="14.25" hidden="false" customHeight="true" outlineLevel="0" collapsed="false">
      <c r="A81" s="37" t="s">
        <v>205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customFormat="false" ht="14.25" hidden="false" customHeight="true" outlineLevel="0" collapsed="false">
      <c r="A82" s="37" t="s">
        <v>206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customFormat="false" ht="14.25" hidden="false" customHeight="true" outlineLevel="0" collapsed="false">
      <c r="A83" s="37" t="s">
        <v>207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customFormat="false" ht="14.25" hidden="false" customHeight="tru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customFormat="false" ht="14.25" hidden="false" customHeight="true" outlineLevel="0" collapsed="false">
      <c r="A85" s="38" t="s">
        <v>208</v>
      </c>
      <c r="B85" s="39" t="n">
        <f aca="false">MAX(B88:B91)</f>
        <v>0.09</v>
      </c>
      <c r="C85" s="40" t="s">
        <v>209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customFormat="false" ht="14.25" hidden="false" customHeight="tru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customFormat="false" ht="45" hidden="false" customHeight="true" outlineLevel="0" collapsed="false">
      <c r="A87" s="41" t="s">
        <v>109</v>
      </c>
      <c r="B87" s="41" t="s">
        <v>210</v>
      </c>
      <c r="C87" s="41" t="s">
        <v>211</v>
      </c>
      <c r="D87" s="41" t="s">
        <v>212</v>
      </c>
      <c r="E87" s="41" t="s">
        <v>213</v>
      </c>
      <c r="F87" s="41" t="s">
        <v>214</v>
      </c>
      <c r="G87" s="41" t="s">
        <v>215</v>
      </c>
      <c r="H87" s="41" t="s">
        <v>216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customFormat="false" ht="14.25" hidden="false" customHeight="true" outlineLevel="0" collapsed="false">
      <c r="A88" s="38" t="s">
        <v>111</v>
      </c>
      <c r="B88" s="42" t="n">
        <f aca="false">(B12+K12+L12)/3</f>
        <v>0.09</v>
      </c>
      <c r="C88" s="42" t="n">
        <f aca="false">MAX(0,M12-$B$85)</f>
        <v>0.03</v>
      </c>
      <c r="D88" s="42" t="n">
        <f aca="false">MAX(0,B12-$B$85)</f>
        <v>0.03</v>
      </c>
      <c r="E88" s="42" t="n">
        <f aca="false">C88+D88</f>
        <v>0.06</v>
      </c>
      <c r="F88" s="43" t="n">
        <f aca="false">COUNTIF(C96:L96,"&gt;0.000001")</f>
        <v>4</v>
      </c>
      <c r="G88" s="18" t="str">
        <f aca="false">IF(K96+L96&gt;=D88-0.000001,"OK","No alcanza: subir L")</f>
        <v>OK</v>
      </c>
      <c r="H88" s="42" t="n">
        <f aca="false">SUM(B96:L96)</f>
        <v>0.06</v>
      </c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customFormat="false" ht="14.25" hidden="false" customHeight="true" outlineLevel="0" collapsed="false">
      <c r="A89" s="38" t="s">
        <v>113</v>
      </c>
      <c r="B89" s="42" t="n">
        <f aca="false">(B13+K13+L13)/3</f>
        <v>0.0816666666666667</v>
      </c>
      <c r="C89" s="42" t="n">
        <f aca="false">MAX(0,M13-$B$85)</f>
        <v>0.02</v>
      </c>
      <c r="D89" s="42" t="n">
        <f aca="false">MAX(0,B13-$B$85)</f>
        <v>0.01</v>
      </c>
      <c r="E89" s="42" t="n">
        <f aca="false">C89+D89</f>
        <v>0.03</v>
      </c>
      <c r="F89" s="43" t="n">
        <f aca="false">COUNTIF(C101:L101,"&gt;0.000001")</f>
        <v>2</v>
      </c>
      <c r="G89" s="18" t="str">
        <f aca="false">IF(K101+L101&gt;=D89-0.000001,"OK","No alcanza: subir L")</f>
        <v>OK</v>
      </c>
      <c r="H89" s="42" t="n">
        <f aca="false">SUM(B101:L101)</f>
        <v>0.03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customFormat="false" ht="14.25" hidden="false" customHeight="true" outlineLevel="0" collapsed="false">
      <c r="A90" s="38" t="s">
        <v>115</v>
      </c>
      <c r="B90" s="42" t="n">
        <f aca="false">(B14+K14+L14)/3</f>
        <v>0.0816666666666667</v>
      </c>
      <c r="C90" s="42" t="n">
        <f aca="false">MAX(0,M14-$B$85)</f>
        <v>0.02</v>
      </c>
      <c r="D90" s="42" t="n">
        <f aca="false">MAX(0,B14-$B$85)</f>
        <v>0.01</v>
      </c>
      <c r="E90" s="42" t="n">
        <f aca="false">C90+D90</f>
        <v>0.03</v>
      </c>
      <c r="F90" s="43" t="n">
        <f aca="false">COUNTIF(C106:L106,"&gt;0.000001")</f>
        <v>2</v>
      </c>
      <c r="G90" s="18" t="str">
        <f aca="false">IF(K106+L106&gt;=D90-0.000001,"OK","No alcanza: subir L")</f>
        <v>OK</v>
      </c>
      <c r="H90" s="42" t="n">
        <f aca="false">SUM(B106:L106)</f>
        <v>0.03</v>
      </c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customFormat="false" ht="14.25" hidden="false" customHeight="true" outlineLevel="0" collapsed="false">
      <c r="A91" s="38" t="s">
        <v>116</v>
      </c>
      <c r="B91" s="42" t="n">
        <f aca="false">(B15+K15+L15)/3</f>
        <v>0.0816666666666667</v>
      </c>
      <c r="C91" s="42" t="n">
        <f aca="false">MAX(0,M15-$B$85)</f>
        <v>0.02</v>
      </c>
      <c r="D91" s="42" t="n">
        <f aca="false">MAX(0,B15-$B$85)</f>
        <v>0.01</v>
      </c>
      <c r="E91" s="42" t="n">
        <f aca="false">C91+D91</f>
        <v>0.03</v>
      </c>
      <c r="F91" s="43" t="n">
        <f aca="false">COUNTIF(C111:L111,"&gt;0.000001")</f>
        <v>2</v>
      </c>
      <c r="G91" s="18" t="str">
        <f aca="false">IF(K111+L111&gt;=D91-0.000001,"OK","No alcanza: subir L")</f>
        <v>OK</v>
      </c>
      <c r="H91" s="42" t="n">
        <f aca="false">SUM(B111:L111)</f>
        <v>0.03</v>
      </c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customFormat="false" ht="14.25" hidden="false" customHeight="tru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customFormat="false" ht="14.25" hidden="false" customHeight="true" outlineLevel="0" collapsed="false">
      <c r="A93" s="41" t="s">
        <v>217</v>
      </c>
      <c r="B93" s="41" t="s">
        <v>37</v>
      </c>
      <c r="C93" s="41" t="s">
        <v>38</v>
      </c>
      <c r="D93" s="41" t="s">
        <v>39</v>
      </c>
      <c r="E93" s="41" t="s">
        <v>40</v>
      </c>
      <c r="F93" s="41" t="s">
        <v>41</v>
      </c>
      <c r="G93" s="41" t="s">
        <v>42</v>
      </c>
      <c r="H93" s="41" t="s">
        <v>43</v>
      </c>
      <c r="I93" s="41" t="s">
        <v>44</v>
      </c>
      <c r="J93" s="41" t="s">
        <v>45</v>
      </c>
      <c r="K93" s="41" t="s">
        <v>46</v>
      </c>
      <c r="L93" s="41" t="s">
        <v>47</v>
      </c>
      <c r="M93" s="41" t="s">
        <v>48</v>
      </c>
      <c r="N93" s="41" t="s">
        <v>110</v>
      </c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customFormat="false" ht="14.25" hidden="false" customHeight="true" outlineLevel="0" collapsed="false">
      <c r="A94" s="18" t="s">
        <v>218</v>
      </c>
      <c r="B94" s="42" t="n">
        <f aca="false">B12</f>
        <v>0.12</v>
      </c>
      <c r="C94" s="42" t="n">
        <f aca="false">C12</f>
        <v>0.09</v>
      </c>
      <c r="D94" s="42" t="n">
        <f aca="false">D12</f>
        <v>0.08</v>
      </c>
      <c r="E94" s="42" t="n">
        <f aca="false">E12</f>
        <v>0.075</v>
      </c>
      <c r="F94" s="42" t="n">
        <f aca="false">F12</f>
        <v>0.07</v>
      </c>
      <c r="G94" s="42" t="n">
        <f aca="false">G12</f>
        <v>0.07</v>
      </c>
      <c r="H94" s="42" t="n">
        <f aca="false">H12</f>
        <v>0.075</v>
      </c>
      <c r="I94" s="42" t="n">
        <f aca="false">I12</f>
        <v>0.075</v>
      </c>
      <c r="J94" s="42" t="n">
        <f aca="false">J12</f>
        <v>0.075</v>
      </c>
      <c r="K94" s="42" t="n">
        <f aca="false">K12</f>
        <v>0.075</v>
      </c>
      <c r="L94" s="42" t="n">
        <f aca="false">L12</f>
        <v>0.075</v>
      </c>
      <c r="M94" s="42" t="n">
        <f aca="false">M12</f>
        <v>0.12</v>
      </c>
      <c r="N94" s="42" t="n">
        <f aca="false">SUM(B94:M94)</f>
        <v>1</v>
      </c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customFormat="false" ht="14.25" hidden="false" customHeight="true" outlineLevel="0" collapsed="false">
      <c r="A95" s="18" t="s">
        <v>219</v>
      </c>
      <c r="B95" s="42" t="n">
        <v>0</v>
      </c>
      <c r="C95" s="42" t="n">
        <f aca="false">MAX(0,$B$85-C94)</f>
        <v>0</v>
      </c>
      <c r="D95" s="42" t="n">
        <f aca="false">MAX(0,$B$85-D94)</f>
        <v>0.01</v>
      </c>
      <c r="E95" s="42" t="n">
        <f aca="false">MAX(0,$B$85-E94)</f>
        <v>0.015</v>
      </c>
      <c r="F95" s="42" t="n">
        <f aca="false">MAX(0,$B$85-F94)</f>
        <v>0.02</v>
      </c>
      <c r="G95" s="42" t="n">
        <f aca="false">MAX(0,$B$85-G94)</f>
        <v>0.02</v>
      </c>
      <c r="H95" s="42" t="n">
        <f aca="false">MAX(0,$B$85-H94)</f>
        <v>0.015</v>
      </c>
      <c r="I95" s="42" t="n">
        <f aca="false">MAX(0,$B$85-I94)</f>
        <v>0.015</v>
      </c>
      <c r="J95" s="42" t="n">
        <f aca="false">MAX(0,$B$85-J94)</f>
        <v>0.015</v>
      </c>
      <c r="K95" s="42" t="n">
        <f aca="false">MAX(0,$B$85-K94)</f>
        <v>0.015</v>
      </c>
      <c r="L95" s="42" t="n">
        <f aca="false">MAX(0,$B$85-L94)</f>
        <v>0.015</v>
      </c>
      <c r="M95" s="42" t="n">
        <v>0</v>
      </c>
      <c r="N95" s="42" t="n">
        <f aca="false">SUM(B95:M95)</f>
        <v>0.14</v>
      </c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customFormat="false" ht="14.25" hidden="false" customHeight="true" outlineLevel="0" collapsed="false">
      <c r="A96" s="18" t="s">
        <v>220</v>
      </c>
      <c r="B96" s="42" t="n">
        <v>0</v>
      </c>
      <c r="C96" s="42" t="n">
        <f aca="false">MIN(C95,MAX(0,$E$88-SUM(D95:L95)))</f>
        <v>0</v>
      </c>
      <c r="D96" s="42" t="n">
        <f aca="false">MIN(D95,MAX(0,$E$88-SUM(E95:L95)))</f>
        <v>0</v>
      </c>
      <c r="E96" s="42" t="n">
        <f aca="false">MIN(E95,MAX(0,$E$88-SUM(F95:L95)))</f>
        <v>0</v>
      </c>
      <c r="F96" s="42" t="n">
        <f aca="false">MIN(F95,MAX(0,$E$88-SUM(G95:L95)))</f>
        <v>0</v>
      </c>
      <c r="G96" s="42" t="n">
        <f aca="false">MIN(G95,MAX(0,$E$88-SUM(H95:L95)))</f>
        <v>0</v>
      </c>
      <c r="H96" s="42" t="n">
        <f aca="false">MIN(H95,MAX(0,$E$88-SUM(I95:L95)))</f>
        <v>0</v>
      </c>
      <c r="I96" s="42" t="n">
        <f aca="false">MIN(I95,MAX(0,$E$88-SUM(J95:L95)))</f>
        <v>0.0149999999999999</v>
      </c>
      <c r="J96" s="42" t="n">
        <f aca="false">MIN(J95,MAX(0,$E$88-SUM(K95:L95)))</f>
        <v>0.015</v>
      </c>
      <c r="K96" s="42" t="n">
        <f aca="false">MIN(K95,MAX(0,$E$88-SUM(L95)))</f>
        <v>0.015</v>
      </c>
      <c r="L96" s="42" t="n">
        <f aca="false">MIN(L95,MAX(0,$E$88-0))</f>
        <v>0.015</v>
      </c>
      <c r="M96" s="42" t="n">
        <v>0</v>
      </c>
      <c r="N96" s="42" t="n">
        <f aca="false">SUM(B96:M96)</f>
        <v>0.06</v>
      </c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customFormat="false" ht="14.25" hidden="false" customHeight="true" outlineLevel="0" collapsed="false">
      <c r="A97" s="38" t="s">
        <v>221</v>
      </c>
      <c r="B97" s="39" t="n">
        <f aca="false">MIN(B94,$B$85)</f>
        <v>0.09</v>
      </c>
      <c r="C97" s="39" t="n">
        <f aca="false">C94+C96</f>
        <v>0.09</v>
      </c>
      <c r="D97" s="39" t="n">
        <f aca="false">D94+D96</f>
        <v>0.08</v>
      </c>
      <c r="E97" s="39" t="n">
        <f aca="false">E94+E96</f>
        <v>0.075</v>
      </c>
      <c r="F97" s="39" t="n">
        <f aca="false">F94+F96</f>
        <v>0.07</v>
      </c>
      <c r="G97" s="39" t="n">
        <f aca="false">G94+G96</f>
        <v>0.07</v>
      </c>
      <c r="H97" s="39" t="n">
        <f aca="false">H94+H96</f>
        <v>0.075</v>
      </c>
      <c r="I97" s="39" t="n">
        <f aca="false">I94+I96</f>
        <v>0.0899999999999999</v>
      </c>
      <c r="J97" s="39" t="n">
        <f aca="false">J94+J96</f>
        <v>0.09</v>
      </c>
      <c r="K97" s="39" t="n">
        <f aca="false">K94+K96</f>
        <v>0.09</v>
      </c>
      <c r="L97" s="39" t="n">
        <f aca="false">L94+L96</f>
        <v>0.09</v>
      </c>
      <c r="M97" s="39" t="n">
        <f aca="false">MIN(M94,$B$85)</f>
        <v>0.09</v>
      </c>
      <c r="N97" s="44" t="n">
        <f aca="false">SUM(B97:M97)</f>
        <v>1</v>
      </c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customFormat="false" ht="14.25" hidden="false" customHeight="true" outlineLevel="0" collapsed="false">
      <c r="A98" s="41" t="s">
        <v>222</v>
      </c>
      <c r="B98" s="41" t="s">
        <v>37</v>
      </c>
      <c r="C98" s="41" t="s">
        <v>38</v>
      </c>
      <c r="D98" s="41" t="s">
        <v>39</v>
      </c>
      <c r="E98" s="41" t="s">
        <v>40</v>
      </c>
      <c r="F98" s="41" t="s">
        <v>41</v>
      </c>
      <c r="G98" s="41" t="s">
        <v>42</v>
      </c>
      <c r="H98" s="41" t="s">
        <v>43</v>
      </c>
      <c r="I98" s="41" t="s">
        <v>44</v>
      </c>
      <c r="J98" s="41" t="s">
        <v>45</v>
      </c>
      <c r="K98" s="41" t="s">
        <v>46</v>
      </c>
      <c r="L98" s="41" t="s">
        <v>47</v>
      </c>
      <c r="M98" s="41" t="s">
        <v>48</v>
      </c>
      <c r="N98" s="41" t="s">
        <v>110</v>
      </c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customFormat="false" ht="14.25" hidden="false" customHeight="true" outlineLevel="0" collapsed="false">
      <c r="A99" s="18" t="s">
        <v>218</v>
      </c>
      <c r="B99" s="42" t="n">
        <f aca="false">B13</f>
        <v>0.1</v>
      </c>
      <c r="C99" s="42" t="n">
        <f aca="false">C13</f>
        <v>0.08</v>
      </c>
      <c r="D99" s="42" t="n">
        <f aca="false">D13</f>
        <v>0.085</v>
      </c>
      <c r="E99" s="42" t="n">
        <f aca="false">E13</f>
        <v>0.085</v>
      </c>
      <c r="F99" s="42" t="n">
        <f aca="false">F13</f>
        <v>0.08</v>
      </c>
      <c r="G99" s="42" t="n">
        <f aca="false">G13</f>
        <v>0.075</v>
      </c>
      <c r="H99" s="42" t="n">
        <f aca="false">H13</f>
        <v>0.08</v>
      </c>
      <c r="I99" s="42" t="n">
        <f aca="false">I13</f>
        <v>0.08</v>
      </c>
      <c r="J99" s="42" t="n">
        <f aca="false">J13</f>
        <v>0.08</v>
      </c>
      <c r="K99" s="42" t="n">
        <f aca="false">K13</f>
        <v>0.075</v>
      </c>
      <c r="L99" s="42" t="n">
        <f aca="false">L13</f>
        <v>0.07</v>
      </c>
      <c r="M99" s="42" t="n">
        <f aca="false">M13</f>
        <v>0.11</v>
      </c>
      <c r="N99" s="42" t="n">
        <f aca="false">SUM(B99:M99)</f>
        <v>1</v>
      </c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customFormat="false" ht="14.25" hidden="false" customHeight="true" outlineLevel="0" collapsed="false">
      <c r="A100" s="18" t="s">
        <v>219</v>
      </c>
      <c r="B100" s="42" t="n">
        <v>0</v>
      </c>
      <c r="C100" s="42" t="n">
        <f aca="false">MAX(0,$B$85-C99)</f>
        <v>0.01</v>
      </c>
      <c r="D100" s="42" t="n">
        <f aca="false">MAX(0,$B$85-D99)</f>
        <v>0.005</v>
      </c>
      <c r="E100" s="42" t="n">
        <f aca="false">MAX(0,$B$85-E99)</f>
        <v>0.005</v>
      </c>
      <c r="F100" s="42" t="n">
        <f aca="false">MAX(0,$B$85-F99)</f>
        <v>0.01</v>
      </c>
      <c r="G100" s="42" t="n">
        <f aca="false">MAX(0,$B$85-G99)</f>
        <v>0.015</v>
      </c>
      <c r="H100" s="42" t="n">
        <f aca="false">MAX(0,$B$85-H99)</f>
        <v>0.01</v>
      </c>
      <c r="I100" s="42" t="n">
        <f aca="false">MAX(0,$B$85-I99)</f>
        <v>0.01</v>
      </c>
      <c r="J100" s="42" t="n">
        <f aca="false">MAX(0,$B$85-J99)</f>
        <v>0.01</v>
      </c>
      <c r="K100" s="42" t="n">
        <f aca="false">MAX(0,$B$85-K99)</f>
        <v>0.015</v>
      </c>
      <c r="L100" s="42" t="n">
        <f aca="false">MAX(0,$B$85-L99)</f>
        <v>0.02</v>
      </c>
      <c r="M100" s="42" t="n">
        <v>0</v>
      </c>
      <c r="N100" s="42" t="n">
        <f aca="false">SUM(B100:M100)</f>
        <v>0.11</v>
      </c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customFormat="false" ht="14.25" hidden="false" customHeight="true" outlineLevel="0" collapsed="false">
      <c r="A101" s="18" t="s">
        <v>220</v>
      </c>
      <c r="B101" s="42" t="n">
        <v>0</v>
      </c>
      <c r="C101" s="42" t="n">
        <f aca="false">MIN(C100,MAX(0,$E$89-SUM(D100:L100)))</f>
        <v>0</v>
      </c>
      <c r="D101" s="42" t="n">
        <f aca="false">MIN(D100,MAX(0,$E$89-SUM(E100:L100)))</f>
        <v>0</v>
      </c>
      <c r="E101" s="42" t="n">
        <f aca="false">MIN(E100,MAX(0,$E$89-SUM(F100:L100)))</f>
        <v>0</v>
      </c>
      <c r="F101" s="42" t="n">
        <f aca="false">MIN(F100,MAX(0,$E$89-SUM(G100:L100)))</f>
        <v>0</v>
      </c>
      <c r="G101" s="42" t="n">
        <f aca="false">MIN(G100,MAX(0,$E$89-SUM(H100:L100)))</f>
        <v>0</v>
      </c>
      <c r="H101" s="42" t="n">
        <f aca="false">MIN(H100,MAX(0,$E$89-SUM(I100:L100)))</f>
        <v>0</v>
      </c>
      <c r="I101" s="42" t="n">
        <f aca="false">MIN(I100,MAX(0,$E$89-SUM(J100:L100)))</f>
        <v>0</v>
      </c>
      <c r="J101" s="42" t="n">
        <f aca="false">MIN(J100,MAX(0,$E$89-SUM(K100:L100)))</f>
        <v>0</v>
      </c>
      <c r="K101" s="42" t="n">
        <f aca="false">MIN(K100,MAX(0,$E$89-SUM(L100)))</f>
        <v>0.00999999999999998</v>
      </c>
      <c r="L101" s="42" t="n">
        <f aca="false">MIN(L100,MAX(0,$E$89-0))</f>
        <v>0.02</v>
      </c>
      <c r="M101" s="42" t="n">
        <v>0</v>
      </c>
      <c r="N101" s="42" t="n">
        <f aca="false">SUM(B101:M101)</f>
        <v>0.03</v>
      </c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customFormat="false" ht="14.25" hidden="false" customHeight="true" outlineLevel="0" collapsed="false">
      <c r="A102" s="38" t="s">
        <v>221</v>
      </c>
      <c r="B102" s="39" t="n">
        <f aca="false">MIN(B99,$B$85)</f>
        <v>0.09</v>
      </c>
      <c r="C102" s="39" t="n">
        <f aca="false">C99+C101</f>
        <v>0.08</v>
      </c>
      <c r="D102" s="39" t="n">
        <f aca="false">D99+D101</f>
        <v>0.085</v>
      </c>
      <c r="E102" s="39" t="n">
        <f aca="false">E99+E101</f>
        <v>0.085</v>
      </c>
      <c r="F102" s="39" t="n">
        <f aca="false">F99+F101</f>
        <v>0.08</v>
      </c>
      <c r="G102" s="39" t="n">
        <f aca="false">G99+G101</f>
        <v>0.075</v>
      </c>
      <c r="H102" s="39" t="n">
        <f aca="false">H99+H101</f>
        <v>0.08</v>
      </c>
      <c r="I102" s="39" t="n">
        <f aca="false">I99+I101</f>
        <v>0.08</v>
      </c>
      <c r="J102" s="39" t="n">
        <f aca="false">J99+J101</f>
        <v>0.08</v>
      </c>
      <c r="K102" s="39" t="n">
        <f aca="false">K99+K101</f>
        <v>0.085</v>
      </c>
      <c r="L102" s="39" t="n">
        <f aca="false">L99+L101</f>
        <v>0.09</v>
      </c>
      <c r="M102" s="39" t="n">
        <f aca="false">MIN(M99,$B$85)</f>
        <v>0.09</v>
      </c>
      <c r="N102" s="44" t="n">
        <f aca="false">SUM(B102:M102)</f>
        <v>1</v>
      </c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customFormat="false" ht="14.25" hidden="false" customHeight="true" outlineLevel="0" collapsed="false">
      <c r="A103" s="41" t="s">
        <v>223</v>
      </c>
      <c r="B103" s="41" t="s">
        <v>37</v>
      </c>
      <c r="C103" s="41" t="s">
        <v>38</v>
      </c>
      <c r="D103" s="41" t="s">
        <v>39</v>
      </c>
      <c r="E103" s="41" t="s">
        <v>40</v>
      </c>
      <c r="F103" s="41" t="s">
        <v>41</v>
      </c>
      <c r="G103" s="41" t="s">
        <v>42</v>
      </c>
      <c r="H103" s="41" t="s">
        <v>43</v>
      </c>
      <c r="I103" s="41" t="s">
        <v>44</v>
      </c>
      <c r="J103" s="41" t="s">
        <v>45</v>
      </c>
      <c r="K103" s="41" t="s">
        <v>46</v>
      </c>
      <c r="L103" s="41" t="s">
        <v>47</v>
      </c>
      <c r="M103" s="41" t="s">
        <v>48</v>
      </c>
      <c r="N103" s="41" t="s">
        <v>110</v>
      </c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customFormat="false" ht="14.25" hidden="false" customHeight="true" outlineLevel="0" collapsed="false">
      <c r="A104" s="18" t="s">
        <v>218</v>
      </c>
      <c r="B104" s="42" t="n">
        <f aca="false">B14</f>
        <v>0.1</v>
      </c>
      <c r="C104" s="42" t="n">
        <f aca="false">C14</f>
        <v>0.08</v>
      </c>
      <c r="D104" s="42" t="n">
        <f aca="false">D14</f>
        <v>0.085</v>
      </c>
      <c r="E104" s="42" t="n">
        <f aca="false">E14</f>
        <v>0.085</v>
      </c>
      <c r="F104" s="42" t="n">
        <f aca="false">F14</f>
        <v>0.08</v>
      </c>
      <c r="G104" s="42" t="n">
        <f aca="false">G14</f>
        <v>0.075</v>
      </c>
      <c r="H104" s="42" t="n">
        <f aca="false">H14</f>
        <v>0.08</v>
      </c>
      <c r="I104" s="42" t="n">
        <f aca="false">I14</f>
        <v>0.08</v>
      </c>
      <c r="J104" s="42" t="n">
        <f aca="false">J14</f>
        <v>0.08</v>
      </c>
      <c r="K104" s="42" t="n">
        <f aca="false">K14</f>
        <v>0.075</v>
      </c>
      <c r="L104" s="42" t="n">
        <f aca="false">L14</f>
        <v>0.07</v>
      </c>
      <c r="M104" s="42" t="n">
        <f aca="false">M14</f>
        <v>0.11</v>
      </c>
      <c r="N104" s="42" t="n">
        <f aca="false">SUM(B104:M104)</f>
        <v>1</v>
      </c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customFormat="false" ht="14.25" hidden="false" customHeight="true" outlineLevel="0" collapsed="false">
      <c r="A105" s="18" t="s">
        <v>219</v>
      </c>
      <c r="B105" s="42" t="n">
        <v>0</v>
      </c>
      <c r="C105" s="42" t="n">
        <f aca="false">MAX(0,$B$85-C104)</f>
        <v>0.01</v>
      </c>
      <c r="D105" s="42" t="n">
        <f aca="false">MAX(0,$B$85-D104)</f>
        <v>0.005</v>
      </c>
      <c r="E105" s="42" t="n">
        <f aca="false">MAX(0,$B$85-E104)</f>
        <v>0.005</v>
      </c>
      <c r="F105" s="42" t="n">
        <f aca="false">MAX(0,$B$85-F104)</f>
        <v>0.01</v>
      </c>
      <c r="G105" s="42" t="n">
        <f aca="false">MAX(0,$B$85-G104)</f>
        <v>0.015</v>
      </c>
      <c r="H105" s="42" t="n">
        <f aca="false">MAX(0,$B$85-H104)</f>
        <v>0.01</v>
      </c>
      <c r="I105" s="42" t="n">
        <f aca="false">MAX(0,$B$85-I104)</f>
        <v>0.01</v>
      </c>
      <c r="J105" s="42" t="n">
        <f aca="false">MAX(0,$B$85-J104)</f>
        <v>0.01</v>
      </c>
      <c r="K105" s="42" t="n">
        <f aca="false">MAX(0,$B$85-K104)</f>
        <v>0.015</v>
      </c>
      <c r="L105" s="42" t="n">
        <f aca="false">MAX(0,$B$85-L104)</f>
        <v>0.02</v>
      </c>
      <c r="M105" s="42" t="n">
        <v>0</v>
      </c>
      <c r="N105" s="42" t="n">
        <f aca="false">SUM(B105:M105)</f>
        <v>0.11</v>
      </c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customFormat="false" ht="14.25" hidden="false" customHeight="true" outlineLevel="0" collapsed="false">
      <c r="A106" s="18" t="s">
        <v>220</v>
      </c>
      <c r="B106" s="42" t="n">
        <v>0</v>
      </c>
      <c r="C106" s="42" t="n">
        <f aca="false">MIN(C105,MAX(0,$E$90-SUM(D105:L105)))</f>
        <v>0</v>
      </c>
      <c r="D106" s="42" t="n">
        <f aca="false">MIN(D105,MAX(0,$E$90-SUM(E105:L105)))</f>
        <v>0</v>
      </c>
      <c r="E106" s="42" t="n">
        <f aca="false">MIN(E105,MAX(0,$E$90-SUM(F105:L105)))</f>
        <v>0</v>
      </c>
      <c r="F106" s="42" t="n">
        <f aca="false">MIN(F105,MAX(0,$E$90-SUM(G105:L105)))</f>
        <v>0</v>
      </c>
      <c r="G106" s="42" t="n">
        <f aca="false">MIN(G105,MAX(0,$E$90-SUM(H105:L105)))</f>
        <v>0</v>
      </c>
      <c r="H106" s="42" t="n">
        <f aca="false">MIN(H105,MAX(0,$E$90-SUM(I105:L105)))</f>
        <v>0</v>
      </c>
      <c r="I106" s="42" t="n">
        <f aca="false">MIN(I105,MAX(0,$E$90-SUM(J105:L105)))</f>
        <v>0</v>
      </c>
      <c r="J106" s="42" t="n">
        <f aca="false">MIN(J105,MAX(0,$E$90-SUM(K105:L105)))</f>
        <v>0</v>
      </c>
      <c r="K106" s="42" t="n">
        <f aca="false">MIN(K105,MAX(0,$E$90-SUM(L105)))</f>
        <v>0.00999999999999998</v>
      </c>
      <c r="L106" s="42" t="n">
        <f aca="false">MIN(L105,MAX(0,$E$90-0))</f>
        <v>0.02</v>
      </c>
      <c r="M106" s="42" t="n">
        <v>0</v>
      </c>
      <c r="N106" s="42" t="n">
        <f aca="false">SUM(B106:M106)</f>
        <v>0.03</v>
      </c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customFormat="false" ht="14.25" hidden="false" customHeight="true" outlineLevel="0" collapsed="false">
      <c r="A107" s="38" t="s">
        <v>221</v>
      </c>
      <c r="B107" s="39" t="n">
        <f aca="false">MIN(B104,$B$85)</f>
        <v>0.09</v>
      </c>
      <c r="C107" s="39" t="n">
        <f aca="false">C104+C106</f>
        <v>0.08</v>
      </c>
      <c r="D107" s="39" t="n">
        <f aca="false">D104+D106</f>
        <v>0.085</v>
      </c>
      <c r="E107" s="39" t="n">
        <f aca="false">E104+E106</f>
        <v>0.085</v>
      </c>
      <c r="F107" s="39" t="n">
        <f aca="false">F104+F106</f>
        <v>0.08</v>
      </c>
      <c r="G107" s="39" t="n">
        <f aca="false">G104+G106</f>
        <v>0.075</v>
      </c>
      <c r="H107" s="39" t="n">
        <f aca="false">H104+H106</f>
        <v>0.08</v>
      </c>
      <c r="I107" s="39" t="n">
        <f aca="false">I104+I106</f>
        <v>0.08</v>
      </c>
      <c r="J107" s="39" t="n">
        <f aca="false">J104+J106</f>
        <v>0.08</v>
      </c>
      <c r="K107" s="39" t="n">
        <f aca="false">K104+K106</f>
        <v>0.085</v>
      </c>
      <c r="L107" s="39" t="n">
        <f aca="false">L104+L106</f>
        <v>0.09</v>
      </c>
      <c r="M107" s="39" t="n">
        <f aca="false">MIN(M104,$B$85)</f>
        <v>0.09</v>
      </c>
      <c r="N107" s="44" t="n">
        <f aca="false">SUM(B107:M107)</f>
        <v>1</v>
      </c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customFormat="false" ht="14.25" hidden="false" customHeight="true" outlineLevel="0" collapsed="false">
      <c r="A108" s="41" t="s">
        <v>224</v>
      </c>
      <c r="B108" s="41" t="s">
        <v>37</v>
      </c>
      <c r="C108" s="41" t="s">
        <v>38</v>
      </c>
      <c r="D108" s="41" t="s">
        <v>39</v>
      </c>
      <c r="E108" s="41" t="s">
        <v>40</v>
      </c>
      <c r="F108" s="41" t="s">
        <v>41</v>
      </c>
      <c r="G108" s="41" t="s">
        <v>42</v>
      </c>
      <c r="H108" s="41" t="s">
        <v>43</v>
      </c>
      <c r="I108" s="41" t="s">
        <v>44</v>
      </c>
      <c r="J108" s="41" t="s">
        <v>45</v>
      </c>
      <c r="K108" s="41" t="s">
        <v>46</v>
      </c>
      <c r="L108" s="41" t="s">
        <v>47</v>
      </c>
      <c r="M108" s="41" t="s">
        <v>48</v>
      </c>
      <c r="N108" s="41" t="s">
        <v>110</v>
      </c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customFormat="false" ht="14.25" hidden="false" customHeight="true" outlineLevel="0" collapsed="false">
      <c r="A109" s="18" t="s">
        <v>218</v>
      </c>
      <c r="B109" s="42" t="n">
        <f aca="false">B15</f>
        <v>0.1</v>
      </c>
      <c r="C109" s="42" t="n">
        <f aca="false">C15</f>
        <v>0.08</v>
      </c>
      <c r="D109" s="42" t="n">
        <f aca="false">D15</f>
        <v>0.085</v>
      </c>
      <c r="E109" s="42" t="n">
        <f aca="false">E15</f>
        <v>0.085</v>
      </c>
      <c r="F109" s="42" t="n">
        <f aca="false">F15</f>
        <v>0.08</v>
      </c>
      <c r="G109" s="42" t="n">
        <f aca="false">G15</f>
        <v>0.075</v>
      </c>
      <c r="H109" s="42" t="n">
        <f aca="false">H15</f>
        <v>0.08</v>
      </c>
      <c r="I109" s="42" t="n">
        <f aca="false">I15</f>
        <v>0.08</v>
      </c>
      <c r="J109" s="42" t="n">
        <f aca="false">J15</f>
        <v>0.08</v>
      </c>
      <c r="K109" s="42" t="n">
        <f aca="false">K15</f>
        <v>0.075</v>
      </c>
      <c r="L109" s="42" t="n">
        <f aca="false">L15</f>
        <v>0.07</v>
      </c>
      <c r="M109" s="42" t="n">
        <f aca="false">M15</f>
        <v>0.11</v>
      </c>
      <c r="N109" s="42" t="n">
        <f aca="false">SUM(B109:M109)</f>
        <v>1</v>
      </c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customFormat="false" ht="14.25" hidden="false" customHeight="true" outlineLevel="0" collapsed="false">
      <c r="A110" s="18" t="s">
        <v>219</v>
      </c>
      <c r="B110" s="42" t="n">
        <v>0</v>
      </c>
      <c r="C110" s="42" t="n">
        <f aca="false">MAX(0,$B$85-C109)</f>
        <v>0.01</v>
      </c>
      <c r="D110" s="42" t="n">
        <f aca="false">MAX(0,$B$85-D109)</f>
        <v>0.005</v>
      </c>
      <c r="E110" s="42" t="n">
        <f aca="false">MAX(0,$B$85-E109)</f>
        <v>0.005</v>
      </c>
      <c r="F110" s="42" t="n">
        <f aca="false">MAX(0,$B$85-F109)</f>
        <v>0.01</v>
      </c>
      <c r="G110" s="42" t="n">
        <f aca="false">MAX(0,$B$85-G109)</f>
        <v>0.015</v>
      </c>
      <c r="H110" s="42" t="n">
        <f aca="false">MAX(0,$B$85-H109)</f>
        <v>0.01</v>
      </c>
      <c r="I110" s="42" t="n">
        <f aca="false">MAX(0,$B$85-I109)</f>
        <v>0.01</v>
      </c>
      <c r="J110" s="42" t="n">
        <f aca="false">MAX(0,$B$85-J109)</f>
        <v>0.01</v>
      </c>
      <c r="K110" s="42" t="n">
        <f aca="false">MAX(0,$B$85-K109)</f>
        <v>0.015</v>
      </c>
      <c r="L110" s="42" t="n">
        <f aca="false">MAX(0,$B$85-L109)</f>
        <v>0.02</v>
      </c>
      <c r="M110" s="42" t="n">
        <v>0</v>
      </c>
      <c r="N110" s="42" t="n">
        <f aca="false">SUM(B110:M110)</f>
        <v>0.11</v>
      </c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customFormat="false" ht="14.25" hidden="false" customHeight="true" outlineLevel="0" collapsed="false">
      <c r="A111" s="18" t="s">
        <v>220</v>
      </c>
      <c r="B111" s="42" t="n">
        <v>0</v>
      </c>
      <c r="C111" s="42" t="n">
        <f aca="false">MIN(C110,MAX(0,$E$91-SUM(D110:L110)))</f>
        <v>0</v>
      </c>
      <c r="D111" s="42" t="n">
        <f aca="false">MIN(D110,MAX(0,$E$91-SUM(E110:L110)))</f>
        <v>0</v>
      </c>
      <c r="E111" s="42" t="n">
        <f aca="false">MIN(E110,MAX(0,$E$91-SUM(F110:L110)))</f>
        <v>0</v>
      </c>
      <c r="F111" s="42" t="n">
        <f aca="false">MIN(F110,MAX(0,$E$91-SUM(G110:L110)))</f>
        <v>0</v>
      </c>
      <c r="G111" s="42" t="n">
        <f aca="false">MIN(G110,MAX(0,$E$91-SUM(H110:L110)))</f>
        <v>0</v>
      </c>
      <c r="H111" s="42" t="n">
        <f aca="false">MIN(H110,MAX(0,$E$91-SUM(I110:L110)))</f>
        <v>0</v>
      </c>
      <c r="I111" s="42" t="n">
        <f aca="false">MIN(I110,MAX(0,$E$91-SUM(J110:L110)))</f>
        <v>0</v>
      </c>
      <c r="J111" s="42" t="n">
        <f aca="false">MIN(J110,MAX(0,$E$91-SUM(K110:L110)))</f>
        <v>0</v>
      </c>
      <c r="K111" s="42" t="n">
        <f aca="false">MIN(K110,MAX(0,$E$91-SUM(L110)))</f>
        <v>0.00999999999999998</v>
      </c>
      <c r="L111" s="42" t="n">
        <f aca="false">MIN(L110,MAX(0,$E$91-0))</f>
        <v>0.02</v>
      </c>
      <c r="M111" s="42" t="n">
        <v>0</v>
      </c>
      <c r="N111" s="42" t="n">
        <f aca="false">SUM(B111:M111)</f>
        <v>0.03</v>
      </c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customFormat="false" ht="14.25" hidden="false" customHeight="true" outlineLevel="0" collapsed="false">
      <c r="A112" s="38" t="s">
        <v>221</v>
      </c>
      <c r="B112" s="39" t="n">
        <f aca="false">MIN(B109,$B$85)</f>
        <v>0.09</v>
      </c>
      <c r="C112" s="39" t="n">
        <f aca="false">C109+C111</f>
        <v>0.08</v>
      </c>
      <c r="D112" s="39" t="n">
        <f aca="false">D109+D111</f>
        <v>0.085</v>
      </c>
      <c r="E112" s="39" t="n">
        <f aca="false">E109+E111</f>
        <v>0.085</v>
      </c>
      <c r="F112" s="39" t="n">
        <f aca="false">F109+F111</f>
        <v>0.08</v>
      </c>
      <c r="G112" s="39" t="n">
        <f aca="false">G109+G111</f>
        <v>0.075</v>
      </c>
      <c r="H112" s="39" t="n">
        <f aca="false">H109+H111</f>
        <v>0.08</v>
      </c>
      <c r="I112" s="39" t="n">
        <f aca="false">I109+I111</f>
        <v>0.08</v>
      </c>
      <c r="J112" s="39" t="n">
        <f aca="false">J109+J111</f>
        <v>0.08</v>
      </c>
      <c r="K112" s="39" t="n">
        <f aca="false">K109+K111</f>
        <v>0.085</v>
      </c>
      <c r="L112" s="39" t="n">
        <f aca="false">L109+L111</f>
        <v>0.09</v>
      </c>
      <c r="M112" s="39" t="n">
        <f aca="false">MIN(M109,$B$85)</f>
        <v>0.09</v>
      </c>
      <c r="N112" s="44" t="n">
        <f aca="false">SUM(B112:M112)</f>
        <v>1</v>
      </c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customFormat="false" ht="14.25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customFormat="false" ht="14.25" hidden="false" customHeight="true" outlineLevel="0" collapsed="false">
      <c r="A114" s="37" t="s">
        <v>225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customFormat="false" ht="14.25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customFormat="false" ht="14.25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customFormat="false" ht="14.25" hidden="false" customHeight="true" outlineLevel="0" collapsed="false">
      <c r="A117" s="45" t="s">
        <v>226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customFormat="false" ht="14.25" hidden="false" customHeight="true" outlineLevel="0" collapsed="false">
      <c r="A118" s="17" t="s">
        <v>227</v>
      </c>
      <c r="B118" s="46" t="n">
        <f aca="false">Links!F49</f>
        <v>20</v>
      </c>
      <c r="C118" s="17" t="s">
        <v>228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customFormat="false" ht="14.25" hidden="false" customHeight="true" outlineLevel="0" collapsed="false">
      <c r="A119" s="17" t="s">
        <v>229</v>
      </c>
      <c r="B119" s="46" t="n">
        <f aca="false">Links!G49</f>
        <v>20</v>
      </c>
      <c r="C119" s="17" t="s">
        <v>230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customFormat="false" ht="14.25" hidden="false" customHeight="true" outlineLevel="0" collapsed="false">
      <c r="A120" s="17" t="s">
        <v>231</v>
      </c>
      <c r="B120" s="47" t="n">
        <v>0.5</v>
      </c>
      <c r="C120" s="17" t="s">
        <v>232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customFormat="false" ht="14.25" hidden="false" customHeight="true" outlineLevel="0" collapsed="false">
      <c r="A121" s="17" t="s">
        <v>233</v>
      </c>
      <c r="B121" s="48"/>
      <c r="C121" s="17" t="s">
        <v>234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customFormat="false" ht="14.25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customFormat="false" ht="14.25" hidden="false" customHeight="true" outlineLevel="0" collapsed="false">
      <c r="A123" s="25" t="s">
        <v>109</v>
      </c>
      <c r="B123" s="25" t="s">
        <v>235</v>
      </c>
      <c r="C123" s="25" t="s">
        <v>53</v>
      </c>
      <c r="D123" s="25" t="s">
        <v>54</v>
      </c>
      <c r="E123" s="25" t="s">
        <v>55</v>
      </c>
      <c r="F123" s="25" t="s">
        <v>236</v>
      </c>
      <c r="G123" s="25" t="s">
        <v>237</v>
      </c>
      <c r="H123" s="25" t="s">
        <v>238</v>
      </c>
      <c r="I123" s="25" t="s">
        <v>239</v>
      </c>
      <c r="J123" s="25" t="s">
        <v>240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customFormat="false" ht="14.25" hidden="false" customHeight="true" outlineLevel="0" collapsed="false">
      <c r="A124" s="17" t="s">
        <v>111</v>
      </c>
      <c r="B124" s="17" t="s">
        <v>241</v>
      </c>
      <c r="C124" s="49" t="n">
        <f aca="false">Links!B49</f>
        <v>45</v>
      </c>
      <c r="D124" s="49" t="n">
        <f aca="false">Links!C49</f>
        <v>9</v>
      </c>
      <c r="E124" s="49" t="n">
        <f aca="false">Links!D49</f>
        <v>5</v>
      </c>
      <c r="F124" s="50" t="n">
        <v>0.3</v>
      </c>
      <c r="G124" s="50" t="n">
        <v>2</v>
      </c>
      <c r="H124" s="50" t="n">
        <f aca="false">(D124*MAX(F124,1/$B$118)+G124*$B$120)*60/C124</f>
        <v>4.93333333333333</v>
      </c>
      <c r="I124" s="50" t="n">
        <f aca="false">(E124*MAX(F124,1/$B$119)+G124*(1-$B$120))*60/C124</f>
        <v>3.33333333333333</v>
      </c>
      <c r="J124" s="51" t="n">
        <f aca="false">datos_base!$K$2+datos_base!$K$9</f>
        <v>202620.63913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customFormat="false" ht="14.25" hidden="false" customHeight="true" outlineLevel="0" collapsed="false">
      <c r="A125" s="17" t="s">
        <v>113</v>
      </c>
      <c r="B125" s="17" t="s">
        <v>241</v>
      </c>
      <c r="C125" s="49" t="n">
        <f aca="false">Links!B50</f>
        <v>27</v>
      </c>
      <c r="D125" s="49" t="n">
        <f aca="false">Links!C50</f>
        <v>9</v>
      </c>
      <c r="E125" s="49" t="n">
        <f aca="false">Links!D50</f>
        <v>3</v>
      </c>
      <c r="F125" s="50" t="n">
        <v>0.3</v>
      </c>
      <c r="G125" s="50" t="n">
        <v>2</v>
      </c>
      <c r="H125" s="50" t="n">
        <f aca="false">(D125*MAX(F125,1/$B$118)+G125*$B$120)*60/C125</f>
        <v>8.22222222222222</v>
      </c>
      <c r="I125" s="50" t="n">
        <f aca="false">(E125*MAX(F125,1/$B$119)+G125*(1-$B$120))*60/C125</f>
        <v>4.22222222222222</v>
      </c>
      <c r="J125" s="51" t="n">
        <f aca="false">datos_base!$K$3+datos_base!$K$10</f>
        <v>14126.338444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customFormat="false" ht="14.25" hidden="false" customHeight="true" outlineLevel="0" collapsed="false">
      <c r="A126" s="17" t="s">
        <v>115</v>
      </c>
      <c r="B126" s="17" t="s">
        <v>242</v>
      </c>
      <c r="C126" s="49" t="n">
        <f aca="false">Links!B51</f>
        <v>12</v>
      </c>
      <c r="D126" s="49" t="n">
        <f aca="false">Links!C51</f>
        <v>4</v>
      </c>
      <c r="E126" s="49" t="n">
        <f aca="false">Links!D51</f>
        <v>3</v>
      </c>
      <c r="F126" s="50" t="n">
        <v>0.3</v>
      </c>
      <c r="G126" s="50" t="n">
        <v>2</v>
      </c>
      <c r="H126" s="50" t="n">
        <f aca="false">(D126*MAX(F126,1/$B$118)+G126*$B$120)*60/C126</f>
        <v>11</v>
      </c>
      <c r="I126" s="50" t="n">
        <f aca="false">(E126*MAX(F126,1/$B$119)+G126*(1-$B$120))*60/C126</f>
        <v>9.5</v>
      </c>
      <c r="J126" s="51" t="n">
        <f aca="false">datos_base!$K$4+datos_base!$K$11</f>
        <v>63852.65872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customFormat="false" ht="14.25" hidden="false" customHeight="true" outlineLevel="0" collapsed="false">
      <c r="A127" s="17" t="s">
        <v>116</v>
      </c>
      <c r="B127" s="17" t="s">
        <v>243</v>
      </c>
      <c r="C127" s="49" t="n">
        <f aca="false">Links!B52</f>
        <v>15</v>
      </c>
      <c r="D127" s="49" t="n">
        <f aca="false">Links!C52</f>
        <v>5</v>
      </c>
      <c r="E127" s="49" t="n">
        <f aca="false">Links!D52</f>
        <v>3.75</v>
      </c>
      <c r="F127" s="50" t="n">
        <v>0.4</v>
      </c>
      <c r="G127" s="50" t="n">
        <v>3</v>
      </c>
      <c r="H127" s="50" t="n">
        <f aca="false">(D127*MAX(F127,1/$B$118)+G127*$B$120)*60/C127</f>
        <v>14</v>
      </c>
      <c r="I127" s="50" t="n">
        <f aca="false">(E127*MAX(F127,1/$B$119)+G127*(1-$B$120))*60/C127</f>
        <v>12</v>
      </c>
      <c r="J127" s="51" t="n">
        <f aca="false">datos_base!$K$5+datos_base!$K$12</f>
        <v>3862.928079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customFormat="false" ht="14.25" hidden="false" customHeight="true" outlineLevel="0" collapsed="false">
      <c r="A128" s="45" t="s">
        <v>244</v>
      </c>
      <c r="B128" s="17"/>
      <c r="C128" s="17"/>
      <c r="D128" s="17"/>
      <c r="E128" s="17"/>
      <c r="F128" s="17"/>
      <c r="G128" s="52"/>
      <c r="H128" s="50" t="n">
        <f aca="false">SUMPRODUCT(H124:H127,$J$124:$J$127)/SUM($J$124:$J$127)</f>
        <v>6.58155244457863</v>
      </c>
      <c r="I128" s="50" t="n">
        <f aca="false">SUMPRODUCT(I124:I127,$J$124:$J$127)/SUM($J$124:$J$127)</f>
        <v>4.87938393010552</v>
      </c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customFormat="false" ht="14.25" hidden="false" customHeight="true" outlineLevel="0" collapsed="false">
      <c r="A129" s="17" t="s">
        <v>245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customFormat="false" ht="14.25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customFormat="false" ht="14.25" hidden="false" customHeight="true" outlineLevel="0" collapsed="false">
      <c r="A131" s="45" t="s">
        <v>246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customFormat="false" ht="14.25" hidden="false" customHeight="true" outlineLevel="0" collapsed="false">
      <c r="A132" s="17" t="s">
        <v>247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customFormat="false" ht="14.25" hidden="false" customHeight="true" outlineLevel="0" collapsed="false">
      <c r="A133" s="25" t="s">
        <v>109</v>
      </c>
      <c r="B133" s="25" t="s">
        <v>235</v>
      </c>
      <c r="C133" s="25" t="s">
        <v>53</v>
      </c>
      <c r="D133" s="25" t="s">
        <v>54</v>
      </c>
      <c r="E133" s="25" t="s">
        <v>55</v>
      </c>
      <c r="F133" s="25" t="s">
        <v>236</v>
      </c>
      <c r="G133" s="25" t="s">
        <v>237</v>
      </c>
      <c r="H133" s="25" t="s">
        <v>248</v>
      </c>
      <c r="I133" s="25" t="s">
        <v>249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customFormat="false" ht="14.25" hidden="false" customHeight="true" outlineLevel="0" collapsed="false">
      <c r="A134" s="17" t="s">
        <v>60</v>
      </c>
      <c r="B134" s="17" t="s">
        <v>243</v>
      </c>
      <c r="C134" s="49" t="n">
        <f aca="false">Links!B56</f>
        <v>7.11198427852906</v>
      </c>
      <c r="D134" s="49" t="n">
        <f aca="false">Links!C56</f>
        <v>3</v>
      </c>
      <c r="E134" s="49" t="n">
        <f aca="false">Links!D56</f>
        <v>4.11198427852906</v>
      </c>
      <c r="F134" s="49" t="n">
        <v>0.4</v>
      </c>
      <c r="G134" s="49" t="n">
        <f aca="false">10.6-12*0.4</f>
        <v>5.8</v>
      </c>
      <c r="H134" s="49" t="n">
        <f aca="false">(D134*MAX(F134,1/$B$118)+G134*$B$120)/C134</f>
        <v>0.576491713062108</v>
      </c>
      <c r="I134" s="49" t="n">
        <f aca="false">(E134*MAX(F134,1/$B$119)+G134*(1-$B$120))/C134</f>
        <v>0.639033149318435</v>
      </c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customFormat="false" ht="14.25" hidden="false" customHeight="true" outlineLevel="0" collapsed="false">
      <c r="A135" s="17" t="s">
        <v>61</v>
      </c>
      <c r="B135" s="17" t="s">
        <v>243</v>
      </c>
      <c r="C135" s="49" t="n">
        <f aca="false">Links!B57</f>
        <v>7.11198427852906</v>
      </c>
      <c r="D135" s="49" t="n">
        <f aca="false">Links!C57</f>
        <v>3</v>
      </c>
      <c r="E135" s="49" t="n">
        <f aca="false">Links!D57</f>
        <v>4.11198427852906</v>
      </c>
      <c r="F135" s="49" t="n">
        <v>0.4</v>
      </c>
      <c r="G135" s="49" t="n">
        <f aca="false">8.8-9*0.4</f>
        <v>5.2</v>
      </c>
      <c r="H135" s="49" t="n">
        <f aca="false">(D135*MAX(F135,1/$B$118)+G135*$B$120)/C135</f>
        <v>0.534309392594149</v>
      </c>
      <c r="I135" s="49" t="n">
        <f aca="false">(E135*MAX(F135,1/$B$119)+G135*(1-$B$120))/C135</f>
        <v>0.596850828850476</v>
      </c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customFormat="false" ht="14.25" hidden="false" customHeight="true" outlineLevel="0" collapsed="false">
      <c r="A136" s="17" t="s">
        <v>62</v>
      </c>
      <c r="B136" s="17" t="s">
        <v>243</v>
      </c>
      <c r="C136" s="49" t="n">
        <f aca="false">Links!B60</f>
        <v>4</v>
      </c>
      <c r="D136" s="49" t="n">
        <f aca="false">Links!C60</f>
        <v>4</v>
      </c>
      <c r="E136" s="49" t="n">
        <f aca="false">Links!D60</f>
        <v>1.33333333333333</v>
      </c>
      <c r="F136" s="49" t="n">
        <v>0.6</v>
      </c>
      <c r="G136" s="49" t="n">
        <f aca="false">14.5-8*0.6</f>
        <v>9.7</v>
      </c>
      <c r="H136" s="49" t="n">
        <f aca="false">(D136*MAX(F136,1/$B$118)+G136*$B$120)/C136</f>
        <v>1.8125</v>
      </c>
      <c r="I136" s="49" t="n">
        <f aca="false">(E136*MAX(F136,1/$B$119)+G136*(1-$B$120))/C136</f>
        <v>1.4125</v>
      </c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customFormat="false" ht="14.25" hidden="false" customHeight="true" outlineLevel="0" collapsed="false">
      <c r="A137" s="17" t="s">
        <v>63</v>
      </c>
      <c r="B137" s="17" t="s">
        <v>243</v>
      </c>
      <c r="C137" s="49" t="n">
        <f aca="false">Links!B60</f>
        <v>4</v>
      </c>
      <c r="D137" s="49" t="n">
        <f aca="false">Links!C60</f>
        <v>4</v>
      </c>
      <c r="E137" s="49" t="n">
        <f aca="false">Links!D60</f>
        <v>1.33333333333333</v>
      </c>
      <c r="F137" s="49" t="n">
        <v>0.6</v>
      </c>
      <c r="G137" s="49" t="n">
        <f aca="false">14.5-8*0.6</f>
        <v>9.7</v>
      </c>
      <c r="H137" s="49" t="n">
        <f aca="false">(D137*MAX(F137,1/$B$118)+G137*$B$120)/C137</f>
        <v>1.8125</v>
      </c>
      <c r="I137" s="49" t="n">
        <f aca="false">(E137*MAX(F137,1/$B$119)+G137*(1-$B$120))/C137</f>
        <v>1.4125</v>
      </c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customFormat="false" ht="14.25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customFormat="false" ht="14.25" hidden="false" customHeight="true" outlineLevel="0" collapsed="false">
      <c r="A139" s="25" t="s">
        <v>250</v>
      </c>
      <c r="B139" s="25" t="n">
        <v>2026</v>
      </c>
      <c r="C139" s="25" t="n">
        <v>2027</v>
      </c>
      <c r="D139" s="25" t="n">
        <v>2028</v>
      </c>
      <c r="E139" s="25" t="n">
        <v>2029</v>
      </c>
      <c r="F139" s="25" t="n">
        <v>2030</v>
      </c>
      <c r="G139" s="25" t="n">
        <v>2031</v>
      </c>
      <c r="H139" s="25" t="n">
        <v>2032</v>
      </c>
      <c r="I139" s="25" t="n">
        <v>2033</v>
      </c>
      <c r="J139" s="25" t="n">
        <v>2034</v>
      </c>
      <c r="K139" s="25" t="n">
        <v>2035</v>
      </c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customFormat="false" ht="14.25" hidden="false" customHeight="true" outlineLevel="0" collapsed="false">
      <c r="A140" s="17" t="s">
        <v>251</v>
      </c>
      <c r="B140" s="51" t="n">
        <f aca="false">Links!B64+Links!B71+IFERROR(Links!B78,0)+IFERROR(Links!B85,0)</f>
        <v>36.05179136</v>
      </c>
      <c r="C140" s="51" t="n">
        <f aca="false">Links!C64+Links!C71+IFERROR(Links!C78,0)+IFERROR(Links!C85,0)</f>
        <v>58.62214745</v>
      </c>
      <c r="D140" s="51" t="n">
        <f aca="false">Links!D64+Links!D71+IFERROR(Links!D78,0)+IFERROR(Links!D85,0)</f>
        <v>90.76853998</v>
      </c>
      <c r="E140" s="51" t="n">
        <f aca="false">Links!E64+Links!E71+IFERROR(Links!E78,0)+IFERROR(Links!E85,0)</f>
        <v>152.9698529</v>
      </c>
      <c r="F140" s="51" t="n">
        <f aca="false">Links!F64+Links!F71+IFERROR(Links!F78,0)+IFERROR(Links!F85,0)</f>
        <v>252.2760035</v>
      </c>
      <c r="G140" s="51" t="n">
        <f aca="false">Links!G64+Links!G71+IFERROR(Links!G78,0)+IFERROR(Links!G85,0)</f>
        <v>349.5744827</v>
      </c>
      <c r="H140" s="51" t="n">
        <f aca="false">Links!H64+Links!H71+IFERROR(Links!H78,0)+IFERROR(Links!H85,0)</f>
        <v>465.4682332</v>
      </c>
      <c r="I140" s="51" t="n">
        <f aca="false">Links!I64+Links!I71+IFERROR(Links!I78,0)+IFERROR(Links!I85,0)</f>
        <v>586.7286707</v>
      </c>
      <c r="J140" s="51" t="n">
        <f aca="false">Links!J64+Links!J71+IFERROR(Links!J78,0)+IFERROR(Links!J85,0)</f>
        <v>672.5874156</v>
      </c>
      <c r="K140" s="51" t="n">
        <f aca="false">Links!K64+Links!K71+IFERROR(Links!K78,0)+IFERROR(Links!K85,0)</f>
        <v>777.3105332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customFormat="false" ht="14.25" hidden="false" customHeight="true" outlineLevel="0" collapsed="false">
      <c r="A141" s="17" t="s">
        <v>252</v>
      </c>
      <c r="B141" s="51" t="n">
        <f aca="false">Links!B65+Links!B72+IFERROR(Links!B79,0)+IFERROR(Links!B86,0)</f>
        <v>76.913941</v>
      </c>
      <c r="C141" s="51" t="n">
        <f aca="false">Links!C65+Links!C72+IFERROR(Links!C79,0)+IFERROR(Links!C86,0)</f>
        <v>129.7767244</v>
      </c>
      <c r="D141" s="51" t="n">
        <f aca="false">Links!D65+Links!D72+IFERROR(Links!D79,0)+IFERROR(Links!D86,0)</f>
        <v>200.498788</v>
      </c>
      <c r="E141" s="51" t="n">
        <f aca="false">Links!E65+Links!E72+IFERROR(Links!E79,0)+IFERROR(Links!E86,0)</f>
        <v>337.4456765</v>
      </c>
      <c r="F141" s="51" t="n">
        <f aca="false">Links!F65+Links!F72+IFERROR(Links!F79,0)+IFERROR(Links!F86,0)</f>
        <v>554.0072077</v>
      </c>
      <c r="G141" s="51" t="n">
        <f aca="false">Links!G65+Links!G72+IFERROR(Links!G79,0)+IFERROR(Links!G86,0)</f>
        <v>769.135862</v>
      </c>
      <c r="H141" s="51" t="n">
        <f aca="false">Links!H65+Links!H72+IFERROR(Links!H79,0)+IFERROR(Links!H86,0)</f>
        <v>1025.2701129</v>
      </c>
      <c r="I141" s="51" t="n">
        <f aca="false">Links!I65+Links!I72+IFERROR(Links!I79,0)+IFERROR(Links!I86,0)</f>
        <v>1292.1070756</v>
      </c>
      <c r="J141" s="51" t="n">
        <f aca="false">Links!J65+Links!J72+IFERROR(Links!J79,0)+IFERROR(Links!J86,0)</f>
        <v>1479.6603143</v>
      </c>
      <c r="K141" s="51" t="n">
        <f aca="false">Links!K65+Links!K72+IFERROR(Links!K79,0)+IFERROR(Links!K86,0)</f>
        <v>1708.4351731</v>
      </c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customFormat="false" ht="14.25" hidden="false" customHeight="true" outlineLevel="0" collapsed="false">
      <c r="A142" s="17" t="s">
        <v>253</v>
      </c>
      <c r="B142" s="51" t="n">
        <f aca="false">Links!B66+Links!B73+IFERROR(Links!B80,0)+IFERROR(Links!B87,0)</f>
        <v>18.34485985</v>
      </c>
      <c r="C142" s="51" t="n">
        <f aca="false">Links!C66+Links!C73+IFERROR(Links!C80,0)+IFERROR(Links!C87,0)</f>
        <v>28.22183078</v>
      </c>
      <c r="D142" s="51" t="n">
        <f aca="false">Links!D66+Links!D73+IFERROR(Links!D80,0)+IFERROR(Links!D87,0)</f>
        <v>43.26009919</v>
      </c>
      <c r="E142" s="51" t="n">
        <f aca="false">Links!E66+Links!E73+IFERROR(Links!E80,0)+IFERROR(Links!E87,0)</f>
        <v>73.81432941</v>
      </c>
      <c r="F142" s="51" t="n">
        <f aca="false">Links!F66+Links!F73+IFERROR(Links!F80,0)+IFERROR(Links!F87,0)</f>
        <v>122.26048167</v>
      </c>
      <c r="G142" s="51" t="n">
        <f aca="false">Links!G66+Links!G73+IFERROR(Links!G80,0)+IFERROR(Links!G87,0)</f>
        <v>167.5285517</v>
      </c>
      <c r="H142" s="51" t="n">
        <f aca="false">Links!H66+Links!H73+IFERROR(Links!H80,0)+IFERROR(Links!H87,0)</f>
        <v>224.4807519</v>
      </c>
      <c r="I142" s="51" t="n">
        <f aca="false">Links!I66+Links!I73+IFERROR(Links!I80,0)+IFERROR(Links!I87,0)</f>
        <v>281.6473619</v>
      </c>
      <c r="J142" s="51" t="n">
        <f aca="false">Links!J66+Links!J73+IFERROR(Links!J80,0)+IFERROR(Links!J87,0)</f>
        <v>323.8211595</v>
      </c>
      <c r="K142" s="51" t="n">
        <f aca="false">Links!K66+Links!K73+IFERROR(Links!K80,0)+IFERROR(Links!K87,0)</f>
        <v>374.129856</v>
      </c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customFormat="false" ht="14.25" hidden="false" customHeight="true" outlineLevel="0" collapsed="false">
      <c r="A143" s="17" t="s">
        <v>254</v>
      </c>
      <c r="B143" s="51" t="n">
        <f aca="false">Links!B67+Links!B74+IFERROR(Links!B81,0)+IFERROR(Links!B88,0)</f>
        <v>12.89657324</v>
      </c>
      <c r="C143" s="51" t="n">
        <f aca="false">Links!C67+Links!C74+IFERROR(Links!C81,0)+IFERROR(Links!C88,0)</f>
        <v>18.86788719</v>
      </c>
      <c r="D143" s="51" t="n">
        <f aca="false">Links!D67+Links!D74+IFERROR(Links!D81,0)+IFERROR(Links!D88,0)</f>
        <v>28.82673279</v>
      </c>
      <c r="E143" s="51" t="n">
        <f aca="false">Links!E67+Links!E74+IFERROR(Links!E81,0)+IFERROR(Links!E88,0)</f>
        <v>48.32955294</v>
      </c>
      <c r="F143" s="51" t="n">
        <f aca="false">Links!F67+Links!F74+IFERROR(Links!F81,0)+IFERROR(Links!F88,0)</f>
        <v>80.64032112</v>
      </c>
      <c r="G143" s="51" t="n">
        <f aca="false">Links!G67+Links!G74+IFERROR(Links!G81,0)+IFERROR(Links!G88,0)</f>
        <v>110.85903447</v>
      </c>
      <c r="H143" s="51" t="n">
        <f aca="false">Links!H67+Links!H74+IFERROR(Links!H81,0)+IFERROR(Links!H88,0)</f>
        <v>149.89383461</v>
      </c>
      <c r="I143" s="51" t="n">
        <f aca="false">Links!I67+Links!I74+IFERROR(Links!I81,0)+IFERROR(Links!I88,0)</f>
        <v>186.5115746</v>
      </c>
      <c r="J143" s="51" t="n">
        <f aca="false">Links!J67+Links!J74+IFERROR(Links!J81,0)+IFERROR(Links!J88,0)</f>
        <v>213.960773</v>
      </c>
      <c r="K143" s="51" t="n">
        <f aca="false">Links!K67+Links!K74+IFERROR(Links!K81,0)+IFERROR(Links!K88,0)</f>
        <v>247.4465706</v>
      </c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customFormat="false" ht="14.25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customFormat="false" ht="14.25" hidden="false" customHeight="true" outlineLevel="0" collapsed="false">
      <c r="A145" s="17" t="s">
        <v>255</v>
      </c>
      <c r="B145" s="53" t="n">
        <f aca="false">Links!B92</f>
        <v>0.085</v>
      </c>
      <c r="C145" s="53" t="n">
        <f aca="false">Links!C92</f>
        <v>0.075</v>
      </c>
      <c r="D145" s="53" t="n">
        <f aca="false">Links!D92</f>
        <v>0.09</v>
      </c>
      <c r="E145" s="53" t="n">
        <f aca="false">Links!E92</f>
        <v>0.09</v>
      </c>
      <c r="F145" s="53" t="n">
        <f aca="false">Links!F92</f>
        <v>0.09</v>
      </c>
      <c r="G145" s="53" t="n">
        <f aca="false">Links!G92</f>
        <v>0.08</v>
      </c>
      <c r="H145" s="53" t="n">
        <f aca="false">Links!H92</f>
        <v>0.09</v>
      </c>
      <c r="I145" s="53" t="n">
        <f aca="false">Links!I92</f>
        <v>0.09</v>
      </c>
      <c r="J145" s="53" t="n">
        <f aca="false">Links!J92</f>
        <v>0.085</v>
      </c>
      <c r="K145" s="53" t="n">
        <f aca="false">Links!K92</f>
        <v>0.075</v>
      </c>
      <c r="L145" s="53" t="n">
        <f aca="false">Links!L92</f>
        <v>0.07</v>
      </c>
      <c r="M145" s="53" t="n">
        <f aca="false">Links!M92</f>
        <v>0.08</v>
      </c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customFormat="false" ht="14.25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customFormat="false" ht="14.25" hidden="false" customHeight="true" outlineLevel="0" collapsed="false">
      <c r="A147" s="25" t="s">
        <v>256</v>
      </c>
      <c r="B147" s="25" t="s">
        <v>37</v>
      </c>
      <c r="C147" s="25" t="s">
        <v>38</v>
      </c>
      <c r="D147" s="25" t="s">
        <v>39</v>
      </c>
      <c r="E147" s="25" t="s">
        <v>40</v>
      </c>
      <c r="F147" s="25" t="s">
        <v>41</v>
      </c>
      <c r="G147" s="25" t="s">
        <v>42</v>
      </c>
      <c r="H147" s="25" t="s">
        <v>43</v>
      </c>
      <c r="I147" s="25" t="s">
        <v>44</v>
      </c>
      <c r="J147" s="25" t="s">
        <v>45</v>
      </c>
      <c r="K147" s="25" t="s">
        <v>46</v>
      </c>
      <c r="L147" s="25" t="s">
        <v>47</v>
      </c>
      <c r="M147" s="25" t="s">
        <v>48</v>
      </c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customFormat="false" ht="14.25" hidden="false" customHeight="true" outlineLevel="0" collapsed="false">
      <c r="A148" s="17" t="n">
        <v>2026</v>
      </c>
      <c r="B148" s="54" t="n">
        <f aca="false">IF($K20=0,0,SUMPRODUCT($B$140:$B$143,$H$134:$H$137)*60*B$145/$K20)</f>
        <v>91.8283250813244</v>
      </c>
      <c r="C148" s="54" t="n">
        <f aca="false">IF($K20=0,0,SUMPRODUCT($B$140:$B$143,$H$134:$H$137)*60*C$145/$K20)</f>
        <v>81.0249927188156</v>
      </c>
      <c r="D148" s="54" t="n">
        <f aca="false">IF($K20=0,0,SUMPRODUCT($B$140:$B$143,$H$134:$H$137)*60*D$145/$K20)</f>
        <v>97.2299912625787</v>
      </c>
      <c r="E148" s="54" t="n">
        <f aca="false">IF($K20=0,0,SUMPRODUCT($B$140:$B$143,$H$134:$H$137)*60*E$145/$K20)</f>
        <v>97.2299912625787</v>
      </c>
      <c r="F148" s="54" t="n">
        <f aca="false">IF($K20=0,0,SUMPRODUCT($B$140:$B$143,$H$134:$H$137)*60*F$145/$K20)</f>
        <v>97.2299912625787</v>
      </c>
      <c r="G148" s="54" t="n">
        <f aca="false">IF($K20=0,0,SUMPRODUCT($B$140:$B$143,$H$134:$H$137)*60*G$145/$K20)</f>
        <v>86.42665890007</v>
      </c>
      <c r="H148" s="54" t="n">
        <f aca="false">IF($K20=0,0,SUMPRODUCT($B$140:$B$143,$H$134:$H$137)*60*H$145/$K20)</f>
        <v>97.2299912625787</v>
      </c>
      <c r="I148" s="54" t="n">
        <f aca="false">IF($K20=0,0,SUMPRODUCT($B$140:$B$143,$H$134:$H$137)*60*I$145/$K20)</f>
        <v>97.2299912625787</v>
      </c>
      <c r="J148" s="54" t="n">
        <f aca="false">IF($K20=0,0,SUMPRODUCT($B$140:$B$143,$H$134:$H$137)*60*J$145/$K20)</f>
        <v>91.8283250813244</v>
      </c>
      <c r="K148" s="54" t="n">
        <f aca="false">IF($K20=0,0,SUMPRODUCT($B$140:$B$143,$H$134:$H$137)*60*K$145/$K20)</f>
        <v>81.0249927188156</v>
      </c>
      <c r="L148" s="54" t="n">
        <f aca="false">IF($K20=0,0,SUMPRODUCT($B$140:$B$143,$H$134:$H$137)*60*L$145/$K20)</f>
        <v>75.6233265375612</v>
      </c>
      <c r="M148" s="54" t="n">
        <f aca="false">IF($K20=0,0,SUMPRODUCT($B$140:$B$143,$H$134:$H$137)*60*M$145/$K20)</f>
        <v>86.42665890007</v>
      </c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customFormat="false" ht="14.25" hidden="false" customHeight="true" outlineLevel="0" collapsed="false">
      <c r="A149" s="17" t="n">
        <v>2027</v>
      </c>
      <c r="B149" s="54" t="n">
        <f aca="false">IF($K20=0,0,SUMPRODUCT($C$140:$C$143,$H$134:$H$137)*60*B$145/$K20)</f>
        <v>146.056682530223</v>
      </c>
      <c r="C149" s="54" t="n">
        <f aca="false">IF($K20=0,0,SUMPRODUCT($C$140:$C$143,$H$134:$H$137)*60*C$145/$K20)</f>
        <v>128.87354340902</v>
      </c>
      <c r="D149" s="54" t="n">
        <f aca="false">IF($K20=0,0,SUMPRODUCT($C$140:$C$143,$H$134:$H$137)*60*D$145/$K20)</f>
        <v>154.648252090825</v>
      </c>
      <c r="E149" s="54" t="n">
        <f aca="false">IF($K20=0,0,SUMPRODUCT($C$140:$C$143,$H$134:$H$137)*60*E$145/$K20)</f>
        <v>154.648252090825</v>
      </c>
      <c r="F149" s="54" t="n">
        <f aca="false">IF($K20=0,0,SUMPRODUCT($C$140:$C$143,$H$134:$H$137)*60*F$145/$K20)</f>
        <v>154.648252090825</v>
      </c>
      <c r="G149" s="54" t="n">
        <f aca="false">IF($K20=0,0,SUMPRODUCT($C$140:$C$143,$H$134:$H$137)*60*G$145/$K20)</f>
        <v>137.465112969622</v>
      </c>
      <c r="H149" s="54" t="n">
        <f aca="false">IF($K20=0,0,SUMPRODUCT($C$140:$C$143,$H$134:$H$137)*60*H$145/$K20)</f>
        <v>154.648252090825</v>
      </c>
      <c r="I149" s="54" t="n">
        <f aca="false">IF($K20=0,0,SUMPRODUCT($C$140:$C$143,$H$134:$H$137)*60*I$145/$K20)</f>
        <v>154.648252090825</v>
      </c>
      <c r="J149" s="54" t="n">
        <f aca="false">IF($K20=0,0,SUMPRODUCT($C$140:$C$143,$H$134:$H$137)*60*J$145/$K20)</f>
        <v>146.056682530223</v>
      </c>
      <c r="K149" s="54" t="n">
        <f aca="false">IF($K20=0,0,SUMPRODUCT($C$140:$C$143,$H$134:$H$137)*60*K$145/$K20)</f>
        <v>128.87354340902</v>
      </c>
      <c r="L149" s="54" t="n">
        <f aca="false">IF($K20=0,0,SUMPRODUCT($C$140:$C$143,$H$134:$H$137)*60*L$145/$K20)</f>
        <v>120.281973848419</v>
      </c>
      <c r="M149" s="54" t="n">
        <f aca="false">IF($K20=0,0,SUMPRODUCT($C$140:$C$143,$H$134:$H$137)*60*M$145/$K20)</f>
        <v>137.465112969622</v>
      </c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customFormat="false" ht="14.25" hidden="false" customHeight="true" outlineLevel="0" collapsed="false">
      <c r="A150" s="17" t="n">
        <v>2028</v>
      </c>
      <c r="B150" s="54" t="n">
        <f aca="false">IF($K20=0,0,SUMPRODUCT($D$140:$D$143,$H$134:$H$137)*60*B$145/$K20)</f>
        <v>224.806642343847</v>
      </c>
      <c r="C150" s="54" t="n">
        <f aca="false">IF($K20=0,0,SUMPRODUCT($D$140:$D$143,$H$134:$H$137)*60*C$145/$K20)</f>
        <v>198.3588020681</v>
      </c>
      <c r="D150" s="54" t="n">
        <f aca="false">IF($K20=0,0,SUMPRODUCT($D$140:$D$143,$H$134:$H$137)*60*D$145/$K20)</f>
        <v>238.030562481721</v>
      </c>
      <c r="E150" s="54" t="n">
        <f aca="false">IF($K20=0,0,SUMPRODUCT($D$140:$D$143,$H$134:$H$137)*60*E$145/$K20)</f>
        <v>238.030562481721</v>
      </c>
      <c r="F150" s="54" t="n">
        <f aca="false">IF($K20=0,0,SUMPRODUCT($D$140:$D$143,$H$134:$H$137)*60*F$145/$K20)</f>
        <v>238.030562481721</v>
      </c>
      <c r="G150" s="54" t="n">
        <f aca="false">IF($K20=0,0,SUMPRODUCT($D$140:$D$143,$H$134:$H$137)*60*G$145/$K20)</f>
        <v>211.582722205974</v>
      </c>
      <c r="H150" s="54" t="n">
        <f aca="false">IF($K20=0,0,SUMPRODUCT($D$140:$D$143,$H$134:$H$137)*60*H$145/$K20)</f>
        <v>238.030562481721</v>
      </c>
      <c r="I150" s="54" t="n">
        <f aca="false">IF($K20=0,0,SUMPRODUCT($D$140:$D$143,$H$134:$H$137)*60*I$145/$K20)</f>
        <v>238.030562481721</v>
      </c>
      <c r="J150" s="54" t="n">
        <f aca="false">IF($K20=0,0,SUMPRODUCT($D$140:$D$143,$H$134:$H$137)*60*J$145/$K20)</f>
        <v>224.806642343847</v>
      </c>
      <c r="K150" s="54" t="n">
        <f aca="false">IF($K20=0,0,SUMPRODUCT($D$140:$D$143,$H$134:$H$137)*60*K$145/$K20)</f>
        <v>198.3588020681</v>
      </c>
      <c r="L150" s="54" t="n">
        <f aca="false">IF($K20=0,0,SUMPRODUCT($D$140:$D$143,$H$134:$H$137)*60*L$145/$K20)</f>
        <v>185.134881930227</v>
      </c>
      <c r="M150" s="54" t="n">
        <f aca="false">IF($K20=0,0,SUMPRODUCT($D$140:$D$143,$H$134:$H$137)*60*M$145/$K20)</f>
        <v>211.582722205974</v>
      </c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customFormat="false" ht="14.25" hidden="false" customHeight="true" outlineLevel="0" collapsed="false">
      <c r="A151" s="17" t="n">
        <v>2029</v>
      </c>
      <c r="B151" s="54" t="n">
        <f aca="false">IF($K20=0,0,SUMPRODUCT($E$140:$E$143,$H$134:$H$137)*60*B$145/$K20)</f>
        <v>379.598490349611</v>
      </c>
      <c r="C151" s="54" t="n">
        <f aca="false">IF($K20=0,0,SUMPRODUCT($E$140:$E$143,$H$134:$H$137)*60*C$145/$K20)</f>
        <v>334.939844426127</v>
      </c>
      <c r="D151" s="54" t="n">
        <f aca="false">IF($K20=0,0,SUMPRODUCT($E$140:$E$143,$H$134:$H$137)*60*D$145/$K20)</f>
        <v>401.927813311353</v>
      </c>
      <c r="E151" s="54" t="n">
        <f aca="false">IF($K20=0,0,SUMPRODUCT($E$140:$E$143,$H$134:$H$137)*60*E$145/$K20)</f>
        <v>401.927813311353</v>
      </c>
      <c r="F151" s="54" t="n">
        <f aca="false">IF($K20=0,0,SUMPRODUCT($E$140:$E$143,$H$134:$H$137)*60*F$145/$K20)</f>
        <v>401.927813311353</v>
      </c>
      <c r="G151" s="54" t="n">
        <f aca="false">IF($K20=0,0,SUMPRODUCT($E$140:$E$143,$H$134:$H$137)*60*G$145/$K20)</f>
        <v>357.269167387869</v>
      </c>
      <c r="H151" s="54" t="n">
        <f aca="false">IF($K20=0,0,SUMPRODUCT($E$140:$E$143,$H$134:$H$137)*60*H$145/$K20)</f>
        <v>401.927813311353</v>
      </c>
      <c r="I151" s="54" t="n">
        <f aca="false">IF($K20=0,0,SUMPRODUCT($E$140:$E$143,$H$134:$H$137)*60*I$145/$K20)</f>
        <v>401.927813311353</v>
      </c>
      <c r="J151" s="54" t="n">
        <f aca="false">IF($K20=0,0,SUMPRODUCT($E$140:$E$143,$H$134:$H$137)*60*J$145/$K20)</f>
        <v>379.598490349611</v>
      </c>
      <c r="K151" s="54" t="n">
        <f aca="false">IF($K20=0,0,SUMPRODUCT($E$140:$E$143,$H$134:$H$137)*60*K$145/$K20)</f>
        <v>334.939844426127</v>
      </c>
      <c r="L151" s="54" t="n">
        <f aca="false">IF($K20=0,0,SUMPRODUCT($E$140:$E$143,$H$134:$H$137)*60*L$145/$K20)</f>
        <v>312.610521464385</v>
      </c>
      <c r="M151" s="54" t="n">
        <f aca="false">IF($K20=0,0,SUMPRODUCT($E$140:$E$143,$H$134:$H$137)*60*M$145/$K20)</f>
        <v>357.269167387869</v>
      </c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customFormat="false" ht="14.25" hidden="false" customHeight="true" outlineLevel="0" collapsed="false">
      <c r="A152" s="17" t="n">
        <v>2030</v>
      </c>
      <c r="B152" s="54" t="n">
        <f aca="false">IF($K20=0,0,SUMPRODUCT($F$140:$F$143,$H$134:$H$137)*60*B$145/$K20)</f>
        <v>627.046636618593</v>
      </c>
      <c r="C152" s="54" t="n">
        <f aca="false">IF($K20=0,0,SUMPRODUCT($F$140:$F$143,$H$134:$H$137)*60*C$145/$K20)</f>
        <v>553.276444075229</v>
      </c>
      <c r="D152" s="54" t="n">
        <f aca="false">IF($K20=0,0,SUMPRODUCT($F$140:$F$143,$H$134:$H$137)*60*D$145/$K20)</f>
        <v>663.931732890275</v>
      </c>
      <c r="E152" s="54" t="n">
        <f aca="false">IF($K20=0,0,SUMPRODUCT($F$140:$F$143,$H$134:$H$137)*60*E$145/$K20)</f>
        <v>663.931732890275</v>
      </c>
      <c r="F152" s="54" t="n">
        <f aca="false">IF($K20=0,0,SUMPRODUCT($F$140:$F$143,$H$134:$H$137)*60*F$145/$K20)</f>
        <v>663.931732890275</v>
      </c>
      <c r="G152" s="54" t="n">
        <f aca="false">IF($K20=0,0,SUMPRODUCT($F$140:$F$143,$H$134:$H$137)*60*G$145/$K20)</f>
        <v>590.161540346911</v>
      </c>
      <c r="H152" s="54" t="n">
        <f aca="false">IF($K20=0,0,SUMPRODUCT($F$140:$F$143,$H$134:$H$137)*60*H$145/$K20)</f>
        <v>663.931732890275</v>
      </c>
      <c r="I152" s="54" t="n">
        <f aca="false">IF($K20=0,0,SUMPRODUCT($F$140:$F$143,$H$134:$H$137)*60*I$145/$K20)</f>
        <v>663.931732890275</v>
      </c>
      <c r="J152" s="54" t="n">
        <f aca="false">IF($K20=0,0,SUMPRODUCT($F$140:$F$143,$H$134:$H$137)*60*J$145/$K20)</f>
        <v>627.046636618593</v>
      </c>
      <c r="K152" s="54" t="n">
        <f aca="false">IF($K20=0,0,SUMPRODUCT($F$140:$F$143,$H$134:$H$137)*60*K$145/$K20)</f>
        <v>553.276444075229</v>
      </c>
      <c r="L152" s="54" t="n">
        <f aca="false">IF($K20=0,0,SUMPRODUCT($F$140:$F$143,$H$134:$H$137)*60*L$145/$K20)</f>
        <v>516.391347803547</v>
      </c>
      <c r="M152" s="54" t="n">
        <f aca="false">IF($K20=0,0,SUMPRODUCT($F$140:$F$143,$H$134:$H$137)*60*M$145/$K20)</f>
        <v>590.161540346911</v>
      </c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customFormat="false" ht="14.25" hidden="false" customHeight="true" outlineLevel="0" collapsed="false">
      <c r="A153" s="17" t="n">
        <v>2031</v>
      </c>
      <c r="B153" s="54" t="n">
        <f aca="false">IF($K20=0,0,SUMPRODUCT($G$140:$G$143,$H$134:$H$137)*60*B$145/$K20)</f>
        <v>865.602783918331</v>
      </c>
      <c r="C153" s="54" t="n">
        <f aca="false">IF($K20=0,0,SUMPRODUCT($G$140:$G$143,$H$134:$H$137)*60*C$145/$K20)</f>
        <v>763.76716228088</v>
      </c>
      <c r="D153" s="54" t="n">
        <f aca="false">IF($K20=0,0,SUMPRODUCT($G$140:$G$143,$H$134:$H$137)*60*D$145/$K20)</f>
        <v>916.520594737056</v>
      </c>
      <c r="E153" s="54" t="n">
        <f aca="false">IF($K20=0,0,SUMPRODUCT($G$140:$G$143,$H$134:$H$137)*60*E$145/$K20)</f>
        <v>916.520594737056</v>
      </c>
      <c r="F153" s="54" t="n">
        <f aca="false">IF($K20=0,0,SUMPRODUCT($G$140:$G$143,$H$134:$H$137)*60*F$145/$K20)</f>
        <v>916.520594737056</v>
      </c>
      <c r="G153" s="54" t="n">
        <f aca="false">IF($K20=0,0,SUMPRODUCT($G$140:$G$143,$H$134:$H$137)*60*G$145/$K20)</f>
        <v>814.684973099606</v>
      </c>
      <c r="H153" s="54" t="n">
        <f aca="false">IF($K20=0,0,SUMPRODUCT($G$140:$G$143,$H$134:$H$137)*60*H$145/$K20)</f>
        <v>916.520594737056</v>
      </c>
      <c r="I153" s="54" t="n">
        <f aca="false">IF($K20=0,0,SUMPRODUCT($G$140:$G$143,$H$134:$H$137)*60*I$145/$K20)</f>
        <v>916.520594737056</v>
      </c>
      <c r="J153" s="54" t="n">
        <f aca="false">IF($K20=0,0,SUMPRODUCT($G$140:$G$143,$H$134:$H$137)*60*J$145/$K20)</f>
        <v>865.602783918331</v>
      </c>
      <c r="K153" s="54" t="n">
        <f aca="false">IF($K20=0,0,SUMPRODUCT($G$140:$G$143,$H$134:$H$137)*60*K$145/$K20)</f>
        <v>763.76716228088</v>
      </c>
      <c r="L153" s="54" t="n">
        <f aca="false">IF($K20=0,0,SUMPRODUCT($G$140:$G$143,$H$134:$H$137)*60*L$145/$K20)</f>
        <v>712.849351462155</v>
      </c>
      <c r="M153" s="54" t="n">
        <f aca="false">IF($K20=0,0,SUMPRODUCT($G$140:$G$143,$H$134:$H$137)*60*M$145/$K20)</f>
        <v>814.684973099606</v>
      </c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customFormat="false" ht="14.25" hidden="false" customHeight="true" outlineLevel="0" collapsed="false">
      <c r="A154" s="17" t="n">
        <v>2032</v>
      </c>
      <c r="B154" s="54" t="n">
        <f aca="false">IF($K20=0,0,SUMPRODUCT($H$140:$H$143,$H$134:$H$137)*60*B$145/$K20)</f>
        <v>1158.23588785367</v>
      </c>
      <c r="C154" s="54" t="n">
        <f aca="false">IF($K20=0,0,SUMPRODUCT($H$140:$H$143,$H$134:$H$137)*60*C$145/$K20)</f>
        <v>1021.97284222382</v>
      </c>
      <c r="D154" s="54" t="n">
        <f aca="false">IF($K20=0,0,SUMPRODUCT($H$140:$H$143,$H$134:$H$137)*60*D$145/$K20)</f>
        <v>1226.36741066859</v>
      </c>
      <c r="E154" s="54" t="n">
        <f aca="false">IF($K20=0,0,SUMPRODUCT($H$140:$H$143,$H$134:$H$137)*60*E$145/$K20)</f>
        <v>1226.36741066859</v>
      </c>
      <c r="F154" s="54" t="n">
        <f aca="false">IF($K20=0,0,SUMPRODUCT($H$140:$H$143,$H$134:$H$137)*60*F$145/$K20)</f>
        <v>1226.36741066859</v>
      </c>
      <c r="G154" s="54" t="n">
        <f aca="false">IF($K20=0,0,SUMPRODUCT($H$140:$H$143,$H$134:$H$137)*60*G$145/$K20)</f>
        <v>1090.10436503874</v>
      </c>
      <c r="H154" s="54" t="n">
        <f aca="false">IF($K20=0,0,SUMPRODUCT($H$140:$H$143,$H$134:$H$137)*60*H$145/$K20)</f>
        <v>1226.36741066859</v>
      </c>
      <c r="I154" s="54" t="n">
        <f aca="false">IF($K20=0,0,SUMPRODUCT($H$140:$H$143,$H$134:$H$137)*60*I$145/$K20)</f>
        <v>1226.36741066859</v>
      </c>
      <c r="J154" s="54" t="n">
        <f aca="false">IF($K20=0,0,SUMPRODUCT($H$140:$H$143,$H$134:$H$137)*60*J$145/$K20)</f>
        <v>1158.23588785367</v>
      </c>
      <c r="K154" s="54" t="n">
        <f aca="false">IF($K20=0,0,SUMPRODUCT($H$140:$H$143,$H$134:$H$137)*60*K$145/$K20)</f>
        <v>1021.97284222382</v>
      </c>
      <c r="L154" s="54" t="n">
        <f aca="false">IF($K20=0,0,SUMPRODUCT($H$140:$H$143,$H$134:$H$137)*60*L$145/$K20)</f>
        <v>953.841319408901</v>
      </c>
      <c r="M154" s="54" t="n">
        <f aca="false">IF($K20=0,0,SUMPRODUCT($H$140:$H$143,$H$134:$H$137)*60*M$145/$K20)</f>
        <v>1090.10436503874</v>
      </c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customFormat="false" ht="14.25" hidden="false" customHeight="true" outlineLevel="0" collapsed="false">
      <c r="A155" s="17" t="n">
        <v>2033</v>
      </c>
      <c r="B155" s="54" t="n">
        <f aca="false">IF($K20=0,0,SUMPRODUCT($I$140:$I$143,$H$134:$H$137)*60*B$145/$K20)</f>
        <v>1454.60405918409</v>
      </c>
      <c r="C155" s="54" t="n">
        <f aca="false">IF($K20=0,0,SUMPRODUCT($I$140:$I$143,$H$134:$H$137)*60*C$145/$K20)</f>
        <v>1283.47416986832</v>
      </c>
      <c r="D155" s="54" t="n">
        <f aca="false">IF($K20=0,0,SUMPRODUCT($I$140:$I$143,$H$134:$H$137)*60*D$145/$K20)</f>
        <v>1540.16900384198</v>
      </c>
      <c r="E155" s="54" t="n">
        <f aca="false">IF($K20=0,0,SUMPRODUCT($I$140:$I$143,$H$134:$H$137)*60*E$145/$K20)</f>
        <v>1540.16900384198</v>
      </c>
      <c r="F155" s="54" t="n">
        <f aca="false">IF($K20=0,0,SUMPRODUCT($I$140:$I$143,$H$134:$H$137)*60*F$145/$K20)</f>
        <v>1540.16900384198</v>
      </c>
      <c r="G155" s="54" t="n">
        <f aca="false">IF($K20=0,0,SUMPRODUCT($I$140:$I$143,$H$134:$H$137)*60*G$145/$K20)</f>
        <v>1369.0391145262</v>
      </c>
      <c r="H155" s="54" t="n">
        <f aca="false">IF($K20=0,0,SUMPRODUCT($I$140:$I$143,$H$134:$H$137)*60*H$145/$K20)</f>
        <v>1540.16900384198</v>
      </c>
      <c r="I155" s="54" t="n">
        <f aca="false">IF($K20=0,0,SUMPRODUCT($I$140:$I$143,$H$134:$H$137)*60*I$145/$K20)</f>
        <v>1540.16900384198</v>
      </c>
      <c r="J155" s="54" t="n">
        <f aca="false">IF($K20=0,0,SUMPRODUCT($I$140:$I$143,$H$134:$H$137)*60*J$145/$K20)</f>
        <v>1454.60405918409</v>
      </c>
      <c r="K155" s="54" t="n">
        <f aca="false">IF($K20=0,0,SUMPRODUCT($I$140:$I$143,$H$134:$H$137)*60*K$145/$K20)</f>
        <v>1283.47416986832</v>
      </c>
      <c r="L155" s="54" t="n">
        <f aca="false">IF($K20=0,0,SUMPRODUCT($I$140:$I$143,$H$134:$H$137)*60*L$145/$K20)</f>
        <v>1197.90922521043</v>
      </c>
      <c r="M155" s="54" t="n">
        <f aca="false">IF($K20=0,0,SUMPRODUCT($I$140:$I$143,$H$134:$H$137)*60*M$145/$K20)</f>
        <v>1369.0391145262</v>
      </c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customFormat="false" ht="14.25" hidden="false" customHeight="true" outlineLevel="0" collapsed="false">
      <c r="A156" s="17" t="n">
        <v>2034</v>
      </c>
      <c r="B156" s="54" t="n">
        <f aca="false">IF($K20=0,0,SUMPRODUCT($J$140:$J$143,$H$134:$H$137)*60*B$145/$K20)</f>
        <v>1668.39707720068</v>
      </c>
      <c r="C156" s="54" t="n">
        <f aca="false">IF($K20=0,0,SUMPRODUCT($J$140:$J$143,$H$134:$H$137)*60*C$145/$K20)</f>
        <v>1472.11506811824</v>
      </c>
      <c r="D156" s="54" t="n">
        <f aca="false">IF($K20=0,0,SUMPRODUCT($J$140:$J$143,$H$134:$H$137)*60*D$145/$K20)</f>
        <v>1766.53808174189</v>
      </c>
      <c r="E156" s="54" t="n">
        <f aca="false">IF($K20=0,0,SUMPRODUCT($J$140:$J$143,$H$134:$H$137)*60*E$145/$K20)</f>
        <v>1766.53808174189</v>
      </c>
      <c r="F156" s="54" t="n">
        <f aca="false">IF($K20=0,0,SUMPRODUCT($J$140:$J$143,$H$134:$H$137)*60*F$145/$K20)</f>
        <v>1766.53808174189</v>
      </c>
      <c r="G156" s="54" t="n">
        <f aca="false">IF($K20=0,0,SUMPRODUCT($J$140:$J$143,$H$134:$H$137)*60*G$145/$K20)</f>
        <v>1570.25607265946</v>
      </c>
      <c r="H156" s="54" t="n">
        <f aca="false">IF($K20=0,0,SUMPRODUCT($J$140:$J$143,$H$134:$H$137)*60*H$145/$K20)</f>
        <v>1766.53808174189</v>
      </c>
      <c r="I156" s="54" t="n">
        <f aca="false">IF($K20=0,0,SUMPRODUCT($J$140:$J$143,$H$134:$H$137)*60*I$145/$K20)</f>
        <v>1766.53808174189</v>
      </c>
      <c r="J156" s="54" t="n">
        <f aca="false">IF($K20=0,0,SUMPRODUCT($J$140:$J$143,$H$134:$H$137)*60*J$145/$K20)</f>
        <v>1668.39707720068</v>
      </c>
      <c r="K156" s="54" t="n">
        <f aca="false">IF($K20=0,0,SUMPRODUCT($J$140:$J$143,$H$134:$H$137)*60*K$145/$K20)</f>
        <v>1472.11506811824</v>
      </c>
      <c r="L156" s="54" t="n">
        <f aca="false">IF($K20=0,0,SUMPRODUCT($J$140:$J$143,$H$134:$H$137)*60*L$145/$K20)</f>
        <v>1373.97406357703</v>
      </c>
      <c r="M156" s="54" t="n">
        <f aca="false">IF($K20=0,0,SUMPRODUCT($J$140:$J$143,$H$134:$H$137)*60*M$145/$K20)</f>
        <v>1570.25607265946</v>
      </c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customFormat="false" ht="14.25" hidden="false" customHeight="true" outlineLevel="0" collapsed="false">
      <c r="A157" s="17" t="n">
        <v>2035</v>
      </c>
      <c r="B157" s="54" t="n">
        <f aca="false">IF($K20=0,0,SUMPRODUCT($K$140:$K$143,$H$134:$H$137)*60*B$145/$K20)</f>
        <v>1927.58805870174</v>
      </c>
      <c r="C157" s="54" t="n">
        <f aca="false">IF($K20=0,0,SUMPRODUCT($K$140:$K$143,$H$134:$H$137)*60*C$145/$K20)</f>
        <v>1700.81299297213</v>
      </c>
      <c r="D157" s="54" t="n">
        <f aca="false">IF($K20=0,0,SUMPRODUCT($K$140:$K$143,$H$134:$H$137)*60*D$145/$K20)</f>
        <v>2040.97559156655</v>
      </c>
      <c r="E157" s="54" t="n">
        <f aca="false">IF($K20=0,0,SUMPRODUCT($K$140:$K$143,$H$134:$H$137)*60*E$145/$K20)</f>
        <v>2040.97559156655</v>
      </c>
      <c r="F157" s="54" t="n">
        <f aca="false">IF($K20=0,0,SUMPRODUCT($K$140:$K$143,$H$134:$H$137)*60*F$145/$K20)</f>
        <v>2040.97559156655</v>
      </c>
      <c r="G157" s="54" t="n">
        <f aca="false">IF($K20=0,0,SUMPRODUCT($K$140:$K$143,$H$134:$H$137)*60*G$145/$K20)</f>
        <v>1814.20052583693</v>
      </c>
      <c r="H157" s="54" t="n">
        <f aca="false">IF($K20=0,0,SUMPRODUCT($K$140:$K$143,$H$134:$H$137)*60*H$145/$K20)</f>
        <v>2040.97559156655</v>
      </c>
      <c r="I157" s="54" t="n">
        <f aca="false">IF($K20=0,0,SUMPRODUCT($K$140:$K$143,$H$134:$H$137)*60*I$145/$K20)</f>
        <v>2040.97559156655</v>
      </c>
      <c r="J157" s="54" t="n">
        <f aca="false">IF($K20=0,0,SUMPRODUCT($K$140:$K$143,$H$134:$H$137)*60*J$145/$K20)</f>
        <v>1927.58805870174</v>
      </c>
      <c r="K157" s="54" t="n">
        <f aca="false">IF($K20=0,0,SUMPRODUCT($K$140:$K$143,$H$134:$H$137)*60*K$145/$K20)</f>
        <v>1700.81299297213</v>
      </c>
      <c r="L157" s="54" t="n">
        <f aca="false">IF($K20=0,0,SUMPRODUCT($K$140:$K$143,$H$134:$H$137)*60*L$145/$K20)</f>
        <v>1587.42546010732</v>
      </c>
      <c r="M157" s="54" t="n">
        <f aca="false">IF($K20=0,0,SUMPRODUCT($K$140:$K$143,$H$134:$H$137)*60*M$145/$K20)</f>
        <v>1814.20052583693</v>
      </c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customFormat="false" ht="14.25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customFormat="false" ht="14.25" hidden="false" customHeight="true" outlineLevel="0" collapsed="false">
      <c r="A159" s="25" t="s">
        <v>257</v>
      </c>
      <c r="B159" s="25" t="s">
        <v>37</v>
      </c>
      <c r="C159" s="25" t="s">
        <v>38</v>
      </c>
      <c r="D159" s="25" t="s">
        <v>39</v>
      </c>
      <c r="E159" s="25" t="s">
        <v>40</v>
      </c>
      <c r="F159" s="25" t="s">
        <v>41</v>
      </c>
      <c r="G159" s="25" t="s">
        <v>42</v>
      </c>
      <c r="H159" s="25" t="s">
        <v>43</v>
      </c>
      <c r="I159" s="25" t="s">
        <v>44</v>
      </c>
      <c r="J159" s="25" t="s">
        <v>45</v>
      </c>
      <c r="K159" s="25" t="s">
        <v>46</v>
      </c>
      <c r="L159" s="25" t="s">
        <v>47</v>
      </c>
      <c r="M159" s="25" t="s">
        <v>48</v>
      </c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customFormat="false" ht="14.25" hidden="false" customHeight="true" outlineLevel="0" collapsed="false">
      <c r="A160" s="17" t="n">
        <v>2026</v>
      </c>
      <c r="B160" s="54" t="n">
        <f aca="false">IF($K21=0,0,SUMPRODUCT($B$140:$B$143,$I$134:$I$137)*60*B$145/$K21)</f>
        <v>118.185435259886</v>
      </c>
      <c r="C160" s="54" t="n">
        <f aca="false">IF($K21=0,0,SUMPRODUCT($B$140:$B$143,$I$134:$I$137)*60*C$145/$K21)</f>
        <v>104.281266405782</v>
      </c>
      <c r="D160" s="54" t="n">
        <f aca="false">IF($K21=0,0,SUMPRODUCT($B$140:$B$143,$I$134:$I$137)*60*D$145/$K21)</f>
        <v>125.137519686939</v>
      </c>
      <c r="E160" s="54" t="n">
        <f aca="false">IF($K21=0,0,SUMPRODUCT($B$140:$B$143,$I$134:$I$137)*60*E$145/$K21)</f>
        <v>125.137519686939</v>
      </c>
      <c r="F160" s="54" t="n">
        <f aca="false">IF($K21=0,0,SUMPRODUCT($B$140:$B$143,$I$134:$I$137)*60*F$145/$K21)</f>
        <v>125.137519686939</v>
      </c>
      <c r="G160" s="54" t="n">
        <f aca="false">IF($K21=0,0,SUMPRODUCT($B$140:$B$143,$I$134:$I$137)*60*G$145/$K21)</f>
        <v>111.233350832834</v>
      </c>
      <c r="H160" s="54" t="n">
        <f aca="false">IF($K21=0,0,SUMPRODUCT($B$140:$B$143,$I$134:$I$137)*60*H$145/$K21)</f>
        <v>125.137519686939</v>
      </c>
      <c r="I160" s="54" t="n">
        <f aca="false">IF($K21=0,0,SUMPRODUCT($B$140:$B$143,$I$134:$I$137)*60*I$145/$K21)</f>
        <v>125.137519686939</v>
      </c>
      <c r="J160" s="54" t="n">
        <f aca="false">IF($K21=0,0,SUMPRODUCT($B$140:$B$143,$I$134:$I$137)*60*J$145/$K21)</f>
        <v>118.185435259886</v>
      </c>
      <c r="K160" s="54" t="n">
        <f aca="false">IF($K21=0,0,SUMPRODUCT($B$140:$B$143,$I$134:$I$137)*60*K$145/$K21)</f>
        <v>104.281266405782</v>
      </c>
      <c r="L160" s="54" t="n">
        <f aca="false">IF($K21=0,0,SUMPRODUCT($B$140:$B$143,$I$134:$I$137)*60*L$145/$K21)</f>
        <v>97.3291819787301</v>
      </c>
      <c r="M160" s="54" t="n">
        <f aca="false">IF($K21=0,0,SUMPRODUCT($B$140:$B$143,$I$134:$I$137)*60*M$145/$K21)</f>
        <v>111.233350832834</v>
      </c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customFormat="false" ht="14.25" hidden="false" customHeight="true" outlineLevel="0" collapsed="false">
      <c r="A161" s="17" t="n">
        <v>2027</v>
      </c>
      <c r="B161" s="54" t="n">
        <f aca="false">IF($K21=0,0,SUMPRODUCT($C$140:$C$143,$I$134:$I$137)*60*B$145/$K21)</f>
        <v>189.636367690241</v>
      </c>
      <c r="C161" s="54" t="n">
        <f aca="false">IF($K21=0,0,SUMPRODUCT($C$140:$C$143,$I$134:$I$137)*60*C$145/$K21)</f>
        <v>167.326206785507</v>
      </c>
      <c r="D161" s="54" t="n">
        <f aca="false">IF($K21=0,0,SUMPRODUCT($C$140:$C$143,$I$134:$I$137)*60*D$145/$K21)</f>
        <v>200.791448142608</v>
      </c>
      <c r="E161" s="54" t="n">
        <f aca="false">IF($K21=0,0,SUMPRODUCT($C$140:$C$143,$I$134:$I$137)*60*E$145/$K21)</f>
        <v>200.791448142608</v>
      </c>
      <c r="F161" s="54" t="n">
        <f aca="false">IF($K21=0,0,SUMPRODUCT($C$140:$C$143,$I$134:$I$137)*60*F$145/$K21)</f>
        <v>200.791448142608</v>
      </c>
      <c r="G161" s="54" t="n">
        <f aca="false">IF($K21=0,0,SUMPRODUCT($C$140:$C$143,$I$134:$I$137)*60*G$145/$K21)</f>
        <v>178.481287237874</v>
      </c>
      <c r="H161" s="54" t="n">
        <f aca="false">IF($K21=0,0,SUMPRODUCT($C$140:$C$143,$I$134:$I$137)*60*H$145/$K21)</f>
        <v>200.791448142608</v>
      </c>
      <c r="I161" s="54" t="n">
        <f aca="false">IF($K21=0,0,SUMPRODUCT($C$140:$C$143,$I$134:$I$137)*60*I$145/$K21)</f>
        <v>200.791448142608</v>
      </c>
      <c r="J161" s="54" t="n">
        <f aca="false">IF($K21=0,0,SUMPRODUCT($C$140:$C$143,$I$134:$I$137)*60*J$145/$K21)</f>
        <v>189.636367690241</v>
      </c>
      <c r="K161" s="54" t="n">
        <f aca="false">IF($K21=0,0,SUMPRODUCT($C$140:$C$143,$I$134:$I$137)*60*K$145/$K21)</f>
        <v>167.326206785507</v>
      </c>
      <c r="L161" s="54" t="n">
        <f aca="false">IF($K21=0,0,SUMPRODUCT($C$140:$C$143,$I$134:$I$137)*60*L$145/$K21)</f>
        <v>156.17112633314</v>
      </c>
      <c r="M161" s="54" t="n">
        <f aca="false">IF($K21=0,0,SUMPRODUCT($C$140:$C$143,$I$134:$I$137)*60*M$145/$K21)</f>
        <v>178.481287237874</v>
      </c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customFormat="false" ht="14.25" hidden="false" customHeight="true" outlineLevel="0" collapsed="false">
      <c r="A162" s="17" t="n">
        <v>2028</v>
      </c>
      <c r="B162" s="54" t="n">
        <f aca="false">IF($K21=0,0,SUMPRODUCT($D$140:$D$143,$I$134:$I$137)*60*B$145/$K21)</f>
        <v>292.131671229309</v>
      </c>
      <c r="C162" s="54" t="n">
        <f aca="false">IF($K21=0,0,SUMPRODUCT($D$140:$D$143,$I$134:$I$137)*60*C$145/$K21)</f>
        <v>257.763239319979</v>
      </c>
      <c r="D162" s="54" t="n">
        <f aca="false">IF($K21=0,0,SUMPRODUCT($D$140:$D$143,$I$134:$I$137)*60*D$145/$K21)</f>
        <v>309.315887183975</v>
      </c>
      <c r="E162" s="54" t="n">
        <f aca="false">IF($K21=0,0,SUMPRODUCT($D$140:$D$143,$I$134:$I$137)*60*E$145/$K21)</f>
        <v>309.315887183975</v>
      </c>
      <c r="F162" s="54" t="n">
        <f aca="false">IF($K21=0,0,SUMPRODUCT($D$140:$D$143,$I$134:$I$137)*60*F$145/$K21)</f>
        <v>309.315887183975</v>
      </c>
      <c r="G162" s="54" t="n">
        <f aca="false">IF($K21=0,0,SUMPRODUCT($D$140:$D$143,$I$134:$I$137)*60*G$145/$K21)</f>
        <v>274.947455274644</v>
      </c>
      <c r="H162" s="54" t="n">
        <f aca="false">IF($K21=0,0,SUMPRODUCT($D$140:$D$143,$I$134:$I$137)*60*H$145/$K21)</f>
        <v>309.315887183975</v>
      </c>
      <c r="I162" s="54" t="n">
        <f aca="false">IF($K21=0,0,SUMPRODUCT($D$140:$D$143,$I$134:$I$137)*60*I$145/$K21)</f>
        <v>309.315887183975</v>
      </c>
      <c r="J162" s="54" t="n">
        <f aca="false">IF($K21=0,0,SUMPRODUCT($D$140:$D$143,$I$134:$I$137)*60*J$145/$K21)</f>
        <v>292.131671229309</v>
      </c>
      <c r="K162" s="54" t="n">
        <f aca="false">IF($K21=0,0,SUMPRODUCT($D$140:$D$143,$I$134:$I$137)*60*K$145/$K21)</f>
        <v>257.763239319979</v>
      </c>
      <c r="L162" s="54" t="n">
        <f aca="false">IF($K21=0,0,SUMPRODUCT($D$140:$D$143,$I$134:$I$137)*60*L$145/$K21)</f>
        <v>240.579023365314</v>
      </c>
      <c r="M162" s="54" t="n">
        <f aca="false">IF($K21=0,0,SUMPRODUCT($D$140:$D$143,$I$134:$I$137)*60*M$145/$K21)</f>
        <v>274.947455274644</v>
      </c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customFormat="false" ht="14.25" hidden="false" customHeight="true" outlineLevel="0" collapsed="false">
      <c r="A163" s="17" t="n">
        <v>2029</v>
      </c>
      <c r="B163" s="54" t="n">
        <f aca="false">IF($K21=0,0,SUMPRODUCT($E$140:$E$143,$I$134:$I$137)*60*B$145/$K21)</f>
        <v>493.012534696227</v>
      </c>
      <c r="C163" s="54" t="n">
        <f aca="false">IF($K21=0,0,SUMPRODUCT($E$140:$E$143,$I$134:$I$137)*60*C$145/$K21)</f>
        <v>435.011060026083</v>
      </c>
      <c r="D163" s="54" t="n">
        <f aca="false">IF($K21=0,0,SUMPRODUCT($E$140:$E$143,$I$134:$I$137)*60*D$145/$K21)</f>
        <v>522.013272031299</v>
      </c>
      <c r="E163" s="54" t="n">
        <f aca="false">IF($K21=0,0,SUMPRODUCT($E$140:$E$143,$I$134:$I$137)*60*E$145/$K21)</f>
        <v>522.013272031299</v>
      </c>
      <c r="F163" s="54" t="n">
        <f aca="false">IF($K21=0,0,SUMPRODUCT($E$140:$E$143,$I$134:$I$137)*60*F$145/$K21)</f>
        <v>522.013272031299</v>
      </c>
      <c r="G163" s="54" t="n">
        <f aca="false">IF($K21=0,0,SUMPRODUCT($E$140:$E$143,$I$134:$I$137)*60*G$145/$K21)</f>
        <v>464.011797361155</v>
      </c>
      <c r="H163" s="54" t="n">
        <f aca="false">IF($K21=0,0,SUMPRODUCT($E$140:$E$143,$I$134:$I$137)*60*H$145/$K21)</f>
        <v>522.013272031299</v>
      </c>
      <c r="I163" s="54" t="n">
        <f aca="false">IF($K21=0,0,SUMPRODUCT($E$140:$E$143,$I$134:$I$137)*60*I$145/$K21)</f>
        <v>522.013272031299</v>
      </c>
      <c r="J163" s="54" t="n">
        <f aca="false">IF($K21=0,0,SUMPRODUCT($E$140:$E$143,$I$134:$I$137)*60*J$145/$K21)</f>
        <v>493.012534696227</v>
      </c>
      <c r="K163" s="54" t="n">
        <f aca="false">IF($K21=0,0,SUMPRODUCT($E$140:$E$143,$I$134:$I$137)*60*K$145/$K21)</f>
        <v>435.011060026083</v>
      </c>
      <c r="L163" s="54" t="n">
        <f aca="false">IF($K21=0,0,SUMPRODUCT($E$140:$E$143,$I$134:$I$137)*60*L$145/$K21)</f>
        <v>406.010322691011</v>
      </c>
      <c r="M163" s="54" t="n">
        <f aca="false">IF($K21=0,0,SUMPRODUCT($E$140:$E$143,$I$134:$I$137)*60*M$145/$K21)</f>
        <v>464.011797361155</v>
      </c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customFormat="false" ht="14.25" hidden="false" customHeight="true" outlineLevel="0" collapsed="false">
      <c r="A164" s="17" t="n">
        <v>2030</v>
      </c>
      <c r="B164" s="54" t="n">
        <f aca="false">IF($K21=0,0,SUMPRODUCT($F$140:$F$143,$I$134:$I$137)*60*B$145/$K21)</f>
        <v>813.667443385478</v>
      </c>
      <c r="C164" s="54" t="n">
        <f aca="false">IF($K21=0,0,SUMPRODUCT($F$140:$F$143,$I$134:$I$137)*60*C$145/$K21)</f>
        <v>717.941861810715</v>
      </c>
      <c r="D164" s="54" t="n">
        <f aca="false">IF($K21=0,0,SUMPRODUCT($F$140:$F$143,$I$134:$I$137)*60*D$145/$K21)</f>
        <v>861.530234172859</v>
      </c>
      <c r="E164" s="54" t="n">
        <f aca="false">IF($K21=0,0,SUMPRODUCT($F$140:$F$143,$I$134:$I$137)*60*E$145/$K21)</f>
        <v>861.530234172859</v>
      </c>
      <c r="F164" s="54" t="n">
        <f aca="false">IF($K21=0,0,SUMPRODUCT($F$140:$F$143,$I$134:$I$137)*60*F$145/$K21)</f>
        <v>861.530234172859</v>
      </c>
      <c r="G164" s="54" t="n">
        <f aca="false">IF($K21=0,0,SUMPRODUCT($F$140:$F$143,$I$134:$I$137)*60*G$145/$K21)</f>
        <v>765.804652598097</v>
      </c>
      <c r="H164" s="54" t="n">
        <f aca="false">IF($K21=0,0,SUMPRODUCT($F$140:$F$143,$I$134:$I$137)*60*H$145/$K21)</f>
        <v>861.530234172859</v>
      </c>
      <c r="I164" s="54" t="n">
        <f aca="false">IF($K21=0,0,SUMPRODUCT($F$140:$F$143,$I$134:$I$137)*60*I$145/$K21)</f>
        <v>861.530234172859</v>
      </c>
      <c r="J164" s="54" t="n">
        <f aca="false">IF($K21=0,0,SUMPRODUCT($F$140:$F$143,$I$134:$I$137)*60*J$145/$K21)</f>
        <v>813.667443385478</v>
      </c>
      <c r="K164" s="54" t="n">
        <f aca="false">IF($K21=0,0,SUMPRODUCT($F$140:$F$143,$I$134:$I$137)*60*K$145/$K21)</f>
        <v>717.941861810715</v>
      </c>
      <c r="L164" s="54" t="n">
        <f aca="false">IF($K21=0,0,SUMPRODUCT($F$140:$F$143,$I$134:$I$137)*60*L$145/$K21)</f>
        <v>670.079071023335</v>
      </c>
      <c r="M164" s="54" t="n">
        <f aca="false">IF($K21=0,0,SUMPRODUCT($F$140:$F$143,$I$134:$I$137)*60*M$145/$K21)</f>
        <v>765.804652598097</v>
      </c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customFormat="false" ht="14.25" hidden="false" customHeight="true" outlineLevel="0" collapsed="false">
      <c r="A165" s="17" t="n">
        <v>2031</v>
      </c>
      <c r="B165" s="54" t="n">
        <f aca="false">IF($K21=0,0,SUMPRODUCT($G$140:$G$143,$I$134:$I$137)*60*B$145/$K21)</f>
        <v>1124.30685001647</v>
      </c>
      <c r="C165" s="54" t="n">
        <f aca="false">IF($K21=0,0,SUMPRODUCT($G$140:$G$143,$I$134:$I$137)*60*C$145/$K21)</f>
        <v>992.035455896887</v>
      </c>
      <c r="D165" s="54" t="n">
        <f aca="false">IF($K21=0,0,SUMPRODUCT($G$140:$G$143,$I$134:$I$137)*60*D$145/$K21)</f>
        <v>1190.44254707626</v>
      </c>
      <c r="E165" s="54" t="n">
        <f aca="false">IF($K21=0,0,SUMPRODUCT($G$140:$G$143,$I$134:$I$137)*60*E$145/$K21)</f>
        <v>1190.44254707626</v>
      </c>
      <c r="F165" s="54" t="n">
        <f aca="false">IF($K21=0,0,SUMPRODUCT($G$140:$G$143,$I$134:$I$137)*60*F$145/$K21)</f>
        <v>1190.44254707626</v>
      </c>
      <c r="G165" s="54" t="n">
        <f aca="false">IF($K21=0,0,SUMPRODUCT($G$140:$G$143,$I$134:$I$137)*60*G$145/$K21)</f>
        <v>1058.17115295668</v>
      </c>
      <c r="H165" s="54" t="n">
        <f aca="false">IF($K21=0,0,SUMPRODUCT($G$140:$G$143,$I$134:$I$137)*60*H$145/$K21)</f>
        <v>1190.44254707626</v>
      </c>
      <c r="I165" s="54" t="n">
        <f aca="false">IF($K21=0,0,SUMPRODUCT($G$140:$G$143,$I$134:$I$137)*60*I$145/$K21)</f>
        <v>1190.44254707626</v>
      </c>
      <c r="J165" s="54" t="n">
        <f aca="false">IF($K21=0,0,SUMPRODUCT($G$140:$G$143,$I$134:$I$137)*60*J$145/$K21)</f>
        <v>1124.30685001647</v>
      </c>
      <c r="K165" s="54" t="n">
        <f aca="false">IF($K21=0,0,SUMPRODUCT($G$140:$G$143,$I$134:$I$137)*60*K$145/$K21)</f>
        <v>992.035455896887</v>
      </c>
      <c r="L165" s="54" t="n">
        <f aca="false">IF($K21=0,0,SUMPRODUCT($G$140:$G$143,$I$134:$I$137)*60*L$145/$K21)</f>
        <v>925.899758837095</v>
      </c>
      <c r="M165" s="54" t="n">
        <f aca="false">IF($K21=0,0,SUMPRODUCT($G$140:$G$143,$I$134:$I$137)*60*M$145/$K21)</f>
        <v>1058.17115295668</v>
      </c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customFormat="false" ht="14.25" hidden="false" customHeight="true" outlineLevel="0" collapsed="false">
      <c r="A166" s="17" t="n">
        <v>2032</v>
      </c>
      <c r="B166" s="54" t="n">
        <f aca="false">IF($K21=0,0,SUMPRODUCT($H$140:$H$143,$I$134:$I$137)*60*B$145/$K21)</f>
        <v>1503.21312396196</v>
      </c>
      <c r="C166" s="54" t="n">
        <f aca="false">IF($K21=0,0,SUMPRODUCT($H$140:$H$143,$I$134:$I$137)*60*C$145/$K21)</f>
        <v>1326.36452114291</v>
      </c>
      <c r="D166" s="54" t="n">
        <f aca="false">IF($K21=0,0,SUMPRODUCT($H$140:$H$143,$I$134:$I$137)*60*D$145/$K21)</f>
        <v>1591.63742537149</v>
      </c>
      <c r="E166" s="54" t="n">
        <f aca="false">IF($K21=0,0,SUMPRODUCT($H$140:$H$143,$I$134:$I$137)*60*E$145/$K21)</f>
        <v>1591.63742537149</v>
      </c>
      <c r="F166" s="54" t="n">
        <f aca="false">IF($K21=0,0,SUMPRODUCT($H$140:$H$143,$I$134:$I$137)*60*F$145/$K21)</f>
        <v>1591.63742537149</v>
      </c>
      <c r="G166" s="54" t="n">
        <f aca="false">IF($K21=0,0,SUMPRODUCT($H$140:$H$143,$I$134:$I$137)*60*G$145/$K21)</f>
        <v>1414.78882255243</v>
      </c>
      <c r="H166" s="54" t="n">
        <f aca="false">IF($K21=0,0,SUMPRODUCT($H$140:$H$143,$I$134:$I$137)*60*H$145/$K21)</f>
        <v>1591.63742537149</v>
      </c>
      <c r="I166" s="54" t="n">
        <f aca="false">IF($K21=0,0,SUMPRODUCT($H$140:$H$143,$I$134:$I$137)*60*I$145/$K21)</f>
        <v>1591.63742537149</v>
      </c>
      <c r="J166" s="54" t="n">
        <f aca="false">IF($K21=0,0,SUMPRODUCT($H$140:$H$143,$I$134:$I$137)*60*J$145/$K21)</f>
        <v>1503.21312396196</v>
      </c>
      <c r="K166" s="54" t="n">
        <f aca="false">IF($K21=0,0,SUMPRODUCT($H$140:$H$143,$I$134:$I$137)*60*K$145/$K21)</f>
        <v>1326.36452114291</v>
      </c>
      <c r="L166" s="54" t="n">
        <f aca="false">IF($K21=0,0,SUMPRODUCT($H$140:$H$143,$I$134:$I$137)*60*L$145/$K21)</f>
        <v>1237.94021973338</v>
      </c>
      <c r="M166" s="54" t="n">
        <f aca="false">IF($K21=0,0,SUMPRODUCT($H$140:$H$143,$I$134:$I$137)*60*M$145/$K21)</f>
        <v>1414.78882255243</v>
      </c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customFormat="false" ht="14.25" hidden="false" customHeight="true" outlineLevel="0" collapsed="false">
      <c r="A167" s="17" t="n">
        <v>2033</v>
      </c>
      <c r="B167" s="54" t="n">
        <f aca="false">IF($K21=0,0,SUMPRODUCT($I$140:$I$143,$I$134:$I$137)*60*B$145/$K21)</f>
        <v>1889.12877980493</v>
      </c>
      <c r="C167" s="54" t="n">
        <f aca="false">IF($K21=0,0,SUMPRODUCT($I$140:$I$143,$I$134:$I$137)*60*C$145/$K21)</f>
        <v>1666.878335122</v>
      </c>
      <c r="D167" s="54" t="n">
        <f aca="false">IF($K21=0,0,SUMPRODUCT($I$140:$I$143,$I$134:$I$137)*60*D$145/$K21)</f>
        <v>2000.2540021464</v>
      </c>
      <c r="E167" s="54" t="n">
        <f aca="false">IF($K21=0,0,SUMPRODUCT($I$140:$I$143,$I$134:$I$137)*60*E$145/$K21)</f>
        <v>2000.2540021464</v>
      </c>
      <c r="F167" s="54" t="n">
        <f aca="false">IF($K21=0,0,SUMPRODUCT($I$140:$I$143,$I$134:$I$137)*60*F$145/$K21)</f>
        <v>2000.2540021464</v>
      </c>
      <c r="G167" s="54" t="n">
        <f aca="false">IF($K21=0,0,SUMPRODUCT($I$140:$I$143,$I$134:$I$137)*60*G$145/$K21)</f>
        <v>1778.00355746346</v>
      </c>
      <c r="H167" s="54" t="n">
        <f aca="false">IF($K21=0,0,SUMPRODUCT($I$140:$I$143,$I$134:$I$137)*60*H$145/$K21)</f>
        <v>2000.2540021464</v>
      </c>
      <c r="I167" s="54" t="n">
        <f aca="false">IF($K21=0,0,SUMPRODUCT($I$140:$I$143,$I$134:$I$137)*60*I$145/$K21)</f>
        <v>2000.2540021464</v>
      </c>
      <c r="J167" s="54" t="n">
        <f aca="false">IF($K21=0,0,SUMPRODUCT($I$140:$I$143,$I$134:$I$137)*60*J$145/$K21)</f>
        <v>1889.12877980493</v>
      </c>
      <c r="K167" s="54" t="n">
        <f aca="false">IF($K21=0,0,SUMPRODUCT($I$140:$I$143,$I$134:$I$137)*60*K$145/$K21)</f>
        <v>1666.878335122</v>
      </c>
      <c r="L167" s="54" t="n">
        <f aca="false">IF($K21=0,0,SUMPRODUCT($I$140:$I$143,$I$134:$I$137)*60*L$145/$K21)</f>
        <v>1555.75311278053</v>
      </c>
      <c r="M167" s="54" t="n">
        <f aca="false">IF($K21=0,0,SUMPRODUCT($I$140:$I$143,$I$134:$I$137)*60*M$145/$K21)</f>
        <v>1778.00355746346</v>
      </c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customFormat="false" ht="14.25" hidden="false" customHeight="true" outlineLevel="0" collapsed="false">
      <c r="A168" s="17" t="n">
        <v>2034</v>
      </c>
      <c r="B168" s="54" t="n">
        <f aca="false">IF($K21=0,0,SUMPRODUCT($J$140:$J$143,$I$134:$I$137)*60*B$145/$K21)</f>
        <v>2166.26763922365</v>
      </c>
      <c r="C168" s="54" t="n">
        <f aca="false">IF($K21=0,0,SUMPRODUCT($J$140:$J$143,$I$134:$I$137)*60*C$145/$K21)</f>
        <v>1911.4126228444</v>
      </c>
      <c r="D168" s="54" t="n">
        <f aca="false">IF($K21=0,0,SUMPRODUCT($J$140:$J$143,$I$134:$I$137)*60*D$145/$K21)</f>
        <v>2293.69514741328</v>
      </c>
      <c r="E168" s="54" t="n">
        <f aca="false">IF($K21=0,0,SUMPRODUCT($J$140:$J$143,$I$134:$I$137)*60*E$145/$K21)</f>
        <v>2293.69514741328</v>
      </c>
      <c r="F168" s="54" t="n">
        <f aca="false">IF($K21=0,0,SUMPRODUCT($J$140:$J$143,$I$134:$I$137)*60*F$145/$K21)</f>
        <v>2293.69514741328</v>
      </c>
      <c r="G168" s="54" t="n">
        <f aca="false">IF($K21=0,0,SUMPRODUCT($J$140:$J$143,$I$134:$I$137)*60*G$145/$K21)</f>
        <v>2038.84013103402</v>
      </c>
      <c r="H168" s="54" t="n">
        <f aca="false">IF($K21=0,0,SUMPRODUCT($J$140:$J$143,$I$134:$I$137)*60*H$145/$K21)</f>
        <v>2293.69514741328</v>
      </c>
      <c r="I168" s="54" t="n">
        <f aca="false">IF($K21=0,0,SUMPRODUCT($J$140:$J$143,$I$134:$I$137)*60*I$145/$K21)</f>
        <v>2293.69514741328</v>
      </c>
      <c r="J168" s="54" t="n">
        <f aca="false">IF($K21=0,0,SUMPRODUCT($J$140:$J$143,$I$134:$I$137)*60*J$145/$K21)</f>
        <v>2166.26763922365</v>
      </c>
      <c r="K168" s="54" t="n">
        <f aca="false">IF($K21=0,0,SUMPRODUCT($J$140:$J$143,$I$134:$I$137)*60*K$145/$K21)</f>
        <v>1911.4126228444</v>
      </c>
      <c r="L168" s="54" t="n">
        <f aca="false">IF($K21=0,0,SUMPRODUCT($J$140:$J$143,$I$134:$I$137)*60*L$145/$K21)</f>
        <v>1783.98511465477</v>
      </c>
      <c r="M168" s="54" t="n">
        <f aca="false">IF($K21=0,0,SUMPRODUCT($J$140:$J$143,$I$134:$I$137)*60*M$145/$K21)</f>
        <v>2038.84013103402</v>
      </c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customFormat="false" ht="14.25" hidden="false" customHeight="true" outlineLevel="0" collapsed="false">
      <c r="A169" s="17" t="n">
        <v>2035</v>
      </c>
      <c r="B169" s="54" t="n">
        <f aca="false">IF($K21=0,0,SUMPRODUCT($K$140:$K$143,$I$134:$I$137)*60*B$145/$K21)</f>
        <v>2502.64437240645</v>
      </c>
      <c r="C169" s="54" t="n">
        <f aca="false">IF($K21=0,0,SUMPRODUCT($K$140:$K$143,$I$134:$I$137)*60*C$145/$K21)</f>
        <v>2208.21562271157</v>
      </c>
      <c r="D169" s="54" t="n">
        <f aca="false">IF($K21=0,0,SUMPRODUCT($K$140:$K$143,$I$134:$I$137)*60*D$145/$K21)</f>
        <v>2649.85874725388</v>
      </c>
      <c r="E169" s="54" t="n">
        <f aca="false">IF($K21=0,0,SUMPRODUCT($K$140:$K$143,$I$134:$I$137)*60*E$145/$K21)</f>
        <v>2649.85874725388</v>
      </c>
      <c r="F169" s="54" t="n">
        <f aca="false">IF($K21=0,0,SUMPRODUCT($K$140:$K$143,$I$134:$I$137)*60*F$145/$K21)</f>
        <v>2649.85874725388</v>
      </c>
      <c r="G169" s="54" t="n">
        <f aca="false">IF($K21=0,0,SUMPRODUCT($K$140:$K$143,$I$134:$I$137)*60*G$145/$K21)</f>
        <v>2355.42999755901</v>
      </c>
      <c r="H169" s="54" t="n">
        <f aca="false">IF($K21=0,0,SUMPRODUCT($K$140:$K$143,$I$134:$I$137)*60*H$145/$K21)</f>
        <v>2649.85874725388</v>
      </c>
      <c r="I169" s="54" t="n">
        <f aca="false">IF($K21=0,0,SUMPRODUCT($K$140:$K$143,$I$134:$I$137)*60*I$145/$K21)</f>
        <v>2649.85874725388</v>
      </c>
      <c r="J169" s="54" t="n">
        <f aca="false">IF($K21=0,0,SUMPRODUCT($K$140:$K$143,$I$134:$I$137)*60*J$145/$K21)</f>
        <v>2502.64437240645</v>
      </c>
      <c r="K169" s="54" t="n">
        <f aca="false">IF($K21=0,0,SUMPRODUCT($K$140:$K$143,$I$134:$I$137)*60*K$145/$K21)</f>
        <v>2208.21562271157</v>
      </c>
      <c r="L169" s="54" t="n">
        <f aca="false">IF($K21=0,0,SUMPRODUCT($K$140:$K$143,$I$134:$I$137)*60*L$145/$K21)</f>
        <v>2061.00124786413</v>
      </c>
      <c r="M169" s="54" t="n">
        <f aca="false">IF($K21=0,0,SUMPRODUCT($K$140:$K$143,$I$134:$I$137)*60*M$145/$K21)</f>
        <v>2355.42999755901</v>
      </c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customFormat="false" ht="14.25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customFormat="false" ht="14.25" hidden="false" customHeight="true" outlineLevel="0" collapsed="false">
      <c r="A171" s="17" t="s">
        <v>258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customFormat="false" ht="14.25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customFormat="false" ht="14.25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customFormat="false" ht="14.25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customFormat="false" ht="14.25" hidden="false" customHeight="tru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customFormat="false" ht="14.25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customFormat="false" ht="14.25" hidden="false" customHeight="tru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customFormat="false" ht="14.25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customFormat="false" ht="14.25" hidden="false" customHeight="tru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customFormat="false" ht="14.25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customFormat="false" ht="14.25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customFormat="false" ht="14.25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customFormat="false" ht="14.25" hidden="false" customHeight="tru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customFormat="false" ht="14.25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customFormat="false" ht="14.25" hidden="false" customHeight="tru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customFormat="false" ht="14.25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customFormat="false" ht="14.25" hidden="false" customHeight="tru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customFormat="false" ht="14.25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customFormat="false" ht="14.25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customFormat="false" ht="14.25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customFormat="false" ht="14.25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customFormat="false" ht="14.25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customFormat="false" ht="14.25" hidden="false" customHeight="tru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customFormat="false" ht="14.25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customFormat="false" ht="14.25" hidden="false" customHeight="tru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customFormat="false" ht="14.25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customFormat="false" ht="14.25" hidden="false" customHeight="tru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customFormat="false" ht="14.25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customFormat="false" ht="14.25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customFormat="false" ht="14.25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customFormat="false" ht="14.25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customFormat="false" ht="14.25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customFormat="false" ht="14.25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customFormat="false" ht="14.25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customFormat="false" ht="14.25" hidden="false" customHeight="tru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customFormat="false" ht="14.25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customFormat="false" ht="14.25" hidden="false" customHeight="tru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customFormat="false" ht="14.25" hidden="false" customHeight="tru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customFormat="false" ht="14.25" hidden="false" customHeight="tru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customFormat="false" ht="14.25" hidden="false" customHeight="tru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customFormat="false" ht="14.25" hidden="false" customHeight="tru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customFormat="false" ht="14.25" hidden="false" customHeight="tru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customFormat="false" ht="14.25" hidden="false" customHeight="tru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customFormat="false" ht="14.25" hidden="false" customHeight="tru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customFormat="false" ht="14.25" hidden="false" customHeight="tru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customFormat="false" ht="14.25" hidden="false" customHeight="tru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customFormat="false" ht="14.25" hidden="false" customHeight="tru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customFormat="false" ht="14.25" hidden="false" customHeight="tru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customFormat="false" ht="14.25" hidden="false" customHeight="tru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customFormat="false" ht="14.25" hidden="false" customHeight="tru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customFormat="false" ht="14.25" hidden="false" customHeight="tru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customFormat="false" ht="14.25" hidden="false" customHeight="tru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customFormat="false" ht="14.25" hidden="false" customHeight="tru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customFormat="false" ht="14.25" hidden="false" customHeight="tru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customFormat="false" ht="14.25" hidden="false" customHeight="tru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customFormat="false" ht="14.25" hidden="false" customHeight="tru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customFormat="false" ht="14.25" hidden="false" customHeight="tru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customFormat="false" ht="14.25" hidden="false" customHeight="tru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customFormat="false" ht="14.25" hidden="false" customHeight="tru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customFormat="false" ht="14.25" hidden="false" customHeight="tru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customFormat="false" ht="14.25" hidden="false" customHeight="tru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customFormat="false" ht="14.25" hidden="false" customHeight="tru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customFormat="false" ht="14.25" hidden="false" customHeight="tru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customFormat="false" ht="14.25" hidden="false" customHeight="tru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customFormat="false" ht="14.25" hidden="false" customHeight="tru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customFormat="false" ht="14.25" hidden="false" customHeight="tru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customFormat="false" ht="14.25" hidden="false" customHeight="tru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customFormat="false" ht="14.25" hidden="false" customHeight="tru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customFormat="false" ht="14.25" hidden="false" customHeight="tru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customFormat="false" ht="14.25" hidden="false" customHeight="tru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customFormat="false" ht="14.25" hidden="false" customHeight="tru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customFormat="false" ht="14.25" hidden="false" customHeight="tru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customFormat="false" ht="14.25" hidden="false" customHeight="tru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customFormat="false" ht="14.25" hidden="false" customHeight="tru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customFormat="false" ht="14.25" hidden="false" customHeight="tru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customFormat="false" ht="14.25" hidden="false" customHeight="tru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customFormat="false" ht="14.25" hidden="false" customHeight="tru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customFormat="false" ht="14.25" hidden="false" customHeight="tru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customFormat="false" ht="14.25" hidden="false" customHeight="tru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customFormat="false" ht="14.25" hidden="false" customHeight="tru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customFormat="false" ht="14.25" hidden="false" customHeight="tru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customFormat="false" ht="14.25" hidden="false" customHeight="tru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customFormat="false" ht="14.25" hidden="false" customHeight="tru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customFormat="false" ht="14.25" hidden="false" customHeight="tru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customFormat="false" ht="14.25" hidden="false" customHeight="tru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customFormat="false" ht="14.25" hidden="false" customHeight="tru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customFormat="false" ht="14.25" hidden="false" customHeight="tru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customFormat="false" ht="14.25" hidden="false" customHeight="tru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customFormat="false" ht="14.25" hidden="false" customHeight="tru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customFormat="false" ht="14.25" hidden="false" customHeight="tru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customFormat="false" ht="14.25" hidden="false" customHeight="tru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customFormat="false" ht="14.25" hidden="false" customHeight="tru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customFormat="false" ht="14.25" hidden="false" customHeight="tru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customFormat="false" ht="14.25" hidden="false" customHeight="tru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customFormat="false" ht="14.25" hidden="false" customHeight="tru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customFormat="false" ht="14.25" hidden="false" customHeight="tru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customFormat="false" ht="14.25" hidden="false" customHeight="tru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customFormat="false" ht="14.25" hidden="false" customHeight="tru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customFormat="false" ht="14.25" hidden="false" customHeight="tru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customFormat="false" ht="14.25" hidden="false" customHeight="tru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customFormat="false" ht="14.25" hidden="false" customHeight="tru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customFormat="false" ht="14.25" hidden="false" customHeight="tru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customFormat="false" ht="14.25" hidden="false" customHeight="tru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customFormat="false" ht="14.25" hidden="false" customHeight="tru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customFormat="false" ht="14.25" hidden="false" customHeight="tru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customFormat="false" ht="14.25" hidden="false" customHeight="tru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customFormat="false" ht="14.25" hidden="false" customHeight="tru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customFormat="false" ht="14.25" hidden="false" customHeight="tru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customFormat="false" ht="14.25" hidden="false" customHeight="tru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customFormat="false" ht="14.25" hidden="false" customHeight="tru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customFormat="false" ht="14.25" hidden="false" customHeight="tru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customFormat="false" ht="14.25" hidden="false" customHeight="tru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customFormat="false" ht="14.25" hidden="false" customHeight="tru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customFormat="false" ht="14.25" hidden="false" customHeight="tru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customFormat="false" ht="14.25" hidden="false" customHeight="tru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customFormat="false" ht="14.25" hidden="false" customHeight="tru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customFormat="false" ht="14.25" hidden="false" customHeight="tru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customFormat="false" ht="14.25" hidden="false" customHeight="tru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customFormat="false" ht="14.25" hidden="false" customHeight="tru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customFormat="false" ht="14.25" hidden="false" customHeight="tru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customFormat="false" ht="14.25" hidden="false" customHeight="tru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customFormat="false" ht="14.25" hidden="false" customHeight="tru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customFormat="false" ht="14.25" hidden="false" customHeight="tru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customFormat="false" ht="14.25" hidden="false" customHeight="tru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customFormat="false" ht="14.25" hidden="false" customHeight="tru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customFormat="false" ht="14.25" hidden="false" customHeight="tru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customFormat="false" ht="14.25" hidden="false" customHeight="tru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customFormat="false" ht="14.25" hidden="false" customHeight="tru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customFormat="false" ht="14.25" hidden="false" customHeight="tru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customFormat="false" ht="14.25" hidden="false" customHeight="tru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customFormat="false" ht="14.25" hidden="false" customHeight="tru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customFormat="false" ht="14.25" hidden="false" customHeight="tru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customFormat="false" ht="14.25" hidden="false" customHeight="tru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customFormat="false" ht="14.25" hidden="false" customHeight="tru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customFormat="false" ht="14.25" hidden="false" customHeight="tru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customFormat="false" ht="14.25" hidden="false" customHeight="tru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customFormat="false" ht="14.25" hidden="false" customHeight="tru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customFormat="false" ht="14.25" hidden="false" customHeight="tru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customFormat="false" ht="14.25" hidden="false" customHeight="tru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customFormat="false" ht="14.25" hidden="false" customHeight="tru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customFormat="false" ht="14.25" hidden="false" customHeight="tru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customFormat="false" ht="14.25" hidden="false" customHeight="tru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customFormat="false" ht="14.25" hidden="false" customHeight="tru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customFormat="false" ht="14.25" hidden="false" customHeight="tru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46:C46"/>
    <mergeCell ref="A47:C47"/>
    <mergeCell ref="A48:C48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24"/>
    <col collapsed="false" customWidth="true" hidden="false" outlineLevel="0" max="3" min="3" style="1" width="11"/>
    <col collapsed="false" customWidth="true" hidden="false" outlineLevel="0" max="16" min="4" style="1" width="9"/>
  </cols>
  <sheetData>
    <row r="1" customFormat="false" ht="14.25" hidden="false" customHeight="true" outlineLevel="0" collapsed="false">
      <c r="A1" s="12" t="n">
        <v>2026</v>
      </c>
      <c r="B1" s="12" t="s">
        <v>259</v>
      </c>
      <c r="C1" s="12" t="s">
        <v>260</v>
      </c>
      <c r="D1" s="12" t="s">
        <v>37</v>
      </c>
      <c r="E1" s="12" t="s">
        <v>38</v>
      </c>
      <c r="F1" s="12" t="s">
        <v>39</v>
      </c>
      <c r="G1" s="12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2" t="s">
        <v>45</v>
      </c>
      <c r="M1" s="12" t="s">
        <v>46</v>
      </c>
      <c r="N1" s="12" t="s">
        <v>47</v>
      </c>
      <c r="O1" s="12" t="s">
        <v>48</v>
      </c>
      <c r="P1" s="12" t="s">
        <v>261</v>
      </c>
    </row>
    <row r="2" customFormat="false" ht="14.25" hidden="false" customHeight="true" outlineLevel="0" collapsed="false">
      <c r="A2" s="55" t="n">
        <v>2026</v>
      </c>
      <c r="B2" s="13" t="s">
        <v>29</v>
      </c>
      <c r="C2" s="13" t="s">
        <v>262</v>
      </c>
      <c r="D2" s="56" t="n">
        <f aca="false">datos_base!$B$2*parametros_manuales!B$12</f>
        <v>501.44838516</v>
      </c>
      <c r="E2" s="56" t="n">
        <f aca="false">datos_base!$B$2*parametros_manuales!C$12</f>
        <v>376.08628887</v>
      </c>
      <c r="F2" s="56" t="n">
        <f aca="false">datos_base!$B$2*parametros_manuales!D$12</f>
        <v>334.29892344</v>
      </c>
      <c r="G2" s="56" t="n">
        <f aca="false">datos_base!$B$2*parametros_manuales!E$12</f>
        <v>313.405240725</v>
      </c>
      <c r="H2" s="56" t="n">
        <f aca="false">datos_base!$B$2*parametros_manuales!F$12</f>
        <v>292.51155801</v>
      </c>
      <c r="I2" s="56" t="n">
        <f aca="false">datos_base!$B$2*parametros_manuales!G$12</f>
        <v>292.51155801</v>
      </c>
      <c r="J2" s="56" t="n">
        <f aca="false">datos_base!$B$2*parametros_manuales!H$12</f>
        <v>313.405240725</v>
      </c>
      <c r="K2" s="56" t="n">
        <f aca="false">datos_base!$B$2*parametros_manuales!I$12</f>
        <v>313.405240725</v>
      </c>
      <c r="L2" s="56" t="n">
        <f aca="false">datos_base!$B$2*parametros_manuales!J$12</f>
        <v>313.405240725</v>
      </c>
      <c r="M2" s="56" t="n">
        <f aca="false">datos_base!$B$2*parametros_manuales!K$12</f>
        <v>313.405240725</v>
      </c>
      <c r="N2" s="56" t="n">
        <f aca="false">datos_base!$B$2*parametros_manuales!L$12</f>
        <v>313.405240725</v>
      </c>
      <c r="O2" s="56" t="n">
        <f aca="false">datos_base!$B$2*parametros_manuales!M$12</f>
        <v>501.44838516</v>
      </c>
      <c r="P2" s="14" t="n">
        <f aca="false">SUM(D2:O2)</f>
        <v>4178.736543</v>
      </c>
    </row>
    <row r="3" customFormat="false" ht="14.25" hidden="false" customHeight="true" outlineLevel="0" collapsed="false">
      <c r="A3" s="55" t="n">
        <v>2026</v>
      </c>
      <c r="B3" s="13" t="s">
        <v>30</v>
      </c>
      <c r="C3" s="13" t="s">
        <v>262</v>
      </c>
      <c r="D3" s="56" t="n">
        <f aca="false">datos_base!$B$3*parametros_manuales!B$13</f>
        <v>29.70303572</v>
      </c>
      <c r="E3" s="56" t="n">
        <f aca="false">datos_base!$B$3*parametros_manuales!C$13</f>
        <v>23.762428576</v>
      </c>
      <c r="F3" s="56" t="n">
        <f aca="false">datos_base!$B$3*parametros_manuales!D$13</f>
        <v>25.247580362</v>
      </c>
      <c r="G3" s="56" t="n">
        <f aca="false">datos_base!$B$3*parametros_manuales!E$13</f>
        <v>25.247580362</v>
      </c>
      <c r="H3" s="56" t="n">
        <f aca="false">datos_base!$B$3*parametros_manuales!F$13</f>
        <v>23.762428576</v>
      </c>
      <c r="I3" s="56" t="n">
        <f aca="false">datos_base!$B$3*parametros_manuales!G$13</f>
        <v>22.27727679</v>
      </c>
      <c r="J3" s="56" t="n">
        <f aca="false">datos_base!$B$3*parametros_manuales!H$13</f>
        <v>23.762428576</v>
      </c>
      <c r="K3" s="56" t="n">
        <f aca="false">datos_base!$B$3*parametros_manuales!I$13</f>
        <v>23.762428576</v>
      </c>
      <c r="L3" s="56" t="n">
        <f aca="false">datos_base!$B$3*parametros_manuales!J$13</f>
        <v>23.762428576</v>
      </c>
      <c r="M3" s="56" t="n">
        <f aca="false">datos_base!$B$3*parametros_manuales!K$13</f>
        <v>22.27727679</v>
      </c>
      <c r="N3" s="56" t="n">
        <f aca="false">datos_base!$B$3*parametros_manuales!L$13</f>
        <v>20.792125004</v>
      </c>
      <c r="O3" s="56" t="n">
        <f aca="false">datos_base!$B$3*parametros_manuales!M$13</f>
        <v>32.673339292</v>
      </c>
      <c r="P3" s="14" t="n">
        <f aca="false">SUM(D3:O3)</f>
        <v>297.0303572</v>
      </c>
    </row>
    <row r="4" customFormat="false" ht="14.25" hidden="false" customHeight="true" outlineLevel="0" collapsed="false">
      <c r="A4" s="55" t="n">
        <v>2026</v>
      </c>
      <c r="B4" s="13" t="s">
        <v>31</v>
      </c>
      <c r="C4" s="13" t="s">
        <v>262</v>
      </c>
      <c r="D4" s="56" t="n">
        <f aca="false">datos_base!$B$4*parametros_manuales!B$14</f>
        <v>226.4773025</v>
      </c>
      <c r="E4" s="56" t="n">
        <f aca="false">datos_base!$B$4*parametros_manuales!C$14</f>
        <v>181.181842</v>
      </c>
      <c r="F4" s="56" t="n">
        <f aca="false">datos_base!$B$4*parametros_manuales!D$14</f>
        <v>192.505707125</v>
      </c>
      <c r="G4" s="56" t="n">
        <f aca="false">datos_base!$B$4*parametros_manuales!E$14</f>
        <v>192.505707125</v>
      </c>
      <c r="H4" s="56" t="n">
        <f aca="false">datos_base!$B$4*parametros_manuales!F$14</f>
        <v>181.181842</v>
      </c>
      <c r="I4" s="56" t="n">
        <f aca="false">datos_base!$B$4*parametros_manuales!G$14</f>
        <v>169.857976875</v>
      </c>
      <c r="J4" s="56" t="n">
        <f aca="false">datos_base!$B$4*parametros_manuales!H$14</f>
        <v>181.181842</v>
      </c>
      <c r="K4" s="56" t="n">
        <f aca="false">datos_base!$B$4*parametros_manuales!I$14</f>
        <v>181.181842</v>
      </c>
      <c r="L4" s="56" t="n">
        <f aca="false">datos_base!$B$4*parametros_manuales!J$14</f>
        <v>181.181842</v>
      </c>
      <c r="M4" s="56" t="n">
        <f aca="false">datos_base!$B$4*parametros_manuales!K$14</f>
        <v>169.857976875</v>
      </c>
      <c r="N4" s="56" t="n">
        <f aca="false">datos_base!$B$4*parametros_manuales!L$14</f>
        <v>158.53411175</v>
      </c>
      <c r="O4" s="56" t="n">
        <f aca="false">datos_base!$B$4*parametros_manuales!M$14</f>
        <v>249.12503275</v>
      </c>
      <c r="P4" s="14" t="n">
        <f aca="false">SUM(D4:O4)</f>
        <v>2264.773025</v>
      </c>
    </row>
    <row r="5" customFormat="false" ht="14.25" hidden="false" customHeight="true" outlineLevel="0" collapsed="false">
      <c r="A5" s="55" t="n">
        <v>2026</v>
      </c>
      <c r="B5" s="13" t="s">
        <v>32</v>
      </c>
      <c r="C5" s="13" t="s">
        <v>262</v>
      </c>
      <c r="D5" s="56" t="n">
        <f aca="false">datos_base!$B$5*parametros_manuales!B$15</f>
        <v>9.283318153</v>
      </c>
      <c r="E5" s="56" t="n">
        <f aca="false">datos_base!$B$5*parametros_manuales!C$15</f>
        <v>7.4266545224</v>
      </c>
      <c r="F5" s="56" t="n">
        <f aca="false">datos_base!$B$5*parametros_manuales!D$15</f>
        <v>7.89082043005</v>
      </c>
      <c r="G5" s="56" t="n">
        <f aca="false">datos_base!$B$5*parametros_manuales!E$15</f>
        <v>7.89082043005</v>
      </c>
      <c r="H5" s="56" t="n">
        <f aca="false">datos_base!$B$5*parametros_manuales!F$15</f>
        <v>7.4266545224</v>
      </c>
      <c r="I5" s="56" t="n">
        <f aca="false">datos_base!$B$5*parametros_manuales!G$15</f>
        <v>6.96248861475</v>
      </c>
      <c r="J5" s="56" t="n">
        <f aca="false">datos_base!$B$5*parametros_manuales!H$15</f>
        <v>7.4266545224</v>
      </c>
      <c r="K5" s="56" t="n">
        <f aca="false">datos_base!$B$5*parametros_manuales!I$15</f>
        <v>7.4266545224</v>
      </c>
      <c r="L5" s="56" t="n">
        <f aca="false">datos_base!$B$5*parametros_manuales!J$15</f>
        <v>7.4266545224</v>
      </c>
      <c r="M5" s="56" t="n">
        <f aca="false">datos_base!$B$5*parametros_manuales!K$15</f>
        <v>6.96248861475</v>
      </c>
      <c r="N5" s="56" t="n">
        <f aca="false">datos_base!$B$5*parametros_manuales!L$15</f>
        <v>6.4983227071</v>
      </c>
      <c r="O5" s="56" t="n">
        <f aca="false">datos_base!$B$5*parametros_manuales!M$15</f>
        <v>10.2116499683</v>
      </c>
      <c r="P5" s="14" t="n">
        <f aca="false">SUM(D5:O5)</f>
        <v>92.83318153</v>
      </c>
    </row>
    <row r="6" customFormat="false" ht="14.25" hidden="false" customHeight="true" outlineLevel="0" collapsed="false">
      <c r="A6" s="55" t="n">
        <v>2026</v>
      </c>
      <c r="B6" s="13" t="s">
        <v>74</v>
      </c>
      <c r="C6" s="13" t="s">
        <v>263</v>
      </c>
      <c r="D6" s="56" t="n">
        <f aca="false">datos_base!$B$9*parametros_manuales!B$12</f>
        <v>0</v>
      </c>
      <c r="E6" s="56" t="n">
        <f aca="false">datos_base!$B$9*parametros_manuales!C$12</f>
        <v>0</v>
      </c>
      <c r="F6" s="56" t="n">
        <f aca="false">datos_base!$B$9*parametros_manuales!D$12</f>
        <v>0</v>
      </c>
      <c r="G6" s="56" t="n">
        <f aca="false">datos_base!$B$9*parametros_manuales!E$12</f>
        <v>0</v>
      </c>
      <c r="H6" s="56" t="n">
        <f aca="false">datos_base!$B$9*parametros_manuales!F$12</f>
        <v>0</v>
      </c>
      <c r="I6" s="56" t="n">
        <f aca="false">datos_base!$B$9*parametros_manuales!G$12</f>
        <v>0</v>
      </c>
      <c r="J6" s="56" t="n">
        <f aca="false">datos_base!$B$9*parametros_manuales!H$12</f>
        <v>0</v>
      </c>
      <c r="K6" s="56" t="n">
        <f aca="false">datos_base!$B$9*parametros_manuales!I$12</f>
        <v>0</v>
      </c>
      <c r="L6" s="56" t="n">
        <f aca="false">datos_base!$B$9*parametros_manuales!J$12</f>
        <v>0</v>
      </c>
      <c r="M6" s="56" t="n">
        <f aca="false">datos_base!$B$9*parametros_manuales!K$12</f>
        <v>0</v>
      </c>
      <c r="N6" s="56" t="n">
        <f aca="false">datos_base!$B$9*parametros_manuales!L$12</f>
        <v>0</v>
      </c>
      <c r="O6" s="56" t="n">
        <f aca="false">datos_base!$B$9*parametros_manuales!M$12</f>
        <v>0</v>
      </c>
      <c r="P6" s="14" t="n">
        <f aca="false">SUM(D6:O6)</f>
        <v>0</v>
      </c>
    </row>
    <row r="7" customFormat="false" ht="14.25" hidden="false" customHeight="true" outlineLevel="0" collapsed="false">
      <c r="A7" s="55" t="n">
        <v>2026</v>
      </c>
      <c r="B7" s="13" t="s">
        <v>75</v>
      </c>
      <c r="C7" s="13" t="s">
        <v>263</v>
      </c>
      <c r="D7" s="56" t="n">
        <f aca="false">datos_base!$B$10*parametros_manuales!B$13</f>
        <v>0.3</v>
      </c>
      <c r="E7" s="56" t="n">
        <f aca="false">datos_base!$B$10*parametros_manuales!C$13</f>
        <v>0.24</v>
      </c>
      <c r="F7" s="56" t="n">
        <f aca="false">datos_base!$B$10*parametros_manuales!D$13</f>
        <v>0.255</v>
      </c>
      <c r="G7" s="56" t="n">
        <f aca="false">datos_base!$B$10*parametros_manuales!E$13</f>
        <v>0.255</v>
      </c>
      <c r="H7" s="56" t="n">
        <f aca="false">datos_base!$B$10*parametros_manuales!F$13</f>
        <v>0.24</v>
      </c>
      <c r="I7" s="56" t="n">
        <f aca="false">datos_base!$B$10*parametros_manuales!G$13</f>
        <v>0.225</v>
      </c>
      <c r="J7" s="56" t="n">
        <f aca="false">datos_base!$B$10*parametros_manuales!H$13</f>
        <v>0.24</v>
      </c>
      <c r="K7" s="56" t="n">
        <f aca="false">datos_base!$B$10*parametros_manuales!I$13</f>
        <v>0.24</v>
      </c>
      <c r="L7" s="56" t="n">
        <f aca="false">datos_base!$B$10*parametros_manuales!J$13</f>
        <v>0.24</v>
      </c>
      <c r="M7" s="56" t="n">
        <f aca="false">datos_base!$B$10*parametros_manuales!K$13</f>
        <v>0.225</v>
      </c>
      <c r="N7" s="56" t="n">
        <f aca="false">datos_base!$B$10*parametros_manuales!L$13</f>
        <v>0.21</v>
      </c>
      <c r="O7" s="56" t="n">
        <f aca="false">datos_base!$B$10*parametros_manuales!M$13</f>
        <v>0.33</v>
      </c>
      <c r="P7" s="14" t="n">
        <f aca="false">SUM(D7:O7)</f>
        <v>3</v>
      </c>
    </row>
    <row r="8" customFormat="false" ht="14.25" hidden="false" customHeight="true" outlineLevel="0" collapsed="false">
      <c r="A8" s="55" t="n">
        <v>2026</v>
      </c>
      <c r="B8" s="13" t="s">
        <v>76</v>
      </c>
      <c r="C8" s="13" t="s">
        <v>263</v>
      </c>
      <c r="D8" s="56" t="n">
        <f aca="false">datos_base!$B$11*parametros_manuales!B$14</f>
        <v>1.7</v>
      </c>
      <c r="E8" s="56" t="n">
        <f aca="false">datos_base!$B$11*parametros_manuales!C$14</f>
        <v>1.36</v>
      </c>
      <c r="F8" s="56" t="n">
        <f aca="false">datos_base!$B$11*parametros_manuales!D$14</f>
        <v>1.445</v>
      </c>
      <c r="G8" s="56" t="n">
        <f aca="false">datos_base!$B$11*parametros_manuales!E$14</f>
        <v>1.445</v>
      </c>
      <c r="H8" s="56" t="n">
        <f aca="false">datos_base!$B$11*parametros_manuales!F$14</f>
        <v>1.36</v>
      </c>
      <c r="I8" s="56" t="n">
        <f aca="false">datos_base!$B$11*parametros_manuales!G$14</f>
        <v>1.275</v>
      </c>
      <c r="J8" s="56" t="n">
        <f aca="false">datos_base!$B$11*parametros_manuales!H$14</f>
        <v>1.36</v>
      </c>
      <c r="K8" s="56" t="n">
        <f aca="false">datos_base!$B$11*parametros_manuales!I$14</f>
        <v>1.36</v>
      </c>
      <c r="L8" s="56" t="n">
        <f aca="false">datos_base!$B$11*parametros_manuales!J$14</f>
        <v>1.36</v>
      </c>
      <c r="M8" s="56" t="n">
        <f aca="false">datos_base!$B$11*parametros_manuales!K$14</f>
        <v>1.275</v>
      </c>
      <c r="N8" s="56" t="n">
        <f aca="false">datos_base!$B$11*parametros_manuales!L$14</f>
        <v>1.19</v>
      </c>
      <c r="O8" s="56" t="n">
        <f aca="false">datos_base!$B$11*parametros_manuales!M$14</f>
        <v>1.87</v>
      </c>
      <c r="P8" s="14" t="n">
        <f aca="false">SUM(D8:O8)</f>
        <v>17</v>
      </c>
    </row>
    <row r="9" customFormat="false" ht="14.25" hidden="false" customHeight="true" outlineLevel="0" collapsed="false">
      <c r="A9" s="55" t="n">
        <v>2026</v>
      </c>
      <c r="B9" s="13" t="s">
        <v>77</v>
      </c>
      <c r="C9" s="13" t="s">
        <v>263</v>
      </c>
      <c r="D9" s="56" t="n">
        <f aca="false">datos_base!$B$12*parametros_manuales!B$15</f>
        <v>0.2</v>
      </c>
      <c r="E9" s="56" t="n">
        <f aca="false">datos_base!$B$12*parametros_manuales!C$15</f>
        <v>0.16</v>
      </c>
      <c r="F9" s="56" t="n">
        <f aca="false">datos_base!$B$12*parametros_manuales!D$15</f>
        <v>0.17</v>
      </c>
      <c r="G9" s="56" t="n">
        <f aca="false">datos_base!$B$12*parametros_manuales!E$15</f>
        <v>0.17</v>
      </c>
      <c r="H9" s="56" t="n">
        <f aca="false">datos_base!$B$12*parametros_manuales!F$15</f>
        <v>0.16</v>
      </c>
      <c r="I9" s="56" t="n">
        <f aca="false">datos_base!$B$12*parametros_manuales!G$15</f>
        <v>0.15</v>
      </c>
      <c r="J9" s="56" t="n">
        <f aca="false">datos_base!$B$12*parametros_manuales!H$15</f>
        <v>0.16</v>
      </c>
      <c r="K9" s="56" t="n">
        <f aca="false">datos_base!$B$12*parametros_manuales!I$15</f>
        <v>0.16</v>
      </c>
      <c r="L9" s="56" t="n">
        <f aca="false">datos_base!$B$12*parametros_manuales!J$15</f>
        <v>0.16</v>
      </c>
      <c r="M9" s="56" t="n">
        <f aca="false">datos_base!$B$12*parametros_manuales!K$15</f>
        <v>0.15</v>
      </c>
      <c r="N9" s="56" t="n">
        <f aca="false">datos_base!$B$12*parametros_manuales!L$15</f>
        <v>0.14</v>
      </c>
      <c r="O9" s="56" t="n">
        <f aca="false">datos_base!$B$12*parametros_manuales!M$15</f>
        <v>0.22</v>
      </c>
      <c r="P9" s="14" t="n">
        <f aca="false">SUM(D9:O9)</f>
        <v>2</v>
      </c>
    </row>
    <row r="10" customFormat="false" ht="14.25" hidden="false" customHeight="true" outlineLevel="0" collapsed="false">
      <c r="B10" s="15" t="s">
        <v>264</v>
      </c>
      <c r="D10" s="16" t="n">
        <f aca="false">SUM(D2:D9)</f>
        <v>769.112041533</v>
      </c>
      <c r="E10" s="16" t="n">
        <f aca="false">SUM(E2:E9)</f>
        <v>590.2172139684</v>
      </c>
      <c r="F10" s="16" t="n">
        <f aca="false">SUM(F2:F9)</f>
        <v>561.81303135705</v>
      </c>
      <c r="G10" s="16" t="n">
        <f aca="false">SUM(G2:G9)</f>
        <v>540.91934864205</v>
      </c>
      <c r="H10" s="16" t="n">
        <f aca="false">SUM(H2:H9)</f>
        <v>506.6424831084</v>
      </c>
      <c r="I10" s="16" t="n">
        <f aca="false">SUM(I2:I9)</f>
        <v>493.25930028975</v>
      </c>
      <c r="J10" s="16" t="n">
        <f aca="false">SUM(J2:J9)</f>
        <v>527.5361658234</v>
      </c>
      <c r="K10" s="16" t="n">
        <f aca="false">SUM(K2:K9)</f>
        <v>527.5361658234</v>
      </c>
      <c r="L10" s="16" t="n">
        <f aca="false">SUM(L2:L9)</f>
        <v>527.5361658234</v>
      </c>
      <c r="M10" s="16" t="n">
        <f aca="false">SUM(M2:M9)</f>
        <v>514.15298300475</v>
      </c>
      <c r="N10" s="16" t="n">
        <f aca="false">SUM(N2:N9)</f>
        <v>500.7698001861</v>
      </c>
      <c r="O10" s="16" t="n">
        <f aca="false">SUM(O2:O9)</f>
        <v>795.8784071703</v>
      </c>
      <c r="P10" s="16" t="n">
        <f aca="false">SUM(P2:P9)</f>
        <v>6855.37310673</v>
      </c>
    </row>
    <row r="11" customFormat="false" ht="14.25" hidden="false" customHeight="true" outlineLevel="0" collapsed="false"/>
    <row r="12" customFormat="false" ht="14.25" hidden="false" customHeight="true" outlineLevel="0" collapsed="false">
      <c r="A12" s="12" t="n">
        <v>2027</v>
      </c>
      <c r="B12" s="12" t="s">
        <v>259</v>
      </c>
      <c r="C12" s="12" t="s">
        <v>260</v>
      </c>
      <c r="D12" s="12" t="s">
        <v>37</v>
      </c>
      <c r="E12" s="12" t="s">
        <v>38</v>
      </c>
      <c r="F12" s="12" t="s">
        <v>39</v>
      </c>
      <c r="G12" s="12" t="s">
        <v>40</v>
      </c>
      <c r="H12" s="12" t="s">
        <v>41</v>
      </c>
      <c r="I12" s="12" t="s">
        <v>42</v>
      </c>
      <c r="J12" s="12" t="s">
        <v>43</v>
      </c>
      <c r="K12" s="12" t="s">
        <v>44</v>
      </c>
      <c r="L12" s="12" t="s">
        <v>45</v>
      </c>
      <c r="M12" s="12" t="s">
        <v>46</v>
      </c>
      <c r="N12" s="12" t="s">
        <v>47</v>
      </c>
      <c r="O12" s="12" t="s">
        <v>48</v>
      </c>
      <c r="P12" s="12" t="s">
        <v>261</v>
      </c>
    </row>
    <row r="13" customFormat="false" ht="14.25" hidden="false" customHeight="true" outlineLevel="0" collapsed="false">
      <c r="A13" s="55" t="n">
        <v>2027</v>
      </c>
      <c r="B13" s="13" t="s">
        <v>29</v>
      </c>
      <c r="C13" s="13" t="s">
        <v>262</v>
      </c>
      <c r="D13" s="56" t="n">
        <f aca="false">datos_base!$C$2*parametros_manuales!B$12</f>
        <v>719.67647724</v>
      </c>
      <c r="E13" s="56" t="n">
        <f aca="false">datos_base!$C$2*parametros_manuales!C$12</f>
        <v>539.75735793</v>
      </c>
      <c r="F13" s="56" t="n">
        <f aca="false">datos_base!$C$2*parametros_manuales!D$12</f>
        <v>479.78431816</v>
      </c>
      <c r="G13" s="56" t="n">
        <f aca="false">datos_base!$C$2*parametros_manuales!E$12</f>
        <v>449.797798275</v>
      </c>
      <c r="H13" s="56" t="n">
        <f aca="false">datos_base!$C$2*parametros_manuales!F$12</f>
        <v>419.81127839</v>
      </c>
      <c r="I13" s="56" t="n">
        <f aca="false">datos_base!$C$2*parametros_manuales!G$12</f>
        <v>419.81127839</v>
      </c>
      <c r="J13" s="56" t="n">
        <f aca="false">datos_base!$C$2*parametros_manuales!H$12</f>
        <v>449.797798275</v>
      </c>
      <c r="K13" s="56" t="n">
        <f aca="false">datos_base!$C$2*parametros_manuales!I$12</f>
        <v>449.797798275</v>
      </c>
      <c r="L13" s="56" t="n">
        <f aca="false">datos_base!$C$2*parametros_manuales!J$12</f>
        <v>449.797798275</v>
      </c>
      <c r="M13" s="56" t="n">
        <f aca="false">datos_base!$C$2*parametros_manuales!K$12</f>
        <v>449.797798275</v>
      </c>
      <c r="N13" s="56" t="n">
        <f aca="false">datos_base!$C$2*parametros_manuales!L$12</f>
        <v>449.797798275</v>
      </c>
      <c r="O13" s="56" t="n">
        <f aca="false">datos_base!$C$2*parametros_manuales!M$12</f>
        <v>719.67647724</v>
      </c>
      <c r="P13" s="14" t="n">
        <f aca="false">SUM(D13:O13)</f>
        <v>5997.303977</v>
      </c>
    </row>
    <row r="14" customFormat="false" ht="14.25" hidden="false" customHeight="true" outlineLevel="0" collapsed="false">
      <c r="A14" s="55" t="n">
        <v>2027</v>
      </c>
      <c r="B14" s="13" t="s">
        <v>30</v>
      </c>
      <c r="C14" s="13" t="s">
        <v>262</v>
      </c>
      <c r="D14" s="56" t="n">
        <f aca="false">datos_base!$C$3*parametros_manuales!B$13</f>
        <v>71.48874503</v>
      </c>
      <c r="E14" s="56" t="n">
        <f aca="false">datos_base!$C$3*parametros_manuales!C$13</f>
        <v>57.190996024</v>
      </c>
      <c r="F14" s="56" t="n">
        <f aca="false">datos_base!$C$3*parametros_manuales!D$13</f>
        <v>60.7654332755</v>
      </c>
      <c r="G14" s="56" t="n">
        <f aca="false">datos_base!$C$3*parametros_manuales!E$13</f>
        <v>60.7654332755</v>
      </c>
      <c r="H14" s="56" t="n">
        <f aca="false">datos_base!$C$3*parametros_manuales!F$13</f>
        <v>57.190996024</v>
      </c>
      <c r="I14" s="56" t="n">
        <f aca="false">datos_base!$C$3*parametros_manuales!G$13</f>
        <v>53.6165587725</v>
      </c>
      <c r="J14" s="56" t="n">
        <f aca="false">datos_base!$C$3*parametros_manuales!H$13</f>
        <v>57.190996024</v>
      </c>
      <c r="K14" s="56" t="n">
        <f aca="false">datos_base!$C$3*parametros_manuales!I$13</f>
        <v>57.190996024</v>
      </c>
      <c r="L14" s="56" t="n">
        <f aca="false">datos_base!$C$3*parametros_manuales!J$13</f>
        <v>57.190996024</v>
      </c>
      <c r="M14" s="56" t="n">
        <f aca="false">datos_base!$C$3*parametros_manuales!K$13</f>
        <v>53.6165587725</v>
      </c>
      <c r="N14" s="56" t="n">
        <f aca="false">datos_base!$C$3*parametros_manuales!L$13</f>
        <v>50.042121521</v>
      </c>
      <c r="O14" s="56" t="n">
        <f aca="false">datos_base!$C$3*parametros_manuales!M$13</f>
        <v>78.637619533</v>
      </c>
      <c r="P14" s="14" t="n">
        <f aca="false">SUM(D14:O14)</f>
        <v>714.8874503</v>
      </c>
    </row>
    <row r="15" customFormat="false" ht="14.25" hidden="false" customHeight="true" outlineLevel="0" collapsed="false">
      <c r="A15" s="55" t="n">
        <v>2027</v>
      </c>
      <c r="B15" s="13" t="s">
        <v>31</v>
      </c>
      <c r="C15" s="13" t="s">
        <v>262</v>
      </c>
      <c r="D15" s="56" t="n">
        <f aca="false">datos_base!$C$4*parametros_manuales!B$14</f>
        <v>387.4698881</v>
      </c>
      <c r="E15" s="56" t="n">
        <f aca="false">datos_base!$C$4*parametros_manuales!C$14</f>
        <v>309.97591048</v>
      </c>
      <c r="F15" s="56" t="n">
        <f aca="false">datos_base!$C$4*parametros_manuales!D$14</f>
        <v>329.349404885</v>
      </c>
      <c r="G15" s="56" t="n">
        <f aca="false">datos_base!$C$4*parametros_manuales!E$14</f>
        <v>329.349404885</v>
      </c>
      <c r="H15" s="56" t="n">
        <f aca="false">datos_base!$C$4*parametros_manuales!F$14</f>
        <v>309.97591048</v>
      </c>
      <c r="I15" s="56" t="n">
        <f aca="false">datos_base!$C$4*parametros_manuales!G$14</f>
        <v>290.602416075</v>
      </c>
      <c r="J15" s="56" t="n">
        <f aca="false">datos_base!$C$4*parametros_manuales!H$14</f>
        <v>309.97591048</v>
      </c>
      <c r="K15" s="56" t="n">
        <f aca="false">datos_base!$C$4*parametros_manuales!I$14</f>
        <v>309.97591048</v>
      </c>
      <c r="L15" s="56" t="n">
        <f aca="false">datos_base!$C$4*parametros_manuales!J$14</f>
        <v>309.97591048</v>
      </c>
      <c r="M15" s="56" t="n">
        <f aca="false">datos_base!$C$4*parametros_manuales!K$14</f>
        <v>290.602416075</v>
      </c>
      <c r="N15" s="56" t="n">
        <f aca="false">datos_base!$C$4*parametros_manuales!L$14</f>
        <v>271.22892167</v>
      </c>
      <c r="O15" s="56" t="n">
        <f aca="false">datos_base!$C$4*parametros_manuales!M$14</f>
        <v>426.21687691</v>
      </c>
      <c r="P15" s="14" t="n">
        <f aca="false">SUM(D15:O15)</f>
        <v>3874.698881</v>
      </c>
    </row>
    <row r="16" customFormat="false" ht="14.25" hidden="false" customHeight="true" outlineLevel="0" collapsed="false">
      <c r="A16" s="55" t="n">
        <v>2027</v>
      </c>
      <c r="B16" s="13" t="s">
        <v>32</v>
      </c>
      <c r="C16" s="13" t="s">
        <v>262</v>
      </c>
      <c r="D16" s="56" t="n">
        <f aca="false">datos_base!$C$5*parametros_manuales!B$15</f>
        <v>17.93272967</v>
      </c>
      <c r="E16" s="56" t="n">
        <f aca="false">datos_base!$C$5*parametros_manuales!C$15</f>
        <v>14.346183736</v>
      </c>
      <c r="F16" s="56" t="n">
        <f aca="false">datos_base!$C$5*parametros_manuales!D$15</f>
        <v>15.2428202195</v>
      </c>
      <c r="G16" s="56" t="n">
        <f aca="false">datos_base!$C$5*parametros_manuales!E$15</f>
        <v>15.2428202195</v>
      </c>
      <c r="H16" s="56" t="n">
        <f aca="false">datos_base!$C$5*parametros_manuales!F$15</f>
        <v>14.346183736</v>
      </c>
      <c r="I16" s="56" t="n">
        <f aca="false">datos_base!$C$5*parametros_manuales!G$15</f>
        <v>13.4495472525</v>
      </c>
      <c r="J16" s="56" t="n">
        <f aca="false">datos_base!$C$5*parametros_manuales!H$15</f>
        <v>14.346183736</v>
      </c>
      <c r="K16" s="56" t="n">
        <f aca="false">datos_base!$C$5*parametros_manuales!I$15</f>
        <v>14.346183736</v>
      </c>
      <c r="L16" s="56" t="n">
        <f aca="false">datos_base!$C$5*parametros_manuales!J$15</f>
        <v>14.346183736</v>
      </c>
      <c r="M16" s="56" t="n">
        <f aca="false">datos_base!$C$5*parametros_manuales!K$15</f>
        <v>13.4495472525</v>
      </c>
      <c r="N16" s="56" t="n">
        <f aca="false">datos_base!$C$5*parametros_manuales!L$15</f>
        <v>12.552910769</v>
      </c>
      <c r="O16" s="56" t="n">
        <f aca="false">datos_base!$C$5*parametros_manuales!M$15</f>
        <v>19.726002637</v>
      </c>
      <c r="P16" s="14" t="n">
        <f aca="false">SUM(D16:O16)</f>
        <v>179.3272967</v>
      </c>
    </row>
    <row r="17" customFormat="false" ht="14.25" hidden="false" customHeight="true" outlineLevel="0" collapsed="false">
      <c r="A17" s="55" t="n">
        <v>2027</v>
      </c>
      <c r="B17" s="13" t="s">
        <v>74</v>
      </c>
      <c r="C17" s="13" t="s">
        <v>263</v>
      </c>
      <c r="D17" s="56" t="n">
        <f aca="false">datos_base!$C$9*parametros_manuales!B$12</f>
        <v>0</v>
      </c>
      <c r="E17" s="56" t="n">
        <f aca="false">datos_base!$C$9*parametros_manuales!C$12</f>
        <v>0</v>
      </c>
      <c r="F17" s="56" t="n">
        <f aca="false">datos_base!$C$9*parametros_manuales!D$12</f>
        <v>0</v>
      </c>
      <c r="G17" s="56" t="n">
        <f aca="false">datos_base!$C$9*parametros_manuales!E$12</f>
        <v>0</v>
      </c>
      <c r="H17" s="56" t="n">
        <f aca="false">datos_base!$C$9*parametros_manuales!F$12</f>
        <v>0</v>
      </c>
      <c r="I17" s="56" t="n">
        <f aca="false">datos_base!$C$9*parametros_manuales!G$12</f>
        <v>0</v>
      </c>
      <c r="J17" s="56" t="n">
        <f aca="false">datos_base!$C$9*parametros_manuales!H$12</f>
        <v>0</v>
      </c>
      <c r="K17" s="56" t="n">
        <f aca="false">datos_base!$C$9*parametros_manuales!I$12</f>
        <v>0</v>
      </c>
      <c r="L17" s="56" t="n">
        <f aca="false">datos_base!$C$9*parametros_manuales!J$12</f>
        <v>0</v>
      </c>
      <c r="M17" s="56" t="n">
        <f aca="false">datos_base!$C$9*parametros_manuales!K$12</f>
        <v>0</v>
      </c>
      <c r="N17" s="56" t="n">
        <f aca="false">datos_base!$C$9*parametros_manuales!L$12</f>
        <v>0</v>
      </c>
      <c r="O17" s="56" t="n">
        <f aca="false">datos_base!$C$9*parametros_manuales!M$12</f>
        <v>0</v>
      </c>
      <c r="P17" s="14" t="n">
        <f aca="false">SUM(D17:O17)</f>
        <v>0</v>
      </c>
    </row>
    <row r="18" customFormat="false" ht="14.25" hidden="false" customHeight="true" outlineLevel="0" collapsed="false">
      <c r="A18" s="55" t="n">
        <v>2027</v>
      </c>
      <c r="B18" s="13" t="s">
        <v>75</v>
      </c>
      <c r="C18" s="13" t="s">
        <v>263</v>
      </c>
      <c r="D18" s="56" t="n">
        <f aca="false">datos_base!$C$10*parametros_manuales!B$13</f>
        <v>0.924</v>
      </c>
      <c r="E18" s="56" t="n">
        <f aca="false">datos_base!$C$10*parametros_manuales!C$13</f>
        <v>0.7392</v>
      </c>
      <c r="F18" s="56" t="n">
        <f aca="false">datos_base!$C$10*parametros_manuales!D$13</f>
        <v>0.7854</v>
      </c>
      <c r="G18" s="56" t="n">
        <f aca="false">datos_base!$C$10*parametros_manuales!E$13</f>
        <v>0.7854</v>
      </c>
      <c r="H18" s="56" t="n">
        <f aca="false">datos_base!$C$10*parametros_manuales!F$13</f>
        <v>0.7392</v>
      </c>
      <c r="I18" s="56" t="n">
        <f aca="false">datos_base!$C$10*parametros_manuales!G$13</f>
        <v>0.693</v>
      </c>
      <c r="J18" s="56" t="n">
        <f aca="false">datos_base!$C$10*parametros_manuales!H$13</f>
        <v>0.7392</v>
      </c>
      <c r="K18" s="56" t="n">
        <f aca="false">datos_base!$C$10*parametros_manuales!I$13</f>
        <v>0.7392</v>
      </c>
      <c r="L18" s="56" t="n">
        <f aca="false">datos_base!$C$10*parametros_manuales!J$13</f>
        <v>0.7392</v>
      </c>
      <c r="M18" s="56" t="n">
        <f aca="false">datos_base!$C$10*parametros_manuales!K$13</f>
        <v>0.693</v>
      </c>
      <c r="N18" s="56" t="n">
        <f aca="false">datos_base!$C$10*parametros_manuales!L$13</f>
        <v>0.6468</v>
      </c>
      <c r="O18" s="56" t="n">
        <f aca="false">datos_base!$C$10*parametros_manuales!M$13</f>
        <v>1.0164</v>
      </c>
      <c r="P18" s="14" t="n">
        <f aca="false">SUM(D18:O18)</f>
        <v>9.24</v>
      </c>
    </row>
    <row r="19" customFormat="false" ht="14.25" hidden="false" customHeight="true" outlineLevel="0" collapsed="false">
      <c r="A19" s="55" t="n">
        <v>2027</v>
      </c>
      <c r="B19" s="13" t="s">
        <v>76</v>
      </c>
      <c r="C19" s="13" t="s">
        <v>263</v>
      </c>
      <c r="D19" s="56" t="n">
        <f aca="false">datos_base!$C$11*parametros_manuales!B$14</f>
        <v>5.336</v>
      </c>
      <c r="E19" s="56" t="n">
        <f aca="false">datos_base!$C$11*parametros_manuales!C$14</f>
        <v>4.2688</v>
      </c>
      <c r="F19" s="56" t="n">
        <f aca="false">datos_base!$C$11*parametros_manuales!D$14</f>
        <v>4.5356</v>
      </c>
      <c r="G19" s="56" t="n">
        <f aca="false">datos_base!$C$11*parametros_manuales!E$14</f>
        <v>4.5356</v>
      </c>
      <c r="H19" s="56" t="n">
        <f aca="false">datos_base!$C$11*parametros_manuales!F$14</f>
        <v>4.2688</v>
      </c>
      <c r="I19" s="56" t="n">
        <f aca="false">datos_base!$C$11*parametros_manuales!G$14</f>
        <v>4.002</v>
      </c>
      <c r="J19" s="56" t="n">
        <f aca="false">datos_base!$C$11*parametros_manuales!H$14</f>
        <v>4.2688</v>
      </c>
      <c r="K19" s="56" t="n">
        <f aca="false">datos_base!$C$11*parametros_manuales!I$14</f>
        <v>4.2688</v>
      </c>
      <c r="L19" s="56" t="n">
        <f aca="false">datos_base!$C$11*parametros_manuales!J$14</f>
        <v>4.2688</v>
      </c>
      <c r="M19" s="56" t="n">
        <f aca="false">datos_base!$C$11*parametros_manuales!K$14</f>
        <v>4.002</v>
      </c>
      <c r="N19" s="56" t="n">
        <f aca="false">datos_base!$C$11*parametros_manuales!L$14</f>
        <v>3.7352</v>
      </c>
      <c r="O19" s="56" t="n">
        <f aca="false">datos_base!$C$11*parametros_manuales!M$14</f>
        <v>5.8696</v>
      </c>
      <c r="P19" s="14" t="n">
        <f aca="false">SUM(D19:O19)</f>
        <v>53.36</v>
      </c>
    </row>
    <row r="20" customFormat="false" ht="14.25" hidden="false" customHeight="true" outlineLevel="0" collapsed="false">
      <c r="A20" s="55" t="n">
        <v>2027</v>
      </c>
      <c r="B20" s="13" t="s">
        <v>77</v>
      </c>
      <c r="C20" s="13" t="s">
        <v>263</v>
      </c>
      <c r="D20" s="56" t="n">
        <f aca="false">datos_base!$C$12*parametros_manuales!B$15</f>
        <v>0.316</v>
      </c>
      <c r="E20" s="56" t="n">
        <f aca="false">datos_base!$C$12*parametros_manuales!C$15</f>
        <v>0.2528</v>
      </c>
      <c r="F20" s="56" t="n">
        <f aca="false">datos_base!$C$12*parametros_manuales!D$15</f>
        <v>0.2686</v>
      </c>
      <c r="G20" s="56" t="n">
        <f aca="false">datos_base!$C$12*parametros_manuales!E$15</f>
        <v>0.2686</v>
      </c>
      <c r="H20" s="56" t="n">
        <f aca="false">datos_base!$C$12*parametros_manuales!F$15</f>
        <v>0.2528</v>
      </c>
      <c r="I20" s="56" t="n">
        <f aca="false">datos_base!$C$12*parametros_manuales!G$15</f>
        <v>0.237</v>
      </c>
      <c r="J20" s="56" t="n">
        <f aca="false">datos_base!$C$12*parametros_manuales!H$15</f>
        <v>0.2528</v>
      </c>
      <c r="K20" s="56" t="n">
        <f aca="false">datos_base!$C$12*parametros_manuales!I$15</f>
        <v>0.2528</v>
      </c>
      <c r="L20" s="56" t="n">
        <f aca="false">datos_base!$C$12*parametros_manuales!J$15</f>
        <v>0.2528</v>
      </c>
      <c r="M20" s="56" t="n">
        <f aca="false">datos_base!$C$12*parametros_manuales!K$15</f>
        <v>0.237</v>
      </c>
      <c r="N20" s="56" t="n">
        <f aca="false">datos_base!$C$12*parametros_manuales!L$15</f>
        <v>0.2212</v>
      </c>
      <c r="O20" s="56" t="n">
        <f aca="false">datos_base!$C$12*parametros_manuales!M$15</f>
        <v>0.3476</v>
      </c>
      <c r="P20" s="14" t="n">
        <f aca="false">SUM(D20:O20)</f>
        <v>3.16</v>
      </c>
    </row>
    <row r="21" customFormat="false" ht="14.25" hidden="false" customHeight="true" outlineLevel="0" collapsed="false">
      <c r="B21" s="15" t="s">
        <v>264</v>
      </c>
      <c r="D21" s="16" t="n">
        <f aca="false">SUM(D13:D20)</f>
        <v>1203.14384004</v>
      </c>
      <c r="E21" s="16" t="n">
        <f aca="false">SUM(E13:E20)</f>
        <v>926.53124817</v>
      </c>
      <c r="F21" s="16" t="n">
        <f aca="false">SUM(F13:F20)</f>
        <v>890.73157654</v>
      </c>
      <c r="G21" s="16" t="n">
        <f aca="false">SUM(G13:G20)</f>
        <v>860.745056655</v>
      </c>
      <c r="H21" s="16" t="n">
        <f aca="false">SUM(H13:H20)</f>
        <v>806.58516863</v>
      </c>
      <c r="I21" s="16" t="n">
        <f aca="false">SUM(I13:I20)</f>
        <v>782.41180049</v>
      </c>
      <c r="J21" s="16" t="n">
        <f aca="false">SUM(J13:J20)</f>
        <v>836.571688515</v>
      </c>
      <c r="K21" s="16" t="n">
        <f aca="false">SUM(K13:K20)</f>
        <v>836.571688515</v>
      </c>
      <c r="L21" s="16" t="n">
        <f aca="false">SUM(L13:L20)</f>
        <v>836.571688515</v>
      </c>
      <c r="M21" s="16" t="n">
        <f aca="false">SUM(M13:M20)</f>
        <v>812.398320375</v>
      </c>
      <c r="N21" s="16" t="n">
        <f aca="false">SUM(N13:N20)</f>
        <v>788.224952235</v>
      </c>
      <c r="O21" s="16" t="n">
        <f aca="false">SUM(O13:O20)</f>
        <v>1251.49057632</v>
      </c>
      <c r="P21" s="16" t="n">
        <f aca="false">SUM(P13:P20)</f>
        <v>10831.977605</v>
      </c>
    </row>
    <row r="22" customFormat="false" ht="14.25" hidden="false" customHeight="true" outlineLevel="0" collapsed="false"/>
    <row r="23" customFormat="false" ht="14.25" hidden="false" customHeight="true" outlineLevel="0" collapsed="false">
      <c r="A23" s="12" t="n">
        <v>2028</v>
      </c>
      <c r="B23" s="12" t="s">
        <v>259</v>
      </c>
      <c r="C23" s="12" t="s">
        <v>260</v>
      </c>
      <c r="D23" s="12" t="s">
        <v>37</v>
      </c>
      <c r="E23" s="12" t="s">
        <v>38</v>
      </c>
      <c r="F23" s="12" t="s">
        <v>39</v>
      </c>
      <c r="G23" s="12" t="s">
        <v>40</v>
      </c>
      <c r="H23" s="12" t="s">
        <v>41</v>
      </c>
      <c r="I23" s="12" t="s">
        <v>42</v>
      </c>
      <c r="J23" s="12" t="s">
        <v>43</v>
      </c>
      <c r="K23" s="12" t="s">
        <v>44</v>
      </c>
      <c r="L23" s="12" t="s">
        <v>45</v>
      </c>
      <c r="M23" s="12" t="s">
        <v>46</v>
      </c>
      <c r="N23" s="12" t="s">
        <v>47</v>
      </c>
      <c r="O23" s="12" t="s">
        <v>48</v>
      </c>
      <c r="P23" s="12" t="s">
        <v>261</v>
      </c>
    </row>
    <row r="24" customFormat="false" ht="14.25" hidden="false" customHeight="true" outlineLevel="0" collapsed="false">
      <c r="A24" s="55" t="n">
        <v>2028</v>
      </c>
      <c r="B24" s="13" t="s">
        <v>29</v>
      </c>
      <c r="C24" s="13" t="s">
        <v>262</v>
      </c>
      <c r="D24" s="56" t="n">
        <f aca="false">datos_base!$D$2*parametros_manuales!B$12</f>
        <v>822.20973096</v>
      </c>
      <c r="E24" s="56" t="n">
        <f aca="false">datos_base!$D$2*parametros_manuales!C$12</f>
        <v>616.65729822</v>
      </c>
      <c r="F24" s="56" t="n">
        <f aca="false">datos_base!$D$2*parametros_manuales!D$12</f>
        <v>548.13982064</v>
      </c>
      <c r="G24" s="56" t="n">
        <f aca="false">datos_base!$D$2*parametros_manuales!E$12</f>
        <v>513.88108185</v>
      </c>
      <c r="H24" s="56" t="n">
        <f aca="false">datos_base!$D$2*parametros_manuales!F$12</f>
        <v>479.62234306</v>
      </c>
      <c r="I24" s="56" t="n">
        <f aca="false">datos_base!$D$2*parametros_manuales!G$12</f>
        <v>479.62234306</v>
      </c>
      <c r="J24" s="56" t="n">
        <f aca="false">datos_base!$D$2*parametros_manuales!H$12</f>
        <v>513.88108185</v>
      </c>
      <c r="K24" s="56" t="n">
        <f aca="false">datos_base!$D$2*parametros_manuales!I$12</f>
        <v>513.88108185</v>
      </c>
      <c r="L24" s="56" t="n">
        <f aca="false">datos_base!$D$2*parametros_manuales!J$12</f>
        <v>513.88108185</v>
      </c>
      <c r="M24" s="56" t="n">
        <f aca="false">datos_base!$D$2*parametros_manuales!K$12</f>
        <v>513.88108185</v>
      </c>
      <c r="N24" s="56" t="n">
        <f aca="false">datos_base!$D$2*parametros_manuales!L$12</f>
        <v>513.88108185</v>
      </c>
      <c r="O24" s="56" t="n">
        <f aca="false">datos_base!$D$2*parametros_manuales!M$12</f>
        <v>822.20973096</v>
      </c>
      <c r="P24" s="14" t="n">
        <f aca="false">SUM(D24:O24)</f>
        <v>6851.747758</v>
      </c>
    </row>
    <row r="25" customFormat="false" ht="14.25" hidden="false" customHeight="true" outlineLevel="0" collapsed="false">
      <c r="A25" s="55" t="n">
        <v>2028</v>
      </c>
      <c r="B25" s="13" t="s">
        <v>30</v>
      </c>
      <c r="C25" s="13" t="s">
        <v>262</v>
      </c>
      <c r="D25" s="56" t="n">
        <f aca="false">datos_base!$D$3*parametros_manuales!B$13</f>
        <v>99.44280576</v>
      </c>
      <c r="E25" s="56" t="n">
        <f aca="false">datos_base!$D$3*parametros_manuales!C$13</f>
        <v>79.554244608</v>
      </c>
      <c r="F25" s="56" t="n">
        <f aca="false">datos_base!$D$3*parametros_manuales!D$13</f>
        <v>84.526384896</v>
      </c>
      <c r="G25" s="56" t="n">
        <f aca="false">datos_base!$D$3*parametros_manuales!E$13</f>
        <v>84.526384896</v>
      </c>
      <c r="H25" s="56" t="n">
        <f aca="false">datos_base!$D$3*parametros_manuales!F$13</f>
        <v>79.554244608</v>
      </c>
      <c r="I25" s="56" t="n">
        <f aca="false">datos_base!$D$3*parametros_manuales!G$13</f>
        <v>74.58210432</v>
      </c>
      <c r="J25" s="56" t="n">
        <f aca="false">datos_base!$D$3*parametros_manuales!H$13</f>
        <v>79.554244608</v>
      </c>
      <c r="K25" s="56" t="n">
        <f aca="false">datos_base!$D$3*parametros_manuales!I$13</f>
        <v>79.554244608</v>
      </c>
      <c r="L25" s="56" t="n">
        <f aca="false">datos_base!$D$3*parametros_manuales!J$13</f>
        <v>79.554244608</v>
      </c>
      <c r="M25" s="56" t="n">
        <f aca="false">datos_base!$D$3*parametros_manuales!K$13</f>
        <v>74.58210432</v>
      </c>
      <c r="N25" s="56" t="n">
        <f aca="false">datos_base!$D$3*parametros_manuales!L$13</f>
        <v>69.609964032</v>
      </c>
      <c r="O25" s="56" t="n">
        <f aca="false">datos_base!$D$3*parametros_manuales!M$13</f>
        <v>109.387086336</v>
      </c>
      <c r="P25" s="14" t="n">
        <f aca="false">SUM(D25:O25)</f>
        <v>994.4280576</v>
      </c>
    </row>
    <row r="26" customFormat="false" ht="14.25" hidden="false" customHeight="true" outlineLevel="0" collapsed="false">
      <c r="A26" s="55" t="n">
        <v>2028</v>
      </c>
      <c r="B26" s="13" t="s">
        <v>31</v>
      </c>
      <c r="C26" s="13" t="s">
        <v>262</v>
      </c>
      <c r="D26" s="56" t="n">
        <f aca="false">datos_base!$D$4*parametros_manuales!B$14</f>
        <v>514.1417591</v>
      </c>
      <c r="E26" s="56" t="n">
        <f aca="false">datos_base!$D$4*parametros_manuales!C$14</f>
        <v>411.31340728</v>
      </c>
      <c r="F26" s="56" t="n">
        <f aca="false">datos_base!$D$4*parametros_manuales!D$14</f>
        <v>437.020495235</v>
      </c>
      <c r="G26" s="56" t="n">
        <f aca="false">datos_base!$D$4*parametros_manuales!E$14</f>
        <v>437.020495235</v>
      </c>
      <c r="H26" s="56" t="n">
        <f aca="false">datos_base!$D$4*parametros_manuales!F$14</f>
        <v>411.31340728</v>
      </c>
      <c r="I26" s="56" t="n">
        <f aca="false">datos_base!$D$4*parametros_manuales!G$14</f>
        <v>385.606319325</v>
      </c>
      <c r="J26" s="56" t="n">
        <f aca="false">datos_base!$D$4*parametros_manuales!H$14</f>
        <v>411.31340728</v>
      </c>
      <c r="K26" s="56" t="n">
        <f aca="false">datos_base!$D$4*parametros_manuales!I$14</f>
        <v>411.31340728</v>
      </c>
      <c r="L26" s="56" t="n">
        <f aca="false">datos_base!$D$4*parametros_manuales!J$14</f>
        <v>411.31340728</v>
      </c>
      <c r="M26" s="56" t="n">
        <f aca="false">datos_base!$D$4*parametros_manuales!K$14</f>
        <v>385.606319325</v>
      </c>
      <c r="N26" s="56" t="n">
        <f aca="false">datos_base!$D$4*parametros_manuales!L$14</f>
        <v>359.89923137</v>
      </c>
      <c r="O26" s="56" t="n">
        <f aca="false">datos_base!$D$4*parametros_manuales!M$14</f>
        <v>565.55593501</v>
      </c>
      <c r="P26" s="14" t="n">
        <f aca="false">SUM(D26:O26)</f>
        <v>5141.417591</v>
      </c>
    </row>
    <row r="27" customFormat="false" ht="14.25" hidden="false" customHeight="true" outlineLevel="0" collapsed="false">
      <c r="A27" s="55" t="n">
        <v>2028</v>
      </c>
      <c r="B27" s="13" t="s">
        <v>32</v>
      </c>
      <c r="C27" s="13" t="s">
        <v>262</v>
      </c>
      <c r="D27" s="56" t="n">
        <f aca="false">datos_base!$D$5*parametros_manuales!B$15</f>
        <v>25.62187798</v>
      </c>
      <c r="E27" s="56" t="n">
        <f aca="false">datos_base!$D$5*parametros_manuales!C$15</f>
        <v>20.497502384</v>
      </c>
      <c r="F27" s="56" t="n">
        <f aca="false">datos_base!$D$5*parametros_manuales!D$15</f>
        <v>21.778596283</v>
      </c>
      <c r="G27" s="56" t="n">
        <f aca="false">datos_base!$D$5*parametros_manuales!E$15</f>
        <v>21.778596283</v>
      </c>
      <c r="H27" s="56" t="n">
        <f aca="false">datos_base!$D$5*parametros_manuales!F$15</f>
        <v>20.497502384</v>
      </c>
      <c r="I27" s="56" t="n">
        <f aca="false">datos_base!$D$5*parametros_manuales!G$15</f>
        <v>19.216408485</v>
      </c>
      <c r="J27" s="56" t="n">
        <f aca="false">datos_base!$D$5*parametros_manuales!H$15</f>
        <v>20.497502384</v>
      </c>
      <c r="K27" s="56" t="n">
        <f aca="false">datos_base!$D$5*parametros_manuales!I$15</f>
        <v>20.497502384</v>
      </c>
      <c r="L27" s="56" t="n">
        <f aca="false">datos_base!$D$5*parametros_manuales!J$15</f>
        <v>20.497502384</v>
      </c>
      <c r="M27" s="56" t="n">
        <f aca="false">datos_base!$D$5*parametros_manuales!K$15</f>
        <v>19.216408485</v>
      </c>
      <c r="N27" s="56" t="n">
        <f aca="false">datos_base!$D$5*parametros_manuales!L$15</f>
        <v>17.935314586</v>
      </c>
      <c r="O27" s="56" t="n">
        <f aca="false">datos_base!$D$5*parametros_manuales!M$15</f>
        <v>28.184065778</v>
      </c>
      <c r="P27" s="14" t="n">
        <f aca="false">SUM(D27:O27)</f>
        <v>256.2187798</v>
      </c>
    </row>
    <row r="28" customFormat="false" ht="14.25" hidden="false" customHeight="true" outlineLevel="0" collapsed="false">
      <c r="A28" s="55" t="n">
        <v>2028</v>
      </c>
      <c r="B28" s="13" t="s">
        <v>74</v>
      </c>
      <c r="C28" s="13" t="s">
        <v>263</v>
      </c>
      <c r="D28" s="56" t="n">
        <f aca="false">datos_base!$D$9*parametros_manuales!B$12</f>
        <v>919.488</v>
      </c>
      <c r="E28" s="56" t="n">
        <f aca="false">datos_base!$D$9*parametros_manuales!C$12</f>
        <v>689.616</v>
      </c>
      <c r="F28" s="56" t="n">
        <f aca="false">datos_base!$D$9*parametros_manuales!D$12</f>
        <v>612.992</v>
      </c>
      <c r="G28" s="56" t="n">
        <f aca="false">datos_base!$D$9*parametros_manuales!E$12</f>
        <v>574.68</v>
      </c>
      <c r="H28" s="56" t="n">
        <f aca="false">datos_base!$D$9*parametros_manuales!F$12</f>
        <v>536.368</v>
      </c>
      <c r="I28" s="56" t="n">
        <f aca="false">datos_base!$D$9*parametros_manuales!G$12</f>
        <v>536.368</v>
      </c>
      <c r="J28" s="56" t="n">
        <f aca="false">datos_base!$D$9*parametros_manuales!H$12</f>
        <v>574.68</v>
      </c>
      <c r="K28" s="56" t="n">
        <f aca="false">datos_base!$D$9*parametros_manuales!I$12</f>
        <v>574.68</v>
      </c>
      <c r="L28" s="56" t="n">
        <f aca="false">datos_base!$D$9*parametros_manuales!J$12</f>
        <v>574.68</v>
      </c>
      <c r="M28" s="56" t="n">
        <f aca="false">datos_base!$D$9*parametros_manuales!K$12</f>
        <v>574.68</v>
      </c>
      <c r="N28" s="56" t="n">
        <f aca="false">datos_base!$D$9*parametros_manuales!L$12</f>
        <v>574.68</v>
      </c>
      <c r="O28" s="56" t="n">
        <f aca="false">datos_base!$D$9*parametros_manuales!M$12</f>
        <v>919.488</v>
      </c>
      <c r="P28" s="14" t="n">
        <f aca="false">SUM(D28:O28)</f>
        <v>7662.4</v>
      </c>
    </row>
    <row r="29" customFormat="false" ht="14.25" hidden="false" customHeight="true" outlineLevel="0" collapsed="false">
      <c r="A29" s="55" t="n">
        <v>2028</v>
      </c>
      <c r="B29" s="13" t="s">
        <v>75</v>
      </c>
      <c r="C29" s="13" t="s">
        <v>263</v>
      </c>
      <c r="D29" s="56" t="n">
        <f aca="false">datos_base!$D$10*parametros_manuales!B$13</f>
        <v>31.556</v>
      </c>
      <c r="E29" s="56" t="n">
        <f aca="false">datos_base!$D$10*parametros_manuales!C$13</f>
        <v>25.2448</v>
      </c>
      <c r="F29" s="56" t="n">
        <f aca="false">datos_base!$D$10*parametros_manuales!D$13</f>
        <v>26.8226</v>
      </c>
      <c r="G29" s="56" t="n">
        <f aca="false">datos_base!$D$10*parametros_manuales!E$13</f>
        <v>26.8226</v>
      </c>
      <c r="H29" s="56" t="n">
        <f aca="false">datos_base!$D$10*parametros_manuales!F$13</f>
        <v>25.2448</v>
      </c>
      <c r="I29" s="56" t="n">
        <f aca="false">datos_base!$D$10*parametros_manuales!G$13</f>
        <v>23.667</v>
      </c>
      <c r="J29" s="56" t="n">
        <f aca="false">datos_base!$D$10*parametros_manuales!H$13</f>
        <v>25.2448</v>
      </c>
      <c r="K29" s="56" t="n">
        <f aca="false">datos_base!$D$10*parametros_manuales!I$13</f>
        <v>25.2448</v>
      </c>
      <c r="L29" s="56" t="n">
        <f aca="false">datos_base!$D$10*parametros_manuales!J$13</f>
        <v>25.2448</v>
      </c>
      <c r="M29" s="56" t="n">
        <f aca="false">datos_base!$D$10*parametros_manuales!K$13</f>
        <v>23.667</v>
      </c>
      <c r="N29" s="56" t="n">
        <f aca="false">datos_base!$D$10*parametros_manuales!L$13</f>
        <v>22.0892</v>
      </c>
      <c r="O29" s="56" t="n">
        <f aca="false">datos_base!$D$10*parametros_manuales!M$13</f>
        <v>34.7116</v>
      </c>
      <c r="P29" s="14" t="n">
        <f aca="false">SUM(D29:O29)</f>
        <v>315.56</v>
      </c>
    </row>
    <row r="30" customFormat="false" ht="14.25" hidden="false" customHeight="true" outlineLevel="0" collapsed="false">
      <c r="A30" s="55" t="n">
        <v>2028</v>
      </c>
      <c r="B30" s="13" t="s">
        <v>76</v>
      </c>
      <c r="C30" s="13" t="s">
        <v>263</v>
      </c>
      <c r="D30" s="56" t="n">
        <f aca="false">datos_base!$D$11*parametros_manuales!B$14</f>
        <v>157.032</v>
      </c>
      <c r="E30" s="56" t="n">
        <f aca="false">datos_base!$D$11*parametros_manuales!C$14</f>
        <v>125.6256</v>
      </c>
      <c r="F30" s="56" t="n">
        <f aca="false">datos_base!$D$11*parametros_manuales!D$14</f>
        <v>133.4772</v>
      </c>
      <c r="G30" s="56" t="n">
        <f aca="false">datos_base!$D$11*parametros_manuales!E$14</f>
        <v>133.4772</v>
      </c>
      <c r="H30" s="56" t="n">
        <f aca="false">datos_base!$D$11*parametros_manuales!F$14</f>
        <v>125.6256</v>
      </c>
      <c r="I30" s="56" t="n">
        <f aca="false">datos_base!$D$11*parametros_manuales!G$14</f>
        <v>117.774</v>
      </c>
      <c r="J30" s="56" t="n">
        <f aca="false">datos_base!$D$11*parametros_manuales!H$14</f>
        <v>125.6256</v>
      </c>
      <c r="K30" s="56" t="n">
        <f aca="false">datos_base!$D$11*parametros_manuales!I$14</f>
        <v>125.6256</v>
      </c>
      <c r="L30" s="56" t="n">
        <f aca="false">datos_base!$D$11*parametros_manuales!J$14</f>
        <v>125.6256</v>
      </c>
      <c r="M30" s="56" t="n">
        <f aca="false">datos_base!$D$11*parametros_manuales!K$14</f>
        <v>117.774</v>
      </c>
      <c r="N30" s="56" t="n">
        <f aca="false">datos_base!$D$11*parametros_manuales!L$14</f>
        <v>109.9224</v>
      </c>
      <c r="O30" s="56" t="n">
        <f aca="false">datos_base!$D$11*parametros_manuales!M$14</f>
        <v>172.7352</v>
      </c>
      <c r="P30" s="14" t="n">
        <f aca="false">SUM(D30:O30)</f>
        <v>1570.32</v>
      </c>
    </row>
    <row r="31" customFormat="false" ht="14.25" hidden="false" customHeight="true" outlineLevel="0" collapsed="false">
      <c r="A31" s="55" t="n">
        <v>2028</v>
      </c>
      <c r="B31" s="13" t="s">
        <v>77</v>
      </c>
      <c r="C31" s="13" t="s">
        <v>263</v>
      </c>
      <c r="D31" s="56" t="n">
        <f aca="false">datos_base!$D$12*parametros_manuales!B$15</f>
        <v>9.58</v>
      </c>
      <c r="E31" s="56" t="n">
        <f aca="false">datos_base!$D$12*parametros_manuales!C$15</f>
        <v>7.664</v>
      </c>
      <c r="F31" s="56" t="n">
        <f aca="false">datos_base!$D$12*parametros_manuales!D$15</f>
        <v>8.143</v>
      </c>
      <c r="G31" s="56" t="n">
        <f aca="false">datos_base!$D$12*parametros_manuales!E$15</f>
        <v>8.143</v>
      </c>
      <c r="H31" s="56" t="n">
        <f aca="false">datos_base!$D$12*parametros_manuales!F$15</f>
        <v>7.664</v>
      </c>
      <c r="I31" s="56" t="n">
        <f aca="false">datos_base!$D$12*parametros_manuales!G$15</f>
        <v>7.185</v>
      </c>
      <c r="J31" s="56" t="n">
        <f aca="false">datos_base!$D$12*parametros_manuales!H$15</f>
        <v>7.664</v>
      </c>
      <c r="K31" s="56" t="n">
        <f aca="false">datos_base!$D$12*parametros_manuales!I$15</f>
        <v>7.664</v>
      </c>
      <c r="L31" s="56" t="n">
        <f aca="false">datos_base!$D$12*parametros_manuales!J$15</f>
        <v>7.664</v>
      </c>
      <c r="M31" s="56" t="n">
        <f aca="false">datos_base!$D$12*parametros_manuales!K$15</f>
        <v>7.185</v>
      </c>
      <c r="N31" s="56" t="n">
        <f aca="false">datos_base!$D$12*parametros_manuales!L$15</f>
        <v>6.706</v>
      </c>
      <c r="O31" s="56" t="n">
        <f aca="false">datos_base!$D$12*parametros_manuales!M$15</f>
        <v>10.538</v>
      </c>
      <c r="P31" s="14" t="n">
        <f aca="false">SUM(D31:O31)</f>
        <v>95.8</v>
      </c>
    </row>
    <row r="32" customFormat="false" ht="14.25" hidden="false" customHeight="true" outlineLevel="0" collapsed="false">
      <c r="B32" s="15" t="s">
        <v>264</v>
      </c>
      <c r="D32" s="16" t="n">
        <f aca="false">SUM(D24:D31)</f>
        <v>2579.0721738</v>
      </c>
      <c r="E32" s="16" t="n">
        <f aca="false">SUM(E24:E31)</f>
        <v>1976.172852492</v>
      </c>
      <c r="F32" s="16" t="n">
        <f aca="false">SUM(F24:F31)</f>
        <v>1872.900097054</v>
      </c>
      <c r="G32" s="16" t="n">
        <f aca="false">SUM(G24:G31)</f>
        <v>1800.329358264</v>
      </c>
      <c r="H32" s="16" t="n">
        <f aca="false">SUM(H24:H31)</f>
        <v>1685.889897332</v>
      </c>
      <c r="I32" s="16" t="n">
        <f aca="false">SUM(I24:I31)</f>
        <v>1644.02117519</v>
      </c>
      <c r="J32" s="16" t="n">
        <f aca="false">SUM(J24:J31)</f>
        <v>1758.460636122</v>
      </c>
      <c r="K32" s="16" t="n">
        <f aca="false">SUM(K24:K31)</f>
        <v>1758.460636122</v>
      </c>
      <c r="L32" s="16" t="n">
        <f aca="false">SUM(L24:L31)</f>
        <v>1758.460636122</v>
      </c>
      <c r="M32" s="16" t="n">
        <f aca="false">SUM(M24:M31)</f>
        <v>1716.59191398</v>
      </c>
      <c r="N32" s="16" t="n">
        <f aca="false">SUM(N24:N31)</f>
        <v>1674.723191838</v>
      </c>
      <c r="O32" s="16" t="n">
        <f aca="false">SUM(O24:O31)</f>
        <v>2662.809618084</v>
      </c>
      <c r="P32" s="16" t="n">
        <f aca="false">SUM(P24:P31)</f>
        <v>22887.8921864</v>
      </c>
    </row>
    <row r="33" customFormat="false" ht="14.25" hidden="false" customHeight="true" outlineLevel="0" collapsed="false"/>
    <row r="34" customFormat="false" ht="14.25" hidden="false" customHeight="true" outlineLevel="0" collapsed="false">
      <c r="A34" s="12" t="n">
        <v>2029</v>
      </c>
      <c r="B34" s="12" t="s">
        <v>259</v>
      </c>
      <c r="C34" s="12" t="s">
        <v>260</v>
      </c>
      <c r="D34" s="12" t="s">
        <v>37</v>
      </c>
      <c r="E34" s="12" t="s">
        <v>38</v>
      </c>
      <c r="F34" s="12" t="s">
        <v>39</v>
      </c>
      <c r="G34" s="12" t="s">
        <v>40</v>
      </c>
      <c r="H34" s="12" t="s">
        <v>41</v>
      </c>
      <c r="I34" s="12" t="s">
        <v>42</v>
      </c>
      <c r="J34" s="12" t="s">
        <v>43</v>
      </c>
      <c r="K34" s="12" t="s">
        <v>44</v>
      </c>
      <c r="L34" s="12" t="s">
        <v>45</v>
      </c>
      <c r="M34" s="12" t="s">
        <v>46</v>
      </c>
      <c r="N34" s="12" t="s">
        <v>47</v>
      </c>
      <c r="O34" s="12" t="s">
        <v>48</v>
      </c>
      <c r="P34" s="12" t="s">
        <v>261</v>
      </c>
    </row>
    <row r="35" customFormat="false" ht="14.25" hidden="false" customHeight="true" outlineLevel="0" collapsed="false">
      <c r="A35" s="55" t="n">
        <v>2029</v>
      </c>
      <c r="B35" s="13" t="s">
        <v>29</v>
      </c>
      <c r="C35" s="13" t="s">
        <v>262</v>
      </c>
      <c r="D35" s="56" t="n">
        <f aca="false">datos_base!$E$2*parametros_manuales!B$12</f>
        <v>1016.05626588</v>
      </c>
      <c r="E35" s="56" t="n">
        <f aca="false">datos_base!$E$2*parametros_manuales!C$12</f>
        <v>762.04219941</v>
      </c>
      <c r="F35" s="56" t="n">
        <f aca="false">datos_base!$E$2*parametros_manuales!D$12</f>
        <v>677.37084392</v>
      </c>
      <c r="G35" s="56" t="n">
        <f aca="false">datos_base!$E$2*parametros_manuales!E$12</f>
        <v>635.035166175</v>
      </c>
      <c r="H35" s="56" t="n">
        <f aca="false">datos_base!$E$2*parametros_manuales!F$12</f>
        <v>592.69948843</v>
      </c>
      <c r="I35" s="56" t="n">
        <f aca="false">datos_base!$E$2*parametros_manuales!G$12</f>
        <v>592.69948843</v>
      </c>
      <c r="J35" s="56" t="n">
        <f aca="false">datos_base!$E$2*parametros_manuales!H$12</f>
        <v>635.035166175</v>
      </c>
      <c r="K35" s="56" t="n">
        <f aca="false">datos_base!$E$2*parametros_manuales!I$12</f>
        <v>635.035166175</v>
      </c>
      <c r="L35" s="56" t="n">
        <f aca="false">datos_base!$E$2*parametros_manuales!J$12</f>
        <v>635.035166175</v>
      </c>
      <c r="M35" s="56" t="n">
        <f aca="false">datos_base!$E$2*parametros_manuales!K$12</f>
        <v>635.035166175</v>
      </c>
      <c r="N35" s="56" t="n">
        <f aca="false">datos_base!$E$2*parametros_manuales!L$12</f>
        <v>635.035166175</v>
      </c>
      <c r="O35" s="56" t="n">
        <f aca="false">datos_base!$E$2*parametros_manuales!M$12</f>
        <v>1016.05626588</v>
      </c>
      <c r="P35" s="14" t="n">
        <f aca="false">SUM(D35:O35)</f>
        <v>8467.135549</v>
      </c>
    </row>
    <row r="36" customFormat="false" ht="14.25" hidden="false" customHeight="true" outlineLevel="0" collapsed="false">
      <c r="A36" s="55" t="n">
        <v>2029</v>
      </c>
      <c r="B36" s="13" t="s">
        <v>30</v>
      </c>
      <c r="C36" s="13" t="s">
        <v>262</v>
      </c>
      <c r="D36" s="56" t="n">
        <f aca="false">datos_base!$E$3*parametros_manuales!B$13</f>
        <v>151.3758174</v>
      </c>
      <c r="E36" s="56" t="n">
        <f aca="false">datos_base!$E$3*parametros_manuales!C$13</f>
        <v>121.10065392</v>
      </c>
      <c r="F36" s="56" t="n">
        <f aca="false">datos_base!$E$3*parametros_manuales!D$13</f>
        <v>128.66944479</v>
      </c>
      <c r="G36" s="56" t="n">
        <f aca="false">datos_base!$E$3*parametros_manuales!E$13</f>
        <v>128.66944479</v>
      </c>
      <c r="H36" s="56" t="n">
        <f aca="false">datos_base!$E$3*parametros_manuales!F$13</f>
        <v>121.10065392</v>
      </c>
      <c r="I36" s="56" t="n">
        <f aca="false">datos_base!$E$3*parametros_manuales!G$13</f>
        <v>113.53186305</v>
      </c>
      <c r="J36" s="56" t="n">
        <f aca="false">datos_base!$E$3*parametros_manuales!H$13</f>
        <v>121.10065392</v>
      </c>
      <c r="K36" s="56" t="n">
        <f aca="false">datos_base!$E$3*parametros_manuales!I$13</f>
        <v>121.10065392</v>
      </c>
      <c r="L36" s="56" t="n">
        <f aca="false">datos_base!$E$3*parametros_manuales!J$13</f>
        <v>121.10065392</v>
      </c>
      <c r="M36" s="56" t="n">
        <f aca="false">datos_base!$E$3*parametros_manuales!K$13</f>
        <v>113.53186305</v>
      </c>
      <c r="N36" s="56" t="n">
        <f aca="false">datos_base!$E$3*parametros_manuales!L$13</f>
        <v>105.96307218</v>
      </c>
      <c r="O36" s="56" t="n">
        <f aca="false">datos_base!$E$3*parametros_manuales!M$13</f>
        <v>166.51339914</v>
      </c>
      <c r="P36" s="14" t="n">
        <f aca="false">SUM(D36:O36)</f>
        <v>1513.758174</v>
      </c>
    </row>
    <row r="37" customFormat="false" ht="14.25" hidden="false" customHeight="true" outlineLevel="0" collapsed="false">
      <c r="A37" s="55" t="n">
        <v>2029</v>
      </c>
      <c r="B37" s="13" t="s">
        <v>31</v>
      </c>
      <c r="C37" s="13" t="s">
        <v>262</v>
      </c>
      <c r="D37" s="56" t="n">
        <f aca="false">datos_base!$E$4*parametros_manuales!B$14</f>
        <v>690.1595313</v>
      </c>
      <c r="E37" s="56" t="n">
        <f aca="false">datos_base!$E$4*parametros_manuales!C$14</f>
        <v>552.12762504</v>
      </c>
      <c r="F37" s="56" t="n">
        <f aca="false">datos_base!$E$4*parametros_manuales!D$14</f>
        <v>586.635601605</v>
      </c>
      <c r="G37" s="56" t="n">
        <f aca="false">datos_base!$E$4*parametros_manuales!E$14</f>
        <v>586.635601605</v>
      </c>
      <c r="H37" s="56" t="n">
        <f aca="false">datos_base!$E$4*parametros_manuales!F$14</f>
        <v>552.12762504</v>
      </c>
      <c r="I37" s="56" t="n">
        <f aca="false">datos_base!$E$4*parametros_manuales!G$14</f>
        <v>517.619648475</v>
      </c>
      <c r="J37" s="56" t="n">
        <f aca="false">datos_base!$E$4*parametros_manuales!H$14</f>
        <v>552.12762504</v>
      </c>
      <c r="K37" s="56" t="n">
        <f aca="false">datos_base!$E$4*parametros_manuales!I$14</f>
        <v>552.12762504</v>
      </c>
      <c r="L37" s="56" t="n">
        <f aca="false">datos_base!$E$4*parametros_manuales!J$14</f>
        <v>552.12762504</v>
      </c>
      <c r="M37" s="56" t="n">
        <f aca="false">datos_base!$E$4*parametros_manuales!K$14</f>
        <v>517.619648475</v>
      </c>
      <c r="N37" s="56" t="n">
        <f aca="false">datos_base!$E$4*parametros_manuales!L$14</f>
        <v>483.11167191</v>
      </c>
      <c r="O37" s="56" t="n">
        <f aca="false">datos_base!$E$4*parametros_manuales!M$14</f>
        <v>759.17548443</v>
      </c>
      <c r="P37" s="14" t="n">
        <f aca="false">SUM(D37:O37)</f>
        <v>6901.595313</v>
      </c>
    </row>
    <row r="38" customFormat="false" ht="14.25" hidden="false" customHeight="true" outlineLevel="0" collapsed="false">
      <c r="A38" s="55" t="n">
        <v>2029</v>
      </c>
      <c r="B38" s="13" t="s">
        <v>32</v>
      </c>
      <c r="C38" s="13" t="s">
        <v>262</v>
      </c>
      <c r="D38" s="56" t="n">
        <f aca="false">datos_base!$E$5*parametros_manuales!B$15</f>
        <v>36.25004941</v>
      </c>
      <c r="E38" s="56" t="n">
        <f aca="false">datos_base!$E$5*parametros_manuales!C$15</f>
        <v>29.000039528</v>
      </c>
      <c r="F38" s="56" t="n">
        <f aca="false">datos_base!$E$5*parametros_manuales!D$15</f>
        <v>30.8125419985</v>
      </c>
      <c r="G38" s="56" t="n">
        <f aca="false">datos_base!$E$5*parametros_manuales!E$15</f>
        <v>30.8125419985</v>
      </c>
      <c r="H38" s="56" t="n">
        <f aca="false">datos_base!$E$5*parametros_manuales!F$15</f>
        <v>29.000039528</v>
      </c>
      <c r="I38" s="56" t="n">
        <f aca="false">datos_base!$E$5*parametros_manuales!G$15</f>
        <v>27.1875370575</v>
      </c>
      <c r="J38" s="56" t="n">
        <f aca="false">datos_base!$E$5*parametros_manuales!H$15</f>
        <v>29.000039528</v>
      </c>
      <c r="K38" s="56" t="n">
        <f aca="false">datos_base!$E$5*parametros_manuales!I$15</f>
        <v>29.000039528</v>
      </c>
      <c r="L38" s="56" t="n">
        <f aca="false">datos_base!$E$5*parametros_manuales!J$15</f>
        <v>29.000039528</v>
      </c>
      <c r="M38" s="56" t="n">
        <f aca="false">datos_base!$E$5*parametros_manuales!K$15</f>
        <v>27.1875370575</v>
      </c>
      <c r="N38" s="56" t="n">
        <f aca="false">datos_base!$E$5*parametros_manuales!L$15</f>
        <v>25.375034587</v>
      </c>
      <c r="O38" s="56" t="n">
        <f aca="false">datos_base!$E$5*parametros_manuales!M$15</f>
        <v>39.875054351</v>
      </c>
      <c r="P38" s="14" t="n">
        <f aca="false">SUM(D38:O38)</f>
        <v>362.5004941</v>
      </c>
    </row>
    <row r="39" customFormat="false" ht="14.25" hidden="false" customHeight="true" outlineLevel="0" collapsed="false">
      <c r="A39" s="55" t="n">
        <v>2029</v>
      </c>
      <c r="B39" s="13" t="s">
        <v>74</v>
      </c>
      <c r="C39" s="13" t="s">
        <v>263</v>
      </c>
      <c r="D39" s="56" t="n">
        <f aca="false">datos_base!$E$9*parametros_manuales!B$12</f>
        <v>3203.376</v>
      </c>
      <c r="E39" s="56" t="n">
        <f aca="false">datos_base!$E$9*parametros_manuales!C$12</f>
        <v>2402.532</v>
      </c>
      <c r="F39" s="56" t="n">
        <f aca="false">datos_base!$E$9*parametros_manuales!D$12</f>
        <v>2135.584</v>
      </c>
      <c r="G39" s="56" t="n">
        <f aca="false">datos_base!$E$9*parametros_manuales!E$12</f>
        <v>2002.11</v>
      </c>
      <c r="H39" s="56" t="n">
        <f aca="false">datos_base!$E$9*parametros_manuales!F$12</f>
        <v>1868.636</v>
      </c>
      <c r="I39" s="56" t="n">
        <f aca="false">datos_base!$E$9*parametros_manuales!G$12</f>
        <v>1868.636</v>
      </c>
      <c r="J39" s="56" t="n">
        <f aca="false">datos_base!$E$9*parametros_manuales!H$12</f>
        <v>2002.11</v>
      </c>
      <c r="K39" s="56" t="n">
        <f aca="false">datos_base!$E$9*parametros_manuales!I$12</f>
        <v>2002.11</v>
      </c>
      <c r="L39" s="56" t="n">
        <f aca="false">datos_base!$E$9*parametros_manuales!J$12</f>
        <v>2002.11</v>
      </c>
      <c r="M39" s="56" t="n">
        <f aca="false">datos_base!$E$9*parametros_manuales!K$12</f>
        <v>2002.11</v>
      </c>
      <c r="N39" s="56" t="n">
        <f aca="false">datos_base!$E$9*parametros_manuales!L$12</f>
        <v>2002.11</v>
      </c>
      <c r="O39" s="56" t="n">
        <f aca="false">datos_base!$E$9*parametros_manuales!M$12</f>
        <v>3203.376</v>
      </c>
      <c r="P39" s="14" t="n">
        <f aca="false">SUM(D39:O39)</f>
        <v>26694.8</v>
      </c>
    </row>
    <row r="40" customFormat="false" ht="14.25" hidden="false" customHeight="true" outlineLevel="0" collapsed="false">
      <c r="A40" s="55" t="n">
        <v>2029</v>
      </c>
      <c r="B40" s="13" t="s">
        <v>75</v>
      </c>
      <c r="C40" s="13" t="s">
        <v>263</v>
      </c>
      <c r="D40" s="56" t="n">
        <f aca="false">datos_base!$E$10*parametros_manuales!B$13</f>
        <v>106.796</v>
      </c>
      <c r="E40" s="56" t="n">
        <f aca="false">datos_base!$E$10*parametros_manuales!C$13</f>
        <v>85.4368</v>
      </c>
      <c r="F40" s="56" t="n">
        <f aca="false">datos_base!$E$10*parametros_manuales!D$13</f>
        <v>90.7766</v>
      </c>
      <c r="G40" s="56" t="n">
        <f aca="false">datos_base!$E$10*parametros_manuales!E$13</f>
        <v>90.7766</v>
      </c>
      <c r="H40" s="56" t="n">
        <f aca="false">datos_base!$E$10*parametros_manuales!F$13</f>
        <v>85.4368</v>
      </c>
      <c r="I40" s="56" t="n">
        <f aca="false">datos_base!$E$10*parametros_manuales!G$13</f>
        <v>80.097</v>
      </c>
      <c r="J40" s="56" t="n">
        <f aca="false">datos_base!$E$10*parametros_manuales!H$13</f>
        <v>85.4368</v>
      </c>
      <c r="K40" s="56" t="n">
        <f aca="false">datos_base!$E$10*parametros_manuales!I$13</f>
        <v>85.4368</v>
      </c>
      <c r="L40" s="56" t="n">
        <f aca="false">datos_base!$E$10*parametros_manuales!J$13</f>
        <v>85.4368</v>
      </c>
      <c r="M40" s="56" t="n">
        <f aca="false">datos_base!$E$10*parametros_manuales!K$13</f>
        <v>80.097</v>
      </c>
      <c r="N40" s="56" t="n">
        <f aca="false">datos_base!$E$10*parametros_manuales!L$13</f>
        <v>74.7572</v>
      </c>
      <c r="O40" s="56" t="n">
        <f aca="false">datos_base!$E$10*parametros_manuales!M$13</f>
        <v>117.4756</v>
      </c>
      <c r="P40" s="14" t="n">
        <f aca="false">SUM(D40:O40)</f>
        <v>1067.96</v>
      </c>
    </row>
    <row r="41" customFormat="false" ht="14.25" hidden="false" customHeight="true" outlineLevel="0" collapsed="false">
      <c r="A41" s="55" t="n">
        <v>2029</v>
      </c>
      <c r="B41" s="13" t="s">
        <v>76</v>
      </c>
      <c r="C41" s="13" t="s">
        <v>263</v>
      </c>
      <c r="D41" s="56" t="n">
        <f aca="false">datos_base!$E$11*parametros_manuales!B$14</f>
        <v>530.24</v>
      </c>
      <c r="E41" s="56" t="n">
        <f aca="false">datos_base!$E$11*parametros_manuales!C$14</f>
        <v>424.192</v>
      </c>
      <c r="F41" s="56" t="n">
        <f aca="false">datos_base!$E$11*parametros_manuales!D$14</f>
        <v>450.704</v>
      </c>
      <c r="G41" s="56" t="n">
        <f aca="false">datos_base!$E$11*parametros_manuales!E$14</f>
        <v>450.704</v>
      </c>
      <c r="H41" s="56" t="n">
        <f aca="false">datos_base!$E$11*parametros_manuales!F$14</f>
        <v>424.192</v>
      </c>
      <c r="I41" s="56" t="n">
        <f aca="false">datos_base!$E$11*parametros_manuales!G$14</f>
        <v>397.68</v>
      </c>
      <c r="J41" s="56" t="n">
        <f aca="false">datos_base!$E$11*parametros_manuales!H$14</f>
        <v>424.192</v>
      </c>
      <c r="K41" s="56" t="n">
        <f aca="false">datos_base!$E$11*parametros_manuales!I$14</f>
        <v>424.192</v>
      </c>
      <c r="L41" s="56" t="n">
        <f aca="false">datos_base!$E$11*parametros_manuales!J$14</f>
        <v>424.192</v>
      </c>
      <c r="M41" s="56" t="n">
        <f aca="false">datos_base!$E$11*parametros_manuales!K$14</f>
        <v>397.68</v>
      </c>
      <c r="N41" s="56" t="n">
        <f aca="false">datos_base!$E$11*parametros_manuales!L$14</f>
        <v>371.168</v>
      </c>
      <c r="O41" s="56" t="n">
        <f aca="false">datos_base!$E$11*parametros_manuales!M$14</f>
        <v>583.264</v>
      </c>
      <c r="P41" s="14" t="n">
        <f aca="false">SUM(D41:O41)</f>
        <v>5302.4</v>
      </c>
    </row>
    <row r="42" customFormat="false" ht="14.25" hidden="false" customHeight="true" outlineLevel="0" collapsed="false">
      <c r="A42" s="55" t="n">
        <v>2029</v>
      </c>
      <c r="B42" s="13" t="s">
        <v>77</v>
      </c>
      <c r="C42" s="13" t="s">
        <v>263</v>
      </c>
      <c r="D42" s="56" t="n">
        <f aca="false">datos_base!$E$12*parametros_manuales!B$15</f>
        <v>32.48</v>
      </c>
      <c r="E42" s="56" t="n">
        <f aca="false">datos_base!$E$12*parametros_manuales!C$15</f>
        <v>25.984</v>
      </c>
      <c r="F42" s="56" t="n">
        <f aca="false">datos_base!$E$12*parametros_manuales!D$15</f>
        <v>27.608</v>
      </c>
      <c r="G42" s="56" t="n">
        <f aca="false">datos_base!$E$12*parametros_manuales!E$15</f>
        <v>27.608</v>
      </c>
      <c r="H42" s="56" t="n">
        <f aca="false">datos_base!$E$12*parametros_manuales!F$15</f>
        <v>25.984</v>
      </c>
      <c r="I42" s="56" t="n">
        <f aca="false">datos_base!$E$12*parametros_manuales!G$15</f>
        <v>24.36</v>
      </c>
      <c r="J42" s="56" t="n">
        <f aca="false">datos_base!$E$12*parametros_manuales!H$15</f>
        <v>25.984</v>
      </c>
      <c r="K42" s="56" t="n">
        <f aca="false">datos_base!$E$12*parametros_manuales!I$15</f>
        <v>25.984</v>
      </c>
      <c r="L42" s="56" t="n">
        <f aca="false">datos_base!$E$12*parametros_manuales!J$15</f>
        <v>25.984</v>
      </c>
      <c r="M42" s="56" t="n">
        <f aca="false">datos_base!$E$12*parametros_manuales!K$15</f>
        <v>24.36</v>
      </c>
      <c r="N42" s="56" t="n">
        <f aca="false">datos_base!$E$12*parametros_manuales!L$15</f>
        <v>22.736</v>
      </c>
      <c r="O42" s="56" t="n">
        <f aca="false">datos_base!$E$12*parametros_manuales!M$15</f>
        <v>35.728</v>
      </c>
      <c r="P42" s="14" t="n">
        <f aca="false">SUM(D42:O42)</f>
        <v>324.8</v>
      </c>
    </row>
    <row r="43" customFormat="false" ht="14.25" hidden="false" customHeight="true" outlineLevel="0" collapsed="false">
      <c r="B43" s="15" t="s">
        <v>264</v>
      </c>
      <c r="D43" s="16" t="n">
        <f aca="false">SUM(D35:D42)</f>
        <v>5766.73366399</v>
      </c>
      <c r="E43" s="16" t="n">
        <f aca="false">SUM(E35:E42)</f>
        <v>4402.415317898</v>
      </c>
      <c r="F43" s="16" t="n">
        <f aca="false">SUM(F35:F42)</f>
        <v>4128.1610323135</v>
      </c>
      <c r="G43" s="16" t="n">
        <f aca="false">SUM(G35:G42)</f>
        <v>3952.3513545685</v>
      </c>
      <c r="H43" s="16" t="n">
        <f aca="false">SUM(H35:H42)</f>
        <v>3699.176606918</v>
      </c>
      <c r="I43" s="16" t="n">
        <f aca="false">SUM(I35:I42)</f>
        <v>3621.8115370125</v>
      </c>
      <c r="J43" s="16" t="n">
        <f aca="false">SUM(J35:J42)</f>
        <v>3874.986284663</v>
      </c>
      <c r="K43" s="16" t="n">
        <f aca="false">SUM(K35:K42)</f>
        <v>3874.986284663</v>
      </c>
      <c r="L43" s="16" t="n">
        <f aca="false">SUM(L35:L42)</f>
        <v>3874.986284663</v>
      </c>
      <c r="M43" s="16" t="n">
        <f aca="false">SUM(M35:M42)</f>
        <v>3797.6212147575</v>
      </c>
      <c r="N43" s="16" t="n">
        <f aca="false">SUM(N35:N42)</f>
        <v>3720.256144852</v>
      </c>
      <c r="O43" s="16" t="n">
        <f aca="false">SUM(O35:O42)</f>
        <v>5921.463803801</v>
      </c>
      <c r="P43" s="16" t="n">
        <f aca="false">SUM(P35:P42)</f>
        <v>50634.9495301</v>
      </c>
    </row>
    <row r="44" customFormat="false" ht="14.25" hidden="false" customHeight="true" outlineLevel="0" collapsed="false"/>
    <row r="45" customFormat="false" ht="14.25" hidden="false" customHeight="true" outlineLevel="0" collapsed="false">
      <c r="A45" s="12" t="n">
        <v>2030</v>
      </c>
      <c r="B45" s="12" t="s">
        <v>259</v>
      </c>
      <c r="C45" s="12" t="s">
        <v>260</v>
      </c>
      <c r="D45" s="12" t="s">
        <v>37</v>
      </c>
      <c r="E45" s="12" t="s">
        <v>38</v>
      </c>
      <c r="F45" s="12" t="s">
        <v>39</v>
      </c>
      <c r="G45" s="12" t="s">
        <v>40</v>
      </c>
      <c r="H45" s="12" t="s">
        <v>41</v>
      </c>
      <c r="I45" s="12" t="s">
        <v>42</v>
      </c>
      <c r="J45" s="12" t="s">
        <v>43</v>
      </c>
      <c r="K45" s="12" t="s">
        <v>44</v>
      </c>
      <c r="L45" s="12" t="s">
        <v>45</v>
      </c>
      <c r="M45" s="12" t="s">
        <v>46</v>
      </c>
      <c r="N45" s="12" t="s">
        <v>47</v>
      </c>
      <c r="O45" s="12" t="s">
        <v>48</v>
      </c>
      <c r="P45" s="12" t="s">
        <v>261</v>
      </c>
    </row>
    <row r="46" customFormat="false" ht="14.25" hidden="false" customHeight="true" outlineLevel="0" collapsed="false">
      <c r="A46" s="55" t="n">
        <v>2030</v>
      </c>
      <c r="B46" s="13" t="s">
        <v>29</v>
      </c>
      <c r="C46" s="13" t="s">
        <v>262</v>
      </c>
      <c r="D46" s="56" t="n">
        <f aca="false">datos_base!$F$2*parametros_manuales!B$12</f>
        <v>1521.6759252</v>
      </c>
      <c r="E46" s="56" t="n">
        <f aca="false">datos_base!$F$2*parametros_manuales!C$12</f>
        <v>1141.2569439</v>
      </c>
      <c r="F46" s="56" t="n">
        <f aca="false">datos_base!$F$2*parametros_manuales!D$12</f>
        <v>1014.4506168</v>
      </c>
      <c r="G46" s="56" t="n">
        <f aca="false">datos_base!$F$2*parametros_manuales!E$12</f>
        <v>951.04745325</v>
      </c>
      <c r="H46" s="56" t="n">
        <f aca="false">datos_base!$F$2*parametros_manuales!F$12</f>
        <v>887.6442897</v>
      </c>
      <c r="I46" s="56" t="n">
        <f aca="false">datos_base!$F$2*parametros_manuales!G$12</f>
        <v>887.6442897</v>
      </c>
      <c r="J46" s="56" t="n">
        <f aca="false">datos_base!$F$2*parametros_manuales!H$12</f>
        <v>951.04745325</v>
      </c>
      <c r="K46" s="56" t="n">
        <f aca="false">datos_base!$F$2*parametros_manuales!I$12</f>
        <v>951.04745325</v>
      </c>
      <c r="L46" s="56" t="n">
        <f aca="false">datos_base!$F$2*parametros_manuales!J$12</f>
        <v>951.04745325</v>
      </c>
      <c r="M46" s="56" t="n">
        <f aca="false">datos_base!$F$2*parametros_manuales!K$12</f>
        <v>951.04745325</v>
      </c>
      <c r="N46" s="56" t="n">
        <f aca="false">datos_base!$F$2*parametros_manuales!L$12</f>
        <v>951.04745325</v>
      </c>
      <c r="O46" s="56" t="n">
        <f aca="false">datos_base!$F$2*parametros_manuales!M$12</f>
        <v>1521.6759252</v>
      </c>
      <c r="P46" s="14" t="n">
        <f aca="false">SUM(D46:O46)</f>
        <v>12680.63271</v>
      </c>
    </row>
    <row r="47" customFormat="false" ht="14.25" hidden="false" customHeight="true" outlineLevel="0" collapsed="false">
      <c r="A47" s="55" t="n">
        <v>2030</v>
      </c>
      <c r="B47" s="13" t="s">
        <v>30</v>
      </c>
      <c r="C47" s="13" t="s">
        <v>262</v>
      </c>
      <c r="D47" s="56" t="n">
        <f aca="false">datos_base!$F$3*parametros_manuales!B$13</f>
        <v>232.5707726</v>
      </c>
      <c r="E47" s="56" t="n">
        <f aca="false">datos_base!$F$3*parametros_manuales!C$13</f>
        <v>186.05661808</v>
      </c>
      <c r="F47" s="56" t="n">
        <f aca="false">datos_base!$F$3*parametros_manuales!D$13</f>
        <v>197.68515671</v>
      </c>
      <c r="G47" s="56" t="n">
        <f aca="false">datos_base!$F$3*parametros_manuales!E$13</f>
        <v>197.68515671</v>
      </c>
      <c r="H47" s="56" t="n">
        <f aca="false">datos_base!$F$3*parametros_manuales!F$13</f>
        <v>186.05661808</v>
      </c>
      <c r="I47" s="56" t="n">
        <f aca="false">datos_base!$F$3*parametros_manuales!G$13</f>
        <v>174.42807945</v>
      </c>
      <c r="J47" s="56" t="n">
        <f aca="false">datos_base!$F$3*parametros_manuales!H$13</f>
        <v>186.05661808</v>
      </c>
      <c r="K47" s="56" t="n">
        <f aca="false">datos_base!$F$3*parametros_manuales!I$13</f>
        <v>186.05661808</v>
      </c>
      <c r="L47" s="56" t="n">
        <f aca="false">datos_base!$F$3*parametros_manuales!J$13</f>
        <v>186.05661808</v>
      </c>
      <c r="M47" s="56" t="n">
        <f aca="false">datos_base!$F$3*parametros_manuales!K$13</f>
        <v>174.42807945</v>
      </c>
      <c r="N47" s="56" t="n">
        <f aca="false">datos_base!$F$3*parametros_manuales!L$13</f>
        <v>162.79954082</v>
      </c>
      <c r="O47" s="56" t="n">
        <f aca="false">datos_base!$F$3*parametros_manuales!M$13</f>
        <v>255.82784986</v>
      </c>
      <c r="P47" s="14" t="n">
        <f aca="false">SUM(D47:O47)</f>
        <v>2325.707726</v>
      </c>
    </row>
    <row r="48" customFormat="false" ht="14.25" hidden="false" customHeight="true" outlineLevel="0" collapsed="false">
      <c r="A48" s="55" t="n">
        <v>2030</v>
      </c>
      <c r="B48" s="13" t="s">
        <v>31</v>
      </c>
      <c r="C48" s="13" t="s">
        <v>262</v>
      </c>
      <c r="D48" s="56" t="n">
        <f aca="false">datos_base!$F$4*parametros_manuales!B$14</f>
        <v>1089.954694</v>
      </c>
      <c r="E48" s="56" t="n">
        <f aca="false">datos_base!$F$4*parametros_manuales!C$14</f>
        <v>871.9637552</v>
      </c>
      <c r="F48" s="56" t="n">
        <f aca="false">datos_base!$F$4*parametros_manuales!D$14</f>
        <v>926.4614899</v>
      </c>
      <c r="G48" s="56" t="n">
        <f aca="false">datos_base!$F$4*parametros_manuales!E$14</f>
        <v>926.4614899</v>
      </c>
      <c r="H48" s="56" t="n">
        <f aca="false">datos_base!$F$4*parametros_manuales!F$14</f>
        <v>871.9637552</v>
      </c>
      <c r="I48" s="56" t="n">
        <f aca="false">datos_base!$F$4*parametros_manuales!G$14</f>
        <v>817.4660205</v>
      </c>
      <c r="J48" s="56" t="n">
        <f aca="false">datos_base!$F$4*parametros_manuales!H$14</f>
        <v>871.9637552</v>
      </c>
      <c r="K48" s="56" t="n">
        <f aca="false">datos_base!$F$4*parametros_manuales!I$14</f>
        <v>871.9637552</v>
      </c>
      <c r="L48" s="56" t="n">
        <f aca="false">datos_base!$F$4*parametros_manuales!J$14</f>
        <v>871.9637552</v>
      </c>
      <c r="M48" s="56" t="n">
        <f aca="false">datos_base!$F$4*parametros_manuales!K$14</f>
        <v>817.4660205</v>
      </c>
      <c r="N48" s="56" t="n">
        <f aca="false">datos_base!$F$4*parametros_manuales!L$14</f>
        <v>762.9682858</v>
      </c>
      <c r="O48" s="56" t="n">
        <f aca="false">datos_base!$F$4*parametros_manuales!M$14</f>
        <v>1198.9501634</v>
      </c>
      <c r="P48" s="14" t="n">
        <f aca="false">SUM(D48:O48)</f>
        <v>10899.54694</v>
      </c>
    </row>
    <row r="49" customFormat="false" ht="14.25" hidden="false" customHeight="true" outlineLevel="0" collapsed="false">
      <c r="A49" s="55" t="n">
        <v>2030</v>
      </c>
      <c r="B49" s="13" t="s">
        <v>32</v>
      </c>
      <c r="C49" s="13" t="s">
        <v>262</v>
      </c>
      <c r="D49" s="56" t="n">
        <f aca="false">datos_base!$F$5*parametros_manuales!B$15</f>
        <v>60.75181519</v>
      </c>
      <c r="E49" s="56" t="n">
        <f aca="false">datos_base!$F$5*parametros_manuales!C$15</f>
        <v>48.601452152</v>
      </c>
      <c r="F49" s="56" t="n">
        <f aca="false">datos_base!$F$5*parametros_manuales!D$15</f>
        <v>51.6390429115</v>
      </c>
      <c r="G49" s="56" t="n">
        <f aca="false">datos_base!$F$5*parametros_manuales!E$15</f>
        <v>51.6390429115</v>
      </c>
      <c r="H49" s="56" t="n">
        <f aca="false">datos_base!$F$5*parametros_manuales!F$15</f>
        <v>48.601452152</v>
      </c>
      <c r="I49" s="56" t="n">
        <f aca="false">datos_base!$F$5*parametros_manuales!G$15</f>
        <v>45.5638613925</v>
      </c>
      <c r="J49" s="56" t="n">
        <f aca="false">datos_base!$F$5*parametros_manuales!H$15</f>
        <v>48.601452152</v>
      </c>
      <c r="K49" s="56" t="n">
        <f aca="false">datos_base!$F$5*parametros_manuales!I$15</f>
        <v>48.601452152</v>
      </c>
      <c r="L49" s="56" t="n">
        <f aca="false">datos_base!$F$5*parametros_manuales!J$15</f>
        <v>48.601452152</v>
      </c>
      <c r="M49" s="56" t="n">
        <f aca="false">datos_base!$F$5*parametros_manuales!K$15</f>
        <v>45.5638613925</v>
      </c>
      <c r="N49" s="56" t="n">
        <f aca="false">datos_base!$F$5*parametros_manuales!L$15</f>
        <v>42.526270633</v>
      </c>
      <c r="O49" s="56" t="n">
        <f aca="false">datos_base!$F$5*parametros_manuales!M$15</f>
        <v>66.826996709</v>
      </c>
      <c r="P49" s="14" t="n">
        <f aca="false">SUM(D49:O49)</f>
        <v>607.5181519</v>
      </c>
    </row>
    <row r="50" customFormat="false" ht="14.25" hidden="false" customHeight="true" outlineLevel="0" collapsed="false">
      <c r="A50" s="55" t="n">
        <v>2030</v>
      </c>
      <c r="B50" s="13" t="s">
        <v>74</v>
      </c>
      <c r="C50" s="13" t="s">
        <v>263</v>
      </c>
      <c r="D50" s="56" t="n">
        <f aca="false">datos_base!$F$9*parametros_manuales!B$12</f>
        <v>5932.176</v>
      </c>
      <c r="E50" s="56" t="n">
        <f aca="false">datos_base!$F$9*parametros_manuales!C$12</f>
        <v>4449.132</v>
      </c>
      <c r="F50" s="56" t="n">
        <f aca="false">datos_base!$F$9*parametros_manuales!D$12</f>
        <v>3954.784</v>
      </c>
      <c r="G50" s="56" t="n">
        <f aca="false">datos_base!$F$9*parametros_manuales!E$12</f>
        <v>3707.61</v>
      </c>
      <c r="H50" s="56" t="n">
        <f aca="false">datos_base!$F$9*parametros_manuales!F$12</f>
        <v>3460.436</v>
      </c>
      <c r="I50" s="56" t="n">
        <f aca="false">datos_base!$F$9*parametros_manuales!G$12</f>
        <v>3460.436</v>
      </c>
      <c r="J50" s="56" t="n">
        <f aca="false">datos_base!$F$9*parametros_manuales!H$12</f>
        <v>3707.61</v>
      </c>
      <c r="K50" s="56" t="n">
        <f aca="false">datos_base!$F$9*parametros_manuales!I$12</f>
        <v>3707.61</v>
      </c>
      <c r="L50" s="56" t="n">
        <f aca="false">datos_base!$F$9*parametros_manuales!J$12</f>
        <v>3707.61</v>
      </c>
      <c r="M50" s="56" t="n">
        <f aca="false">datos_base!$F$9*parametros_manuales!K$12</f>
        <v>3707.61</v>
      </c>
      <c r="N50" s="56" t="n">
        <f aca="false">datos_base!$F$9*parametros_manuales!L$12</f>
        <v>3707.61</v>
      </c>
      <c r="O50" s="56" t="n">
        <f aca="false">datos_base!$F$9*parametros_manuales!M$12</f>
        <v>5932.176</v>
      </c>
      <c r="P50" s="14" t="n">
        <f aca="false">SUM(D50:O50)</f>
        <v>49434.8</v>
      </c>
    </row>
    <row r="51" customFormat="false" ht="14.25" hidden="false" customHeight="true" outlineLevel="0" collapsed="false">
      <c r="A51" s="55" t="n">
        <v>2030</v>
      </c>
      <c r="B51" s="13" t="s">
        <v>75</v>
      </c>
      <c r="C51" s="13" t="s">
        <v>263</v>
      </c>
      <c r="D51" s="56" t="n">
        <f aca="false">datos_base!$F$10*parametros_manuales!B$13</f>
        <v>195.892</v>
      </c>
      <c r="E51" s="56" t="n">
        <f aca="false">datos_base!$F$10*parametros_manuales!C$13</f>
        <v>156.7136</v>
      </c>
      <c r="F51" s="56" t="n">
        <f aca="false">datos_base!$F$10*parametros_manuales!D$13</f>
        <v>166.5082</v>
      </c>
      <c r="G51" s="56" t="n">
        <f aca="false">datos_base!$F$10*parametros_manuales!E$13</f>
        <v>166.5082</v>
      </c>
      <c r="H51" s="56" t="n">
        <f aca="false">datos_base!$F$10*parametros_manuales!F$13</f>
        <v>156.7136</v>
      </c>
      <c r="I51" s="56" t="n">
        <f aca="false">datos_base!$F$10*parametros_manuales!G$13</f>
        <v>146.919</v>
      </c>
      <c r="J51" s="56" t="n">
        <f aca="false">datos_base!$F$10*parametros_manuales!H$13</f>
        <v>156.7136</v>
      </c>
      <c r="K51" s="56" t="n">
        <f aca="false">datos_base!$F$10*parametros_manuales!I$13</f>
        <v>156.7136</v>
      </c>
      <c r="L51" s="56" t="n">
        <f aca="false">datos_base!$F$10*parametros_manuales!J$13</f>
        <v>156.7136</v>
      </c>
      <c r="M51" s="56" t="n">
        <f aca="false">datos_base!$F$10*parametros_manuales!K$13</f>
        <v>146.919</v>
      </c>
      <c r="N51" s="56" t="n">
        <f aca="false">datos_base!$F$10*parametros_manuales!L$13</f>
        <v>137.1244</v>
      </c>
      <c r="O51" s="56" t="n">
        <f aca="false">datos_base!$F$10*parametros_manuales!M$13</f>
        <v>215.4812</v>
      </c>
      <c r="P51" s="14" t="n">
        <f aca="false">SUM(D51:O51)</f>
        <v>1958.92</v>
      </c>
    </row>
    <row r="52" customFormat="false" ht="14.25" hidden="false" customHeight="true" outlineLevel="0" collapsed="false">
      <c r="A52" s="55" t="n">
        <v>2030</v>
      </c>
      <c r="B52" s="13" t="s">
        <v>76</v>
      </c>
      <c r="C52" s="13" t="s">
        <v>263</v>
      </c>
      <c r="D52" s="56" t="n">
        <f aca="false">datos_base!$F$11*parametros_manuales!B$14</f>
        <v>969.324</v>
      </c>
      <c r="E52" s="56" t="n">
        <f aca="false">datos_base!$F$11*parametros_manuales!C$14</f>
        <v>775.4592</v>
      </c>
      <c r="F52" s="56" t="n">
        <f aca="false">datos_base!$F$11*parametros_manuales!D$14</f>
        <v>823.9254</v>
      </c>
      <c r="G52" s="56" t="n">
        <f aca="false">datos_base!$F$11*parametros_manuales!E$14</f>
        <v>823.9254</v>
      </c>
      <c r="H52" s="56" t="n">
        <f aca="false">datos_base!$F$11*parametros_manuales!F$14</f>
        <v>775.4592</v>
      </c>
      <c r="I52" s="56" t="n">
        <f aca="false">datos_base!$F$11*parametros_manuales!G$14</f>
        <v>726.993</v>
      </c>
      <c r="J52" s="56" t="n">
        <f aca="false">datos_base!$F$11*parametros_manuales!H$14</f>
        <v>775.4592</v>
      </c>
      <c r="K52" s="56" t="n">
        <f aca="false">datos_base!$F$11*parametros_manuales!I$14</f>
        <v>775.4592</v>
      </c>
      <c r="L52" s="56" t="n">
        <f aca="false">datos_base!$F$11*parametros_manuales!J$14</f>
        <v>775.4592</v>
      </c>
      <c r="M52" s="56" t="n">
        <f aca="false">datos_base!$F$11*parametros_manuales!K$14</f>
        <v>726.993</v>
      </c>
      <c r="N52" s="56" t="n">
        <f aca="false">datos_base!$F$11*parametros_manuales!L$14</f>
        <v>678.5268</v>
      </c>
      <c r="O52" s="56" t="n">
        <f aca="false">datos_base!$F$11*parametros_manuales!M$14</f>
        <v>1066.2564</v>
      </c>
      <c r="P52" s="14" t="n">
        <f aca="false">SUM(D52:O52)</f>
        <v>9693.24</v>
      </c>
    </row>
    <row r="53" customFormat="false" ht="14.25" hidden="false" customHeight="true" outlineLevel="0" collapsed="false">
      <c r="A53" s="55" t="n">
        <v>2030</v>
      </c>
      <c r="B53" s="13" t="s">
        <v>77</v>
      </c>
      <c r="C53" s="13" t="s">
        <v>263</v>
      </c>
      <c r="D53" s="56" t="n">
        <f aca="false">datos_base!$F$12*parametros_manuales!B$15</f>
        <v>59.292</v>
      </c>
      <c r="E53" s="56" t="n">
        <f aca="false">datos_base!$F$12*parametros_manuales!C$15</f>
        <v>47.4336</v>
      </c>
      <c r="F53" s="56" t="n">
        <f aca="false">datos_base!$F$12*parametros_manuales!D$15</f>
        <v>50.3982</v>
      </c>
      <c r="G53" s="56" t="n">
        <f aca="false">datos_base!$F$12*parametros_manuales!E$15</f>
        <v>50.3982</v>
      </c>
      <c r="H53" s="56" t="n">
        <f aca="false">datos_base!$F$12*parametros_manuales!F$15</f>
        <v>47.4336</v>
      </c>
      <c r="I53" s="56" t="n">
        <f aca="false">datos_base!$F$12*parametros_manuales!G$15</f>
        <v>44.469</v>
      </c>
      <c r="J53" s="56" t="n">
        <f aca="false">datos_base!$F$12*parametros_manuales!H$15</f>
        <v>47.4336</v>
      </c>
      <c r="K53" s="56" t="n">
        <f aca="false">datos_base!$F$12*parametros_manuales!I$15</f>
        <v>47.4336</v>
      </c>
      <c r="L53" s="56" t="n">
        <f aca="false">datos_base!$F$12*parametros_manuales!J$15</f>
        <v>47.4336</v>
      </c>
      <c r="M53" s="56" t="n">
        <f aca="false">datos_base!$F$12*parametros_manuales!K$15</f>
        <v>44.469</v>
      </c>
      <c r="N53" s="56" t="n">
        <f aca="false">datos_base!$F$12*parametros_manuales!L$15</f>
        <v>41.5044</v>
      </c>
      <c r="O53" s="56" t="n">
        <f aca="false">datos_base!$F$12*parametros_manuales!M$15</f>
        <v>65.2212</v>
      </c>
      <c r="P53" s="14" t="n">
        <f aca="false">SUM(D53:O53)</f>
        <v>592.92</v>
      </c>
    </row>
    <row r="54" customFormat="false" ht="14.25" hidden="false" customHeight="true" outlineLevel="0" collapsed="false">
      <c r="B54" s="15" t="s">
        <v>264</v>
      </c>
      <c r="D54" s="16" t="n">
        <f aca="false">SUM(D46:D53)</f>
        <v>10061.63720699</v>
      </c>
      <c r="E54" s="16" t="n">
        <f aca="false">SUM(E46:E53)</f>
        <v>7676.617169332</v>
      </c>
      <c r="F54" s="16" t="n">
        <f aca="false">SUM(F46:F53)</f>
        <v>7185.8521063215</v>
      </c>
      <c r="G54" s="16" t="n">
        <f aca="false">SUM(G46:G53)</f>
        <v>6875.2749427715</v>
      </c>
      <c r="H54" s="16" t="n">
        <f aca="false">SUM(H46:H53)</f>
        <v>6434.308515132</v>
      </c>
      <c r="I54" s="16" t="n">
        <f aca="false">SUM(I46:I53)</f>
        <v>6303.9192510425</v>
      </c>
      <c r="J54" s="16" t="n">
        <f aca="false">SUM(J46:J53)</f>
        <v>6744.885678682</v>
      </c>
      <c r="K54" s="16" t="n">
        <f aca="false">SUM(K46:K53)</f>
        <v>6744.885678682</v>
      </c>
      <c r="L54" s="16" t="n">
        <f aca="false">SUM(L46:L53)</f>
        <v>6744.885678682</v>
      </c>
      <c r="M54" s="16" t="n">
        <f aca="false">SUM(M46:M53)</f>
        <v>6614.4964145925</v>
      </c>
      <c r="N54" s="16" t="n">
        <f aca="false">SUM(N46:N53)</f>
        <v>6484.107150503</v>
      </c>
      <c r="O54" s="16" t="n">
        <f aca="false">SUM(O46:O53)</f>
        <v>10322.415735169</v>
      </c>
      <c r="P54" s="16" t="n">
        <f aca="false">SUM(P46:P53)</f>
        <v>88193.2855279</v>
      </c>
    </row>
    <row r="55" customFormat="false" ht="14.25" hidden="false" customHeight="true" outlineLevel="0" collapsed="false"/>
    <row r="56" customFormat="false" ht="14.25" hidden="false" customHeight="true" outlineLevel="0" collapsed="false">
      <c r="A56" s="12" t="n">
        <v>2031</v>
      </c>
      <c r="B56" s="12" t="s">
        <v>259</v>
      </c>
      <c r="C56" s="12" t="s">
        <v>260</v>
      </c>
      <c r="D56" s="12" t="s">
        <v>37</v>
      </c>
      <c r="E56" s="12" t="s">
        <v>38</v>
      </c>
      <c r="F56" s="12" t="s">
        <v>39</v>
      </c>
      <c r="G56" s="12" t="s">
        <v>40</v>
      </c>
      <c r="H56" s="12" t="s">
        <v>41</v>
      </c>
      <c r="I56" s="12" t="s">
        <v>42</v>
      </c>
      <c r="J56" s="12" t="s">
        <v>43</v>
      </c>
      <c r="K56" s="12" t="s">
        <v>44</v>
      </c>
      <c r="L56" s="12" t="s">
        <v>45</v>
      </c>
      <c r="M56" s="12" t="s">
        <v>46</v>
      </c>
      <c r="N56" s="12" t="s">
        <v>47</v>
      </c>
      <c r="O56" s="12" t="s">
        <v>48</v>
      </c>
      <c r="P56" s="12" t="s">
        <v>261</v>
      </c>
    </row>
    <row r="57" customFormat="false" ht="14.25" hidden="false" customHeight="true" outlineLevel="0" collapsed="false">
      <c r="A57" s="55" t="n">
        <v>2031</v>
      </c>
      <c r="B57" s="13" t="s">
        <v>29</v>
      </c>
      <c r="C57" s="13" t="s">
        <v>262</v>
      </c>
      <c r="D57" s="56" t="n">
        <f aca="false">datos_base!$G$2*parametros_manuales!B$12</f>
        <v>1874.4303684</v>
      </c>
      <c r="E57" s="56" t="n">
        <f aca="false">datos_base!$G$2*parametros_manuales!C$12</f>
        <v>1405.8227763</v>
      </c>
      <c r="F57" s="56" t="n">
        <f aca="false">datos_base!$G$2*parametros_manuales!D$12</f>
        <v>1249.6202456</v>
      </c>
      <c r="G57" s="56" t="n">
        <f aca="false">datos_base!$G$2*parametros_manuales!E$12</f>
        <v>1171.51898025</v>
      </c>
      <c r="H57" s="56" t="n">
        <f aca="false">datos_base!$G$2*parametros_manuales!F$12</f>
        <v>1093.4177149</v>
      </c>
      <c r="I57" s="56" t="n">
        <f aca="false">datos_base!$G$2*parametros_manuales!G$12</f>
        <v>1093.4177149</v>
      </c>
      <c r="J57" s="56" t="n">
        <f aca="false">datos_base!$G$2*parametros_manuales!H$12</f>
        <v>1171.51898025</v>
      </c>
      <c r="K57" s="56" t="n">
        <f aca="false">datos_base!$G$2*parametros_manuales!I$12</f>
        <v>1171.51898025</v>
      </c>
      <c r="L57" s="56" t="n">
        <f aca="false">datos_base!$G$2*parametros_manuales!J$12</f>
        <v>1171.51898025</v>
      </c>
      <c r="M57" s="56" t="n">
        <f aca="false">datos_base!$G$2*parametros_manuales!K$12</f>
        <v>1171.51898025</v>
      </c>
      <c r="N57" s="56" t="n">
        <f aca="false">datos_base!$G$2*parametros_manuales!L$12</f>
        <v>1171.51898025</v>
      </c>
      <c r="O57" s="56" t="n">
        <f aca="false">datos_base!$G$2*parametros_manuales!M$12</f>
        <v>1874.4303684</v>
      </c>
      <c r="P57" s="14" t="n">
        <f aca="false">SUM(D57:O57)</f>
        <v>15620.25307</v>
      </c>
    </row>
    <row r="58" customFormat="false" ht="14.25" hidden="false" customHeight="true" outlineLevel="0" collapsed="false">
      <c r="A58" s="55" t="n">
        <v>2031</v>
      </c>
      <c r="B58" s="13" t="s">
        <v>30</v>
      </c>
      <c r="C58" s="13" t="s">
        <v>262</v>
      </c>
      <c r="D58" s="56" t="n">
        <f aca="false">datos_base!$G$3*parametros_manuales!B$13</f>
        <v>326.7829887</v>
      </c>
      <c r="E58" s="56" t="n">
        <f aca="false">datos_base!$G$3*parametros_manuales!C$13</f>
        <v>261.42639096</v>
      </c>
      <c r="F58" s="56" t="n">
        <f aca="false">datos_base!$G$3*parametros_manuales!D$13</f>
        <v>277.765540395</v>
      </c>
      <c r="G58" s="56" t="n">
        <f aca="false">datos_base!$G$3*parametros_manuales!E$13</f>
        <v>277.765540395</v>
      </c>
      <c r="H58" s="56" t="n">
        <f aca="false">datos_base!$G$3*parametros_manuales!F$13</f>
        <v>261.42639096</v>
      </c>
      <c r="I58" s="56" t="n">
        <f aca="false">datos_base!$G$3*parametros_manuales!G$13</f>
        <v>245.087241525</v>
      </c>
      <c r="J58" s="56" t="n">
        <f aca="false">datos_base!$G$3*parametros_manuales!H$13</f>
        <v>261.42639096</v>
      </c>
      <c r="K58" s="56" t="n">
        <f aca="false">datos_base!$G$3*parametros_manuales!I$13</f>
        <v>261.42639096</v>
      </c>
      <c r="L58" s="56" t="n">
        <f aca="false">datos_base!$G$3*parametros_manuales!J$13</f>
        <v>261.42639096</v>
      </c>
      <c r="M58" s="56" t="n">
        <f aca="false">datos_base!$G$3*parametros_manuales!K$13</f>
        <v>245.087241525</v>
      </c>
      <c r="N58" s="56" t="n">
        <f aca="false">datos_base!$G$3*parametros_manuales!L$13</f>
        <v>228.74809209</v>
      </c>
      <c r="O58" s="56" t="n">
        <f aca="false">datos_base!$G$3*parametros_manuales!M$13</f>
        <v>359.46128757</v>
      </c>
      <c r="P58" s="14" t="n">
        <f aca="false">SUM(D58:O58)</f>
        <v>3267.829887</v>
      </c>
    </row>
    <row r="59" customFormat="false" ht="14.25" hidden="false" customHeight="true" outlineLevel="0" collapsed="false">
      <c r="A59" s="55" t="n">
        <v>2031</v>
      </c>
      <c r="B59" s="13" t="s">
        <v>31</v>
      </c>
      <c r="C59" s="13" t="s">
        <v>262</v>
      </c>
      <c r="D59" s="56" t="n">
        <f aca="false">datos_base!$G$4*parametros_manuales!B$14</f>
        <v>1469.564411</v>
      </c>
      <c r="E59" s="56" t="n">
        <f aca="false">datos_base!$G$4*parametros_manuales!C$14</f>
        <v>1175.6515288</v>
      </c>
      <c r="F59" s="56" t="n">
        <f aca="false">datos_base!$G$4*parametros_manuales!D$14</f>
        <v>1249.12974935</v>
      </c>
      <c r="G59" s="56" t="n">
        <f aca="false">datos_base!$G$4*parametros_manuales!E$14</f>
        <v>1249.12974935</v>
      </c>
      <c r="H59" s="56" t="n">
        <f aca="false">datos_base!$G$4*parametros_manuales!F$14</f>
        <v>1175.6515288</v>
      </c>
      <c r="I59" s="56" t="n">
        <f aca="false">datos_base!$G$4*parametros_manuales!G$14</f>
        <v>1102.17330825</v>
      </c>
      <c r="J59" s="56" t="n">
        <f aca="false">datos_base!$G$4*parametros_manuales!H$14</f>
        <v>1175.6515288</v>
      </c>
      <c r="K59" s="56" t="n">
        <f aca="false">datos_base!$G$4*parametros_manuales!I$14</f>
        <v>1175.6515288</v>
      </c>
      <c r="L59" s="56" t="n">
        <f aca="false">datos_base!$G$4*parametros_manuales!J$14</f>
        <v>1175.6515288</v>
      </c>
      <c r="M59" s="56" t="n">
        <f aca="false">datos_base!$G$4*parametros_manuales!K$14</f>
        <v>1102.17330825</v>
      </c>
      <c r="N59" s="56" t="n">
        <f aca="false">datos_base!$G$4*parametros_manuales!L$14</f>
        <v>1028.6950877</v>
      </c>
      <c r="O59" s="56" t="n">
        <f aca="false">datos_base!$G$4*parametros_manuales!M$14</f>
        <v>1616.5208521</v>
      </c>
      <c r="P59" s="14" t="n">
        <f aca="false">SUM(D59:O59)</f>
        <v>14695.64411</v>
      </c>
    </row>
    <row r="60" customFormat="false" ht="14.25" hidden="false" customHeight="true" outlineLevel="0" collapsed="false">
      <c r="A60" s="55" t="n">
        <v>2031</v>
      </c>
      <c r="B60" s="13" t="s">
        <v>32</v>
      </c>
      <c r="C60" s="13" t="s">
        <v>262</v>
      </c>
      <c r="D60" s="56" t="n">
        <f aca="false">datos_base!$G$5*parametros_manuales!B$15</f>
        <v>87.8725032</v>
      </c>
      <c r="E60" s="56" t="n">
        <f aca="false">datos_base!$G$5*parametros_manuales!C$15</f>
        <v>70.29800256</v>
      </c>
      <c r="F60" s="56" t="n">
        <f aca="false">datos_base!$G$5*parametros_manuales!D$15</f>
        <v>74.69162772</v>
      </c>
      <c r="G60" s="56" t="n">
        <f aca="false">datos_base!$G$5*parametros_manuales!E$15</f>
        <v>74.69162772</v>
      </c>
      <c r="H60" s="56" t="n">
        <f aca="false">datos_base!$G$5*parametros_manuales!F$15</f>
        <v>70.29800256</v>
      </c>
      <c r="I60" s="56" t="n">
        <f aca="false">datos_base!$G$5*parametros_manuales!G$15</f>
        <v>65.9043774</v>
      </c>
      <c r="J60" s="56" t="n">
        <f aca="false">datos_base!$G$5*parametros_manuales!H$15</f>
        <v>70.29800256</v>
      </c>
      <c r="K60" s="56" t="n">
        <f aca="false">datos_base!$G$5*parametros_manuales!I$15</f>
        <v>70.29800256</v>
      </c>
      <c r="L60" s="56" t="n">
        <f aca="false">datos_base!$G$5*parametros_manuales!J$15</f>
        <v>70.29800256</v>
      </c>
      <c r="M60" s="56" t="n">
        <f aca="false">datos_base!$G$5*parametros_manuales!K$15</f>
        <v>65.9043774</v>
      </c>
      <c r="N60" s="56" t="n">
        <f aca="false">datos_base!$G$5*parametros_manuales!L$15</f>
        <v>61.51075224</v>
      </c>
      <c r="O60" s="56" t="n">
        <f aca="false">datos_base!$G$5*parametros_manuales!M$15</f>
        <v>96.65975352</v>
      </c>
      <c r="P60" s="14" t="n">
        <f aca="false">SUM(D60:O60)</f>
        <v>878.725032</v>
      </c>
    </row>
    <row r="61" customFormat="false" ht="14.25" hidden="false" customHeight="true" outlineLevel="0" collapsed="false">
      <c r="A61" s="55" t="n">
        <v>2031</v>
      </c>
      <c r="B61" s="13" t="s">
        <v>74</v>
      </c>
      <c r="C61" s="13" t="s">
        <v>263</v>
      </c>
      <c r="D61" s="56" t="n">
        <f aca="false">datos_base!$G$9*parametros_manuales!B$12</f>
        <v>8601.624</v>
      </c>
      <c r="E61" s="56" t="n">
        <f aca="false">datos_base!$G$9*parametros_manuales!C$12</f>
        <v>6451.218</v>
      </c>
      <c r="F61" s="56" t="n">
        <f aca="false">datos_base!$G$9*parametros_manuales!D$12</f>
        <v>5734.416</v>
      </c>
      <c r="G61" s="56" t="n">
        <f aca="false">datos_base!$G$9*parametros_manuales!E$12</f>
        <v>5376.015</v>
      </c>
      <c r="H61" s="56" t="n">
        <f aca="false">datos_base!$G$9*parametros_manuales!F$12</f>
        <v>5017.614</v>
      </c>
      <c r="I61" s="56" t="n">
        <f aca="false">datos_base!$G$9*parametros_manuales!G$12</f>
        <v>5017.614</v>
      </c>
      <c r="J61" s="56" t="n">
        <f aca="false">datos_base!$G$9*parametros_manuales!H$12</f>
        <v>5376.015</v>
      </c>
      <c r="K61" s="56" t="n">
        <f aca="false">datos_base!$G$9*parametros_manuales!I$12</f>
        <v>5376.015</v>
      </c>
      <c r="L61" s="56" t="n">
        <f aca="false">datos_base!$G$9*parametros_manuales!J$12</f>
        <v>5376.015</v>
      </c>
      <c r="M61" s="56" t="n">
        <f aca="false">datos_base!$G$9*parametros_manuales!K$12</f>
        <v>5376.015</v>
      </c>
      <c r="N61" s="56" t="n">
        <f aca="false">datos_base!$G$9*parametros_manuales!L$12</f>
        <v>5376.015</v>
      </c>
      <c r="O61" s="56" t="n">
        <f aca="false">datos_base!$G$9*parametros_manuales!M$12</f>
        <v>8601.624</v>
      </c>
      <c r="P61" s="14" t="n">
        <f aca="false">SUM(D61:O61)</f>
        <v>71680.2</v>
      </c>
    </row>
    <row r="62" customFormat="false" ht="14.25" hidden="false" customHeight="true" outlineLevel="0" collapsed="false">
      <c r="A62" s="55" t="n">
        <v>2031</v>
      </c>
      <c r="B62" s="13" t="s">
        <v>75</v>
      </c>
      <c r="C62" s="13" t="s">
        <v>263</v>
      </c>
      <c r="D62" s="56" t="n">
        <f aca="false">datos_base!$G$10*parametros_manuales!B$13</f>
        <v>283.168</v>
      </c>
      <c r="E62" s="56" t="n">
        <f aca="false">datos_base!$G$10*parametros_manuales!C$13</f>
        <v>226.5344</v>
      </c>
      <c r="F62" s="56" t="n">
        <f aca="false">datos_base!$G$10*parametros_manuales!D$13</f>
        <v>240.6928</v>
      </c>
      <c r="G62" s="56" t="n">
        <f aca="false">datos_base!$G$10*parametros_manuales!E$13</f>
        <v>240.6928</v>
      </c>
      <c r="H62" s="56" t="n">
        <f aca="false">datos_base!$G$10*parametros_manuales!F$13</f>
        <v>226.5344</v>
      </c>
      <c r="I62" s="56" t="n">
        <f aca="false">datos_base!$G$10*parametros_manuales!G$13</f>
        <v>212.376</v>
      </c>
      <c r="J62" s="56" t="n">
        <f aca="false">datos_base!$G$10*parametros_manuales!H$13</f>
        <v>226.5344</v>
      </c>
      <c r="K62" s="56" t="n">
        <f aca="false">datos_base!$G$10*parametros_manuales!I$13</f>
        <v>226.5344</v>
      </c>
      <c r="L62" s="56" t="n">
        <f aca="false">datos_base!$G$10*parametros_manuales!J$13</f>
        <v>226.5344</v>
      </c>
      <c r="M62" s="56" t="n">
        <f aca="false">datos_base!$G$10*parametros_manuales!K$13</f>
        <v>212.376</v>
      </c>
      <c r="N62" s="56" t="n">
        <f aca="false">datos_base!$G$10*parametros_manuales!L$13</f>
        <v>198.2176</v>
      </c>
      <c r="O62" s="56" t="n">
        <f aca="false">datos_base!$G$10*parametros_manuales!M$13</f>
        <v>311.4848</v>
      </c>
      <c r="P62" s="14" t="n">
        <f aca="false">SUM(D62:O62)</f>
        <v>2831.68</v>
      </c>
    </row>
    <row r="63" customFormat="false" ht="14.25" hidden="false" customHeight="true" outlineLevel="0" collapsed="false">
      <c r="A63" s="55" t="n">
        <v>2031</v>
      </c>
      <c r="B63" s="13" t="s">
        <v>76</v>
      </c>
      <c r="C63" s="13" t="s">
        <v>263</v>
      </c>
      <c r="D63" s="56" t="n">
        <f aca="false">datos_base!$G$11*parametros_manuales!B$14</f>
        <v>1400.596</v>
      </c>
      <c r="E63" s="56" t="n">
        <f aca="false">datos_base!$G$11*parametros_manuales!C$14</f>
        <v>1120.4768</v>
      </c>
      <c r="F63" s="56" t="n">
        <f aca="false">datos_base!$G$11*parametros_manuales!D$14</f>
        <v>1190.5066</v>
      </c>
      <c r="G63" s="56" t="n">
        <f aca="false">datos_base!$G$11*parametros_manuales!E$14</f>
        <v>1190.5066</v>
      </c>
      <c r="H63" s="56" t="n">
        <f aca="false">datos_base!$G$11*parametros_manuales!F$14</f>
        <v>1120.4768</v>
      </c>
      <c r="I63" s="56" t="n">
        <f aca="false">datos_base!$G$11*parametros_manuales!G$14</f>
        <v>1050.447</v>
      </c>
      <c r="J63" s="56" t="n">
        <f aca="false">datos_base!$G$11*parametros_manuales!H$14</f>
        <v>1120.4768</v>
      </c>
      <c r="K63" s="56" t="n">
        <f aca="false">datos_base!$G$11*parametros_manuales!I$14</f>
        <v>1120.4768</v>
      </c>
      <c r="L63" s="56" t="n">
        <f aca="false">datos_base!$G$11*parametros_manuales!J$14</f>
        <v>1120.4768</v>
      </c>
      <c r="M63" s="56" t="n">
        <f aca="false">datos_base!$G$11*parametros_manuales!K$14</f>
        <v>1050.447</v>
      </c>
      <c r="N63" s="56" t="n">
        <f aca="false">datos_base!$G$11*parametros_manuales!L$14</f>
        <v>980.4172</v>
      </c>
      <c r="O63" s="56" t="n">
        <f aca="false">datos_base!$G$11*parametros_manuales!M$14</f>
        <v>1540.6556</v>
      </c>
      <c r="P63" s="14" t="n">
        <f aca="false">SUM(D63:O63)</f>
        <v>14005.96</v>
      </c>
    </row>
    <row r="64" customFormat="false" ht="14.25" hidden="false" customHeight="true" outlineLevel="0" collapsed="false">
      <c r="A64" s="55" t="n">
        <v>2031</v>
      </c>
      <c r="B64" s="13" t="s">
        <v>77</v>
      </c>
      <c r="C64" s="13" t="s">
        <v>263</v>
      </c>
      <c r="D64" s="56" t="n">
        <f aca="false">datos_base!$G$12*parametros_manuales!B$15</f>
        <v>85.696</v>
      </c>
      <c r="E64" s="56" t="n">
        <f aca="false">datos_base!$G$12*parametros_manuales!C$15</f>
        <v>68.5568</v>
      </c>
      <c r="F64" s="56" t="n">
        <f aca="false">datos_base!$G$12*parametros_manuales!D$15</f>
        <v>72.8416</v>
      </c>
      <c r="G64" s="56" t="n">
        <f aca="false">datos_base!$G$12*parametros_manuales!E$15</f>
        <v>72.8416</v>
      </c>
      <c r="H64" s="56" t="n">
        <f aca="false">datos_base!$G$12*parametros_manuales!F$15</f>
        <v>68.5568</v>
      </c>
      <c r="I64" s="56" t="n">
        <f aca="false">datos_base!$G$12*parametros_manuales!G$15</f>
        <v>64.272</v>
      </c>
      <c r="J64" s="56" t="n">
        <f aca="false">datos_base!$G$12*parametros_manuales!H$15</f>
        <v>68.5568</v>
      </c>
      <c r="K64" s="56" t="n">
        <f aca="false">datos_base!$G$12*parametros_manuales!I$15</f>
        <v>68.5568</v>
      </c>
      <c r="L64" s="56" t="n">
        <f aca="false">datos_base!$G$12*parametros_manuales!J$15</f>
        <v>68.5568</v>
      </c>
      <c r="M64" s="56" t="n">
        <f aca="false">datos_base!$G$12*parametros_manuales!K$15</f>
        <v>64.272</v>
      </c>
      <c r="N64" s="56" t="n">
        <f aca="false">datos_base!$G$12*parametros_manuales!L$15</f>
        <v>59.9872</v>
      </c>
      <c r="O64" s="56" t="n">
        <f aca="false">datos_base!$G$12*parametros_manuales!M$15</f>
        <v>94.2656</v>
      </c>
      <c r="P64" s="14" t="n">
        <f aca="false">SUM(D64:O64)</f>
        <v>856.96</v>
      </c>
    </row>
    <row r="65" customFormat="false" ht="14.25" hidden="false" customHeight="true" outlineLevel="0" collapsed="false">
      <c r="B65" s="15" t="s">
        <v>264</v>
      </c>
      <c r="D65" s="16" t="n">
        <f aca="false">SUM(D57:D64)</f>
        <v>14129.7342713</v>
      </c>
      <c r="E65" s="16" t="n">
        <f aca="false">SUM(E57:E64)</f>
        <v>10779.98469862</v>
      </c>
      <c r="F65" s="16" t="n">
        <f aca="false">SUM(F57:F64)</f>
        <v>10089.664163065</v>
      </c>
      <c r="G65" s="16" t="n">
        <f aca="false">SUM(G57:G64)</f>
        <v>9653.161897715</v>
      </c>
      <c r="H65" s="16" t="n">
        <f aca="false">SUM(H57:H64)</f>
        <v>9033.97563722</v>
      </c>
      <c r="I65" s="16" t="n">
        <f aca="false">SUM(I57:I64)</f>
        <v>8851.291642075</v>
      </c>
      <c r="J65" s="16" t="n">
        <f aca="false">SUM(J57:J64)</f>
        <v>9470.47790257</v>
      </c>
      <c r="K65" s="16" t="n">
        <f aca="false">SUM(K57:K64)</f>
        <v>9470.47790257</v>
      </c>
      <c r="L65" s="16" t="n">
        <f aca="false">SUM(L57:L64)</f>
        <v>9470.47790257</v>
      </c>
      <c r="M65" s="16" t="n">
        <f aca="false">SUM(M57:M64)</f>
        <v>9287.793907425</v>
      </c>
      <c r="N65" s="16" t="n">
        <f aca="false">SUM(N57:N64)</f>
        <v>9105.10991228</v>
      </c>
      <c r="O65" s="16" t="n">
        <f aca="false">SUM(O57:O64)</f>
        <v>14495.10226159</v>
      </c>
      <c r="P65" s="16" t="n">
        <f aca="false">SUM(P57:P64)</f>
        <v>123837.252099</v>
      </c>
    </row>
    <row r="66" customFormat="false" ht="14.25" hidden="false" customHeight="true" outlineLevel="0" collapsed="false"/>
    <row r="67" customFormat="false" ht="14.25" hidden="false" customHeight="true" outlineLevel="0" collapsed="false">
      <c r="A67" s="12" t="n">
        <v>2032</v>
      </c>
      <c r="B67" s="12" t="s">
        <v>259</v>
      </c>
      <c r="C67" s="12" t="s">
        <v>260</v>
      </c>
      <c r="D67" s="12" t="s">
        <v>37</v>
      </c>
      <c r="E67" s="12" t="s">
        <v>38</v>
      </c>
      <c r="F67" s="12" t="s">
        <v>39</v>
      </c>
      <c r="G67" s="12" t="s">
        <v>40</v>
      </c>
      <c r="H67" s="12" t="s">
        <v>41</v>
      </c>
      <c r="I67" s="12" t="s">
        <v>42</v>
      </c>
      <c r="J67" s="12" t="s">
        <v>43</v>
      </c>
      <c r="K67" s="12" t="s">
        <v>44</v>
      </c>
      <c r="L67" s="12" t="s">
        <v>45</v>
      </c>
      <c r="M67" s="12" t="s">
        <v>46</v>
      </c>
      <c r="N67" s="12" t="s">
        <v>47</v>
      </c>
      <c r="O67" s="12" t="s">
        <v>48</v>
      </c>
      <c r="P67" s="12" t="s">
        <v>261</v>
      </c>
    </row>
    <row r="68" customFormat="false" ht="14.25" hidden="false" customHeight="true" outlineLevel="0" collapsed="false">
      <c r="A68" s="55" t="n">
        <v>2032</v>
      </c>
      <c r="B68" s="13" t="s">
        <v>29</v>
      </c>
      <c r="C68" s="13" t="s">
        <v>262</v>
      </c>
      <c r="D68" s="56" t="n">
        <f aca="false">datos_base!$H$2*parametros_manuales!B$12</f>
        <v>2439.9063912</v>
      </c>
      <c r="E68" s="56" t="n">
        <f aca="false">datos_base!$H$2*parametros_manuales!C$12</f>
        <v>1829.9297934</v>
      </c>
      <c r="F68" s="56" t="n">
        <f aca="false">datos_base!$H$2*parametros_manuales!D$12</f>
        <v>1626.6042608</v>
      </c>
      <c r="G68" s="56" t="n">
        <f aca="false">datos_base!$H$2*parametros_manuales!E$12</f>
        <v>1524.9414945</v>
      </c>
      <c r="H68" s="56" t="n">
        <f aca="false">datos_base!$H$2*parametros_manuales!F$12</f>
        <v>1423.2787282</v>
      </c>
      <c r="I68" s="56" t="n">
        <f aca="false">datos_base!$H$2*parametros_manuales!G$12</f>
        <v>1423.2787282</v>
      </c>
      <c r="J68" s="56" t="n">
        <f aca="false">datos_base!$H$2*parametros_manuales!H$12</f>
        <v>1524.9414945</v>
      </c>
      <c r="K68" s="56" t="n">
        <f aca="false">datos_base!$H$2*parametros_manuales!I$12</f>
        <v>1524.9414945</v>
      </c>
      <c r="L68" s="56" t="n">
        <f aca="false">datos_base!$H$2*parametros_manuales!J$12</f>
        <v>1524.9414945</v>
      </c>
      <c r="M68" s="56" t="n">
        <f aca="false">datos_base!$H$2*parametros_manuales!K$12</f>
        <v>1524.9414945</v>
      </c>
      <c r="N68" s="56" t="n">
        <f aca="false">datos_base!$H$2*parametros_manuales!L$12</f>
        <v>1524.9414945</v>
      </c>
      <c r="O68" s="56" t="n">
        <f aca="false">datos_base!$H$2*parametros_manuales!M$12</f>
        <v>2439.9063912</v>
      </c>
      <c r="P68" s="14" t="n">
        <f aca="false">SUM(D68:O68)</f>
        <v>20332.55326</v>
      </c>
    </row>
    <row r="69" customFormat="false" ht="14.25" hidden="false" customHeight="true" outlineLevel="0" collapsed="false">
      <c r="A69" s="55" t="n">
        <v>2032</v>
      </c>
      <c r="B69" s="13" t="s">
        <v>30</v>
      </c>
      <c r="C69" s="13" t="s">
        <v>262</v>
      </c>
      <c r="D69" s="56" t="n">
        <f aca="false">datos_base!$H$3*parametros_manuales!B$13</f>
        <v>411.6235524</v>
      </c>
      <c r="E69" s="56" t="n">
        <f aca="false">datos_base!$H$3*parametros_manuales!C$13</f>
        <v>329.29884192</v>
      </c>
      <c r="F69" s="56" t="n">
        <f aca="false">datos_base!$H$3*parametros_manuales!D$13</f>
        <v>349.88001954</v>
      </c>
      <c r="G69" s="56" t="n">
        <f aca="false">datos_base!$H$3*parametros_manuales!E$13</f>
        <v>349.88001954</v>
      </c>
      <c r="H69" s="56" t="n">
        <f aca="false">datos_base!$H$3*parametros_manuales!F$13</f>
        <v>329.29884192</v>
      </c>
      <c r="I69" s="56" t="n">
        <f aca="false">datos_base!$H$3*parametros_manuales!G$13</f>
        <v>308.7176643</v>
      </c>
      <c r="J69" s="56" t="n">
        <f aca="false">datos_base!$H$3*parametros_manuales!H$13</f>
        <v>329.29884192</v>
      </c>
      <c r="K69" s="56" t="n">
        <f aca="false">datos_base!$H$3*parametros_manuales!I$13</f>
        <v>329.29884192</v>
      </c>
      <c r="L69" s="56" t="n">
        <f aca="false">datos_base!$H$3*parametros_manuales!J$13</f>
        <v>329.29884192</v>
      </c>
      <c r="M69" s="56" t="n">
        <f aca="false">datos_base!$H$3*parametros_manuales!K$13</f>
        <v>308.7176643</v>
      </c>
      <c r="N69" s="56" t="n">
        <f aca="false">datos_base!$H$3*parametros_manuales!L$13</f>
        <v>288.13648668</v>
      </c>
      <c r="O69" s="56" t="n">
        <f aca="false">datos_base!$H$3*parametros_manuales!M$13</f>
        <v>452.78590764</v>
      </c>
      <c r="P69" s="14" t="n">
        <f aca="false">SUM(D69:O69)</f>
        <v>4116.235524</v>
      </c>
    </row>
    <row r="70" customFormat="false" ht="14.25" hidden="false" customHeight="true" outlineLevel="0" collapsed="false">
      <c r="A70" s="55" t="n">
        <v>2032</v>
      </c>
      <c r="B70" s="13" t="s">
        <v>31</v>
      </c>
      <c r="C70" s="13" t="s">
        <v>262</v>
      </c>
      <c r="D70" s="56" t="n">
        <f aca="false">datos_base!$H$4*parametros_manuales!B$14</f>
        <v>1895.519984</v>
      </c>
      <c r="E70" s="56" t="n">
        <f aca="false">datos_base!$H$4*parametros_manuales!C$14</f>
        <v>1516.4159872</v>
      </c>
      <c r="F70" s="56" t="n">
        <f aca="false">datos_base!$H$4*parametros_manuales!D$14</f>
        <v>1611.1919864</v>
      </c>
      <c r="G70" s="56" t="n">
        <f aca="false">datos_base!$H$4*parametros_manuales!E$14</f>
        <v>1611.1919864</v>
      </c>
      <c r="H70" s="56" t="n">
        <f aca="false">datos_base!$H$4*parametros_manuales!F$14</f>
        <v>1516.4159872</v>
      </c>
      <c r="I70" s="56" t="n">
        <f aca="false">datos_base!$H$4*parametros_manuales!G$14</f>
        <v>1421.639988</v>
      </c>
      <c r="J70" s="56" t="n">
        <f aca="false">datos_base!$H$4*parametros_manuales!H$14</f>
        <v>1516.4159872</v>
      </c>
      <c r="K70" s="56" t="n">
        <f aca="false">datos_base!$H$4*parametros_manuales!I$14</f>
        <v>1516.4159872</v>
      </c>
      <c r="L70" s="56" t="n">
        <f aca="false">datos_base!$H$4*parametros_manuales!J$14</f>
        <v>1516.4159872</v>
      </c>
      <c r="M70" s="56" t="n">
        <f aca="false">datos_base!$H$4*parametros_manuales!K$14</f>
        <v>1421.639988</v>
      </c>
      <c r="N70" s="56" t="n">
        <f aca="false">datos_base!$H$4*parametros_manuales!L$14</f>
        <v>1326.8639888</v>
      </c>
      <c r="O70" s="56" t="n">
        <f aca="false">datos_base!$H$4*parametros_manuales!M$14</f>
        <v>2085.0719824</v>
      </c>
      <c r="P70" s="14" t="n">
        <f aca="false">SUM(D70:O70)</f>
        <v>18955.19984</v>
      </c>
    </row>
    <row r="71" customFormat="false" ht="14.25" hidden="false" customHeight="true" outlineLevel="0" collapsed="false">
      <c r="A71" s="55" t="n">
        <v>2032</v>
      </c>
      <c r="B71" s="13" t="s">
        <v>32</v>
      </c>
      <c r="C71" s="13" t="s">
        <v>262</v>
      </c>
      <c r="D71" s="56" t="n">
        <f aca="false">datos_base!$H$5*parametros_manuales!B$15</f>
        <v>113.1680545</v>
      </c>
      <c r="E71" s="56" t="n">
        <f aca="false">datos_base!$H$5*parametros_manuales!C$15</f>
        <v>90.5344436</v>
      </c>
      <c r="F71" s="56" t="n">
        <f aca="false">datos_base!$H$5*parametros_manuales!D$15</f>
        <v>96.192846325</v>
      </c>
      <c r="G71" s="56" t="n">
        <f aca="false">datos_base!$H$5*parametros_manuales!E$15</f>
        <v>96.192846325</v>
      </c>
      <c r="H71" s="56" t="n">
        <f aca="false">datos_base!$H$5*parametros_manuales!F$15</f>
        <v>90.5344436</v>
      </c>
      <c r="I71" s="56" t="n">
        <f aca="false">datos_base!$H$5*parametros_manuales!G$15</f>
        <v>84.876040875</v>
      </c>
      <c r="J71" s="56" t="n">
        <f aca="false">datos_base!$H$5*parametros_manuales!H$15</f>
        <v>90.5344436</v>
      </c>
      <c r="K71" s="56" t="n">
        <f aca="false">datos_base!$H$5*parametros_manuales!I$15</f>
        <v>90.5344436</v>
      </c>
      <c r="L71" s="56" t="n">
        <f aca="false">datos_base!$H$5*parametros_manuales!J$15</f>
        <v>90.5344436</v>
      </c>
      <c r="M71" s="56" t="n">
        <f aca="false">datos_base!$H$5*parametros_manuales!K$15</f>
        <v>84.876040875</v>
      </c>
      <c r="N71" s="56" t="n">
        <f aca="false">datos_base!$H$5*parametros_manuales!L$15</f>
        <v>79.21763815</v>
      </c>
      <c r="O71" s="56" t="n">
        <f aca="false">datos_base!$H$5*parametros_manuales!M$15</f>
        <v>124.48485995</v>
      </c>
      <c r="P71" s="14" t="n">
        <f aca="false">SUM(D71:O71)</f>
        <v>1131.680545</v>
      </c>
    </row>
    <row r="72" customFormat="false" ht="14.25" hidden="false" customHeight="true" outlineLevel="0" collapsed="false">
      <c r="A72" s="55" t="n">
        <v>2032</v>
      </c>
      <c r="B72" s="13" t="s">
        <v>74</v>
      </c>
      <c r="C72" s="13" t="s">
        <v>263</v>
      </c>
      <c r="D72" s="56" t="n">
        <f aca="false">datos_base!$H$9*parametros_manuales!B$12</f>
        <v>12160.872</v>
      </c>
      <c r="E72" s="56" t="n">
        <f aca="false">datos_base!$H$9*parametros_manuales!C$12</f>
        <v>9120.654</v>
      </c>
      <c r="F72" s="56" t="n">
        <f aca="false">datos_base!$H$9*parametros_manuales!D$12</f>
        <v>8107.248</v>
      </c>
      <c r="G72" s="56" t="n">
        <f aca="false">datos_base!$H$9*parametros_manuales!E$12</f>
        <v>7600.545</v>
      </c>
      <c r="H72" s="56" t="n">
        <f aca="false">datos_base!$H$9*parametros_manuales!F$12</f>
        <v>7093.842</v>
      </c>
      <c r="I72" s="56" t="n">
        <f aca="false">datos_base!$H$9*parametros_manuales!G$12</f>
        <v>7093.842</v>
      </c>
      <c r="J72" s="56" t="n">
        <f aca="false">datos_base!$H$9*parametros_manuales!H$12</f>
        <v>7600.545</v>
      </c>
      <c r="K72" s="56" t="n">
        <f aca="false">datos_base!$H$9*parametros_manuales!I$12</f>
        <v>7600.545</v>
      </c>
      <c r="L72" s="56" t="n">
        <f aca="false">datos_base!$H$9*parametros_manuales!J$12</f>
        <v>7600.545</v>
      </c>
      <c r="M72" s="56" t="n">
        <f aca="false">datos_base!$H$9*parametros_manuales!K$12</f>
        <v>7600.545</v>
      </c>
      <c r="N72" s="56" t="n">
        <f aca="false">datos_base!$H$9*parametros_manuales!L$12</f>
        <v>7600.545</v>
      </c>
      <c r="O72" s="56" t="n">
        <f aca="false">datos_base!$H$9*parametros_manuales!M$12</f>
        <v>12160.872</v>
      </c>
      <c r="P72" s="14" t="n">
        <f aca="false">SUM(D72:O72)</f>
        <v>101340.6</v>
      </c>
    </row>
    <row r="73" customFormat="false" ht="14.25" hidden="false" customHeight="true" outlineLevel="0" collapsed="false">
      <c r="A73" s="55" t="n">
        <v>2032</v>
      </c>
      <c r="B73" s="13" t="s">
        <v>75</v>
      </c>
      <c r="C73" s="13" t="s">
        <v>263</v>
      </c>
      <c r="D73" s="56" t="n">
        <f aca="false">datos_base!$H$10*parametros_manuales!B$13</f>
        <v>398.952</v>
      </c>
      <c r="E73" s="56" t="n">
        <f aca="false">datos_base!$H$10*parametros_manuales!C$13</f>
        <v>319.1616</v>
      </c>
      <c r="F73" s="56" t="n">
        <f aca="false">datos_base!$H$10*parametros_manuales!D$13</f>
        <v>339.1092</v>
      </c>
      <c r="G73" s="56" t="n">
        <f aca="false">datos_base!$H$10*parametros_manuales!E$13</f>
        <v>339.1092</v>
      </c>
      <c r="H73" s="56" t="n">
        <f aca="false">datos_base!$H$10*parametros_manuales!F$13</f>
        <v>319.1616</v>
      </c>
      <c r="I73" s="56" t="n">
        <f aca="false">datos_base!$H$10*parametros_manuales!G$13</f>
        <v>299.214</v>
      </c>
      <c r="J73" s="56" t="n">
        <f aca="false">datos_base!$H$10*parametros_manuales!H$13</f>
        <v>319.1616</v>
      </c>
      <c r="K73" s="56" t="n">
        <f aca="false">datos_base!$H$10*parametros_manuales!I$13</f>
        <v>319.1616</v>
      </c>
      <c r="L73" s="56" t="n">
        <f aca="false">datos_base!$H$10*parametros_manuales!J$13</f>
        <v>319.1616</v>
      </c>
      <c r="M73" s="56" t="n">
        <f aca="false">datos_base!$H$10*parametros_manuales!K$13</f>
        <v>299.214</v>
      </c>
      <c r="N73" s="56" t="n">
        <f aca="false">datos_base!$H$10*parametros_manuales!L$13</f>
        <v>279.2664</v>
      </c>
      <c r="O73" s="56" t="n">
        <f aca="false">datos_base!$H$10*parametros_manuales!M$13</f>
        <v>438.8472</v>
      </c>
      <c r="P73" s="14" t="n">
        <f aca="false">SUM(D73:O73)</f>
        <v>3989.52</v>
      </c>
    </row>
    <row r="74" customFormat="false" ht="14.25" hidden="false" customHeight="true" outlineLevel="0" collapsed="false">
      <c r="A74" s="55" t="n">
        <v>2032</v>
      </c>
      <c r="B74" s="13" t="s">
        <v>76</v>
      </c>
      <c r="C74" s="13" t="s">
        <v>263</v>
      </c>
      <c r="D74" s="56" t="n">
        <f aca="false">datos_base!$H$11*parametros_manuales!B$14</f>
        <v>1970.94</v>
      </c>
      <c r="E74" s="56" t="n">
        <f aca="false">datos_base!$H$11*parametros_manuales!C$14</f>
        <v>1576.752</v>
      </c>
      <c r="F74" s="56" t="n">
        <f aca="false">datos_base!$H$11*parametros_manuales!D$14</f>
        <v>1675.299</v>
      </c>
      <c r="G74" s="56" t="n">
        <f aca="false">datos_base!$H$11*parametros_manuales!E$14</f>
        <v>1675.299</v>
      </c>
      <c r="H74" s="56" t="n">
        <f aca="false">datos_base!$H$11*parametros_manuales!F$14</f>
        <v>1576.752</v>
      </c>
      <c r="I74" s="56" t="n">
        <f aca="false">datos_base!$H$11*parametros_manuales!G$14</f>
        <v>1478.205</v>
      </c>
      <c r="J74" s="56" t="n">
        <f aca="false">datos_base!$H$11*parametros_manuales!H$14</f>
        <v>1576.752</v>
      </c>
      <c r="K74" s="56" t="n">
        <f aca="false">datos_base!$H$11*parametros_manuales!I$14</f>
        <v>1576.752</v>
      </c>
      <c r="L74" s="56" t="n">
        <f aca="false">datos_base!$H$11*parametros_manuales!J$14</f>
        <v>1576.752</v>
      </c>
      <c r="M74" s="56" t="n">
        <f aca="false">datos_base!$H$11*parametros_manuales!K$14</f>
        <v>1478.205</v>
      </c>
      <c r="N74" s="56" t="n">
        <f aca="false">datos_base!$H$11*parametros_manuales!L$14</f>
        <v>1379.658</v>
      </c>
      <c r="O74" s="56" t="n">
        <f aca="false">datos_base!$H$11*parametros_manuales!M$14</f>
        <v>2168.034</v>
      </c>
      <c r="P74" s="14" t="n">
        <f aca="false">SUM(D74:O74)</f>
        <v>19709.4</v>
      </c>
    </row>
    <row r="75" customFormat="false" ht="14.25" hidden="false" customHeight="true" outlineLevel="0" collapsed="false">
      <c r="A75" s="55" t="n">
        <v>2032</v>
      </c>
      <c r="B75" s="13" t="s">
        <v>77</v>
      </c>
      <c r="C75" s="13" t="s">
        <v>263</v>
      </c>
      <c r="D75" s="56" t="n">
        <f aca="false">datos_base!$H$12*parametros_manuales!B$15</f>
        <v>120.428</v>
      </c>
      <c r="E75" s="56" t="n">
        <f aca="false">datos_base!$H$12*parametros_manuales!C$15</f>
        <v>96.3424</v>
      </c>
      <c r="F75" s="56" t="n">
        <f aca="false">datos_base!$H$12*parametros_manuales!D$15</f>
        <v>102.3638</v>
      </c>
      <c r="G75" s="56" t="n">
        <f aca="false">datos_base!$H$12*parametros_manuales!E$15</f>
        <v>102.3638</v>
      </c>
      <c r="H75" s="56" t="n">
        <f aca="false">datos_base!$H$12*parametros_manuales!F$15</f>
        <v>96.3424</v>
      </c>
      <c r="I75" s="56" t="n">
        <f aca="false">datos_base!$H$12*parametros_manuales!G$15</f>
        <v>90.321</v>
      </c>
      <c r="J75" s="56" t="n">
        <f aca="false">datos_base!$H$12*parametros_manuales!H$15</f>
        <v>96.3424</v>
      </c>
      <c r="K75" s="56" t="n">
        <f aca="false">datos_base!$H$12*parametros_manuales!I$15</f>
        <v>96.3424</v>
      </c>
      <c r="L75" s="56" t="n">
        <f aca="false">datos_base!$H$12*parametros_manuales!J$15</f>
        <v>96.3424</v>
      </c>
      <c r="M75" s="56" t="n">
        <f aca="false">datos_base!$H$12*parametros_manuales!K$15</f>
        <v>90.321</v>
      </c>
      <c r="N75" s="56" t="n">
        <f aca="false">datos_base!$H$12*parametros_manuales!L$15</f>
        <v>84.2996</v>
      </c>
      <c r="O75" s="56" t="n">
        <f aca="false">datos_base!$H$12*parametros_manuales!M$15</f>
        <v>132.4708</v>
      </c>
      <c r="P75" s="14" t="n">
        <f aca="false">SUM(D75:O75)</f>
        <v>1204.28</v>
      </c>
    </row>
    <row r="76" customFormat="false" ht="14.25" hidden="false" customHeight="true" outlineLevel="0" collapsed="false">
      <c r="B76" s="15" t="s">
        <v>264</v>
      </c>
      <c r="D76" s="16" t="n">
        <f aca="false">SUM(D68:D75)</f>
        <v>19511.4099821</v>
      </c>
      <c r="E76" s="16" t="n">
        <f aca="false">SUM(E68:E75)</f>
        <v>14879.08906612</v>
      </c>
      <c r="F76" s="16" t="n">
        <f aca="false">SUM(F68:F75)</f>
        <v>13907.889113065</v>
      </c>
      <c r="G76" s="16" t="n">
        <f aca="false">SUM(G68:G75)</f>
        <v>13299.523346765</v>
      </c>
      <c r="H76" s="16" t="n">
        <f aca="false">SUM(H68:H75)</f>
        <v>12445.62600092</v>
      </c>
      <c r="I76" s="16" t="n">
        <f aca="false">SUM(I68:I75)</f>
        <v>12200.094421375</v>
      </c>
      <c r="J76" s="16" t="n">
        <f aca="false">SUM(J68:J75)</f>
        <v>13053.99176722</v>
      </c>
      <c r="K76" s="16" t="n">
        <f aca="false">SUM(K68:K75)</f>
        <v>13053.99176722</v>
      </c>
      <c r="L76" s="16" t="n">
        <f aca="false">SUM(L68:L75)</f>
        <v>13053.99176722</v>
      </c>
      <c r="M76" s="16" t="n">
        <f aca="false">SUM(M68:M75)</f>
        <v>12808.460187675</v>
      </c>
      <c r="N76" s="16" t="n">
        <f aca="false">SUM(N68:N75)</f>
        <v>12562.92860813</v>
      </c>
      <c r="O76" s="16" t="n">
        <f aca="false">SUM(O68:O75)</f>
        <v>20002.47314119</v>
      </c>
      <c r="P76" s="16" t="n">
        <f aca="false">SUM(P68:P75)</f>
        <v>170779.469169</v>
      </c>
    </row>
    <row r="77" customFormat="false" ht="14.25" hidden="false" customHeight="true" outlineLevel="0" collapsed="false"/>
    <row r="78" customFormat="false" ht="14.25" hidden="false" customHeight="true" outlineLevel="0" collapsed="false">
      <c r="A78" s="12" t="n">
        <v>2033</v>
      </c>
      <c r="B78" s="12" t="s">
        <v>259</v>
      </c>
      <c r="C78" s="12" t="s">
        <v>260</v>
      </c>
      <c r="D78" s="12" t="s">
        <v>37</v>
      </c>
      <c r="E78" s="12" t="s">
        <v>38</v>
      </c>
      <c r="F78" s="12" t="s">
        <v>39</v>
      </c>
      <c r="G78" s="12" t="s">
        <v>40</v>
      </c>
      <c r="H78" s="12" t="s">
        <v>41</v>
      </c>
      <c r="I78" s="12" t="s">
        <v>42</v>
      </c>
      <c r="J78" s="12" t="s">
        <v>43</v>
      </c>
      <c r="K78" s="12" t="s">
        <v>44</v>
      </c>
      <c r="L78" s="12" t="s">
        <v>45</v>
      </c>
      <c r="M78" s="12" t="s">
        <v>46</v>
      </c>
      <c r="N78" s="12" t="s">
        <v>47</v>
      </c>
      <c r="O78" s="12" t="s">
        <v>48</v>
      </c>
      <c r="P78" s="12" t="s">
        <v>261</v>
      </c>
    </row>
    <row r="79" customFormat="false" ht="14.25" hidden="false" customHeight="true" outlineLevel="0" collapsed="false">
      <c r="A79" s="55" t="n">
        <v>2033</v>
      </c>
      <c r="B79" s="13" t="s">
        <v>29</v>
      </c>
      <c r="C79" s="13" t="s">
        <v>262</v>
      </c>
      <c r="D79" s="56" t="n">
        <f aca="false">datos_base!$I$2*parametros_manuales!B$12</f>
        <v>3015.8494176</v>
      </c>
      <c r="E79" s="56" t="n">
        <f aca="false">datos_base!$I$2*parametros_manuales!C$12</f>
        <v>2261.8870632</v>
      </c>
      <c r="F79" s="56" t="n">
        <f aca="false">datos_base!$I$2*parametros_manuales!D$12</f>
        <v>2010.5662784</v>
      </c>
      <c r="G79" s="56" t="n">
        <f aca="false">datos_base!$I$2*parametros_manuales!E$12</f>
        <v>1884.905886</v>
      </c>
      <c r="H79" s="56" t="n">
        <f aca="false">datos_base!$I$2*parametros_manuales!F$12</f>
        <v>1759.2454936</v>
      </c>
      <c r="I79" s="56" t="n">
        <f aca="false">datos_base!$I$2*parametros_manuales!G$12</f>
        <v>1759.2454936</v>
      </c>
      <c r="J79" s="56" t="n">
        <f aca="false">datos_base!$I$2*parametros_manuales!H$12</f>
        <v>1884.905886</v>
      </c>
      <c r="K79" s="56" t="n">
        <f aca="false">datos_base!$I$2*parametros_manuales!I$12</f>
        <v>1884.905886</v>
      </c>
      <c r="L79" s="56" t="n">
        <f aca="false">datos_base!$I$2*parametros_manuales!J$12</f>
        <v>1884.905886</v>
      </c>
      <c r="M79" s="56" t="n">
        <f aca="false">datos_base!$I$2*parametros_manuales!K$12</f>
        <v>1884.905886</v>
      </c>
      <c r="N79" s="56" t="n">
        <f aca="false">datos_base!$I$2*parametros_manuales!L$12</f>
        <v>1884.905886</v>
      </c>
      <c r="O79" s="56" t="n">
        <f aca="false">datos_base!$I$2*parametros_manuales!M$12</f>
        <v>3015.8494176</v>
      </c>
      <c r="P79" s="14" t="n">
        <f aca="false">SUM(D79:O79)</f>
        <v>25132.07848</v>
      </c>
    </row>
    <row r="80" customFormat="false" ht="14.25" hidden="false" customHeight="true" outlineLevel="0" collapsed="false">
      <c r="A80" s="55" t="n">
        <v>2033</v>
      </c>
      <c r="B80" s="13" t="s">
        <v>30</v>
      </c>
      <c r="C80" s="13" t="s">
        <v>262</v>
      </c>
      <c r="D80" s="56" t="n">
        <f aca="false">datos_base!$I$3*parametros_manuales!B$13</f>
        <v>511.5026587</v>
      </c>
      <c r="E80" s="56" t="n">
        <f aca="false">datos_base!$I$3*parametros_manuales!C$13</f>
        <v>409.20212696</v>
      </c>
      <c r="F80" s="56" t="n">
        <f aca="false">datos_base!$I$3*parametros_manuales!D$13</f>
        <v>434.777259895</v>
      </c>
      <c r="G80" s="56" t="n">
        <f aca="false">datos_base!$I$3*parametros_manuales!E$13</f>
        <v>434.777259895</v>
      </c>
      <c r="H80" s="56" t="n">
        <f aca="false">datos_base!$I$3*parametros_manuales!F$13</f>
        <v>409.20212696</v>
      </c>
      <c r="I80" s="56" t="n">
        <f aca="false">datos_base!$I$3*parametros_manuales!G$13</f>
        <v>383.626994025</v>
      </c>
      <c r="J80" s="56" t="n">
        <f aca="false">datos_base!$I$3*parametros_manuales!H$13</f>
        <v>409.20212696</v>
      </c>
      <c r="K80" s="56" t="n">
        <f aca="false">datos_base!$I$3*parametros_manuales!I$13</f>
        <v>409.20212696</v>
      </c>
      <c r="L80" s="56" t="n">
        <f aca="false">datos_base!$I$3*parametros_manuales!J$13</f>
        <v>409.20212696</v>
      </c>
      <c r="M80" s="56" t="n">
        <f aca="false">datos_base!$I$3*parametros_manuales!K$13</f>
        <v>383.626994025</v>
      </c>
      <c r="N80" s="56" t="n">
        <f aca="false">datos_base!$I$3*parametros_manuales!L$13</f>
        <v>358.05186109</v>
      </c>
      <c r="O80" s="56" t="n">
        <f aca="false">datos_base!$I$3*parametros_manuales!M$13</f>
        <v>562.65292457</v>
      </c>
      <c r="P80" s="14" t="n">
        <f aca="false">SUM(D80:O80)</f>
        <v>5115.026587</v>
      </c>
    </row>
    <row r="81" customFormat="false" ht="14.25" hidden="false" customHeight="true" outlineLevel="0" collapsed="false">
      <c r="A81" s="55" t="n">
        <v>2033</v>
      </c>
      <c r="B81" s="13" t="s">
        <v>31</v>
      </c>
      <c r="C81" s="13" t="s">
        <v>262</v>
      </c>
      <c r="D81" s="56" t="n">
        <f aca="false">datos_base!$I$4*parametros_manuales!B$14</f>
        <v>2343.394637</v>
      </c>
      <c r="E81" s="56" t="n">
        <f aca="false">datos_base!$I$4*parametros_manuales!C$14</f>
        <v>1874.7157096</v>
      </c>
      <c r="F81" s="56" t="n">
        <f aca="false">datos_base!$I$4*parametros_manuales!D$14</f>
        <v>1991.88544145</v>
      </c>
      <c r="G81" s="56" t="n">
        <f aca="false">datos_base!$I$4*parametros_manuales!E$14</f>
        <v>1991.88544145</v>
      </c>
      <c r="H81" s="56" t="n">
        <f aca="false">datos_base!$I$4*parametros_manuales!F$14</f>
        <v>1874.7157096</v>
      </c>
      <c r="I81" s="56" t="n">
        <f aca="false">datos_base!$I$4*parametros_manuales!G$14</f>
        <v>1757.54597775</v>
      </c>
      <c r="J81" s="56" t="n">
        <f aca="false">datos_base!$I$4*parametros_manuales!H$14</f>
        <v>1874.7157096</v>
      </c>
      <c r="K81" s="56" t="n">
        <f aca="false">datos_base!$I$4*parametros_manuales!I$14</f>
        <v>1874.7157096</v>
      </c>
      <c r="L81" s="56" t="n">
        <f aca="false">datos_base!$I$4*parametros_manuales!J$14</f>
        <v>1874.7157096</v>
      </c>
      <c r="M81" s="56" t="n">
        <f aca="false">datos_base!$I$4*parametros_manuales!K$14</f>
        <v>1757.54597775</v>
      </c>
      <c r="N81" s="56" t="n">
        <f aca="false">datos_base!$I$4*parametros_manuales!L$14</f>
        <v>1640.3762459</v>
      </c>
      <c r="O81" s="56" t="n">
        <f aca="false">datos_base!$I$4*parametros_manuales!M$14</f>
        <v>2577.7341007</v>
      </c>
      <c r="P81" s="14" t="n">
        <f aca="false">SUM(D81:O81)</f>
        <v>23433.94637</v>
      </c>
    </row>
    <row r="82" customFormat="false" ht="14.25" hidden="false" customHeight="true" outlineLevel="0" collapsed="false">
      <c r="A82" s="55" t="n">
        <v>2033</v>
      </c>
      <c r="B82" s="13" t="s">
        <v>32</v>
      </c>
      <c r="C82" s="13" t="s">
        <v>262</v>
      </c>
      <c r="D82" s="56" t="n">
        <f aca="false">datos_base!$I$5*parametros_manuales!B$15</f>
        <v>139.9204812</v>
      </c>
      <c r="E82" s="56" t="n">
        <f aca="false">datos_base!$I$5*parametros_manuales!C$15</f>
        <v>111.93638496</v>
      </c>
      <c r="F82" s="56" t="n">
        <f aca="false">datos_base!$I$5*parametros_manuales!D$15</f>
        <v>118.93240902</v>
      </c>
      <c r="G82" s="56" t="n">
        <f aca="false">datos_base!$I$5*parametros_manuales!E$15</f>
        <v>118.93240902</v>
      </c>
      <c r="H82" s="56" t="n">
        <f aca="false">datos_base!$I$5*parametros_manuales!F$15</f>
        <v>111.93638496</v>
      </c>
      <c r="I82" s="56" t="n">
        <f aca="false">datos_base!$I$5*parametros_manuales!G$15</f>
        <v>104.9403609</v>
      </c>
      <c r="J82" s="56" t="n">
        <f aca="false">datos_base!$I$5*parametros_manuales!H$15</f>
        <v>111.93638496</v>
      </c>
      <c r="K82" s="56" t="n">
        <f aca="false">datos_base!$I$5*parametros_manuales!I$15</f>
        <v>111.93638496</v>
      </c>
      <c r="L82" s="56" t="n">
        <f aca="false">datos_base!$I$5*parametros_manuales!J$15</f>
        <v>111.93638496</v>
      </c>
      <c r="M82" s="56" t="n">
        <f aca="false">datos_base!$I$5*parametros_manuales!K$15</f>
        <v>104.9403609</v>
      </c>
      <c r="N82" s="56" t="n">
        <f aca="false">datos_base!$I$5*parametros_manuales!L$15</f>
        <v>97.94433684</v>
      </c>
      <c r="O82" s="56" t="n">
        <f aca="false">datos_base!$I$5*parametros_manuales!M$15</f>
        <v>153.91252932</v>
      </c>
      <c r="P82" s="14" t="n">
        <f aca="false">SUM(D82:O82)</f>
        <v>1399.204812</v>
      </c>
    </row>
    <row r="83" customFormat="false" ht="14.25" hidden="false" customHeight="true" outlineLevel="0" collapsed="false">
      <c r="A83" s="55" t="n">
        <v>2033</v>
      </c>
      <c r="B83" s="13" t="s">
        <v>74</v>
      </c>
      <c r="C83" s="13" t="s">
        <v>263</v>
      </c>
      <c r="D83" s="56" t="n">
        <f aca="false">datos_base!$I$9*parametros_manuales!B$12</f>
        <v>15720.12</v>
      </c>
      <c r="E83" s="56" t="n">
        <f aca="false">datos_base!$I$9*parametros_manuales!C$12</f>
        <v>11790.09</v>
      </c>
      <c r="F83" s="56" t="n">
        <f aca="false">datos_base!$I$9*parametros_manuales!D$12</f>
        <v>10480.08</v>
      </c>
      <c r="G83" s="56" t="n">
        <f aca="false">datos_base!$I$9*parametros_manuales!E$12</f>
        <v>9825.075</v>
      </c>
      <c r="H83" s="56" t="n">
        <f aca="false">datos_base!$I$9*parametros_manuales!F$12</f>
        <v>9170.07</v>
      </c>
      <c r="I83" s="56" t="n">
        <f aca="false">datos_base!$I$9*parametros_manuales!G$12</f>
        <v>9170.07</v>
      </c>
      <c r="J83" s="56" t="n">
        <f aca="false">datos_base!$I$9*parametros_manuales!H$12</f>
        <v>9825.075</v>
      </c>
      <c r="K83" s="56" t="n">
        <f aca="false">datos_base!$I$9*parametros_manuales!I$12</f>
        <v>9825.075</v>
      </c>
      <c r="L83" s="56" t="n">
        <f aca="false">datos_base!$I$9*parametros_manuales!J$12</f>
        <v>9825.075</v>
      </c>
      <c r="M83" s="56" t="n">
        <f aca="false">datos_base!$I$9*parametros_manuales!K$12</f>
        <v>9825.075</v>
      </c>
      <c r="N83" s="56" t="n">
        <f aca="false">datos_base!$I$9*parametros_manuales!L$12</f>
        <v>9825.075</v>
      </c>
      <c r="O83" s="56" t="n">
        <f aca="false">datos_base!$I$9*parametros_manuales!M$12</f>
        <v>15720.12</v>
      </c>
      <c r="P83" s="14" t="n">
        <f aca="false">SUM(D83:O83)</f>
        <v>131001</v>
      </c>
    </row>
    <row r="84" customFormat="false" ht="14.25" hidden="false" customHeight="true" outlineLevel="0" collapsed="false">
      <c r="A84" s="55" t="n">
        <v>2033</v>
      </c>
      <c r="B84" s="13" t="s">
        <v>75</v>
      </c>
      <c r="C84" s="13" t="s">
        <v>263</v>
      </c>
      <c r="D84" s="56" t="n">
        <f aca="false">datos_base!$I$10*parametros_manuales!B$13</f>
        <v>514.404</v>
      </c>
      <c r="E84" s="56" t="n">
        <f aca="false">datos_base!$I$10*parametros_manuales!C$13</f>
        <v>411.5232</v>
      </c>
      <c r="F84" s="56" t="n">
        <f aca="false">datos_base!$I$10*parametros_manuales!D$13</f>
        <v>437.2434</v>
      </c>
      <c r="G84" s="56" t="n">
        <f aca="false">datos_base!$I$10*parametros_manuales!E$13</f>
        <v>437.2434</v>
      </c>
      <c r="H84" s="56" t="n">
        <f aca="false">datos_base!$I$10*parametros_manuales!F$13</f>
        <v>411.5232</v>
      </c>
      <c r="I84" s="56" t="n">
        <f aca="false">datos_base!$I$10*parametros_manuales!G$13</f>
        <v>385.803</v>
      </c>
      <c r="J84" s="56" t="n">
        <f aca="false">datos_base!$I$10*parametros_manuales!H$13</f>
        <v>411.5232</v>
      </c>
      <c r="K84" s="56" t="n">
        <f aca="false">datos_base!$I$10*parametros_manuales!I$13</f>
        <v>411.5232</v>
      </c>
      <c r="L84" s="56" t="n">
        <f aca="false">datos_base!$I$10*parametros_manuales!J$13</f>
        <v>411.5232</v>
      </c>
      <c r="M84" s="56" t="n">
        <f aca="false">datos_base!$I$10*parametros_manuales!K$13</f>
        <v>385.803</v>
      </c>
      <c r="N84" s="56" t="n">
        <f aca="false">datos_base!$I$10*parametros_manuales!L$13</f>
        <v>360.0828</v>
      </c>
      <c r="O84" s="56" t="n">
        <f aca="false">datos_base!$I$10*parametros_manuales!M$13</f>
        <v>565.8444</v>
      </c>
      <c r="P84" s="14" t="n">
        <f aca="false">SUM(D84:O84)</f>
        <v>5144.04</v>
      </c>
    </row>
    <row r="85" customFormat="false" ht="14.25" hidden="false" customHeight="true" outlineLevel="0" collapsed="false">
      <c r="A85" s="55" t="n">
        <v>2033</v>
      </c>
      <c r="B85" s="13" t="s">
        <v>76</v>
      </c>
      <c r="C85" s="13" t="s">
        <v>263</v>
      </c>
      <c r="D85" s="56" t="n">
        <f aca="false">datos_base!$I$11*parametros_manuales!B$14</f>
        <v>2540.828</v>
      </c>
      <c r="E85" s="56" t="n">
        <f aca="false">datos_base!$I$11*parametros_manuales!C$14</f>
        <v>2032.6624</v>
      </c>
      <c r="F85" s="56" t="n">
        <f aca="false">datos_base!$I$11*parametros_manuales!D$14</f>
        <v>2159.7038</v>
      </c>
      <c r="G85" s="56" t="n">
        <f aca="false">datos_base!$I$11*parametros_manuales!E$14</f>
        <v>2159.7038</v>
      </c>
      <c r="H85" s="56" t="n">
        <f aca="false">datos_base!$I$11*parametros_manuales!F$14</f>
        <v>2032.6624</v>
      </c>
      <c r="I85" s="56" t="n">
        <f aca="false">datos_base!$I$11*parametros_manuales!G$14</f>
        <v>1905.621</v>
      </c>
      <c r="J85" s="56" t="n">
        <f aca="false">datos_base!$I$11*parametros_manuales!H$14</f>
        <v>2032.6624</v>
      </c>
      <c r="K85" s="56" t="n">
        <f aca="false">datos_base!$I$11*parametros_manuales!I$14</f>
        <v>2032.6624</v>
      </c>
      <c r="L85" s="56" t="n">
        <f aca="false">datos_base!$I$11*parametros_manuales!J$14</f>
        <v>2032.6624</v>
      </c>
      <c r="M85" s="56" t="n">
        <f aca="false">datos_base!$I$11*parametros_manuales!K$14</f>
        <v>1905.621</v>
      </c>
      <c r="N85" s="56" t="n">
        <f aca="false">datos_base!$I$11*parametros_manuales!L$14</f>
        <v>1778.5796</v>
      </c>
      <c r="O85" s="56" t="n">
        <f aca="false">datos_base!$I$11*parametros_manuales!M$14</f>
        <v>2794.9108</v>
      </c>
      <c r="P85" s="14" t="n">
        <f aca="false">SUM(D85:O85)</f>
        <v>25408.28</v>
      </c>
    </row>
    <row r="86" customFormat="false" ht="14.25" hidden="false" customHeight="true" outlineLevel="0" collapsed="false">
      <c r="A86" s="55" t="n">
        <v>2033</v>
      </c>
      <c r="B86" s="13" t="s">
        <v>77</v>
      </c>
      <c r="C86" s="13" t="s">
        <v>263</v>
      </c>
      <c r="D86" s="56" t="n">
        <f aca="false">datos_base!$I$12*parametros_manuales!B$15</f>
        <v>155.236</v>
      </c>
      <c r="E86" s="56" t="n">
        <f aca="false">datos_base!$I$12*parametros_manuales!C$15</f>
        <v>124.1888</v>
      </c>
      <c r="F86" s="56" t="n">
        <f aca="false">datos_base!$I$12*parametros_manuales!D$15</f>
        <v>131.9506</v>
      </c>
      <c r="G86" s="56" t="n">
        <f aca="false">datos_base!$I$12*parametros_manuales!E$15</f>
        <v>131.9506</v>
      </c>
      <c r="H86" s="56" t="n">
        <f aca="false">datos_base!$I$12*parametros_manuales!F$15</f>
        <v>124.1888</v>
      </c>
      <c r="I86" s="56" t="n">
        <f aca="false">datos_base!$I$12*parametros_manuales!G$15</f>
        <v>116.427</v>
      </c>
      <c r="J86" s="56" t="n">
        <f aca="false">datos_base!$I$12*parametros_manuales!H$15</f>
        <v>124.1888</v>
      </c>
      <c r="K86" s="56" t="n">
        <f aca="false">datos_base!$I$12*parametros_manuales!I$15</f>
        <v>124.1888</v>
      </c>
      <c r="L86" s="56" t="n">
        <f aca="false">datos_base!$I$12*parametros_manuales!J$15</f>
        <v>124.1888</v>
      </c>
      <c r="M86" s="56" t="n">
        <f aca="false">datos_base!$I$12*parametros_manuales!K$15</f>
        <v>116.427</v>
      </c>
      <c r="N86" s="56" t="n">
        <f aca="false">datos_base!$I$12*parametros_manuales!L$15</f>
        <v>108.6652</v>
      </c>
      <c r="O86" s="56" t="n">
        <f aca="false">datos_base!$I$12*parametros_manuales!M$15</f>
        <v>170.7596</v>
      </c>
      <c r="P86" s="14" t="n">
        <f aca="false">SUM(D86:O86)</f>
        <v>1552.36</v>
      </c>
    </row>
    <row r="87" customFormat="false" ht="14.25" hidden="false" customHeight="true" outlineLevel="0" collapsed="false">
      <c r="B87" s="15" t="s">
        <v>264</v>
      </c>
      <c r="D87" s="16" t="n">
        <f aca="false">SUM(D79:D86)</f>
        <v>24941.2551945</v>
      </c>
      <c r="E87" s="16" t="n">
        <f aca="false">SUM(E79:E86)</f>
        <v>19016.20568472</v>
      </c>
      <c r="F87" s="16" t="n">
        <f aca="false">SUM(F79:F86)</f>
        <v>17765.139188765</v>
      </c>
      <c r="G87" s="16" t="n">
        <f aca="false">SUM(G79:G86)</f>
        <v>16984.473796365</v>
      </c>
      <c r="H87" s="16" t="n">
        <f aca="false">SUM(H79:H86)</f>
        <v>15893.54411512</v>
      </c>
      <c r="I87" s="16" t="n">
        <f aca="false">SUM(I79:I86)</f>
        <v>15583.279826275</v>
      </c>
      <c r="J87" s="16" t="n">
        <f aca="false">SUM(J79:J86)</f>
        <v>16674.20950752</v>
      </c>
      <c r="K87" s="16" t="n">
        <f aca="false">SUM(K79:K86)</f>
        <v>16674.20950752</v>
      </c>
      <c r="L87" s="16" t="n">
        <f aca="false">SUM(L79:L86)</f>
        <v>16674.20950752</v>
      </c>
      <c r="M87" s="16" t="n">
        <f aca="false">SUM(M79:M86)</f>
        <v>16363.945218675</v>
      </c>
      <c r="N87" s="16" t="n">
        <f aca="false">SUM(N79:N86)</f>
        <v>16053.68092983</v>
      </c>
      <c r="O87" s="16" t="n">
        <f aca="false">SUM(O79:O86)</f>
        <v>25561.78377219</v>
      </c>
      <c r="P87" s="16" t="n">
        <f aca="false">SUM(P79:P86)</f>
        <v>218185.936249</v>
      </c>
    </row>
    <row r="88" customFormat="false" ht="14.25" hidden="false" customHeight="true" outlineLevel="0" collapsed="false"/>
    <row r="89" customFormat="false" ht="14.25" hidden="false" customHeight="true" outlineLevel="0" collapsed="false">
      <c r="A89" s="12" t="n">
        <v>2034</v>
      </c>
      <c r="B89" s="12" t="s">
        <v>259</v>
      </c>
      <c r="C89" s="12" t="s">
        <v>260</v>
      </c>
      <c r="D89" s="12" t="s">
        <v>37</v>
      </c>
      <c r="E89" s="12" t="s">
        <v>38</v>
      </c>
      <c r="F89" s="12" t="s">
        <v>39</v>
      </c>
      <c r="G89" s="12" t="s">
        <v>40</v>
      </c>
      <c r="H89" s="12" t="s">
        <v>41</v>
      </c>
      <c r="I89" s="12" t="s">
        <v>42</v>
      </c>
      <c r="J89" s="12" t="s">
        <v>43</v>
      </c>
      <c r="K89" s="12" t="s">
        <v>44</v>
      </c>
      <c r="L89" s="12" t="s">
        <v>45</v>
      </c>
      <c r="M89" s="12" t="s">
        <v>46</v>
      </c>
      <c r="N89" s="12" t="s">
        <v>47</v>
      </c>
      <c r="O89" s="12" t="s">
        <v>48</v>
      </c>
      <c r="P89" s="12" t="s">
        <v>261</v>
      </c>
    </row>
    <row r="90" customFormat="false" ht="14.25" hidden="false" customHeight="true" outlineLevel="0" collapsed="false">
      <c r="A90" s="55" t="n">
        <v>2034</v>
      </c>
      <c r="B90" s="13" t="s">
        <v>29</v>
      </c>
      <c r="C90" s="13" t="s">
        <v>262</v>
      </c>
      <c r="D90" s="56" t="n">
        <f aca="false">datos_base!$J$2*parametros_manuales!B$12</f>
        <v>3428.8003368</v>
      </c>
      <c r="E90" s="56" t="n">
        <f aca="false">datos_base!$J$2*parametros_manuales!C$12</f>
        <v>2571.6002526</v>
      </c>
      <c r="F90" s="56" t="n">
        <f aca="false">datos_base!$J$2*parametros_manuales!D$12</f>
        <v>2285.8668912</v>
      </c>
      <c r="G90" s="56" t="n">
        <f aca="false">datos_base!$J$2*parametros_manuales!E$12</f>
        <v>2143.0002105</v>
      </c>
      <c r="H90" s="56" t="n">
        <f aca="false">datos_base!$J$2*parametros_manuales!F$12</f>
        <v>2000.1335298</v>
      </c>
      <c r="I90" s="56" t="n">
        <f aca="false">datos_base!$J$2*parametros_manuales!G$12</f>
        <v>2000.1335298</v>
      </c>
      <c r="J90" s="56" t="n">
        <f aca="false">datos_base!$J$2*parametros_manuales!H$12</f>
        <v>2143.0002105</v>
      </c>
      <c r="K90" s="56" t="n">
        <f aca="false">datos_base!$J$2*parametros_manuales!I$12</f>
        <v>2143.0002105</v>
      </c>
      <c r="L90" s="56" t="n">
        <f aca="false">datos_base!$J$2*parametros_manuales!J$12</f>
        <v>2143.0002105</v>
      </c>
      <c r="M90" s="56" t="n">
        <f aca="false">datos_base!$J$2*parametros_manuales!K$12</f>
        <v>2143.0002105</v>
      </c>
      <c r="N90" s="56" t="n">
        <f aca="false">datos_base!$J$2*parametros_manuales!L$12</f>
        <v>2143.0002105</v>
      </c>
      <c r="O90" s="56" t="n">
        <f aca="false">datos_base!$J$2*parametros_manuales!M$12</f>
        <v>3428.8003368</v>
      </c>
      <c r="P90" s="14" t="n">
        <f aca="false">SUM(D90:O90)</f>
        <v>28573.33614</v>
      </c>
    </row>
    <row r="91" customFormat="false" ht="14.25" hidden="false" customHeight="true" outlineLevel="0" collapsed="false">
      <c r="A91" s="55" t="n">
        <v>2034</v>
      </c>
      <c r="B91" s="13" t="s">
        <v>30</v>
      </c>
      <c r="C91" s="13" t="s">
        <v>262</v>
      </c>
      <c r="D91" s="56" t="n">
        <f aca="false">datos_base!$J$3*parametros_manuales!B$13</f>
        <v>620.5386243</v>
      </c>
      <c r="E91" s="56" t="n">
        <f aca="false">datos_base!$J$3*parametros_manuales!C$13</f>
        <v>496.43089944</v>
      </c>
      <c r="F91" s="56" t="n">
        <f aca="false">datos_base!$J$3*parametros_manuales!D$13</f>
        <v>527.457830655</v>
      </c>
      <c r="G91" s="56" t="n">
        <f aca="false">datos_base!$J$3*parametros_manuales!E$13</f>
        <v>527.457830655</v>
      </c>
      <c r="H91" s="56" t="n">
        <f aca="false">datos_base!$J$3*parametros_manuales!F$13</f>
        <v>496.43089944</v>
      </c>
      <c r="I91" s="56" t="n">
        <f aca="false">datos_base!$J$3*parametros_manuales!G$13</f>
        <v>465.403968225</v>
      </c>
      <c r="J91" s="56" t="n">
        <f aca="false">datos_base!$J$3*parametros_manuales!H$13</f>
        <v>496.43089944</v>
      </c>
      <c r="K91" s="56" t="n">
        <f aca="false">datos_base!$J$3*parametros_manuales!I$13</f>
        <v>496.43089944</v>
      </c>
      <c r="L91" s="56" t="n">
        <f aca="false">datos_base!$J$3*parametros_manuales!J$13</f>
        <v>496.43089944</v>
      </c>
      <c r="M91" s="56" t="n">
        <f aca="false">datos_base!$J$3*parametros_manuales!K$13</f>
        <v>465.403968225</v>
      </c>
      <c r="N91" s="56" t="n">
        <f aca="false">datos_base!$J$3*parametros_manuales!L$13</f>
        <v>434.37703701</v>
      </c>
      <c r="O91" s="56" t="n">
        <f aca="false">datos_base!$J$3*parametros_manuales!M$13</f>
        <v>682.59248673</v>
      </c>
      <c r="P91" s="14" t="n">
        <f aca="false">SUM(D91:O91)</f>
        <v>6205.386243</v>
      </c>
    </row>
    <row r="92" customFormat="false" ht="14.25" hidden="false" customHeight="true" outlineLevel="0" collapsed="false">
      <c r="A92" s="55" t="n">
        <v>2034</v>
      </c>
      <c r="B92" s="13" t="s">
        <v>31</v>
      </c>
      <c r="C92" s="13" t="s">
        <v>262</v>
      </c>
      <c r="D92" s="56" t="n">
        <f aca="false">datos_base!$J$4*parametros_manuales!B$14</f>
        <v>2702.852455</v>
      </c>
      <c r="E92" s="56" t="n">
        <f aca="false">datos_base!$J$4*parametros_manuales!C$14</f>
        <v>2162.281964</v>
      </c>
      <c r="F92" s="56" t="n">
        <f aca="false">datos_base!$J$4*parametros_manuales!D$14</f>
        <v>2297.42458675</v>
      </c>
      <c r="G92" s="56" t="n">
        <f aca="false">datos_base!$J$4*parametros_manuales!E$14</f>
        <v>2297.42458675</v>
      </c>
      <c r="H92" s="56" t="n">
        <f aca="false">datos_base!$J$4*parametros_manuales!F$14</f>
        <v>2162.281964</v>
      </c>
      <c r="I92" s="56" t="n">
        <f aca="false">datos_base!$J$4*parametros_manuales!G$14</f>
        <v>2027.13934125</v>
      </c>
      <c r="J92" s="56" t="n">
        <f aca="false">datos_base!$J$4*parametros_manuales!H$14</f>
        <v>2162.281964</v>
      </c>
      <c r="K92" s="56" t="n">
        <f aca="false">datos_base!$J$4*parametros_manuales!I$14</f>
        <v>2162.281964</v>
      </c>
      <c r="L92" s="56" t="n">
        <f aca="false">datos_base!$J$4*parametros_manuales!J$14</f>
        <v>2162.281964</v>
      </c>
      <c r="M92" s="56" t="n">
        <f aca="false">datos_base!$J$4*parametros_manuales!K$14</f>
        <v>2027.13934125</v>
      </c>
      <c r="N92" s="56" t="n">
        <f aca="false">datos_base!$J$4*parametros_manuales!L$14</f>
        <v>1891.9967185</v>
      </c>
      <c r="O92" s="56" t="n">
        <f aca="false">datos_base!$J$4*parametros_manuales!M$14</f>
        <v>2973.1377005</v>
      </c>
      <c r="P92" s="14" t="n">
        <f aca="false">SUM(D92:O92)</f>
        <v>27028.52455</v>
      </c>
    </row>
    <row r="93" customFormat="false" ht="14.25" hidden="false" customHeight="true" outlineLevel="0" collapsed="false">
      <c r="A93" s="55" t="n">
        <v>2034</v>
      </c>
      <c r="B93" s="13" t="s">
        <v>32</v>
      </c>
      <c r="C93" s="13" t="s">
        <v>262</v>
      </c>
      <c r="D93" s="56" t="n">
        <f aca="false">datos_base!$J$5*parametros_manuales!B$15</f>
        <v>161.6270054</v>
      </c>
      <c r="E93" s="56" t="n">
        <f aca="false">datos_base!$J$5*parametros_manuales!C$15</f>
        <v>129.30160432</v>
      </c>
      <c r="F93" s="56" t="n">
        <f aca="false">datos_base!$J$5*parametros_manuales!D$15</f>
        <v>137.38295459</v>
      </c>
      <c r="G93" s="56" t="n">
        <f aca="false">datos_base!$J$5*parametros_manuales!E$15</f>
        <v>137.38295459</v>
      </c>
      <c r="H93" s="56" t="n">
        <f aca="false">datos_base!$J$5*parametros_manuales!F$15</f>
        <v>129.30160432</v>
      </c>
      <c r="I93" s="56" t="n">
        <f aca="false">datos_base!$J$5*parametros_manuales!G$15</f>
        <v>121.22025405</v>
      </c>
      <c r="J93" s="56" t="n">
        <f aca="false">datos_base!$J$5*parametros_manuales!H$15</f>
        <v>129.30160432</v>
      </c>
      <c r="K93" s="56" t="n">
        <f aca="false">datos_base!$J$5*parametros_manuales!I$15</f>
        <v>129.30160432</v>
      </c>
      <c r="L93" s="56" t="n">
        <f aca="false">datos_base!$J$5*parametros_manuales!J$15</f>
        <v>129.30160432</v>
      </c>
      <c r="M93" s="56" t="n">
        <f aca="false">datos_base!$J$5*parametros_manuales!K$15</f>
        <v>121.22025405</v>
      </c>
      <c r="N93" s="56" t="n">
        <f aca="false">datos_base!$J$5*parametros_manuales!L$15</f>
        <v>113.13890378</v>
      </c>
      <c r="O93" s="56" t="n">
        <f aca="false">datos_base!$J$5*parametros_manuales!M$15</f>
        <v>177.78970594</v>
      </c>
      <c r="P93" s="14" t="n">
        <f aca="false">SUM(D93:O93)</f>
        <v>1616.270054</v>
      </c>
    </row>
    <row r="94" customFormat="false" ht="14.25" hidden="false" customHeight="true" outlineLevel="0" collapsed="false">
      <c r="A94" s="55" t="n">
        <v>2034</v>
      </c>
      <c r="B94" s="13" t="s">
        <v>74</v>
      </c>
      <c r="C94" s="13" t="s">
        <v>263</v>
      </c>
      <c r="D94" s="56" t="n">
        <f aca="false">datos_base!$J$9*parametros_manuales!B$12</f>
        <v>17618.376</v>
      </c>
      <c r="E94" s="56" t="n">
        <f aca="false">datos_base!$J$9*parametros_manuales!C$12</f>
        <v>13213.782</v>
      </c>
      <c r="F94" s="56" t="n">
        <f aca="false">datos_base!$J$9*parametros_manuales!D$12</f>
        <v>11745.584</v>
      </c>
      <c r="G94" s="56" t="n">
        <f aca="false">datos_base!$J$9*parametros_manuales!E$12</f>
        <v>11011.485</v>
      </c>
      <c r="H94" s="56" t="n">
        <f aca="false">datos_base!$J$9*parametros_manuales!F$12</f>
        <v>10277.386</v>
      </c>
      <c r="I94" s="56" t="n">
        <f aca="false">datos_base!$J$9*parametros_manuales!G$12</f>
        <v>10277.386</v>
      </c>
      <c r="J94" s="56" t="n">
        <f aca="false">datos_base!$J$9*parametros_manuales!H$12</f>
        <v>11011.485</v>
      </c>
      <c r="K94" s="56" t="n">
        <f aca="false">datos_base!$J$9*parametros_manuales!I$12</f>
        <v>11011.485</v>
      </c>
      <c r="L94" s="56" t="n">
        <f aca="false">datos_base!$J$9*parametros_manuales!J$12</f>
        <v>11011.485</v>
      </c>
      <c r="M94" s="56" t="n">
        <f aca="false">datos_base!$J$9*parametros_manuales!K$12</f>
        <v>11011.485</v>
      </c>
      <c r="N94" s="56" t="n">
        <f aca="false">datos_base!$J$9*parametros_manuales!L$12</f>
        <v>11011.485</v>
      </c>
      <c r="O94" s="56" t="n">
        <f aca="false">datos_base!$J$9*parametros_manuales!M$12</f>
        <v>17618.376</v>
      </c>
      <c r="P94" s="14" t="n">
        <f aca="false">SUM(D94:O94)</f>
        <v>146819.8</v>
      </c>
    </row>
    <row r="95" customFormat="false" ht="14.25" hidden="false" customHeight="true" outlineLevel="0" collapsed="false">
      <c r="A95" s="55" t="n">
        <v>2034</v>
      </c>
      <c r="B95" s="13" t="s">
        <v>75</v>
      </c>
      <c r="C95" s="13" t="s">
        <v>263</v>
      </c>
      <c r="D95" s="56" t="n">
        <f aca="false">datos_base!$J$10*parametros_manuales!B$13</f>
        <v>576.24</v>
      </c>
      <c r="E95" s="56" t="n">
        <f aca="false">datos_base!$J$10*parametros_manuales!C$13</f>
        <v>460.992</v>
      </c>
      <c r="F95" s="56" t="n">
        <f aca="false">datos_base!$J$10*parametros_manuales!D$13</f>
        <v>489.804</v>
      </c>
      <c r="G95" s="56" t="n">
        <f aca="false">datos_base!$J$10*parametros_manuales!E$13</f>
        <v>489.804</v>
      </c>
      <c r="H95" s="56" t="n">
        <f aca="false">datos_base!$J$10*parametros_manuales!F$13</f>
        <v>460.992</v>
      </c>
      <c r="I95" s="56" t="n">
        <f aca="false">datos_base!$J$10*parametros_manuales!G$13</f>
        <v>432.18</v>
      </c>
      <c r="J95" s="56" t="n">
        <f aca="false">datos_base!$J$10*parametros_manuales!H$13</f>
        <v>460.992</v>
      </c>
      <c r="K95" s="56" t="n">
        <f aca="false">datos_base!$J$10*parametros_manuales!I$13</f>
        <v>460.992</v>
      </c>
      <c r="L95" s="56" t="n">
        <f aca="false">datos_base!$J$10*parametros_manuales!J$13</f>
        <v>460.992</v>
      </c>
      <c r="M95" s="56" t="n">
        <f aca="false">datos_base!$J$10*parametros_manuales!K$13</f>
        <v>432.18</v>
      </c>
      <c r="N95" s="56" t="n">
        <f aca="false">datos_base!$J$10*parametros_manuales!L$13</f>
        <v>403.368</v>
      </c>
      <c r="O95" s="56" t="n">
        <f aca="false">datos_base!$J$10*parametros_manuales!M$13</f>
        <v>633.864</v>
      </c>
      <c r="P95" s="14" t="n">
        <f aca="false">SUM(D95:O95)</f>
        <v>5762.4</v>
      </c>
    </row>
    <row r="96" customFormat="false" ht="14.25" hidden="false" customHeight="true" outlineLevel="0" collapsed="false">
      <c r="A96" s="55" t="n">
        <v>2034</v>
      </c>
      <c r="B96" s="13" t="s">
        <v>76</v>
      </c>
      <c r="C96" s="13" t="s">
        <v>263</v>
      </c>
      <c r="D96" s="56" t="n">
        <f aca="false">datos_base!$J$11*parametros_manuales!B$14</f>
        <v>2845.284</v>
      </c>
      <c r="E96" s="56" t="n">
        <f aca="false">datos_base!$J$11*parametros_manuales!C$14</f>
        <v>2276.2272</v>
      </c>
      <c r="F96" s="56" t="n">
        <f aca="false">datos_base!$J$11*parametros_manuales!D$14</f>
        <v>2418.4914</v>
      </c>
      <c r="G96" s="56" t="n">
        <f aca="false">datos_base!$J$11*parametros_manuales!E$14</f>
        <v>2418.4914</v>
      </c>
      <c r="H96" s="56" t="n">
        <f aca="false">datos_base!$J$11*parametros_manuales!F$14</f>
        <v>2276.2272</v>
      </c>
      <c r="I96" s="56" t="n">
        <f aca="false">datos_base!$J$11*parametros_manuales!G$14</f>
        <v>2133.963</v>
      </c>
      <c r="J96" s="56" t="n">
        <f aca="false">datos_base!$J$11*parametros_manuales!H$14</f>
        <v>2276.2272</v>
      </c>
      <c r="K96" s="56" t="n">
        <f aca="false">datos_base!$J$11*parametros_manuales!I$14</f>
        <v>2276.2272</v>
      </c>
      <c r="L96" s="56" t="n">
        <f aca="false">datos_base!$J$11*parametros_manuales!J$14</f>
        <v>2276.2272</v>
      </c>
      <c r="M96" s="56" t="n">
        <f aca="false">datos_base!$J$11*parametros_manuales!K$14</f>
        <v>2133.963</v>
      </c>
      <c r="N96" s="56" t="n">
        <f aca="false">datos_base!$J$11*parametros_manuales!L$14</f>
        <v>1991.6988</v>
      </c>
      <c r="O96" s="56" t="n">
        <f aca="false">datos_base!$J$11*parametros_manuales!M$14</f>
        <v>3129.8124</v>
      </c>
      <c r="P96" s="14" t="n">
        <f aca="false">SUM(D96:O96)</f>
        <v>28452.84</v>
      </c>
    </row>
    <row r="97" customFormat="false" ht="14.25" hidden="false" customHeight="true" outlineLevel="0" collapsed="false">
      <c r="A97" s="55" t="n">
        <v>2034</v>
      </c>
      <c r="B97" s="13" t="s">
        <v>77</v>
      </c>
      <c r="C97" s="13" t="s">
        <v>263</v>
      </c>
      <c r="D97" s="56" t="n">
        <f aca="false">datos_base!$J$12*parametros_manuales!B$15</f>
        <v>173.908</v>
      </c>
      <c r="E97" s="56" t="n">
        <f aca="false">datos_base!$J$12*parametros_manuales!C$15</f>
        <v>139.1264</v>
      </c>
      <c r="F97" s="56" t="n">
        <f aca="false">datos_base!$J$12*parametros_manuales!D$15</f>
        <v>147.8218</v>
      </c>
      <c r="G97" s="56" t="n">
        <f aca="false">datos_base!$J$12*parametros_manuales!E$15</f>
        <v>147.8218</v>
      </c>
      <c r="H97" s="56" t="n">
        <f aca="false">datos_base!$J$12*parametros_manuales!F$15</f>
        <v>139.1264</v>
      </c>
      <c r="I97" s="56" t="n">
        <f aca="false">datos_base!$J$12*parametros_manuales!G$15</f>
        <v>130.431</v>
      </c>
      <c r="J97" s="56" t="n">
        <f aca="false">datos_base!$J$12*parametros_manuales!H$15</f>
        <v>139.1264</v>
      </c>
      <c r="K97" s="56" t="n">
        <f aca="false">datos_base!$J$12*parametros_manuales!I$15</f>
        <v>139.1264</v>
      </c>
      <c r="L97" s="56" t="n">
        <f aca="false">datos_base!$J$12*parametros_manuales!J$15</f>
        <v>139.1264</v>
      </c>
      <c r="M97" s="56" t="n">
        <f aca="false">datos_base!$J$12*parametros_manuales!K$15</f>
        <v>130.431</v>
      </c>
      <c r="N97" s="56" t="n">
        <f aca="false">datos_base!$J$12*parametros_manuales!L$15</f>
        <v>121.7356</v>
      </c>
      <c r="O97" s="56" t="n">
        <f aca="false">datos_base!$J$12*parametros_manuales!M$15</f>
        <v>191.2988</v>
      </c>
      <c r="P97" s="14" t="n">
        <f aca="false">SUM(D97:O97)</f>
        <v>1739.08</v>
      </c>
    </row>
    <row r="98" customFormat="false" ht="14.25" hidden="false" customHeight="true" outlineLevel="0" collapsed="false">
      <c r="B98" s="15" t="s">
        <v>264</v>
      </c>
      <c r="D98" s="16" t="n">
        <f aca="false">SUM(D90:D97)</f>
        <v>28127.6264215</v>
      </c>
      <c r="E98" s="16" t="n">
        <f aca="false">SUM(E90:E97)</f>
        <v>21449.74232036</v>
      </c>
      <c r="F98" s="16" t="n">
        <f aca="false">SUM(F90:F97)</f>
        <v>20049.833463195</v>
      </c>
      <c r="G98" s="16" t="n">
        <f aca="false">SUM(G90:G97)</f>
        <v>19172.867782495</v>
      </c>
      <c r="H98" s="16" t="n">
        <f aca="false">SUM(H90:H97)</f>
        <v>17941.87959756</v>
      </c>
      <c r="I98" s="16" t="n">
        <f aca="false">SUM(I90:I97)</f>
        <v>17587.857093325</v>
      </c>
      <c r="J98" s="16" t="n">
        <f aca="false">SUM(J90:J97)</f>
        <v>18818.84527826</v>
      </c>
      <c r="K98" s="16" t="n">
        <f aca="false">SUM(K90:K97)</f>
        <v>18818.84527826</v>
      </c>
      <c r="L98" s="16" t="n">
        <f aca="false">SUM(L90:L97)</f>
        <v>18818.84527826</v>
      </c>
      <c r="M98" s="16" t="n">
        <f aca="false">SUM(M90:M97)</f>
        <v>18464.822774025</v>
      </c>
      <c r="N98" s="16" t="n">
        <f aca="false">SUM(N90:N97)</f>
        <v>18110.80026979</v>
      </c>
      <c r="O98" s="16" t="n">
        <f aca="false">SUM(O90:O97)</f>
        <v>28835.67142997</v>
      </c>
      <c r="P98" s="16" t="n">
        <f aca="false">SUM(P90:P97)</f>
        <v>246197.636987</v>
      </c>
    </row>
    <row r="99" customFormat="false" ht="14.25" hidden="false" customHeight="true" outlineLevel="0" collapsed="false"/>
    <row r="100" customFormat="false" ht="14.25" hidden="false" customHeight="true" outlineLevel="0" collapsed="false">
      <c r="A100" s="12" t="n">
        <v>2035</v>
      </c>
      <c r="B100" s="12" t="s">
        <v>259</v>
      </c>
      <c r="C100" s="12" t="s">
        <v>260</v>
      </c>
      <c r="D100" s="12" t="s">
        <v>37</v>
      </c>
      <c r="E100" s="12" t="s">
        <v>38</v>
      </c>
      <c r="F100" s="12" t="s">
        <v>39</v>
      </c>
      <c r="G100" s="12" t="s">
        <v>40</v>
      </c>
      <c r="H100" s="12" t="s">
        <v>41</v>
      </c>
      <c r="I100" s="12" t="s">
        <v>42</v>
      </c>
      <c r="J100" s="12" t="s">
        <v>43</v>
      </c>
      <c r="K100" s="12" t="s">
        <v>44</v>
      </c>
      <c r="L100" s="12" t="s">
        <v>45</v>
      </c>
      <c r="M100" s="12" t="s">
        <v>46</v>
      </c>
      <c r="N100" s="12" t="s">
        <v>47</v>
      </c>
      <c r="O100" s="12" t="s">
        <v>48</v>
      </c>
      <c r="P100" s="12" t="s">
        <v>261</v>
      </c>
    </row>
    <row r="101" customFormat="false" ht="14.25" hidden="false" customHeight="true" outlineLevel="0" collapsed="false">
      <c r="A101" s="55" t="n">
        <v>2035</v>
      </c>
      <c r="B101" s="13" t="s">
        <v>29</v>
      </c>
      <c r="C101" s="13" t="s">
        <v>262</v>
      </c>
      <c r="D101" s="56" t="n">
        <f aca="false">datos_base!$K$2*parametros_manuales!B$12</f>
        <v>3848.7166956</v>
      </c>
      <c r="E101" s="56" t="n">
        <f aca="false">datos_base!$K$2*parametros_manuales!C$12</f>
        <v>2886.5375217</v>
      </c>
      <c r="F101" s="56" t="n">
        <f aca="false">datos_base!$K$2*parametros_manuales!D$12</f>
        <v>2565.8111304</v>
      </c>
      <c r="G101" s="56" t="n">
        <f aca="false">datos_base!$K$2*parametros_manuales!E$12</f>
        <v>2405.44793475</v>
      </c>
      <c r="H101" s="56" t="n">
        <f aca="false">datos_base!$K$2*parametros_manuales!F$12</f>
        <v>2245.0847391</v>
      </c>
      <c r="I101" s="56" t="n">
        <f aca="false">datos_base!$K$2*parametros_manuales!G$12</f>
        <v>2245.0847391</v>
      </c>
      <c r="J101" s="56" t="n">
        <f aca="false">datos_base!$K$2*parametros_manuales!H$12</f>
        <v>2405.44793475</v>
      </c>
      <c r="K101" s="56" t="n">
        <f aca="false">datos_base!$K$2*parametros_manuales!I$12</f>
        <v>2405.44793475</v>
      </c>
      <c r="L101" s="56" t="n">
        <f aca="false">datos_base!$K$2*parametros_manuales!J$12</f>
        <v>2405.44793475</v>
      </c>
      <c r="M101" s="56" t="n">
        <f aca="false">datos_base!$K$2*parametros_manuales!K$12</f>
        <v>2405.44793475</v>
      </c>
      <c r="N101" s="56" t="n">
        <f aca="false">datos_base!$K$2*parametros_manuales!L$12</f>
        <v>2405.44793475</v>
      </c>
      <c r="O101" s="56" t="n">
        <f aca="false">datos_base!$K$2*parametros_manuales!M$12</f>
        <v>3848.7166956</v>
      </c>
      <c r="P101" s="14" t="n">
        <f aca="false">SUM(D101:O101)</f>
        <v>32072.63913</v>
      </c>
    </row>
    <row r="102" customFormat="false" ht="14.25" hidden="false" customHeight="true" outlineLevel="0" collapsed="false">
      <c r="A102" s="55" t="n">
        <v>2035</v>
      </c>
      <c r="B102" s="13" t="s">
        <v>30</v>
      </c>
      <c r="C102" s="13" t="s">
        <v>262</v>
      </c>
      <c r="D102" s="56" t="n">
        <f aca="false">datos_base!$K$3*parametros_manuales!B$13</f>
        <v>743.6458444</v>
      </c>
      <c r="E102" s="56" t="n">
        <f aca="false">datos_base!$K$3*parametros_manuales!C$13</f>
        <v>594.91667552</v>
      </c>
      <c r="F102" s="56" t="n">
        <f aca="false">datos_base!$K$3*parametros_manuales!D$13</f>
        <v>632.09896774</v>
      </c>
      <c r="G102" s="56" t="n">
        <f aca="false">datos_base!$K$3*parametros_manuales!E$13</f>
        <v>632.09896774</v>
      </c>
      <c r="H102" s="56" t="n">
        <f aca="false">datos_base!$K$3*parametros_manuales!F$13</f>
        <v>594.91667552</v>
      </c>
      <c r="I102" s="56" t="n">
        <f aca="false">datos_base!$K$3*parametros_manuales!G$13</f>
        <v>557.7343833</v>
      </c>
      <c r="J102" s="56" t="n">
        <f aca="false">datos_base!$K$3*parametros_manuales!H$13</f>
        <v>594.91667552</v>
      </c>
      <c r="K102" s="56" t="n">
        <f aca="false">datos_base!$K$3*parametros_manuales!I$13</f>
        <v>594.91667552</v>
      </c>
      <c r="L102" s="56" t="n">
        <f aca="false">datos_base!$K$3*parametros_manuales!J$13</f>
        <v>594.91667552</v>
      </c>
      <c r="M102" s="56" t="n">
        <f aca="false">datos_base!$K$3*parametros_manuales!K$13</f>
        <v>557.7343833</v>
      </c>
      <c r="N102" s="56" t="n">
        <f aca="false">datos_base!$K$3*parametros_manuales!L$13</f>
        <v>520.55209108</v>
      </c>
      <c r="O102" s="56" t="n">
        <f aca="false">datos_base!$K$3*parametros_manuales!M$13</f>
        <v>818.01042884</v>
      </c>
      <c r="P102" s="14" t="n">
        <f aca="false">SUM(D102:O102)</f>
        <v>7436.458444</v>
      </c>
    </row>
    <row r="103" customFormat="false" ht="14.25" hidden="false" customHeight="true" outlineLevel="0" collapsed="false">
      <c r="A103" s="55" t="n">
        <v>2035</v>
      </c>
      <c r="B103" s="13" t="s">
        <v>31</v>
      </c>
      <c r="C103" s="13" t="s">
        <v>262</v>
      </c>
      <c r="D103" s="56" t="n">
        <f aca="false">datos_base!$K$4*parametros_manuales!B$14</f>
        <v>3081.497872</v>
      </c>
      <c r="E103" s="56" t="n">
        <f aca="false">datos_base!$K$4*parametros_manuales!C$14</f>
        <v>2465.1982976</v>
      </c>
      <c r="F103" s="56" t="n">
        <f aca="false">datos_base!$K$4*parametros_manuales!D$14</f>
        <v>2619.2731912</v>
      </c>
      <c r="G103" s="56" t="n">
        <f aca="false">datos_base!$K$4*parametros_manuales!E$14</f>
        <v>2619.2731912</v>
      </c>
      <c r="H103" s="56" t="n">
        <f aca="false">datos_base!$K$4*parametros_manuales!F$14</f>
        <v>2465.1982976</v>
      </c>
      <c r="I103" s="56" t="n">
        <f aca="false">datos_base!$K$4*parametros_manuales!G$14</f>
        <v>2311.123404</v>
      </c>
      <c r="J103" s="56" t="n">
        <f aca="false">datos_base!$K$4*parametros_manuales!H$14</f>
        <v>2465.1982976</v>
      </c>
      <c r="K103" s="56" t="n">
        <f aca="false">datos_base!$K$4*parametros_manuales!I$14</f>
        <v>2465.1982976</v>
      </c>
      <c r="L103" s="56" t="n">
        <f aca="false">datos_base!$K$4*parametros_manuales!J$14</f>
        <v>2465.1982976</v>
      </c>
      <c r="M103" s="56" t="n">
        <f aca="false">datos_base!$K$4*parametros_manuales!K$14</f>
        <v>2311.123404</v>
      </c>
      <c r="N103" s="56" t="n">
        <f aca="false">datos_base!$K$4*parametros_manuales!L$14</f>
        <v>2157.0485104</v>
      </c>
      <c r="O103" s="56" t="n">
        <f aca="false">datos_base!$K$4*parametros_manuales!M$14</f>
        <v>3389.6476592</v>
      </c>
      <c r="P103" s="14" t="n">
        <f aca="false">SUM(D103:O103)</f>
        <v>30814.97872</v>
      </c>
    </row>
    <row r="104" customFormat="false" ht="14.25" hidden="false" customHeight="true" outlineLevel="0" collapsed="false">
      <c r="A104" s="55" t="n">
        <v>2035</v>
      </c>
      <c r="B104" s="13" t="s">
        <v>32</v>
      </c>
      <c r="C104" s="13" t="s">
        <v>262</v>
      </c>
      <c r="D104" s="56" t="n">
        <f aca="false">datos_base!$K$5*parametros_manuales!B$15</f>
        <v>184.4928079</v>
      </c>
      <c r="E104" s="56" t="n">
        <f aca="false">datos_base!$K$5*parametros_manuales!C$15</f>
        <v>147.59424632</v>
      </c>
      <c r="F104" s="56" t="n">
        <f aca="false">datos_base!$K$5*parametros_manuales!D$15</f>
        <v>156.818886715</v>
      </c>
      <c r="G104" s="56" t="n">
        <f aca="false">datos_base!$K$5*parametros_manuales!E$15</f>
        <v>156.818886715</v>
      </c>
      <c r="H104" s="56" t="n">
        <f aca="false">datos_base!$K$5*parametros_manuales!F$15</f>
        <v>147.59424632</v>
      </c>
      <c r="I104" s="56" t="n">
        <f aca="false">datos_base!$K$5*parametros_manuales!G$15</f>
        <v>138.369605925</v>
      </c>
      <c r="J104" s="56" t="n">
        <f aca="false">datos_base!$K$5*parametros_manuales!H$15</f>
        <v>147.59424632</v>
      </c>
      <c r="K104" s="56" t="n">
        <f aca="false">datos_base!$K$5*parametros_manuales!I$15</f>
        <v>147.59424632</v>
      </c>
      <c r="L104" s="56" t="n">
        <f aca="false">datos_base!$K$5*parametros_manuales!J$15</f>
        <v>147.59424632</v>
      </c>
      <c r="M104" s="56" t="n">
        <f aca="false">datos_base!$K$5*parametros_manuales!K$15</f>
        <v>138.369605925</v>
      </c>
      <c r="N104" s="56" t="n">
        <f aca="false">datos_base!$K$5*parametros_manuales!L$15</f>
        <v>129.14496553</v>
      </c>
      <c r="O104" s="56" t="n">
        <f aca="false">datos_base!$K$5*parametros_manuales!M$15</f>
        <v>202.94208869</v>
      </c>
      <c r="P104" s="14" t="n">
        <f aca="false">SUM(D104:O104)</f>
        <v>1844.928079</v>
      </c>
    </row>
    <row r="105" customFormat="false" ht="14.25" hidden="false" customHeight="true" outlineLevel="0" collapsed="false">
      <c r="A105" s="55" t="n">
        <v>2035</v>
      </c>
      <c r="B105" s="13" t="s">
        <v>74</v>
      </c>
      <c r="C105" s="13" t="s">
        <v>263</v>
      </c>
      <c r="D105" s="56" t="n">
        <f aca="false">datos_base!$K$9*parametros_manuales!B$12</f>
        <v>20465.76</v>
      </c>
      <c r="E105" s="56" t="n">
        <f aca="false">datos_base!$K$9*parametros_manuales!C$12</f>
        <v>15349.32</v>
      </c>
      <c r="F105" s="56" t="n">
        <f aca="false">datos_base!$K$9*parametros_manuales!D$12</f>
        <v>13643.84</v>
      </c>
      <c r="G105" s="56" t="n">
        <f aca="false">datos_base!$K$9*parametros_manuales!E$12</f>
        <v>12791.1</v>
      </c>
      <c r="H105" s="56" t="n">
        <f aca="false">datos_base!$K$9*parametros_manuales!F$12</f>
        <v>11938.36</v>
      </c>
      <c r="I105" s="56" t="n">
        <f aca="false">datos_base!$K$9*parametros_manuales!G$12</f>
        <v>11938.36</v>
      </c>
      <c r="J105" s="56" t="n">
        <f aca="false">datos_base!$K$9*parametros_manuales!H$12</f>
        <v>12791.1</v>
      </c>
      <c r="K105" s="56" t="n">
        <f aca="false">datos_base!$K$9*parametros_manuales!I$12</f>
        <v>12791.1</v>
      </c>
      <c r="L105" s="56" t="n">
        <f aca="false">datos_base!$K$9*parametros_manuales!J$12</f>
        <v>12791.1</v>
      </c>
      <c r="M105" s="56" t="n">
        <f aca="false">datos_base!$K$9*parametros_manuales!K$12</f>
        <v>12791.1</v>
      </c>
      <c r="N105" s="56" t="n">
        <f aca="false">datos_base!$K$9*parametros_manuales!L$12</f>
        <v>12791.1</v>
      </c>
      <c r="O105" s="56" t="n">
        <f aca="false">datos_base!$K$9*parametros_manuales!M$12</f>
        <v>20465.76</v>
      </c>
      <c r="P105" s="14" t="n">
        <f aca="false">SUM(D105:O105)</f>
        <v>170548</v>
      </c>
    </row>
    <row r="106" customFormat="false" ht="14.25" hidden="false" customHeight="true" outlineLevel="0" collapsed="false">
      <c r="A106" s="55" t="n">
        <v>2035</v>
      </c>
      <c r="B106" s="13" t="s">
        <v>75</v>
      </c>
      <c r="C106" s="13" t="s">
        <v>263</v>
      </c>
      <c r="D106" s="56" t="n">
        <f aca="false">datos_base!$K$10*parametros_manuales!B$13</f>
        <v>668.988</v>
      </c>
      <c r="E106" s="56" t="n">
        <f aca="false">datos_base!$K$10*parametros_manuales!C$13</f>
        <v>535.1904</v>
      </c>
      <c r="F106" s="56" t="n">
        <f aca="false">datos_base!$K$10*parametros_manuales!D$13</f>
        <v>568.6398</v>
      </c>
      <c r="G106" s="56" t="n">
        <f aca="false">datos_base!$K$10*parametros_manuales!E$13</f>
        <v>568.6398</v>
      </c>
      <c r="H106" s="56" t="n">
        <f aca="false">datos_base!$K$10*parametros_manuales!F$13</f>
        <v>535.1904</v>
      </c>
      <c r="I106" s="56" t="n">
        <f aca="false">datos_base!$K$10*parametros_manuales!G$13</f>
        <v>501.741</v>
      </c>
      <c r="J106" s="56" t="n">
        <f aca="false">datos_base!$K$10*parametros_manuales!H$13</f>
        <v>535.1904</v>
      </c>
      <c r="K106" s="56" t="n">
        <f aca="false">datos_base!$K$10*parametros_manuales!I$13</f>
        <v>535.1904</v>
      </c>
      <c r="L106" s="56" t="n">
        <f aca="false">datos_base!$K$10*parametros_manuales!J$13</f>
        <v>535.1904</v>
      </c>
      <c r="M106" s="56" t="n">
        <f aca="false">datos_base!$K$10*parametros_manuales!K$13</f>
        <v>501.741</v>
      </c>
      <c r="N106" s="56" t="n">
        <f aca="false">datos_base!$K$10*parametros_manuales!L$13</f>
        <v>468.2916</v>
      </c>
      <c r="O106" s="56" t="n">
        <f aca="false">datos_base!$K$10*parametros_manuales!M$13</f>
        <v>735.8868</v>
      </c>
      <c r="P106" s="14" t="n">
        <f aca="false">SUM(D106:O106)</f>
        <v>6689.88</v>
      </c>
    </row>
    <row r="107" customFormat="false" ht="14.25" hidden="false" customHeight="true" outlineLevel="0" collapsed="false">
      <c r="A107" s="55" t="n">
        <v>2035</v>
      </c>
      <c r="B107" s="13" t="s">
        <v>76</v>
      </c>
      <c r="C107" s="13" t="s">
        <v>263</v>
      </c>
      <c r="D107" s="56" t="n">
        <f aca="false">datos_base!$K$11*parametros_manuales!B$14</f>
        <v>3303.768</v>
      </c>
      <c r="E107" s="56" t="n">
        <f aca="false">datos_base!$K$11*parametros_manuales!C$14</f>
        <v>2643.0144</v>
      </c>
      <c r="F107" s="56" t="n">
        <f aca="false">datos_base!$K$11*parametros_manuales!D$14</f>
        <v>2808.2028</v>
      </c>
      <c r="G107" s="56" t="n">
        <f aca="false">datos_base!$K$11*parametros_manuales!E$14</f>
        <v>2808.2028</v>
      </c>
      <c r="H107" s="56" t="n">
        <f aca="false">datos_base!$K$11*parametros_manuales!F$14</f>
        <v>2643.0144</v>
      </c>
      <c r="I107" s="56" t="n">
        <f aca="false">datos_base!$K$11*parametros_manuales!G$14</f>
        <v>2477.826</v>
      </c>
      <c r="J107" s="56" t="n">
        <f aca="false">datos_base!$K$11*parametros_manuales!H$14</f>
        <v>2643.0144</v>
      </c>
      <c r="K107" s="56" t="n">
        <f aca="false">datos_base!$K$11*parametros_manuales!I$14</f>
        <v>2643.0144</v>
      </c>
      <c r="L107" s="56" t="n">
        <f aca="false">datos_base!$K$11*parametros_manuales!J$14</f>
        <v>2643.0144</v>
      </c>
      <c r="M107" s="56" t="n">
        <f aca="false">datos_base!$K$11*parametros_manuales!K$14</f>
        <v>2477.826</v>
      </c>
      <c r="N107" s="56" t="n">
        <f aca="false">datos_base!$K$11*parametros_manuales!L$14</f>
        <v>2312.6376</v>
      </c>
      <c r="O107" s="56" t="n">
        <f aca="false">datos_base!$K$11*parametros_manuales!M$14</f>
        <v>3634.1448</v>
      </c>
      <c r="P107" s="14" t="n">
        <f aca="false">SUM(D107:O107)</f>
        <v>33037.68</v>
      </c>
    </row>
    <row r="108" customFormat="false" ht="14.25" hidden="false" customHeight="true" outlineLevel="0" collapsed="false">
      <c r="A108" s="55" t="n">
        <v>2035</v>
      </c>
      <c r="B108" s="13" t="s">
        <v>77</v>
      </c>
      <c r="C108" s="13" t="s">
        <v>263</v>
      </c>
      <c r="D108" s="56" t="n">
        <f aca="false">datos_base!$K$12*parametros_manuales!B$15</f>
        <v>201.8</v>
      </c>
      <c r="E108" s="56" t="n">
        <f aca="false">datos_base!$K$12*parametros_manuales!C$15</f>
        <v>161.44</v>
      </c>
      <c r="F108" s="56" t="n">
        <f aca="false">datos_base!$K$12*parametros_manuales!D$15</f>
        <v>171.53</v>
      </c>
      <c r="G108" s="56" t="n">
        <f aca="false">datos_base!$K$12*parametros_manuales!E$15</f>
        <v>171.53</v>
      </c>
      <c r="H108" s="56" t="n">
        <f aca="false">datos_base!$K$12*parametros_manuales!F$15</f>
        <v>161.44</v>
      </c>
      <c r="I108" s="56" t="n">
        <f aca="false">datos_base!$K$12*parametros_manuales!G$15</f>
        <v>151.35</v>
      </c>
      <c r="J108" s="56" t="n">
        <f aca="false">datos_base!$K$12*parametros_manuales!H$15</f>
        <v>161.44</v>
      </c>
      <c r="K108" s="56" t="n">
        <f aca="false">datos_base!$K$12*parametros_manuales!I$15</f>
        <v>161.44</v>
      </c>
      <c r="L108" s="56" t="n">
        <f aca="false">datos_base!$K$12*parametros_manuales!J$15</f>
        <v>161.44</v>
      </c>
      <c r="M108" s="56" t="n">
        <f aca="false">datos_base!$K$12*parametros_manuales!K$15</f>
        <v>151.35</v>
      </c>
      <c r="N108" s="56" t="n">
        <f aca="false">datos_base!$K$12*parametros_manuales!L$15</f>
        <v>141.26</v>
      </c>
      <c r="O108" s="56" t="n">
        <f aca="false">datos_base!$K$12*parametros_manuales!M$15</f>
        <v>221.98</v>
      </c>
      <c r="P108" s="14" t="n">
        <f aca="false">SUM(D108:O108)</f>
        <v>2018</v>
      </c>
    </row>
    <row r="109" customFormat="false" ht="14.25" hidden="false" customHeight="true" outlineLevel="0" collapsed="false">
      <c r="B109" s="15" t="s">
        <v>264</v>
      </c>
      <c r="D109" s="16" t="n">
        <f aca="false">SUM(D101:D108)</f>
        <v>32498.6692199</v>
      </c>
      <c r="E109" s="16" t="n">
        <f aca="false">SUM(E101:E108)</f>
        <v>24783.21154114</v>
      </c>
      <c r="F109" s="16" t="n">
        <f aca="false">SUM(F101:F108)</f>
        <v>23166.214776055</v>
      </c>
      <c r="G109" s="16" t="n">
        <f aca="false">SUM(G101:G108)</f>
        <v>22153.111580405</v>
      </c>
      <c r="H109" s="16" t="n">
        <f aca="false">SUM(H101:H108)</f>
        <v>20730.79875854</v>
      </c>
      <c r="I109" s="16" t="n">
        <f aca="false">SUM(I101:I108)</f>
        <v>20321.589132325</v>
      </c>
      <c r="J109" s="16" t="n">
        <f aca="false">SUM(J101:J108)</f>
        <v>21743.90195419</v>
      </c>
      <c r="K109" s="16" t="n">
        <f aca="false">SUM(K101:K108)</f>
        <v>21743.90195419</v>
      </c>
      <c r="L109" s="16" t="n">
        <f aca="false">SUM(L101:L108)</f>
        <v>21743.90195419</v>
      </c>
      <c r="M109" s="16" t="n">
        <f aca="false">SUM(M101:M108)</f>
        <v>21334.692327975</v>
      </c>
      <c r="N109" s="16" t="n">
        <f aca="false">SUM(N101:N108)</f>
        <v>20925.48270176</v>
      </c>
      <c r="O109" s="16" t="n">
        <f aca="false">SUM(O101:O108)</f>
        <v>33317.08847233</v>
      </c>
      <c r="P109" s="16" t="n">
        <f aca="false">SUM(P101:P108)</f>
        <v>284462.564373</v>
      </c>
    </row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4" min="2" style="1" width="9"/>
    <col collapsed="false" customWidth="true" hidden="false" outlineLevel="0" max="16" min="15" style="1" width="12"/>
    <col collapsed="false" customWidth="true" hidden="false" outlineLevel="0" max="17" min="17" style="1" width="9"/>
  </cols>
  <sheetData>
    <row r="1" customFormat="false" ht="14.25" hidden="false" customHeight="true" outlineLevel="0" collapsed="false">
      <c r="A1" s="12" t="s">
        <v>265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12" t="s">
        <v>47</v>
      </c>
      <c r="M1" s="12" t="s">
        <v>48</v>
      </c>
      <c r="N1" s="12" t="s">
        <v>261</v>
      </c>
      <c r="O1" s="12" t="s">
        <v>266</v>
      </c>
      <c r="P1" s="12" t="s">
        <v>267</v>
      </c>
      <c r="Q1" s="12" t="s">
        <v>268</v>
      </c>
    </row>
    <row r="2" customFormat="false" ht="14.25" hidden="false" customHeight="true" outlineLevel="0" collapsed="false">
      <c r="A2" s="13" t="str">
        <f aca="false">parametros_manuales!$B$19</f>
        <v>Recepción de materia prima</v>
      </c>
      <c r="B2" s="14" t="n">
        <f aca="false">(parametros_manuales!$D$19*('Plan mensual'!D2+IF(parametros_manuales!$H$19="Todos",'Plan mensual'!D6,0))+parametros_manuales!$E$19*('Plan mensual'!D3+IF(parametros_manuales!$H$19="Todos",'Plan mensual'!D7,0))+parametros_manuales!$F$19*('Plan mensual'!D4+IF(parametros_manuales!$H$19="Todos",'Plan mensual'!D8,0))+parametros_manuales!$G$19*('Plan mensual'!D5+IF(parametros_manuales!$H$19="Todos",'Plan mensual'!D9,0)))*parametros_manuales!$I$19*parametros_manuales!$J$19</f>
        <v>769.112041533</v>
      </c>
      <c r="C2" s="14" t="n">
        <f aca="false">(parametros_manuales!$D$19*('Plan mensual'!E2+IF(parametros_manuales!$H$19="Todos",'Plan mensual'!E6,0))+parametros_manuales!$E$19*('Plan mensual'!E3+IF(parametros_manuales!$H$19="Todos",'Plan mensual'!E7,0))+parametros_manuales!$F$19*('Plan mensual'!E4+IF(parametros_manuales!$H$19="Todos",'Plan mensual'!E8,0))+parametros_manuales!$G$19*('Plan mensual'!E5+IF(parametros_manuales!$H$19="Todos",'Plan mensual'!E9,0)))*parametros_manuales!$I$19*parametros_manuales!$J$19</f>
        <v>590.2172139684</v>
      </c>
      <c r="D2" s="14" t="n">
        <f aca="false">(parametros_manuales!$D$19*('Plan mensual'!F2+IF(parametros_manuales!$H$19="Todos",'Plan mensual'!F6,0))+parametros_manuales!$E$19*('Plan mensual'!F3+IF(parametros_manuales!$H$19="Todos",'Plan mensual'!F7,0))+parametros_manuales!$F$19*('Plan mensual'!F4+IF(parametros_manuales!$H$19="Todos",'Plan mensual'!F8,0))+parametros_manuales!$G$19*('Plan mensual'!F5+IF(parametros_manuales!$H$19="Todos",'Plan mensual'!F9,0)))*parametros_manuales!$I$19*parametros_manuales!$J$19</f>
        <v>561.81303135705</v>
      </c>
      <c r="E2" s="14" t="n">
        <f aca="false">(parametros_manuales!$D$19*('Plan mensual'!G2+IF(parametros_manuales!$H$19="Todos",'Plan mensual'!G6,0))+parametros_manuales!$E$19*('Plan mensual'!G3+IF(parametros_manuales!$H$19="Todos",'Plan mensual'!G7,0))+parametros_manuales!$F$19*('Plan mensual'!G4+IF(parametros_manuales!$H$19="Todos",'Plan mensual'!G8,0))+parametros_manuales!$G$19*('Plan mensual'!G5+IF(parametros_manuales!$H$19="Todos",'Plan mensual'!G9,0)))*parametros_manuales!$I$19*parametros_manuales!$J$19</f>
        <v>540.91934864205</v>
      </c>
      <c r="F2" s="14" t="n">
        <f aca="false">(parametros_manuales!$D$19*('Plan mensual'!H2+IF(parametros_manuales!$H$19="Todos",'Plan mensual'!H6,0))+parametros_manuales!$E$19*('Plan mensual'!H3+IF(parametros_manuales!$H$19="Todos",'Plan mensual'!H7,0))+parametros_manuales!$F$19*('Plan mensual'!H4+IF(parametros_manuales!$H$19="Todos",'Plan mensual'!H8,0))+parametros_manuales!$G$19*('Plan mensual'!H5+IF(parametros_manuales!$H$19="Todos",'Plan mensual'!H9,0)))*parametros_manuales!$I$19*parametros_manuales!$J$19</f>
        <v>506.6424831084</v>
      </c>
      <c r="G2" s="14" t="n">
        <f aca="false">(parametros_manuales!$D$19*('Plan mensual'!I2+IF(parametros_manuales!$H$19="Todos",'Plan mensual'!I6,0))+parametros_manuales!$E$19*('Plan mensual'!I3+IF(parametros_manuales!$H$19="Todos",'Plan mensual'!I7,0))+parametros_manuales!$F$19*('Plan mensual'!I4+IF(parametros_manuales!$H$19="Todos",'Plan mensual'!I8,0))+parametros_manuales!$G$19*('Plan mensual'!I5+IF(parametros_manuales!$H$19="Todos",'Plan mensual'!I9,0)))*parametros_manuales!$I$19*parametros_manuales!$J$19</f>
        <v>493.25930028975</v>
      </c>
      <c r="H2" s="14" t="n">
        <f aca="false">(parametros_manuales!$D$19*('Plan mensual'!J2+IF(parametros_manuales!$H$19="Todos",'Plan mensual'!J6,0))+parametros_manuales!$E$19*('Plan mensual'!J3+IF(parametros_manuales!$H$19="Todos",'Plan mensual'!J7,0))+parametros_manuales!$F$19*('Plan mensual'!J4+IF(parametros_manuales!$H$19="Todos",'Plan mensual'!J8,0))+parametros_manuales!$G$19*('Plan mensual'!J5+IF(parametros_manuales!$H$19="Todos",'Plan mensual'!J9,0)))*parametros_manuales!$I$19*parametros_manuales!$J$19</f>
        <v>527.5361658234</v>
      </c>
      <c r="I2" s="14" t="n">
        <f aca="false">(parametros_manuales!$D$19*('Plan mensual'!K2+IF(parametros_manuales!$H$19="Todos",'Plan mensual'!K6,0))+parametros_manuales!$E$19*('Plan mensual'!K3+IF(parametros_manuales!$H$19="Todos",'Plan mensual'!K7,0))+parametros_manuales!$F$19*('Plan mensual'!K4+IF(parametros_manuales!$H$19="Todos",'Plan mensual'!K8,0))+parametros_manuales!$G$19*('Plan mensual'!K5+IF(parametros_manuales!$H$19="Todos",'Plan mensual'!K9,0)))*parametros_manuales!$I$19*parametros_manuales!$J$19</f>
        <v>527.5361658234</v>
      </c>
      <c r="J2" s="14" t="n">
        <f aca="false">(parametros_manuales!$D$19*('Plan mensual'!L2+IF(parametros_manuales!$H$19="Todos",'Plan mensual'!L6,0))+parametros_manuales!$E$19*('Plan mensual'!L3+IF(parametros_manuales!$H$19="Todos",'Plan mensual'!L7,0))+parametros_manuales!$F$19*('Plan mensual'!L4+IF(parametros_manuales!$H$19="Todos",'Plan mensual'!L8,0))+parametros_manuales!$G$19*('Plan mensual'!L5+IF(parametros_manuales!$H$19="Todos",'Plan mensual'!L9,0)))*parametros_manuales!$I$19*parametros_manuales!$J$19</f>
        <v>527.5361658234</v>
      </c>
      <c r="K2" s="14" t="n">
        <f aca="false">(parametros_manuales!$D$19*('Plan mensual'!M2+IF(parametros_manuales!$H$19="Todos",'Plan mensual'!M6,0))+parametros_manuales!$E$19*('Plan mensual'!M3+IF(parametros_manuales!$H$19="Todos",'Plan mensual'!M7,0))+parametros_manuales!$F$19*('Plan mensual'!M4+IF(parametros_manuales!$H$19="Todos",'Plan mensual'!M8,0))+parametros_manuales!$G$19*('Plan mensual'!M5+IF(parametros_manuales!$H$19="Todos",'Plan mensual'!M9,0)))*parametros_manuales!$I$19*parametros_manuales!$J$19</f>
        <v>514.15298300475</v>
      </c>
      <c r="L2" s="14" t="n">
        <f aca="false">(parametros_manuales!$D$19*('Plan mensual'!N2+IF(parametros_manuales!$H$19="Todos",'Plan mensual'!N6,0))+parametros_manuales!$E$19*('Plan mensual'!N3+IF(parametros_manuales!$H$19="Todos",'Plan mensual'!N7,0))+parametros_manuales!$F$19*('Plan mensual'!N4+IF(parametros_manuales!$H$19="Todos",'Plan mensual'!N8,0))+parametros_manuales!$G$19*('Plan mensual'!N5+IF(parametros_manuales!$H$19="Todos",'Plan mensual'!N9,0)))*parametros_manuales!$I$19*parametros_manuales!$J$19</f>
        <v>500.7698001861</v>
      </c>
      <c r="M2" s="14" t="n">
        <f aca="false">(parametros_manuales!$D$19*('Plan mensual'!O2+IF(parametros_manuales!$H$19="Todos",'Plan mensual'!O6,0))+parametros_manuales!$E$19*('Plan mensual'!O3+IF(parametros_manuales!$H$19="Todos",'Plan mensual'!O7,0))+parametros_manuales!$F$19*('Plan mensual'!O4+IF(parametros_manuales!$H$19="Todos",'Plan mensual'!O8,0))+parametros_manuales!$G$19*('Plan mensual'!O5+IF(parametros_manuales!$H$19="Todos",'Plan mensual'!O9,0)))*parametros_manuales!$I$19*parametros_manuales!$J$19</f>
        <v>795.8784071703</v>
      </c>
      <c r="N2" s="14" t="n">
        <f aca="false">SUM(B2:M2)</f>
        <v>6855.37310673</v>
      </c>
      <c r="O2" s="14" t="n">
        <f aca="false">MAX(B2:M2)</f>
        <v>795.8784071703</v>
      </c>
      <c r="P2" s="57" t="n">
        <f aca="false">O2/(parametros_manuales!$B$7)</f>
        <v>5.305856047802</v>
      </c>
      <c r="Q2" s="13" t="str">
        <f aca="false">IF(O2=0,"-",INDEX($B$1:$M$1,MATCH(O2,B2:M2,0)))</f>
        <v>Dic</v>
      </c>
    </row>
    <row r="3" customFormat="false" ht="14.25" hidden="false" customHeight="true" outlineLevel="0" collapsed="false">
      <c r="A3" s="13" t="str">
        <f aca="false">parametros_manuales!$B$20</f>
        <v>Corte de chapa — 1.er corte en franjas (guillotina 1, manuales + carros)</v>
      </c>
      <c r="B3" s="14" t="n">
        <f aca="false">(parametros_manuales!$D$20*('Plan mensual'!D2+IF(parametros_manuales!$H$20="Todos",'Plan mensual'!D6,0))+parametros_manuales!$E$20*('Plan mensual'!D3+IF(parametros_manuales!$H$20="Todos",'Plan mensual'!D7,0))+parametros_manuales!$F$20*('Plan mensual'!D4+IF(parametros_manuales!$H$20="Todos",'Plan mensual'!D8,0))+parametros_manuales!$G$20*('Plan mensual'!D5+IF(parametros_manuales!$H$20="Todos",'Plan mensual'!D9,0)))*parametros_manuales!$I$20*parametros_manuales!$J$20+parametros_manuales!$B$148</f>
        <v>860.940366614324</v>
      </c>
      <c r="C3" s="14" t="n">
        <f aca="false">(parametros_manuales!$D$20*('Plan mensual'!E2+IF(parametros_manuales!$H$20="Todos",'Plan mensual'!E6,0))+parametros_manuales!$E$20*('Plan mensual'!E3+IF(parametros_manuales!$H$20="Todos",'Plan mensual'!E7,0))+parametros_manuales!$F$20*('Plan mensual'!E4+IF(parametros_manuales!$H$20="Todos",'Plan mensual'!E8,0))+parametros_manuales!$G$20*('Plan mensual'!E5+IF(parametros_manuales!$H$20="Todos",'Plan mensual'!E9,0)))*parametros_manuales!$I$20*parametros_manuales!$J$20+parametros_manuales!$C$148</f>
        <v>671.242206687216</v>
      </c>
      <c r="D3" s="14" t="n">
        <f aca="false">(parametros_manuales!$D$20*('Plan mensual'!F2+IF(parametros_manuales!$H$20="Todos",'Plan mensual'!F6,0))+parametros_manuales!$E$20*('Plan mensual'!F3+IF(parametros_manuales!$H$20="Todos",'Plan mensual'!F7,0))+parametros_manuales!$F$20*('Plan mensual'!F4+IF(parametros_manuales!$H$20="Todos",'Plan mensual'!F8,0))+parametros_manuales!$G$20*('Plan mensual'!F5+IF(parametros_manuales!$H$20="Todos",'Plan mensual'!F9,0)))*parametros_manuales!$I$20*parametros_manuales!$J$20+parametros_manuales!$D$148</f>
        <v>659.043022619629</v>
      </c>
      <c r="E3" s="14" t="n">
        <f aca="false">(parametros_manuales!$D$20*('Plan mensual'!G2+IF(parametros_manuales!$H$20="Todos",'Plan mensual'!G6,0))+parametros_manuales!$E$20*('Plan mensual'!G3+IF(parametros_manuales!$H$20="Todos",'Plan mensual'!G7,0))+parametros_manuales!$F$20*('Plan mensual'!G4+IF(parametros_manuales!$H$20="Todos",'Plan mensual'!G8,0))+parametros_manuales!$G$20*('Plan mensual'!G5+IF(parametros_manuales!$H$20="Todos",'Plan mensual'!G9,0)))*parametros_manuales!$I$20*parametros_manuales!$J$20+parametros_manuales!$E$148</f>
        <v>638.149339904629</v>
      </c>
      <c r="F3" s="14" t="n">
        <f aca="false">(parametros_manuales!$D$20*('Plan mensual'!H2+IF(parametros_manuales!$H$20="Todos",'Plan mensual'!H6,0))+parametros_manuales!$E$20*('Plan mensual'!H3+IF(parametros_manuales!$H$20="Todos",'Plan mensual'!H7,0))+parametros_manuales!$F$20*('Plan mensual'!H4+IF(parametros_manuales!$H$20="Todos",'Plan mensual'!H8,0))+parametros_manuales!$G$20*('Plan mensual'!H5+IF(parametros_manuales!$H$20="Todos",'Plan mensual'!H9,0)))*parametros_manuales!$I$20*parametros_manuales!$J$20+parametros_manuales!$F$148</f>
        <v>603.872474370979</v>
      </c>
      <c r="G3" s="14" t="n">
        <f aca="false">(parametros_manuales!$D$20*('Plan mensual'!I2+IF(parametros_manuales!$H$20="Todos",'Plan mensual'!I6,0))+parametros_manuales!$E$20*('Plan mensual'!I3+IF(parametros_manuales!$H$20="Todos",'Plan mensual'!I7,0))+parametros_manuales!$F$20*('Plan mensual'!I4+IF(parametros_manuales!$H$20="Todos",'Plan mensual'!I8,0))+parametros_manuales!$G$20*('Plan mensual'!I5+IF(parametros_manuales!$H$20="Todos",'Plan mensual'!I9,0)))*parametros_manuales!$I$20*parametros_manuales!$J$20+parametros_manuales!$G$148</f>
        <v>579.68595918982</v>
      </c>
      <c r="H3" s="14" t="n">
        <f aca="false">(parametros_manuales!$D$20*('Plan mensual'!J2+IF(parametros_manuales!$H$20="Todos",'Plan mensual'!J6,0))+parametros_manuales!$E$20*('Plan mensual'!J3+IF(parametros_manuales!$H$20="Todos",'Plan mensual'!J7,0))+parametros_manuales!$F$20*('Plan mensual'!J4+IF(parametros_manuales!$H$20="Todos",'Plan mensual'!J8,0))+parametros_manuales!$G$20*('Plan mensual'!J5+IF(parametros_manuales!$H$20="Todos",'Plan mensual'!J9,0)))*parametros_manuales!$I$20*parametros_manuales!$J$20+parametros_manuales!$H$148</f>
        <v>624.766157085979</v>
      </c>
      <c r="I3" s="14" t="n">
        <f aca="false">(parametros_manuales!$D$20*('Plan mensual'!K2+IF(parametros_manuales!$H$20="Todos",'Plan mensual'!K6,0))+parametros_manuales!$E$20*('Plan mensual'!K3+IF(parametros_manuales!$H$20="Todos",'Plan mensual'!K7,0))+parametros_manuales!$F$20*('Plan mensual'!K4+IF(parametros_manuales!$H$20="Todos",'Plan mensual'!K8,0))+parametros_manuales!$G$20*('Plan mensual'!K5+IF(parametros_manuales!$H$20="Todos",'Plan mensual'!K9,0)))*parametros_manuales!$I$20*parametros_manuales!$J$20+parametros_manuales!$I$148</f>
        <v>624.766157085979</v>
      </c>
      <c r="J3" s="14" t="n">
        <f aca="false">(parametros_manuales!$D$20*('Plan mensual'!L2+IF(parametros_manuales!$H$20="Todos",'Plan mensual'!L6,0))+parametros_manuales!$E$20*('Plan mensual'!L3+IF(parametros_manuales!$H$20="Todos",'Plan mensual'!L7,0))+parametros_manuales!$F$20*('Plan mensual'!L4+IF(parametros_manuales!$H$20="Todos",'Plan mensual'!L8,0))+parametros_manuales!$G$20*('Plan mensual'!L5+IF(parametros_manuales!$H$20="Todos",'Plan mensual'!L9,0)))*parametros_manuales!$I$20*parametros_manuales!$J$20+parametros_manuales!$J$148</f>
        <v>619.364490904724</v>
      </c>
      <c r="K3" s="14" t="n">
        <f aca="false">(parametros_manuales!$D$20*('Plan mensual'!M2+IF(parametros_manuales!$H$20="Todos",'Plan mensual'!M6,0))+parametros_manuales!$E$20*('Plan mensual'!M3+IF(parametros_manuales!$H$20="Todos",'Plan mensual'!M7,0))+parametros_manuales!$F$20*('Plan mensual'!M4+IF(parametros_manuales!$H$20="Todos",'Plan mensual'!M8,0))+parametros_manuales!$G$20*('Plan mensual'!M5+IF(parametros_manuales!$H$20="Todos",'Plan mensual'!M9,0)))*parametros_manuales!$I$20*parametros_manuales!$J$20+parametros_manuales!$K$148</f>
        <v>595.177975723566</v>
      </c>
      <c r="L3" s="14" t="n">
        <f aca="false">(parametros_manuales!$D$20*('Plan mensual'!N2+IF(parametros_manuales!$H$20="Todos",'Plan mensual'!N6,0))+parametros_manuales!$E$20*('Plan mensual'!N3+IF(parametros_manuales!$H$20="Todos",'Plan mensual'!N7,0))+parametros_manuales!$F$20*('Plan mensual'!N4+IF(parametros_manuales!$H$20="Todos",'Plan mensual'!N8,0))+parametros_manuales!$G$20*('Plan mensual'!N5+IF(parametros_manuales!$H$20="Todos",'Plan mensual'!N9,0)))*parametros_manuales!$I$20*parametros_manuales!$J$20+parametros_manuales!$L$148</f>
        <v>576.393126723661</v>
      </c>
      <c r="M3" s="14" t="n">
        <f aca="false">(parametros_manuales!$D$20*('Plan mensual'!O2+IF(parametros_manuales!$H$20="Todos",'Plan mensual'!O6,0))+parametros_manuales!$E$20*('Plan mensual'!O3+IF(parametros_manuales!$H$20="Todos",'Plan mensual'!O7,0))+parametros_manuales!$F$20*('Plan mensual'!O4+IF(parametros_manuales!$H$20="Todos",'Plan mensual'!O8,0))+parametros_manuales!$G$20*('Plan mensual'!O5+IF(parametros_manuales!$H$20="Todos",'Plan mensual'!O9,0)))*parametros_manuales!$I$20*parametros_manuales!$J$20+parametros_manuales!$M$148</f>
        <v>882.30506607037</v>
      </c>
      <c r="N3" s="14" t="n">
        <f aca="false">SUM(B3:M3)</f>
        <v>7935.70634298088</v>
      </c>
      <c r="O3" s="14" t="n">
        <f aca="false">MAX(B3:M3)</f>
        <v>882.30506607037</v>
      </c>
      <c r="P3" s="57" t="n">
        <f aca="false">O3/(parametros_manuales!$B$7)</f>
        <v>5.88203377380247</v>
      </c>
      <c r="Q3" s="13" t="str">
        <f aca="false">IF(O3=0,"-",INDEX($B$1:$M$1,MATCH(O3,B3:M3,0)))</f>
        <v>Dic</v>
      </c>
    </row>
    <row r="4" customFormat="false" ht="14.25" hidden="false" customHeight="true" outlineLevel="0" collapsed="false">
      <c r="A4" s="13" t="str">
        <f aca="false">parametros_manuales!$B$21</f>
        <v>Corte de chapa — 2.º corte en piezas (guillotina 2, manuales + carros)</v>
      </c>
      <c r="B4" s="14" t="n">
        <f aca="false">(parametros_manuales!$D$21*('Plan mensual'!D2+IF(parametros_manuales!$H$21="Todos",'Plan mensual'!D6,0))+parametros_manuales!$E$21*('Plan mensual'!D3+IF(parametros_manuales!$H$21="Todos",'Plan mensual'!D7,0))+parametros_manuales!$F$21*('Plan mensual'!D4+IF(parametros_manuales!$H$21="Todos",'Plan mensual'!D8,0))+parametros_manuales!$G$21*('Plan mensual'!D5+IF(parametros_manuales!$H$21="Todos",'Plan mensual'!D9,0)))*parametros_manuales!$I$21*parametros_manuales!$J$21+parametros_manuales!$B$160</f>
        <v>887.297476792887</v>
      </c>
      <c r="C4" s="14" t="n">
        <f aca="false">(parametros_manuales!$D$21*('Plan mensual'!E2+IF(parametros_manuales!$H$21="Todos",'Plan mensual'!E6,0))+parametros_manuales!$E$21*('Plan mensual'!E3+IF(parametros_manuales!$H$21="Todos",'Plan mensual'!E7,0))+parametros_manuales!$F$21*('Plan mensual'!E4+IF(parametros_manuales!$H$21="Todos",'Plan mensual'!E8,0))+parametros_manuales!$G$21*('Plan mensual'!E5+IF(parametros_manuales!$H$21="Todos",'Plan mensual'!E9,0)))*parametros_manuales!$I$21*parametros_manuales!$J$21+parametros_manuales!$C$160</f>
        <v>694.498480374182</v>
      </c>
      <c r="D4" s="14" t="n">
        <f aca="false">(parametros_manuales!$D$21*('Plan mensual'!F2+IF(parametros_manuales!$H$21="Todos",'Plan mensual'!F6,0))+parametros_manuales!$E$21*('Plan mensual'!F3+IF(parametros_manuales!$H$21="Todos",'Plan mensual'!F7,0))+parametros_manuales!$F$21*('Plan mensual'!F4+IF(parametros_manuales!$H$21="Todos",'Plan mensual'!F8,0))+parametros_manuales!$G$21*('Plan mensual'!F5+IF(parametros_manuales!$H$21="Todos",'Plan mensual'!F9,0)))*parametros_manuales!$I$21*parametros_manuales!$J$21+parametros_manuales!$D$160</f>
        <v>686.950551043989</v>
      </c>
      <c r="E4" s="14" t="n">
        <f aca="false">(parametros_manuales!$D$21*('Plan mensual'!G2+IF(parametros_manuales!$H$21="Todos",'Plan mensual'!G6,0))+parametros_manuales!$E$21*('Plan mensual'!G3+IF(parametros_manuales!$H$21="Todos",'Plan mensual'!G7,0))+parametros_manuales!$F$21*('Plan mensual'!G4+IF(parametros_manuales!$H$21="Todos",'Plan mensual'!G8,0))+parametros_manuales!$G$21*('Plan mensual'!G5+IF(parametros_manuales!$H$21="Todos",'Plan mensual'!G9,0)))*parametros_manuales!$I$21*parametros_manuales!$J$21+parametros_manuales!$E$160</f>
        <v>666.056868328989</v>
      </c>
      <c r="F4" s="14" t="n">
        <f aca="false">(parametros_manuales!$D$21*('Plan mensual'!H2+IF(parametros_manuales!$H$21="Todos",'Plan mensual'!H6,0))+parametros_manuales!$E$21*('Plan mensual'!H3+IF(parametros_manuales!$H$21="Todos",'Plan mensual'!H7,0))+parametros_manuales!$F$21*('Plan mensual'!H4+IF(parametros_manuales!$H$21="Todos",'Plan mensual'!H8,0))+parametros_manuales!$G$21*('Plan mensual'!H5+IF(parametros_manuales!$H$21="Todos",'Plan mensual'!H9,0)))*parametros_manuales!$I$21*parametros_manuales!$J$21+parametros_manuales!$F$160</f>
        <v>631.780002795339</v>
      </c>
      <c r="G4" s="14" t="n">
        <f aca="false">(parametros_manuales!$D$21*('Plan mensual'!I2+IF(parametros_manuales!$H$21="Todos",'Plan mensual'!I6,0))+parametros_manuales!$E$21*('Plan mensual'!I3+IF(parametros_manuales!$H$21="Todos",'Plan mensual'!I7,0))+parametros_manuales!$F$21*('Plan mensual'!I4+IF(parametros_manuales!$H$21="Todos",'Plan mensual'!I8,0))+parametros_manuales!$G$21*('Plan mensual'!I5+IF(parametros_manuales!$H$21="Todos",'Plan mensual'!I9,0)))*parametros_manuales!$I$21*parametros_manuales!$J$21+parametros_manuales!$G$160</f>
        <v>604.492651122584</v>
      </c>
      <c r="H4" s="14" t="n">
        <f aca="false">(parametros_manuales!$D$21*('Plan mensual'!J2+IF(parametros_manuales!$H$21="Todos",'Plan mensual'!J6,0))+parametros_manuales!$E$21*('Plan mensual'!J3+IF(parametros_manuales!$H$21="Todos",'Plan mensual'!J7,0))+parametros_manuales!$F$21*('Plan mensual'!J4+IF(parametros_manuales!$H$21="Todos",'Plan mensual'!J8,0))+parametros_manuales!$G$21*('Plan mensual'!J5+IF(parametros_manuales!$H$21="Todos",'Plan mensual'!J9,0)))*parametros_manuales!$I$21*parametros_manuales!$J$21+parametros_manuales!$H$160</f>
        <v>652.673685510339</v>
      </c>
      <c r="I4" s="14" t="n">
        <f aca="false">(parametros_manuales!$D$21*('Plan mensual'!K2+IF(parametros_manuales!$H$21="Todos",'Plan mensual'!K6,0))+parametros_manuales!$E$21*('Plan mensual'!K3+IF(parametros_manuales!$H$21="Todos",'Plan mensual'!K7,0))+parametros_manuales!$F$21*('Plan mensual'!K4+IF(parametros_manuales!$H$21="Todos",'Plan mensual'!K8,0))+parametros_manuales!$G$21*('Plan mensual'!K5+IF(parametros_manuales!$H$21="Todos",'Plan mensual'!K9,0)))*parametros_manuales!$I$21*parametros_manuales!$J$21+parametros_manuales!$I$160</f>
        <v>652.673685510339</v>
      </c>
      <c r="J4" s="14" t="n">
        <f aca="false">(parametros_manuales!$D$21*('Plan mensual'!L2+IF(parametros_manuales!$H$21="Todos",'Plan mensual'!L6,0))+parametros_manuales!$E$21*('Plan mensual'!L3+IF(parametros_manuales!$H$21="Todos",'Plan mensual'!L7,0))+parametros_manuales!$F$21*('Plan mensual'!L4+IF(parametros_manuales!$H$21="Todos",'Plan mensual'!L8,0))+parametros_manuales!$G$21*('Plan mensual'!L5+IF(parametros_manuales!$H$21="Todos",'Plan mensual'!L9,0)))*parametros_manuales!$I$21*parametros_manuales!$J$21+parametros_manuales!$J$160</f>
        <v>645.721601083287</v>
      </c>
      <c r="K4" s="14" t="n">
        <f aca="false">(parametros_manuales!$D$21*('Plan mensual'!M2+IF(parametros_manuales!$H$21="Todos",'Plan mensual'!M6,0))+parametros_manuales!$E$21*('Plan mensual'!M3+IF(parametros_manuales!$H$21="Todos",'Plan mensual'!M7,0))+parametros_manuales!$F$21*('Plan mensual'!M4+IF(parametros_manuales!$H$21="Todos",'Plan mensual'!M8,0))+parametros_manuales!$G$21*('Plan mensual'!M5+IF(parametros_manuales!$H$21="Todos",'Plan mensual'!M9,0)))*parametros_manuales!$I$21*parametros_manuales!$J$21+parametros_manuales!$K$160</f>
        <v>618.434249410532</v>
      </c>
      <c r="L4" s="14" t="n">
        <f aca="false">(parametros_manuales!$D$21*('Plan mensual'!N2+IF(parametros_manuales!$H$21="Todos",'Plan mensual'!N6,0))+parametros_manuales!$E$21*('Plan mensual'!N3+IF(parametros_manuales!$H$21="Todos",'Plan mensual'!N7,0))+parametros_manuales!$F$21*('Plan mensual'!N4+IF(parametros_manuales!$H$21="Todos",'Plan mensual'!N8,0))+parametros_manuales!$G$21*('Plan mensual'!N5+IF(parametros_manuales!$H$21="Todos",'Plan mensual'!N9,0)))*parametros_manuales!$I$21*parametros_manuales!$J$21+parametros_manuales!$L$160</f>
        <v>598.09898216483</v>
      </c>
      <c r="M4" s="14" t="n">
        <f aca="false">(parametros_manuales!$D$21*('Plan mensual'!O2+IF(parametros_manuales!$H$21="Todos",'Plan mensual'!O6,0))+parametros_manuales!$E$21*('Plan mensual'!O3+IF(parametros_manuales!$H$21="Todos",'Plan mensual'!O7,0))+parametros_manuales!$F$21*('Plan mensual'!O4+IF(parametros_manuales!$H$21="Todos",'Plan mensual'!O8,0))+parametros_manuales!$G$21*('Plan mensual'!O5+IF(parametros_manuales!$H$21="Todos",'Plan mensual'!O9,0)))*parametros_manuales!$I$21*parametros_manuales!$J$21+parametros_manuales!$M$160</f>
        <v>907.111758003134</v>
      </c>
      <c r="N4" s="14" t="n">
        <f aca="false">SUM(B4:M4)</f>
        <v>8245.78999214043</v>
      </c>
      <c r="O4" s="14" t="n">
        <f aca="false">MAX(B4:M4)</f>
        <v>907.111758003134</v>
      </c>
      <c r="P4" s="57" t="n">
        <f aca="false">O4/(parametros_manuales!$B$7)</f>
        <v>6.0474117200209</v>
      </c>
      <c r="Q4" s="13" t="str">
        <f aca="false">IF(O4=0,"-",INDEX($B$1:$M$1,MATCH(O4,B4:M4,0)))</f>
        <v>Dic</v>
      </c>
    </row>
    <row r="5" customFormat="false" ht="14.25" hidden="false" customHeight="true" outlineLevel="0" collapsed="false">
      <c r="A5" s="13" t="str">
        <f aca="false">parametros_manuales!$B$22</f>
        <v>Corte de disco y embutido (cúpula y fondo)</v>
      </c>
      <c r="B5" s="14" t="n">
        <f aca="false">(parametros_manuales!$D$22*('Plan mensual'!D2+IF(parametros_manuales!$H$22="Todos",'Plan mensual'!D6,0))+parametros_manuales!$E$22*('Plan mensual'!D3+IF(parametros_manuales!$H$22="Todos",'Plan mensual'!D7,0))+parametros_manuales!$F$22*('Plan mensual'!D4+IF(parametros_manuales!$H$22="Todos",'Plan mensual'!D8,0))+parametros_manuales!$G$22*('Plan mensual'!D5+IF(parametros_manuales!$H$22="Todos",'Plan mensual'!D9,0)))*parametros_manuales!$I$22*parametros_manuales!$J$22</f>
        <v>1538.224083066</v>
      </c>
      <c r="C5" s="14" t="n">
        <f aca="false">(parametros_manuales!$D$22*('Plan mensual'!E2+IF(parametros_manuales!$H$22="Todos",'Plan mensual'!E6,0))+parametros_manuales!$E$22*('Plan mensual'!E3+IF(parametros_manuales!$H$22="Todos",'Plan mensual'!E7,0))+parametros_manuales!$F$22*('Plan mensual'!E4+IF(parametros_manuales!$H$22="Todos",'Plan mensual'!E8,0))+parametros_manuales!$G$22*('Plan mensual'!E5+IF(parametros_manuales!$H$22="Todos",'Plan mensual'!E9,0)))*parametros_manuales!$I$22*parametros_manuales!$J$22</f>
        <v>1180.4344279368</v>
      </c>
      <c r="D5" s="14" t="n">
        <f aca="false">(parametros_manuales!$D$22*('Plan mensual'!F2+IF(parametros_manuales!$H$22="Todos",'Plan mensual'!F6,0))+parametros_manuales!$E$22*('Plan mensual'!F3+IF(parametros_manuales!$H$22="Todos",'Plan mensual'!F7,0))+parametros_manuales!$F$22*('Plan mensual'!F4+IF(parametros_manuales!$H$22="Todos",'Plan mensual'!F8,0))+parametros_manuales!$G$22*('Plan mensual'!F5+IF(parametros_manuales!$H$22="Todos",'Plan mensual'!F9,0)))*parametros_manuales!$I$22*parametros_manuales!$J$22</f>
        <v>1123.6260627141</v>
      </c>
      <c r="E5" s="14" t="n">
        <f aca="false">(parametros_manuales!$D$22*('Plan mensual'!G2+IF(parametros_manuales!$H$22="Todos",'Plan mensual'!G6,0))+parametros_manuales!$E$22*('Plan mensual'!G3+IF(parametros_manuales!$H$22="Todos",'Plan mensual'!G7,0))+parametros_manuales!$F$22*('Plan mensual'!G4+IF(parametros_manuales!$H$22="Todos",'Plan mensual'!G8,0))+parametros_manuales!$G$22*('Plan mensual'!G5+IF(parametros_manuales!$H$22="Todos",'Plan mensual'!G9,0)))*parametros_manuales!$I$22*parametros_manuales!$J$22</f>
        <v>1081.8386972841</v>
      </c>
      <c r="F5" s="14" t="n">
        <f aca="false">(parametros_manuales!$D$22*('Plan mensual'!H2+IF(parametros_manuales!$H$22="Todos",'Plan mensual'!H6,0))+parametros_manuales!$E$22*('Plan mensual'!H3+IF(parametros_manuales!$H$22="Todos",'Plan mensual'!H7,0))+parametros_manuales!$F$22*('Plan mensual'!H4+IF(parametros_manuales!$H$22="Todos",'Plan mensual'!H8,0))+parametros_manuales!$G$22*('Plan mensual'!H5+IF(parametros_manuales!$H$22="Todos",'Plan mensual'!H9,0)))*parametros_manuales!$I$22*parametros_manuales!$J$22</f>
        <v>1013.2849662168</v>
      </c>
      <c r="G5" s="14" t="n">
        <f aca="false">(parametros_manuales!$D$22*('Plan mensual'!I2+IF(parametros_manuales!$H$22="Todos",'Plan mensual'!I6,0))+parametros_manuales!$E$22*('Plan mensual'!I3+IF(parametros_manuales!$H$22="Todos",'Plan mensual'!I7,0))+parametros_manuales!$F$22*('Plan mensual'!I4+IF(parametros_manuales!$H$22="Todos",'Plan mensual'!I8,0))+parametros_manuales!$G$22*('Plan mensual'!I5+IF(parametros_manuales!$H$22="Todos",'Plan mensual'!I9,0)))*parametros_manuales!$I$22*parametros_manuales!$J$22</f>
        <v>986.5186005795</v>
      </c>
      <c r="H5" s="14" t="n">
        <f aca="false">(parametros_manuales!$D$22*('Plan mensual'!J2+IF(parametros_manuales!$H$22="Todos",'Plan mensual'!J6,0))+parametros_manuales!$E$22*('Plan mensual'!J3+IF(parametros_manuales!$H$22="Todos",'Plan mensual'!J7,0))+parametros_manuales!$F$22*('Plan mensual'!J4+IF(parametros_manuales!$H$22="Todos",'Plan mensual'!J8,0))+parametros_manuales!$G$22*('Plan mensual'!J5+IF(parametros_manuales!$H$22="Todos",'Plan mensual'!J9,0)))*parametros_manuales!$I$22*parametros_manuales!$J$22</f>
        <v>1055.0723316468</v>
      </c>
      <c r="I5" s="14" t="n">
        <f aca="false">(parametros_manuales!$D$22*('Plan mensual'!K2+IF(parametros_manuales!$H$22="Todos",'Plan mensual'!K6,0))+parametros_manuales!$E$22*('Plan mensual'!K3+IF(parametros_manuales!$H$22="Todos",'Plan mensual'!K7,0))+parametros_manuales!$F$22*('Plan mensual'!K4+IF(parametros_manuales!$H$22="Todos",'Plan mensual'!K8,0))+parametros_manuales!$G$22*('Plan mensual'!K5+IF(parametros_manuales!$H$22="Todos",'Plan mensual'!K9,0)))*parametros_manuales!$I$22*parametros_manuales!$J$22</f>
        <v>1055.0723316468</v>
      </c>
      <c r="J5" s="14" t="n">
        <f aca="false">(parametros_manuales!$D$22*('Plan mensual'!L2+IF(parametros_manuales!$H$22="Todos",'Plan mensual'!L6,0))+parametros_manuales!$E$22*('Plan mensual'!L3+IF(parametros_manuales!$H$22="Todos",'Plan mensual'!L7,0))+parametros_manuales!$F$22*('Plan mensual'!L4+IF(parametros_manuales!$H$22="Todos",'Plan mensual'!L8,0))+parametros_manuales!$G$22*('Plan mensual'!L5+IF(parametros_manuales!$H$22="Todos",'Plan mensual'!L9,0)))*parametros_manuales!$I$22*parametros_manuales!$J$22</f>
        <v>1055.0723316468</v>
      </c>
      <c r="K5" s="14" t="n">
        <f aca="false">(parametros_manuales!$D$22*('Plan mensual'!M2+IF(parametros_manuales!$H$22="Todos",'Plan mensual'!M6,0))+parametros_manuales!$E$22*('Plan mensual'!M3+IF(parametros_manuales!$H$22="Todos",'Plan mensual'!M7,0))+parametros_manuales!$F$22*('Plan mensual'!M4+IF(parametros_manuales!$H$22="Todos",'Plan mensual'!M8,0))+parametros_manuales!$G$22*('Plan mensual'!M5+IF(parametros_manuales!$H$22="Todos",'Plan mensual'!M9,0)))*parametros_manuales!$I$22*parametros_manuales!$J$22</f>
        <v>1028.3059660095</v>
      </c>
      <c r="L5" s="14" t="n">
        <f aca="false">(parametros_manuales!$D$22*('Plan mensual'!N2+IF(parametros_manuales!$H$22="Todos",'Plan mensual'!N6,0))+parametros_manuales!$E$22*('Plan mensual'!N3+IF(parametros_manuales!$H$22="Todos",'Plan mensual'!N7,0))+parametros_manuales!$F$22*('Plan mensual'!N4+IF(parametros_manuales!$H$22="Todos",'Plan mensual'!N8,0))+parametros_manuales!$G$22*('Plan mensual'!N5+IF(parametros_manuales!$H$22="Todos",'Plan mensual'!N9,0)))*parametros_manuales!$I$22*parametros_manuales!$J$22</f>
        <v>1001.5396003722</v>
      </c>
      <c r="M5" s="14" t="n">
        <f aca="false">(parametros_manuales!$D$22*('Plan mensual'!O2+IF(parametros_manuales!$H$22="Todos",'Plan mensual'!O6,0))+parametros_manuales!$E$22*('Plan mensual'!O3+IF(parametros_manuales!$H$22="Todos",'Plan mensual'!O7,0))+parametros_manuales!$F$22*('Plan mensual'!O4+IF(parametros_manuales!$H$22="Todos",'Plan mensual'!O8,0))+parametros_manuales!$G$22*('Plan mensual'!O5+IF(parametros_manuales!$H$22="Todos",'Plan mensual'!O9,0)))*parametros_manuales!$I$22*parametros_manuales!$J$22</f>
        <v>1591.7568143406</v>
      </c>
      <c r="N5" s="14" t="n">
        <f aca="false">SUM(B5:M5)</f>
        <v>13710.74621346</v>
      </c>
      <c r="O5" s="14" t="n">
        <f aca="false">MAX(B5:M5)</f>
        <v>1591.7568143406</v>
      </c>
      <c r="P5" s="57" t="n">
        <f aca="false">O5/(parametros_manuales!$B$7)</f>
        <v>10.611712095604</v>
      </c>
      <c r="Q5" s="13" t="str">
        <f aca="false">IF(O5=0,"-",INDEX($B$1:$M$1,MATCH(O5,B5:M5,0)))</f>
        <v>Dic</v>
      </c>
    </row>
    <row r="6" customFormat="false" ht="14.25" hidden="false" customHeight="true" outlineLevel="0" collapsed="false">
      <c r="A6" s="13" t="str">
        <f aca="false">parametros_manuales!$B$23</f>
        <v>Preparación de cuello</v>
      </c>
      <c r="B6" s="14" t="n">
        <f aca="false">(parametros_manuales!$D$23*('Plan mensual'!D2+IF(parametros_manuales!$H$23="Todos",'Plan mensual'!D6,0))+parametros_manuales!$E$23*('Plan mensual'!D3+IF(parametros_manuales!$H$23="Todos",'Plan mensual'!D7,0))+parametros_manuales!$F$23*('Plan mensual'!D4+IF(parametros_manuales!$H$23="Todos",'Plan mensual'!D8,0))+parametros_manuales!$G$23*('Plan mensual'!D5+IF(parametros_manuales!$H$23="Todos",'Plan mensual'!D9,0)))*parametros_manuales!$I$23*parametros_manuales!$J$23</f>
        <v>769.112041533</v>
      </c>
      <c r="C6" s="14" t="n">
        <f aca="false">(parametros_manuales!$D$23*('Plan mensual'!E2+IF(parametros_manuales!$H$23="Todos",'Plan mensual'!E6,0))+parametros_manuales!$E$23*('Plan mensual'!E3+IF(parametros_manuales!$H$23="Todos",'Plan mensual'!E7,0))+parametros_manuales!$F$23*('Plan mensual'!E4+IF(parametros_manuales!$H$23="Todos",'Plan mensual'!E8,0))+parametros_manuales!$G$23*('Plan mensual'!E5+IF(parametros_manuales!$H$23="Todos",'Plan mensual'!E9,0)))*parametros_manuales!$I$23*parametros_manuales!$J$23</f>
        <v>590.2172139684</v>
      </c>
      <c r="D6" s="14" t="n">
        <f aca="false">(parametros_manuales!$D$23*('Plan mensual'!F2+IF(parametros_manuales!$H$23="Todos",'Plan mensual'!F6,0))+parametros_manuales!$E$23*('Plan mensual'!F3+IF(parametros_manuales!$H$23="Todos",'Plan mensual'!F7,0))+parametros_manuales!$F$23*('Plan mensual'!F4+IF(parametros_manuales!$H$23="Todos",'Plan mensual'!F8,0))+parametros_manuales!$G$23*('Plan mensual'!F5+IF(parametros_manuales!$H$23="Todos",'Plan mensual'!F9,0)))*parametros_manuales!$I$23*parametros_manuales!$J$23</f>
        <v>561.81303135705</v>
      </c>
      <c r="E6" s="14" t="n">
        <f aca="false">(parametros_manuales!$D$23*('Plan mensual'!G2+IF(parametros_manuales!$H$23="Todos",'Plan mensual'!G6,0))+parametros_manuales!$E$23*('Plan mensual'!G3+IF(parametros_manuales!$H$23="Todos",'Plan mensual'!G7,0))+parametros_manuales!$F$23*('Plan mensual'!G4+IF(parametros_manuales!$H$23="Todos",'Plan mensual'!G8,0))+parametros_manuales!$G$23*('Plan mensual'!G5+IF(parametros_manuales!$H$23="Todos",'Plan mensual'!G9,0)))*parametros_manuales!$I$23*parametros_manuales!$J$23</f>
        <v>540.91934864205</v>
      </c>
      <c r="F6" s="14" t="n">
        <f aca="false">(parametros_manuales!$D$23*('Plan mensual'!H2+IF(parametros_manuales!$H$23="Todos",'Plan mensual'!H6,0))+parametros_manuales!$E$23*('Plan mensual'!H3+IF(parametros_manuales!$H$23="Todos",'Plan mensual'!H7,0))+parametros_manuales!$F$23*('Plan mensual'!H4+IF(parametros_manuales!$H$23="Todos",'Plan mensual'!H8,0))+parametros_manuales!$G$23*('Plan mensual'!H5+IF(parametros_manuales!$H$23="Todos",'Plan mensual'!H9,0)))*parametros_manuales!$I$23*parametros_manuales!$J$23</f>
        <v>506.6424831084</v>
      </c>
      <c r="G6" s="14" t="n">
        <f aca="false">(parametros_manuales!$D$23*('Plan mensual'!I2+IF(parametros_manuales!$H$23="Todos",'Plan mensual'!I6,0))+parametros_manuales!$E$23*('Plan mensual'!I3+IF(parametros_manuales!$H$23="Todos",'Plan mensual'!I7,0))+parametros_manuales!$F$23*('Plan mensual'!I4+IF(parametros_manuales!$H$23="Todos",'Plan mensual'!I8,0))+parametros_manuales!$G$23*('Plan mensual'!I5+IF(parametros_manuales!$H$23="Todos",'Plan mensual'!I9,0)))*parametros_manuales!$I$23*parametros_manuales!$J$23</f>
        <v>493.25930028975</v>
      </c>
      <c r="H6" s="14" t="n">
        <f aca="false">(parametros_manuales!$D$23*('Plan mensual'!J2+IF(parametros_manuales!$H$23="Todos",'Plan mensual'!J6,0))+parametros_manuales!$E$23*('Plan mensual'!J3+IF(parametros_manuales!$H$23="Todos",'Plan mensual'!J7,0))+parametros_manuales!$F$23*('Plan mensual'!J4+IF(parametros_manuales!$H$23="Todos",'Plan mensual'!J8,0))+parametros_manuales!$G$23*('Plan mensual'!J5+IF(parametros_manuales!$H$23="Todos",'Plan mensual'!J9,0)))*parametros_manuales!$I$23*parametros_manuales!$J$23</f>
        <v>527.5361658234</v>
      </c>
      <c r="I6" s="14" t="n">
        <f aca="false">(parametros_manuales!$D$23*('Plan mensual'!K2+IF(parametros_manuales!$H$23="Todos",'Plan mensual'!K6,0))+parametros_manuales!$E$23*('Plan mensual'!K3+IF(parametros_manuales!$H$23="Todos",'Plan mensual'!K7,0))+parametros_manuales!$F$23*('Plan mensual'!K4+IF(parametros_manuales!$H$23="Todos",'Plan mensual'!K8,0))+parametros_manuales!$G$23*('Plan mensual'!K5+IF(parametros_manuales!$H$23="Todos",'Plan mensual'!K9,0)))*parametros_manuales!$I$23*parametros_manuales!$J$23</f>
        <v>527.5361658234</v>
      </c>
      <c r="J6" s="14" t="n">
        <f aca="false">(parametros_manuales!$D$23*('Plan mensual'!L2+IF(parametros_manuales!$H$23="Todos",'Plan mensual'!L6,0))+parametros_manuales!$E$23*('Plan mensual'!L3+IF(parametros_manuales!$H$23="Todos",'Plan mensual'!L7,0))+parametros_manuales!$F$23*('Plan mensual'!L4+IF(parametros_manuales!$H$23="Todos",'Plan mensual'!L8,0))+parametros_manuales!$G$23*('Plan mensual'!L5+IF(parametros_manuales!$H$23="Todos",'Plan mensual'!L9,0)))*parametros_manuales!$I$23*parametros_manuales!$J$23</f>
        <v>527.5361658234</v>
      </c>
      <c r="K6" s="14" t="n">
        <f aca="false">(parametros_manuales!$D$23*('Plan mensual'!M2+IF(parametros_manuales!$H$23="Todos",'Plan mensual'!M6,0))+parametros_manuales!$E$23*('Plan mensual'!M3+IF(parametros_manuales!$H$23="Todos",'Plan mensual'!M7,0))+parametros_manuales!$F$23*('Plan mensual'!M4+IF(parametros_manuales!$H$23="Todos",'Plan mensual'!M8,0))+parametros_manuales!$G$23*('Plan mensual'!M5+IF(parametros_manuales!$H$23="Todos",'Plan mensual'!M9,0)))*parametros_manuales!$I$23*parametros_manuales!$J$23</f>
        <v>514.15298300475</v>
      </c>
      <c r="L6" s="14" t="n">
        <f aca="false">(parametros_manuales!$D$23*('Plan mensual'!N2+IF(parametros_manuales!$H$23="Todos",'Plan mensual'!N6,0))+parametros_manuales!$E$23*('Plan mensual'!N3+IF(parametros_manuales!$H$23="Todos",'Plan mensual'!N7,0))+parametros_manuales!$F$23*('Plan mensual'!N4+IF(parametros_manuales!$H$23="Todos",'Plan mensual'!N8,0))+parametros_manuales!$G$23*('Plan mensual'!N5+IF(parametros_manuales!$H$23="Todos",'Plan mensual'!N9,0)))*parametros_manuales!$I$23*parametros_manuales!$J$23</f>
        <v>500.7698001861</v>
      </c>
      <c r="M6" s="14" t="n">
        <f aca="false">(parametros_manuales!$D$23*('Plan mensual'!O2+IF(parametros_manuales!$H$23="Todos",'Plan mensual'!O6,0))+parametros_manuales!$E$23*('Plan mensual'!O3+IF(parametros_manuales!$H$23="Todos",'Plan mensual'!O7,0))+parametros_manuales!$F$23*('Plan mensual'!O4+IF(parametros_manuales!$H$23="Todos",'Plan mensual'!O8,0))+parametros_manuales!$G$23*('Plan mensual'!O5+IF(parametros_manuales!$H$23="Todos",'Plan mensual'!O9,0)))*parametros_manuales!$I$23*parametros_manuales!$J$23</f>
        <v>795.8784071703</v>
      </c>
      <c r="N6" s="14" t="n">
        <f aca="false">SUM(B6:M6)</f>
        <v>6855.37310673</v>
      </c>
      <c r="O6" s="14" t="n">
        <f aca="false">MAX(B6:M6)</f>
        <v>795.8784071703</v>
      </c>
      <c r="P6" s="57" t="n">
        <f aca="false">O6/(parametros_manuales!$B$7)</f>
        <v>5.305856047802</v>
      </c>
      <c r="Q6" s="13" t="str">
        <f aca="false">IF(O6=0,"-",INDEX($B$1:$M$1,MATCH(O6,B6:M6,0)))</f>
        <v>Dic</v>
      </c>
    </row>
    <row r="7" customFormat="false" ht="14.25" hidden="false" customHeight="true" outlineLevel="0" collapsed="false">
      <c r="A7" s="13" t="str">
        <f aca="false">parametros_manuales!$B$24</f>
        <v>Numerado de cúpula</v>
      </c>
      <c r="B7" s="14" t="n">
        <f aca="false">(parametros_manuales!$D$24*('Plan mensual'!D2+IF(parametros_manuales!$H$24="Todos",'Plan mensual'!D6,0))+parametros_manuales!$E$24*('Plan mensual'!D3+IF(parametros_manuales!$H$24="Todos",'Plan mensual'!D7,0))+parametros_manuales!$F$24*('Plan mensual'!D4+IF(parametros_manuales!$H$24="Todos",'Plan mensual'!D8,0))+parametros_manuales!$G$24*('Plan mensual'!D5+IF(parametros_manuales!$H$24="Todos",'Plan mensual'!D9,0)))*parametros_manuales!$I$24*parametros_manuales!$J$24</f>
        <v>769.112041533</v>
      </c>
      <c r="C7" s="14" t="n">
        <f aca="false">(parametros_manuales!$D$24*('Plan mensual'!E2+IF(parametros_manuales!$H$24="Todos",'Plan mensual'!E6,0))+parametros_manuales!$E$24*('Plan mensual'!E3+IF(parametros_manuales!$H$24="Todos",'Plan mensual'!E7,0))+parametros_manuales!$F$24*('Plan mensual'!E4+IF(parametros_manuales!$H$24="Todos",'Plan mensual'!E8,0))+parametros_manuales!$G$24*('Plan mensual'!E5+IF(parametros_manuales!$H$24="Todos",'Plan mensual'!E9,0)))*parametros_manuales!$I$24*parametros_manuales!$J$24</f>
        <v>590.2172139684</v>
      </c>
      <c r="D7" s="14" t="n">
        <f aca="false">(parametros_manuales!$D$24*('Plan mensual'!F2+IF(parametros_manuales!$H$24="Todos",'Plan mensual'!F6,0))+parametros_manuales!$E$24*('Plan mensual'!F3+IF(parametros_manuales!$H$24="Todos",'Plan mensual'!F7,0))+parametros_manuales!$F$24*('Plan mensual'!F4+IF(parametros_manuales!$H$24="Todos",'Plan mensual'!F8,0))+parametros_manuales!$G$24*('Plan mensual'!F5+IF(parametros_manuales!$H$24="Todos",'Plan mensual'!F9,0)))*parametros_manuales!$I$24*parametros_manuales!$J$24</f>
        <v>561.81303135705</v>
      </c>
      <c r="E7" s="14" t="n">
        <f aca="false">(parametros_manuales!$D$24*('Plan mensual'!G2+IF(parametros_manuales!$H$24="Todos",'Plan mensual'!G6,0))+parametros_manuales!$E$24*('Plan mensual'!G3+IF(parametros_manuales!$H$24="Todos",'Plan mensual'!G7,0))+parametros_manuales!$F$24*('Plan mensual'!G4+IF(parametros_manuales!$H$24="Todos",'Plan mensual'!G8,0))+parametros_manuales!$G$24*('Plan mensual'!G5+IF(parametros_manuales!$H$24="Todos",'Plan mensual'!G9,0)))*parametros_manuales!$I$24*parametros_manuales!$J$24</f>
        <v>540.91934864205</v>
      </c>
      <c r="F7" s="14" t="n">
        <f aca="false">(parametros_manuales!$D$24*('Plan mensual'!H2+IF(parametros_manuales!$H$24="Todos",'Plan mensual'!H6,0))+parametros_manuales!$E$24*('Plan mensual'!H3+IF(parametros_manuales!$H$24="Todos",'Plan mensual'!H7,0))+parametros_manuales!$F$24*('Plan mensual'!H4+IF(parametros_manuales!$H$24="Todos",'Plan mensual'!H8,0))+parametros_manuales!$G$24*('Plan mensual'!H5+IF(parametros_manuales!$H$24="Todos",'Plan mensual'!H9,0)))*parametros_manuales!$I$24*parametros_manuales!$J$24</f>
        <v>506.6424831084</v>
      </c>
      <c r="G7" s="14" t="n">
        <f aca="false">(parametros_manuales!$D$24*('Plan mensual'!I2+IF(parametros_manuales!$H$24="Todos",'Plan mensual'!I6,0))+parametros_manuales!$E$24*('Plan mensual'!I3+IF(parametros_manuales!$H$24="Todos",'Plan mensual'!I7,0))+parametros_manuales!$F$24*('Plan mensual'!I4+IF(parametros_manuales!$H$24="Todos",'Plan mensual'!I8,0))+parametros_manuales!$G$24*('Plan mensual'!I5+IF(parametros_manuales!$H$24="Todos",'Plan mensual'!I9,0)))*parametros_manuales!$I$24*parametros_manuales!$J$24</f>
        <v>493.25930028975</v>
      </c>
      <c r="H7" s="14" t="n">
        <f aca="false">(parametros_manuales!$D$24*('Plan mensual'!J2+IF(parametros_manuales!$H$24="Todos",'Plan mensual'!J6,0))+parametros_manuales!$E$24*('Plan mensual'!J3+IF(parametros_manuales!$H$24="Todos",'Plan mensual'!J7,0))+parametros_manuales!$F$24*('Plan mensual'!J4+IF(parametros_manuales!$H$24="Todos",'Plan mensual'!J8,0))+parametros_manuales!$G$24*('Plan mensual'!J5+IF(parametros_manuales!$H$24="Todos",'Plan mensual'!J9,0)))*parametros_manuales!$I$24*parametros_manuales!$J$24</f>
        <v>527.5361658234</v>
      </c>
      <c r="I7" s="14" t="n">
        <f aca="false">(parametros_manuales!$D$24*('Plan mensual'!K2+IF(parametros_manuales!$H$24="Todos",'Plan mensual'!K6,0))+parametros_manuales!$E$24*('Plan mensual'!K3+IF(parametros_manuales!$H$24="Todos",'Plan mensual'!K7,0))+parametros_manuales!$F$24*('Plan mensual'!K4+IF(parametros_manuales!$H$24="Todos",'Plan mensual'!K8,0))+parametros_manuales!$G$24*('Plan mensual'!K5+IF(parametros_manuales!$H$24="Todos",'Plan mensual'!K9,0)))*parametros_manuales!$I$24*parametros_manuales!$J$24</f>
        <v>527.5361658234</v>
      </c>
      <c r="J7" s="14" t="n">
        <f aca="false">(parametros_manuales!$D$24*('Plan mensual'!L2+IF(parametros_manuales!$H$24="Todos",'Plan mensual'!L6,0))+parametros_manuales!$E$24*('Plan mensual'!L3+IF(parametros_manuales!$H$24="Todos",'Plan mensual'!L7,0))+parametros_manuales!$F$24*('Plan mensual'!L4+IF(parametros_manuales!$H$24="Todos",'Plan mensual'!L8,0))+parametros_manuales!$G$24*('Plan mensual'!L5+IF(parametros_manuales!$H$24="Todos",'Plan mensual'!L9,0)))*parametros_manuales!$I$24*parametros_manuales!$J$24</f>
        <v>527.5361658234</v>
      </c>
      <c r="K7" s="14" t="n">
        <f aca="false">(parametros_manuales!$D$24*('Plan mensual'!M2+IF(parametros_manuales!$H$24="Todos",'Plan mensual'!M6,0))+parametros_manuales!$E$24*('Plan mensual'!M3+IF(parametros_manuales!$H$24="Todos",'Plan mensual'!M7,0))+parametros_manuales!$F$24*('Plan mensual'!M4+IF(parametros_manuales!$H$24="Todos",'Plan mensual'!M8,0))+parametros_manuales!$G$24*('Plan mensual'!M5+IF(parametros_manuales!$H$24="Todos",'Plan mensual'!M9,0)))*parametros_manuales!$I$24*parametros_manuales!$J$24</f>
        <v>514.15298300475</v>
      </c>
      <c r="L7" s="14" t="n">
        <f aca="false">(parametros_manuales!$D$24*('Plan mensual'!N2+IF(parametros_manuales!$H$24="Todos",'Plan mensual'!N6,0))+parametros_manuales!$E$24*('Plan mensual'!N3+IF(parametros_manuales!$H$24="Todos",'Plan mensual'!N7,0))+parametros_manuales!$F$24*('Plan mensual'!N4+IF(parametros_manuales!$H$24="Todos",'Plan mensual'!N8,0))+parametros_manuales!$G$24*('Plan mensual'!N5+IF(parametros_manuales!$H$24="Todos",'Plan mensual'!N9,0)))*parametros_manuales!$I$24*parametros_manuales!$J$24</f>
        <v>500.7698001861</v>
      </c>
      <c r="M7" s="14" t="n">
        <f aca="false">(parametros_manuales!$D$24*('Plan mensual'!O2+IF(parametros_manuales!$H$24="Todos",'Plan mensual'!O6,0))+parametros_manuales!$E$24*('Plan mensual'!O3+IF(parametros_manuales!$H$24="Todos",'Plan mensual'!O7,0))+parametros_manuales!$F$24*('Plan mensual'!O4+IF(parametros_manuales!$H$24="Todos",'Plan mensual'!O8,0))+parametros_manuales!$G$24*('Plan mensual'!O5+IF(parametros_manuales!$H$24="Todos",'Plan mensual'!O9,0)))*parametros_manuales!$I$24*parametros_manuales!$J$24</f>
        <v>795.8784071703</v>
      </c>
      <c r="N7" s="14" t="n">
        <f aca="false">SUM(B7:M7)</f>
        <v>6855.37310673</v>
      </c>
      <c r="O7" s="14" t="n">
        <f aca="false">MAX(B7:M7)</f>
        <v>795.8784071703</v>
      </c>
      <c r="P7" s="57" t="n">
        <f aca="false">O7/(parametros_manuales!$B$7)</f>
        <v>5.305856047802</v>
      </c>
      <c r="Q7" s="13" t="str">
        <f aca="false">IF(O7=0,"-",INDEX($B$1:$M$1,MATCH(O7,B7:M7,0)))</f>
        <v>Dic</v>
      </c>
    </row>
    <row r="8" customFormat="false" ht="14.25" hidden="false" customHeight="true" outlineLevel="0" collapsed="false">
      <c r="A8" s="13" t="str">
        <f aca="false">parametros_manuales!$B$25</f>
        <v>Soldadura del cuello a la cúpula</v>
      </c>
      <c r="B8" s="14" t="n">
        <f aca="false">(parametros_manuales!$D$25*('Plan mensual'!D2+IF(parametros_manuales!$H$25="Todos",'Plan mensual'!D6,0))+parametros_manuales!$E$25*('Plan mensual'!D3+IF(parametros_manuales!$H$25="Todos",'Plan mensual'!D7,0))+parametros_manuales!$F$25*('Plan mensual'!D4+IF(parametros_manuales!$H$25="Todos",'Plan mensual'!D8,0))+parametros_manuales!$G$25*('Plan mensual'!D5+IF(parametros_manuales!$H$25="Todos",'Plan mensual'!D9,0)))*parametros_manuales!$I$25*parametros_manuales!$J$25</f>
        <v>769.112041533</v>
      </c>
      <c r="C8" s="14" t="n">
        <f aca="false">(parametros_manuales!$D$25*('Plan mensual'!E2+IF(parametros_manuales!$H$25="Todos",'Plan mensual'!E6,0))+parametros_manuales!$E$25*('Plan mensual'!E3+IF(parametros_manuales!$H$25="Todos",'Plan mensual'!E7,0))+parametros_manuales!$F$25*('Plan mensual'!E4+IF(parametros_manuales!$H$25="Todos",'Plan mensual'!E8,0))+parametros_manuales!$G$25*('Plan mensual'!E5+IF(parametros_manuales!$H$25="Todos",'Plan mensual'!E9,0)))*parametros_manuales!$I$25*parametros_manuales!$J$25</f>
        <v>590.2172139684</v>
      </c>
      <c r="D8" s="14" t="n">
        <f aca="false">(parametros_manuales!$D$25*('Plan mensual'!F2+IF(parametros_manuales!$H$25="Todos",'Plan mensual'!F6,0))+parametros_manuales!$E$25*('Plan mensual'!F3+IF(parametros_manuales!$H$25="Todos",'Plan mensual'!F7,0))+parametros_manuales!$F$25*('Plan mensual'!F4+IF(parametros_manuales!$H$25="Todos",'Plan mensual'!F8,0))+parametros_manuales!$G$25*('Plan mensual'!F5+IF(parametros_manuales!$H$25="Todos",'Plan mensual'!F9,0)))*parametros_manuales!$I$25*parametros_manuales!$J$25</f>
        <v>561.81303135705</v>
      </c>
      <c r="E8" s="14" t="n">
        <f aca="false">(parametros_manuales!$D$25*('Plan mensual'!G2+IF(parametros_manuales!$H$25="Todos",'Plan mensual'!G6,0))+parametros_manuales!$E$25*('Plan mensual'!G3+IF(parametros_manuales!$H$25="Todos",'Plan mensual'!G7,0))+parametros_manuales!$F$25*('Plan mensual'!G4+IF(parametros_manuales!$H$25="Todos",'Plan mensual'!G8,0))+parametros_manuales!$G$25*('Plan mensual'!G5+IF(parametros_manuales!$H$25="Todos",'Plan mensual'!G9,0)))*parametros_manuales!$I$25*parametros_manuales!$J$25</f>
        <v>540.91934864205</v>
      </c>
      <c r="F8" s="14" t="n">
        <f aca="false">(parametros_manuales!$D$25*('Plan mensual'!H2+IF(parametros_manuales!$H$25="Todos",'Plan mensual'!H6,0))+parametros_manuales!$E$25*('Plan mensual'!H3+IF(parametros_manuales!$H$25="Todos",'Plan mensual'!H7,0))+parametros_manuales!$F$25*('Plan mensual'!H4+IF(parametros_manuales!$H$25="Todos",'Plan mensual'!H8,0))+parametros_manuales!$G$25*('Plan mensual'!H5+IF(parametros_manuales!$H$25="Todos",'Plan mensual'!H9,0)))*parametros_manuales!$I$25*parametros_manuales!$J$25</f>
        <v>506.6424831084</v>
      </c>
      <c r="G8" s="14" t="n">
        <f aca="false">(parametros_manuales!$D$25*('Plan mensual'!I2+IF(parametros_manuales!$H$25="Todos",'Plan mensual'!I6,0))+parametros_manuales!$E$25*('Plan mensual'!I3+IF(parametros_manuales!$H$25="Todos",'Plan mensual'!I7,0))+parametros_manuales!$F$25*('Plan mensual'!I4+IF(parametros_manuales!$H$25="Todos",'Plan mensual'!I8,0))+parametros_manuales!$G$25*('Plan mensual'!I5+IF(parametros_manuales!$H$25="Todos",'Plan mensual'!I9,0)))*parametros_manuales!$I$25*parametros_manuales!$J$25</f>
        <v>493.25930028975</v>
      </c>
      <c r="H8" s="14" t="n">
        <f aca="false">(parametros_manuales!$D$25*('Plan mensual'!J2+IF(parametros_manuales!$H$25="Todos",'Plan mensual'!J6,0))+parametros_manuales!$E$25*('Plan mensual'!J3+IF(parametros_manuales!$H$25="Todos",'Plan mensual'!J7,0))+parametros_manuales!$F$25*('Plan mensual'!J4+IF(parametros_manuales!$H$25="Todos",'Plan mensual'!J8,0))+parametros_manuales!$G$25*('Plan mensual'!J5+IF(parametros_manuales!$H$25="Todos",'Plan mensual'!J9,0)))*parametros_manuales!$I$25*parametros_manuales!$J$25</f>
        <v>527.5361658234</v>
      </c>
      <c r="I8" s="14" t="n">
        <f aca="false">(parametros_manuales!$D$25*('Plan mensual'!K2+IF(parametros_manuales!$H$25="Todos",'Plan mensual'!K6,0))+parametros_manuales!$E$25*('Plan mensual'!K3+IF(parametros_manuales!$H$25="Todos",'Plan mensual'!K7,0))+parametros_manuales!$F$25*('Plan mensual'!K4+IF(parametros_manuales!$H$25="Todos",'Plan mensual'!K8,0))+parametros_manuales!$G$25*('Plan mensual'!K5+IF(parametros_manuales!$H$25="Todos",'Plan mensual'!K9,0)))*parametros_manuales!$I$25*parametros_manuales!$J$25</f>
        <v>527.5361658234</v>
      </c>
      <c r="J8" s="14" t="n">
        <f aca="false">(parametros_manuales!$D$25*('Plan mensual'!L2+IF(parametros_manuales!$H$25="Todos",'Plan mensual'!L6,0))+parametros_manuales!$E$25*('Plan mensual'!L3+IF(parametros_manuales!$H$25="Todos",'Plan mensual'!L7,0))+parametros_manuales!$F$25*('Plan mensual'!L4+IF(parametros_manuales!$H$25="Todos",'Plan mensual'!L8,0))+parametros_manuales!$G$25*('Plan mensual'!L5+IF(parametros_manuales!$H$25="Todos",'Plan mensual'!L9,0)))*parametros_manuales!$I$25*parametros_manuales!$J$25</f>
        <v>527.5361658234</v>
      </c>
      <c r="K8" s="14" t="n">
        <f aca="false">(parametros_manuales!$D$25*('Plan mensual'!M2+IF(parametros_manuales!$H$25="Todos",'Plan mensual'!M6,0))+parametros_manuales!$E$25*('Plan mensual'!M3+IF(parametros_manuales!$H$25="Todos",'Plan mensual'!M7,0))+parametros_manuales!$F$25*('Plan mensual'!M4+IF(parametros_manuales!$H$25="Todos",'Plan mensual'!M8,0))+parametros_manuales!$G$25*('Plan mensual'!M5+IF(parametros_manuales!$H$25="Todos",'Plan mensual'!M9,0)))*parametros_manuales!$I$25*parametros_manuales!$J$25</f>
        <v>514.15298300475</v>
      </c>
      <c r="L8" s="14" t="n">
        <f aca="false">(parametros_manuales!$D$25*('Plan mensual'!N2+IF(parametros_manuales!$H$25="Todos",'Plan mensual'!N6,0))+parametros_manuales!$E$25*('Plan mensual'!N3+IF(parametros_manuales!$H$25="Todos",'Plan mensual'!N7,0))+parametros_manuales!$F$25*('Plan mensual'!N4+IF(parametros_manuales!$H$25="Todos",'Plan mensual'!N8,0))+parametros_manuales!$G$25*('Plan mensual'!N5+IF(parametros_manuales!$H$25="Todos",'Plan mensual'!N9,0)))*parametros_manuales!$I$25*parametros_manuales!$J$25</f>
        <v>500.7698001861</v>
      </c>
      <c r="M8" s="14" t="n">
        <f aca="false">(parametros_manuales!$D$25*('Plan mensual'!O2+IF(parametros_manuales!$H$25="Todos",'Plan mensual'!O6,0))+parametros_manuales!$E$25*('Plan mensual'!O3+IF(parametros_manuales!$H$25="Todos",'Plan mensual'!O7,0))+parametros_manuales!$F$25*('Plan mensual'!O4+IF(parametros_manuales!$H$25="Todos",'Plan mensual'!O8,0))+parametros_manuales!$G$25*('Plan mensual'!O5+IF(parametros_manuales!$H$25="Todos",'Plan mensual'!O9,0)))*parametros_manuales!$I$25*parametros_manuales!$J$25</f>
        <v>795.8784071703</v>
      </c>
      <c r="N8" s="14" t="n">
        <f aca="false">SUM(B8:M8)</f>
        <v>6855.37310673</v>
      </c>
      <c r="O8" s="14" t="n">
        <f aca="false">MAX(B8:M8)</f>
        <v>795.8784071703</v>
      </c>
      <c r="P8" s="57" t="n">
        <f aca="false">O8/(parametros_manuales!$B$7)</f>
        <v>5.305856047802</v>
      </c>
      <c r="Q8" s="13" t="str">
        <f aca="false">IF(O8=0,"-",INDEX($B$1:$M$1,MATCH(O8,B8:M8,0)))</f>
        <v>Dic</v>
      </c>
    </row>
    <row r="9" customFormat="false" ht="14.25" hidden="false" customHeight="true" outlineLevel="0" collapsed="false">
      <c r="A9" s="13" t="str">
        <f aca="false">parametros_manuales!$B$26</f>
        <v>Cilindrado</v>
      </c>
      <c r="B9" s="14" t="n">
        <f aca="false">(parametros_manuales!$D$26*('Plan mensual'!D2+IF(parametros_manuales!$H$26="Todos",'Plan mensual'!D6,0))+parametros_manuales!$E$26*('Plan mensual'!D3+IF(parametros_manuales!$H$26="Todos",'Plan mensual'!D7,0))+parametros_manuales!$F$26*('Plan mensual'!D4+IF(parametros_manuales!$H$26="Todos",'Plan mensual'!D8,0))+parametros_manuales!$G$26*('Plan mensual'!D5+IF(parametros_manuales!$H$26="Todos",'Plan mensual'!D9,0)))*parametros_manuales!$I$26*parametros_manuales!$J$26</f>
        <v>769.112041533</v>
      </c>
      <c r="C9" s="14" t="n">
        <f aca="false">(parametros_manuales!$D$26*('Plan mensual'!E2+IF(parametros_manuales!$H$26="Todos",'Plan mensual'!E6,0))+parametros_manuales!$E$26*('Plan mensual'!E3+IF(parametros_manuales!$H$26="Todos",'Plan mensual'!E7,0))+parametros_manuales!$F$26*('Plan mensual'!E4+IF(parametros_manuales!$H$26="Todos",'Plan mensual'!E8,0))+parametros_manuales!$G$26*('Plan mensual'!E5+IF(parametros_manuales!$H$26="Todos",'Plan mensual'!E9,0)))*parametros_manuales!$I$26*parametros_manuales!$J$26</f>
        <v>590.2172139684</v>
      </c>
      <c r="D9" s="14" t="n">
        <f aca="false">(parametros_manuales!$D$26*('Plan mensual'!F2+IF(parametros_manuales!$H$26="Todos",'Plan mensual'!F6,0))+parametros_manuales!$E$26*('Plan mensual'!F3+IF(parametros_manuales!$H$26="Todos",'Plan mensual'!F7,0))+parametros_manuales!$F$26*('Plan mensual'!F4+IF(parametros_manuales!$H$26="Todos",'Plan mensual'!F8,0))+parametros_manuales!$G$26*('Plan mensual'!F5+IF(parametros_manuales!$H$26="Todos",'Plan mensual'!F9,0)))*parametros_manuales!$I$26*parametros_manuales!$J$26</f>
        <v>561.81303135705</v>
      </c>
      <c r="E9" s="14" t="n">
        <f aca="false">(parametros_manuales!$D$26*('Plan mensual'!G2+IF(parametros_manuales!$H$26="Todos",'Plan mensual'!G6,0))+parametros_manuales!$E$26*('Plan mensual'!G3+IF(parametros_manuales!$H$26="Todos",'Plan mensual'!G7,0))+parametros_manuales!$F$26*('Plan mensual'!G4+IF(parametros_manuales!$H$26="Todos",'Plan mensual'!G8,0))+parametros_manuales!$G$26*('Plan mensual'!G5+IF(parametros_manuales!$H$26="Todos",'Plan mensual'!G9,0)))*parametros_manuales!$I$26*parametros_manuales!$J$26</f>
        <v>540.91934864205</v>
      </c>
      <c r="F9" s="14" t="n">
        <f aca="false">(parametros_manuales!$D$26*('Plan mensual'!H2+IF(parametros_manuales!$H$26="Todos",'Plan mensual'!H6,0))+parametros_manuales!$E$26*('Plan mensual'!H3+IF(parametros_manuales!$H$26="Todos",'Plan mensual'!H7,0))+parametros_manuales!$F$26*('Plan mensual'!H4+IF(parametros_manuales!$H$26="Todos",'Plan mensual'!H8,0))+parametros_manuales!$G$26*('Plan mensual'!H5+IF(parametros_manuales!$H$26="Todos",'Plan mensual'!H9,0)))*parametros_manuales!$I$26*parametros_manuales!$J$26</f>
        <v>506.6424831084</v>
      </c>
      <c r="G9" s="14" t="n">
        <f aca="false">(parametros_manuales!$D$26*('Plan mensual'!I2+IF(parametros_manuales!$H$26="Todos",'Plan mensual'!I6,0))+parametros_manuales!$E$26*('Plan mensual'!I3+IF(parametros_manuales!$H$26="Todos",'Plan mensual'!I7,0))+parametros_manuales!$F$26*('Plan mensual'!I4+IF(parametros_manuales!$H$26="Todos",'Plan mensual'!I8,0))+parametros_manuales!$G$26*('Plan mensual'!I5+IF(parametros_manuales!$H$26="Todos",'Plan mensual'!I9,0)))*parametros_manuales!$I$26*parametros_manuales!$J$26</f>
        <v>493.25930028975</v>
      </c>
      <c r="H9" s="14" t="n">
        <f aca="false">(parametros_manuales!$D$26*('Plan mensual'!J2+IF(parametros_manuales!$H$26="Todos",'Plan mensual'!J6,0))+parametros_manuales!$E$26*('Plan mensual'!J3+IF(parametros_manuales!$H$26="Todos",'Plan mensual'!J7,0))+parametros_manuales!$F$26*('Plan mensual'!J4+IF(parametros_manuales!$H$26="Todos",'Plan mensual'!J8,0))+parametros_manuales!$G$26*('Plan mensual'!J5+IF(parametros_manuales!$H$26="Todos",'Plan mensual'!J9,0)))*parametros_manuales!$I$26*parametros_manuales!$J$26</f>
        <v>527.5361658234</v>
      </c>
      <c r="I9" s="14" t="n">
        <f aca="false">(parametros_manuales!$D$26*('Plan mensual'!K2+IF(parametros_manuales!$H$26="Todos",'Plan mensual'!K6,0))+parametros_manuales!$E$26*('Plan mensual'!K3+IF(parametros_manuales!$H$26="Todos",'Plan mensual'!K7,0))+parametros_manuales!$F$26*('Plan mensual'!K4+IF(parametros_manuales!$H$26="Todos",'Plan mensual'!K8,0))+parametros_manuales!$G$26*('Plan mensual'!K5+IF(parametros_manuales!$H$26="Todos",'Plan mensual'!K9,0)))*parametros_manuales!$I$26*parametros_manuales!$J$26</f>
        <v>527.5361658234</v>
      </c>
      <c r="J9" s="14" t="n">
        <f aca="false">(parametros_manuales!$D$26*('Plan mensual'!L2+IF(parametros_manuales!$H$26="Todos",'Plan mensual'!L6,0))+parametros_manuales!$E$26*('Plan mensual'!L3+IF(parametros_manuales!$H$26="Todos",'Plan mensual'!L7,0))+parametros_manuales!$F$26*('Plan mensual'!L4+IF(parametros_manuales!$H$26="Todos",'Plan mensual'!L8,0))+parametros_manuales!$G$26*('Plan mensual'!L5+IF(parametros_manuales!$H$26="Todos",'Plan mensual'!L9,0)))*parametros_manuales!$I$26*parametros_manuales!$J$26</f>
        <v>527.5361658234</v>
      </c>
      <c r="K9" s="14" t="n">
        <f aca="false">(parametros_manuales!$D$26*('Plan mensual'!M2+IF(parametros_manuales!$H$26="Todos",'Plan mensual'!M6,0))+parametros_manuales!$E$26*('Plan mensual'!M3+IF(parametros_manuales!$H$26="Todos",'Plan mensual'!M7,0))+parametros_manuales!$F$26*('Plan mensual'!M4+IF(parametros_manuales!$H$26="Todos",'Plan mensual'!M8,0))+parametros_manuales!$G$26*('Plan mensual'!M5+IF(parametros_manuales!$H$26="Todos",'Plan mensual'!M9,0)))*parametros_manuales!$I$26*parametros_manuales!$J$26</f>
        <v>514.15298300475</v>
      </c>
      <c r="L9" s="14" t="n">
        <f aca="false">(parametros_manuales!$D$26*('Plan mensual'!N2+IF(parametros_manuales!$H$26="Todos",'Plan mensual'!N6,0))+parametros_manuales!$E$26*('Plan mensual'!N3+IF(parametros_manuales!$H$26="Todos",'Plan mensual'!N7,0))+parametros_manuales!$F$26*('Plan mensual'!N4+IF(parametros_manuales!$H$26="Todos",'Plan mensual'!N8,0))+parametros_manuales!$G$26*('Plan mensual'!N5+IF(parametros_manuales!$H$26="Todos",'Plan mensual'!N9,0)))*parametros_manuales!$I$26*parametros_manuales!$J$26</f>
        <v>500.7698001861</v>
      </c>
      <c r="M9" s="14" t="n">
        <f aca="false">(parametros_manuales!$D$26*('Plan mensual'!O2+IF(parametros_manuales!$H$26="Todos",'Plan mensual'!O6,0))+parametros_manuales!$E$26*('Plan mensual'!O3+IF(parametros_manuales!$H$26="Todos",'Plan mensual'!O7,0))+parametros_manuales!$F$26*('Plan mensual'!O4+IF(parametros_manuales!$H$26="Todos",'Plan mensual'!O8,0))+parametros_manuales!$G$26*('Plan mensual'!O5+IF(parametros_manuales!$H$26="Todos",'Plan mensual'!O9,0)))*parametros_manuales!$I$26*parametros_manuales!$J$26</f>
        <v>795.8784071703</v>
      </c>
      <c r="N9" s="14" t="n">
        <f aca="false">SUM(B9:M9)</f>
        <v>6855.37310673</v>
      </c>
      <c r="O9" s="14" t="n">
        <f aca="false">MAX(B9:M9)</f>
        <v>795.8784071703</v>
      </c>
      <c r="P9" s="57" t="n">
        <f aca="false">O9/(parametros_manuales!$B$7)</f>
        <v>5.305856047802</v>
      </c>
      <c r="Q9" s="13" t="str">
        <f aca="false">IF(O9=0,"-",INDEX($B$1:$M$1,MATCH(O9,B9:M9,0)))</f>
        <v>Dic</v>
      </c>
    </row>
    <row r="10" customFormat="false" ht="14.25" hidden="false" customHeight="true" outlineLevel="0" collapsed="false">
      <c r="A10" s="13" t="str">
        <f aca="false">parametros_manuales!$B$27</f>
        <v>Soldadura longitudinal — 2,5 a 10 kg</v>
      </c>
      <c r="B10" s="14" t="n">
        <f aca="false">(parametros_manuales!$D$27*('Plan mensual'!D2+IF(parametros_manuales!$H$27="Todos",'Plan mensual'!D6,0))+parametros_manuales!$E$27*('Plan mensual'!D3+IF(parametros_manuales!$H$27="Todos",'Plan mensual'!D7,0))+parametros_manuales!$F$27*('Plan mensual'!D4+IF(parametros_manuales!$H$27="Todos",'Plan mensual'!D8,0))+parametros_manuales!$G$27*('Plan mensual'!D5+IF(parametros_manuales!$H$27="Todos",'Plan mensual'!D9,0)))*parametros_manuales!$I$27*parametros_manuales!$J$27</f>
        <v>267.663656373</v>
      </c>
      <c r="C10" s="14" t="n">
        <f aca="false">(parametros_manuales!$D$27*('Plan mensual'!E2+IF(parametros_manuales!$H$27="Todos",'Plan mensual'!E6,0))+parametros_manuales!$E$27*('Plan mensual'!E3+IF(parametros_manuales!$H$27="Todos",'Plan mensual'!E7,0))+parametros_manuales!$F$27*('Plan mensual'!E4+IF(parametros_manuales!$H$27="Todos",'Plan mensual'!E8,0))+parametros_manuales!$G$27*('Plan mensual'!E5+IF(parametros_manuales!$H$27="Todos",'Plan mensual'!E9,0)))*parametros_manuales!$I$27*parametros_manuales!$J$27</f>
        <v>214.1309250984</v>
      </c>
      <c r="D10" s="14" t="n">
        <f aca="false">(parametros_manuales!$D$27*('Plan mensual'!F2+IF(parametros_manuales!$H$27="Todos",'Plan mensual'!F6,0))+parametros_manuales!$E$27*('Plan mensual'!F3+IF(parametros_manuales!$H$27="Todos",'Plan mensual'!F7,0))+parametros_manuales!$F$27*('Plan mensual'!F4+IF(parametros_manuales!$H$27="Todos",'Plan mensual'!F8,0))+parametros_manuales!$G$27*('Plan mensual'!F5+IF(parametros_manuales!$H$27="Todos",'Plan mensual'!F9,0)))*parametros_manuales!$I$27*parametros_manuales!$J$27</f>
        <v>227.51410791705</v>
      </c>
      <c r="E10" s="14" t="n">
        <f aca="false">(parametros_manuales!$D$27*('Plan mensual'!G2+IF(parametros_manuales!$H$27="Todos",'Plan mensual'!G6,0))+parametros_manuales!$E$27*('Plan mensual'!G3+IF(parametros_manuales!$H$27="Todos",'Plan mensual'!G7,0))+parametros_manuales!$F$27*('Plan mensual'!G4+IF(parametros_manuales!$H$27="Todos",'Plan mensual'!G8,0))+parametros_manuales!$G$27*('Plan mensual'!G5+IF(parametros_manuales!$H$27="Todos",'Plan mensual'!G9,0)))*parametros_manuales!$I$27*parametros_manuales!$J$27</f>
        <v>227.51410791705</v>
      </c>
      <c r="F10" s="14" t="n">
        <f aca="false">(parametros_manuales!$D$27*('Plan mensual'!H2+IF(parametros_manuales!$H$27="Todos",'Plan mensual'!H6,0))+parametros_manuales!$E$27*('Plan mensual'!H3+IF(parametros_manuales!$H$27="Todos",'Plan mensual'!H7,0))+parametros_manuales!$F$27*('Plan mensual'!H4+IF(parametros_manuales!$H$27="Todos",'Plan mensual'!H8,0))+parametros_manuales!$G$27*('Plan mensual'!H5+IF(parametros_manuales!$H$27="Todos",'Plan mensual'!H9,0)))*parametros_manuales!$I$27*parametros_manuales!$J$27</f>
        <v>214.1309250984</v>
      </c>
      <c r="G10" s="14" t="n">
        <f aca="false">(parametros_manuales!$D$27*('Plan mensual'!I2+IF(parametros_manuales!$H$27="Todos",'Plan mensual'!I6,0))+parametros_manuales!$E$27*('Plan mensual'!I3+IF(parametros_manuales!$H$27="Todos",'Plan mensual'!I7,0))+parametros_manuales!$F$27*('Plan mensual'!I4+IF(parametros_manuales!$H$27="Todos",'Plan mensual'!I8,0))+parametros_manuales!$G$27*('Plan mensual'!I5+IF(parametros_manuales!$H$27="Todos",'Plan mensual'!I9,0)))*parametros_manuales!$I$27*parametros_manuales!$J$27</f>
        <v>200.74774227975</v>
      </c>
      <c r="H10" s="14" t="n">
        <f aca="false">(parametros_manuales!$D$27*('Plan mensual'!J2+IF(parametros_manuales!$H$27="Todos",'Plan mensual'!J6,0))+parametros_manuales!$E$27*('Plan mensual'!J3+IF(parametros_manuales!$H$27="Todos",'Plan mensual'!J7,0))+parametros_manuales!$F$27*('Plan mensual'!J4+IF(parametros_manuales!$H$27="Todos",'Plan mensual'!J8,0))+parametros_manuales!$G$27*('Plan mensual'!J5+IF(parametros_manuales!$H$27="Todos",'Plan mensual'!J9,0)))*parametros_manuales!$I$27*parametros_manuales!$J$27</f>
        <v>214.1309250984</v>
      </c>
      <c r="I10" s="14" t="n">
        <f aca="false">(parametros_manuales!$D$27*('Plan mensual'!K2+IF(parametros_manuales!$H$27="Todos",'Plan mensual'!K6,0))+parametros_manuales!$E$27*('Plan mensual'!K3+IF(parametros_manuales!$H$27="Todos",'Plan mensual'!K7,0))+parametros_manuales!$F$27*('Plan mensual'!K4+IF(parametros_manuales!$H$27="Todos",'Plan mensual'!K8,0))+parametros_manuales!$G$27*('Plan mensual'!K5+IF(parametros_manuales!$H$27="Todos",'Plan mensual'!K9,0)))*parametros_manuales!$I$27*parametros_manuales!$J$27</f>
        <v>214.1309250984</v>
      </c>
      <c r="J10" s="14" t="n">
        <f aca="false">(parametros_manuales!$D$27*('Plan mensual'!L2+IF(parametros_manuales!$H$27="Todos",'Plan mensual'!L6,0))+parametros_manuales!$E$27*('Plan mensual'!L3+IF(parametros_manuales!$H$27="Todos",'Plan mensual'!L7,0))+parametros_manuales!$F$27*('Plan mensual'!L4+IF(parametros_manuales!$H$27="Todos",'Plan mensual'!L8,0))+parametros_manuales!$G$27*('Plan mensual'!L5+IF(parametros_manuales!$H$27="Todos",'Plan mensual'!L9,0)))*parametros_manuales!$I$27*parametros_manuales!$J$27</f>
        <v>214.1309250984</v>
      </c>
      <c r="K10" s="14" t="n">
        <f aca="false">(parametros_manuales!$D$27*('Plan mensual'!M2+IF(parametros_manuales!$H$27="Todos",'Plan mensual'!M6,0))+parametros_manuales!$E$27*('Plan mensual'!M3+IF(parametros_manuales!$H$27="Todos",'Plan mensual'!M7,0))+parametros_manuales!$F$27*('Plan mensual'!M4+IF(parametros_manuales!$H$27="Todos",'Plan mensual'!M8,0))+parametros_manuales!$G$27*('Plan mensual'!M5+IF(parametros_manuales!$H$27="Todos",'Plan mensual'!M9,0)))*parametros_manuales!$I$27*parametros_manuales!$J$27</f>
        <v>200.74774227975</v>
      </c>
      <c r="L10" s="14" t="n">
        <f aca="false">(parametros_manuales!$D$27*('Plan mensual'!N2+IF(parametros_manuales!$H$27="Todos",'Plan mensual'!N6,0))+parametros_manuales!$E$27*('Plan mensual'!N3+IF(parametros_manuales!$H$27="Todos",'Plan mensual'!N7,0))+parametros_manuales!$F$27*('Plan mensual'!N4+IF(parametros_manuales!$H$27="Todos",'Plan mensual'!N8,0))+parametros_manuales!$G$27*('Plan mensual'!N5+IF(parametros_manuales!$H$27="Todos",'Plan mensual'!N9,0)))*parametros_manuales!$I$27*parametros_manuales!$J$27</f>
        <v>187.3645594611</v>
      </c>
      <c r="M10" s="14" t="n">
        <f aca="false">(parametros_manuales!$D$27*('Plan mensual'!O2+IF(parametros_manuales!$H$27="Todos",'Plan mensual'!O6,0))+parametros_manuales!$E$27*('Plan mensual'!O3+IF(parametros_manuales!$H$27="Todos",'Plan mensual'!O7,0))+parametros_manuales!$F$27*('Plan mensual'!O4+IF(parametros_manuales!$H$27="Todos",'Plan mensual'!O8,0))+parametros_manuales!$G$27*('Plan mensual'!O5+IF(parametros_manuales!$H$27="Todos",'Plan mensual'!O9,0)))*parametros_manuales!$I$27*parametros_manuales!$J$27</f>
        <v>294.4300220103</v>
      </c>
      <c r="N10" s="14" t="n">
        <f aca="false">SUM(B10:M10)</f>
        <v>2676.63656373</v>
      </c>
      <c r="O10" s="14" t="n">
        <f aca="false">MAX(B10:M10)</f>
        <v>294.4300220103</v>
      </c>
      <c r="P10" s="57" t="n">
        <f aca="false">O10/(parametros_manuales!$B$7)</f>
        <v>1.962866813402</v>
      </c>
      <c r="Q10" s="13" t="str">
        <f aca="false">IF(O10=0,"-",INDEX($B$1:$M$1,MATCH(O10,B10:M10,0)))</f>
        <v>Dic</v>
      </c>
    </row>
    <row r="11" customFormat="false" ht="14.25" hidden="false" customHeight="true" outlineLevel="0" collapsed="false">
      <c r="A11" s="13" t="str">
        <f aca="false">parametros_manuales!$B$28</f>
        <v>Soldadura longitudinal TIG — 1 kg</v>
      </c>
      <c r="B11" s="14" t="n">
        <f aca="false">(parametros_manuales!$D$28*('Plan mensual'!D2+IF(parametros_manuales!$H$28="Todos",'Plan mensual'!D6,0))+parametros_manuales!$E$28*('Plan mensual'!D3+IF(parametros_manuales!$H$28="Todos",'Plan mensual'!D7,0))+parametros_manuales!$F$28*('Plan mensual'!D4+IF(parametros_manuales!$H$28="Todos",'Plan mensual'!D8,0))+parametros_manuales!$G$28*('Plan mensual'!D5+IF(parametros_manuales!$H$28="Todos",'Plan mensual'!D9,0)))*parametros_manuales!$I$28*parametros_manuales!$J$28</f>
        <v>501.44838516</v>
      </c>
      <c r="C11" s="14" t="n">
        <f aca="false">(parametros_manuales!$D$28*('Plan mensual'!E2+IF(parametros_manuales!$H$28="Todos",'Plan mensual'!E6,0))+parametros_manuales!$E$28*('Plan mensual'!E3+IF(parametros_manuales!$H$28="Todos",'Plan mensual'!E7,0))+parametros_manuales!$F$28*('Plan mensual'!E4+IF(parametros_manuales!$H$28="Todos",'Plan mensual'!E8,0))+parametros_manuales!$G$28*('Plan mensual'!E5+IF(parametros_manuales!$H$28="Todos",'Plan mensual'!E9,0)))*parametros_manuales!$I$28*parametros_manuales!$J$28</f>
        <v>376.08628887</v>
      </c>
      <c r="D11" s="14" t="n">
        <f aca="false">(parametros_manuales!$D$28*('Plan mensual'!F2+IF(parametros_manuales!$H$28="Todos",'Plan mensual'!F6,0))+parametros_manuales!$E$28*('Plan mensual'!F3+IF(parametros_manuales!$H$28="Todos",'Plan mensual'!F7,0))+parametros_manuales!$F$28*('Plan mensual'!F4+IF(parametros_manuales!$H$28="Todos",'Plan mensual'!F8,0))+parametros_manuales!$G$28*('Plan mensual'!F5+IF(parametros_manuales!$H$28="Todos",'Plan mensual'!F9,0)))*parametros_manuales!$I$28*parametros_manuales!$J$28</f>
        <v>334.29892344</v>
      </c>
      <c r="E11" s="14" t="n">
        <f aca="false">(parametros_manuales!$D$28*('Plan mensual'!G2+IF(parametros_manuales!$H$28="Todos",'Plan mensual'!G6,0))+parametros_manuales!$E$28*('Plan mensual'!G3+IF(parametros_manuales!$H$28="Todos",'Plan mensual'!G7,0))+parametros_manuales!$F$28*('Plan mensual'!G4+IF(parametros_manuales!$H$28="Todos",'Plan mensual'!G8,0))+parametros_manuales!$G$28*('Plan mensual'!G5+IF(parametros_manuales!$H$28="Todos",'Plan mensual'!G9,0)))*parametros_manuales!$I$28*parametros_manuales!$J$28</f>
        <v>313.405240725</v>
      </c>
      <c r="F11" s="14" t="n">
        <f aca="false">(parametros_manuales!$D$28*('Plan mensual'!H2+IF(parametros_manuales!$H$28="Todos",'Plan mensual'!H6,0))+parametros_manuales!$E$28*('Plan mensual'!H3+IF(parametros_manuales!$H$28="Todos",'Plan mensual'!H7,0))+parametros_manuales!$F$28*('Plan mensual'!H4+IF(parametros_manuales!$H$28="Todos",'Plan mensual'!H8,0))+parametros_manuales!$G$28*('Plan mensual'!H5+IF(parametros_manuales!$H$28="Todos",'Plan mensual'!H9,0)))*parametros_manuales!$I$28*parametros_manuales!$J$28</f>
        <v>292.51155801</v>
      </c>
      <c r="G11" s="14" t="n">
        <f aca="false">(parametros_manuales!$D$28*('Plan mensual'!I2+IF(parametros_manuales!$H$28="Todos",'Plan mensual'!I6,0))+parametros_manuales!$E$28*('Plan mensual'!I3+IF(parametros_manuales!$H$28="Todos",'Plan mensual'!I7,0))+parametros_manuales!$F$28*('Plan mensual'!I4+IF(parametros_manuales!$H$28="Todos",'Plan mensual'!I8,0))+parametros_manuales!$G$28*('Plan mensual'!I5+IF(parametros_manuales!$H$28="Todos",'Plan mensual'!I9,0)))*parametros_manuales!$I$28*parametros_manuales!$J$28</f>
        <v>292.51155801</v>
      </c>
      <c r="H11" s="14" t="n">
        <f aca="false">(parametros_manuales!$D$28*('Plan mensual'!J2+IF(parametros_manuales!$H$28="Todos",'Plan mensual'!J6,0))+parametros_manuales!$E$28*('Plan mensual'!J3+IF(parametros_manuales!$H$28="Todos",'Plan mensual'!J7,0))+parametros_manuales!$F$28*('Plan mensual'!J4+IF(parametros_manuales!$H$28="Todos",'Plan mensual'!J8,0))+parametros_manuales!$G$28*('Plan mensual'!J5+IF(parametros_manuales!$H$28="Todos",'Plan mensual'!J9,0)))*parametros_manuales!$I$28*parametros_manuales!$J$28</f>
        <v>313.405240725</v>
      </c>
      <c r="I11" s="14" t="n">
        <f aca="false">(parametros_manuales!$D$28*('Plan mensual'!K2+IF(parametros_manuales!$H$28="Todos",'Plan mensual'!K6,0))+parametros_manuales!$E$28*('Plan mensual'!K3+IF(parametros_manuales!$H$28="Todos",'Plan mensual'!K7,0))+parametros_manuales!$F$28*('Plan mensual'!K4+IF(parametros_manuales!$H$28="Todos",'Plan mensual'!K8,0))+parametros_manuales!$G$28*('Plan mensual'!K5+IF(parametros_manuales!$H$28="Todos",'Plan mensual'!K9,0)))*parametros_manuales!$I$28*parametros_manuales!$J$28</f>
        <v>313.405240725</v>
      </c>
      <c r="J11" s="14" t="n">
        <f aca="false">(parametros_manuales!$D$28*('Plan mensual'!L2+IF(parametros_manuales!$H$28="Todos",'Plan mensual'!L6,0))+parametros_manuales!$E$28*('Plan mensual'!L3+IF(parametros_manuales!$H$28="Todos",'Plan mensual'!L7,0))+parametros_manuales!$F$28*('Plan mensual'!L4+IF(parametros_manuales!$H$28="Todos",'Plan mensual'!L8,0))+parametros_manuales!$G$28*('Plan mensual'!L5+IF(parametros_manuales!$H$28="Todos",'Plan mensual'!L9,0)))*parametros_manuales!$I$28*parametros_manuales!$J$28</f>
        <v>313.405240725</v>
      </c>
      <c r="K11" s="14" t="n">
        <f aca="false">(parametros_manuales!$D$28*('Plan mensual'!M2+IF(parametros_manuales!$H$28="Todos",'Plan mensual'!M6,0))+parametros_manuales!$E$28*('Plan mensual'!M3+IF(parametros_manuales!$H$28="Todos",'Plan mensual'!M7,0))+parametros_manuales!$F$28*('Plan mensual'!M4+IF(parametros_manuales!$H$28="Todos",'Plan mensual'!M8,0))+parametros_manuales!$G$28*('Plan mensual'!M5+IF(parametros_manuales!$H$28="Todos",'Plan mensual'!M9,0)))*parametros_manuales!$I$28*parametros_manuales!$J$28</f>
        <v>313.405240725</v>
      </c>
      <c r="L11" s="14" t="n">
        <f aca="false">(parametros_manuales!$D$28*('Plan mensual'!N2+IF(parametros_manuales!$H$28="Todos",'Plan mensual'!N6,0))+parametros_manuales!$E$28*('Plan mensual'!N3+IF(parametros_manuales!$H$28="Todos",'Plan mensual'!N7,0))+parametros_manuales!$F$28*('Plan mensual'!N4+IF(parametros_manuales!$H$28="Todos",'Plan mensual'!N8,0))+parametros_manuales!$G$28*('Plan mensual'!N5+IF(parametros_manuales!$H$28="Todos",'Plan mensual'!N9,0)))*parametros_manuales!$I$28*parametros_manuales!$J$28</f>
        <v>313.405240725</v>
      </c>
      <c r="M11" s="14" t="n">
        <f aca="false">(parametros_manuales!$D$28*('Plan mensual'!O2+IF(parametros_manuales!$H$28="Todos",'Plan mensual'!O6,0))+parametros_manuales!$E$28*('Plan mensual'!O3+IF(parametros_manuales!$H$28="Todos",'Plan mensual'!O7,0))+parametros_manuales!$F$28*('Plan mensual'!O4+IF(parametros_manuales!$H$28="Todos",'Plan mensual'!O8,0))+parametros_manuales!$G$28*('Plan mensual'!O5+IF(parametros_manuales!$H$28="Todos",'Plan mensual'!O9,0)))*parametros_manuales!$I$28*parametros_manuales!$J$28</f>
        <v>501.44838516</v>
      </c>
      <c r="N11" s="14" t="n">
        <f aca="false">SUM(B11:M11)</f>
        <v>4178.736543</v>
      </c>
      <c r="O11" s="14" t="n">
        <f aca="false">MAX(B11:M11)</f>
        <v>501.44838516</v>
      </c>
      <c r="P11" s="57" t="n">
        <f aca="false">O11/(parametros_manuales!$B$7)</f>
        <v>3.3429892344</v>
      </c>
      <c r="Q11" s="13" t="str">
        <f aca="false">IF(O11=0,"-",INDEX($B$1:$M$1,MATCH(O11,B11:M11,0)))</f>
        <v>Ene</v>
      </c>
    </row>
    <row r="12" customFormat="false" ht="14.25" hidden="false" customHeight="true" outlineLevel="0" collapsed="false">
      <c r="A12" s="13" t="str">
        <f aca="false">parametros_manuales!$B$29</f>
        <v>Encastre de fondo</v>
      </c>
      <c r="B12" s="14" t="n">
        <f aca="false">(parametros_manuales!$D$29*('Plan mensual'!D2+IF(parametros_manuales!$H$29="Todos",'Plan mensual'!D6,0))+parametros_manuales!$E$29*('Plan mensual'!D3+IF(parametros_manuales!$H$29="Todos",'Plan mensual'!D7,0))+parametros_manuales!$F$29*('Plan mensual'!D4+IF(parametros_manuales!$H$29="Todos",'Plan mensual'!D8,0))+parametros_manuales!$G$29*('Plan mensual'!D5+IF(parametros_manuales!$H$29="Todos",'Plan mensual'!D9,0)))*parametros_manuales!$I$29*parametros_manuales!$J$29</f>
        <v>769.112041533</v>
      </c>
      <c r="C12" s="14" t="n">
        <f aca="false">(parametros_manuales!$D$29*('Plan mensual'!E2+IF(parametros_manuales!$H$29="Todos",'Plan mensual'!E6,0))+parametros_manuales!$E$29*('Plan mensual'!E3+IF(parametros_manuales!$H$29="Todos",'Plan mensual'!E7,0))+parametros_manuales!$F$29*('Plan mensual'!E4+IF(parametros_manuales!$H$29="Todos",'Plan mensual'!E8,0))+parametros_manuales!$G$29*('Plan mensual'!E5+IF(parametros_manuales!$H$29="Todos",'Plan mensual'!E9,0)))*parametros_manuales!$I$29*parametros_manuales!$J$29</f>
        <v>590.2172139684</v>
      </c>
      <c r="D12" s="14" t="n">
        <f aca="false">(parametros_manuales!$D$29*('Plan mensual'!F2+IF(parametros_manuales!$H$29="Todos",'Plan mensual'!F6,0))+parametros_manuales!$E$29*('Plan mensual'!F3+IF(parametros_manuales!$H$29="Todos",'Plan mensual'!F7,0))+parametros_manuales!$F$29*('Plan mensual'!F4+IF(parametros_manuales!$H$29="Todos",'Plan mensual'!F8,0))+parametros_manuales!$G$29*('Plan mensual'!F5+IF(parametros_manuales!$H$29="Todos",'Plan mensual'!F9,0)))*parametros_manuales!$I$29*parametros_manuales!$J$29</f>
        <v>561.81303135705</v>
      </c>
      <c r="E12" s="14" t="n">
        <f aca="false">(parametros_manuales!$D$29*('Plan mensual'!G2+IF(parametros_manuales!$H$29="Todos",'Plan mensual'!G6,0))+parametros_manuales!$E$29*('Plan mensual'!G3+IF(parametros_manuales!$H$29="Todos",'Plan mensual'!G7,0))+parametros_manuales!$F$29*('Plan mensual'!G4+IF(parametros_manuales!$H$29="Todos",'Plan mensual'!G8,0))+parametros_manuales!$G$29*('Plan mensual'!G5+IF(parametros_manuales!$H$29="Todos",'Plan mensual'!G9,0)))*parametros_manuales!$I$29*parametros_manuales!$J$29</f>
        <v>540.91934864205</v>
      </c>
      <c r="F12" s="14" t="n">
        <f aca="false">(parametros_manuales!$D$29*('Plan mensual'!H2+IF(parametros_manuales!$H$29="Todos",'Plan mensual'!H6,0))+parametros_manuales!$E$29*('Plan mensual'!H3+IF(parametros_manuales!$H$29="Todos",'Plan mensual'!H7,0))+parametros_manuales!$F$29*('Plan mensual'!H4+IF(parametros_manuales!$H$29="Todos",'Plan mensual'!H8,0))+parametros_manuales!$G$29*('Plan mensual'!H5+IF(parametros_manuales!$H$29="Todos",'Plan mensual'!H9,0)))*parametros_manuales!$I$29*parametros_manuales!$J$29</f>
        <v>506.6424831084</v>
      </c>
      <c r="G12" s="14" t="n">
        <f aca="false">(parametros_manuales!$D$29*('Plan mensual'!I2+IF(parametros_manuales!$H$29="Todos",'Plan mensual'!I6,0))+parametros_manuales!$E$29*('Plan mensual'!I3+IF(parametros_manuales!$H$29="Todos",'Plan mensual'!I7,0))+parametros_manuales!$F$29*('Plan mensual'!I4+IF(parametros_manuales!$H$29="Todos",'Plan mensual'!I8,0))+parametros_manuales!$G$29*('Plan mensual'!I5+IF(parametros_manuales!$H$29="Todos",'Plan mensual'!I9,0)))*parametros_manuales!$I$29*parametros_manuales!$J$29</f>
        <v>493.25930028975</v>
      </c>
      <c r="H12" s="14" t="n">
        <f aca="false">(parametros_manuales!$D$29*('Plan mensual'!J2+IF(parametros_manuales!$H$29="Todos",'Plan mensual'!J6,0))+parametros_manuales!$E$29*('Plan mensual'!J3+IF(parametros_manuales!$H$29="Todos",'Plan mensual'!J7,0))+parametros_manuales!$F$29*('Plan mensual'!J4+IF(parametros_manuales!$H$29="Todos",'Plan mensual'!J8,0))+parametros_manuales!$G$29*('Plan mensual'!J5+IF(parametros_manuales!$H$29="Todos",'Plan mensual'!J9,0)))*parametros_manuales!$I$29*parametros_manuales!$J$29</f>
        <v>527.5361658234</v>
      </c>
      <c r="I12" s="14" t="n">
        <f aca="false">(parametros_manuales!$D$29*('Plan mensual'!K2+IF(parametros_manuales!$H$29="Todos",'Plan mensual'!K6,0))+parametros_manuales!$E$29*('Plan mensual'!K3+IF(parametros_manuales!$H$29="Todos",'Plan mensual'!K7,0))+parametros_manuales!$F$29*('Plan mensual'!K4+IF(parametros_manuales!$H$29="Todos",'Plan mensual'!K8,0))+parametros_manuales!$G$29*('Plan mensual'!K5+IF(parametros_manuales!$H$29="Todos",'Plan mensual'!K9,0)))*parametros_manuales!$I$29*parametros_manuales!$J$29</f>
        <v>527.5361658234</v>
      </c>
      <c r="J12" s="14" t="n">
        <f aca="false">(parametros_manuales!$D$29*('Plan mensual'!L2+IF(parametros_manuales!$H$29="Todos",'Plan mensual'!L6,0))+parametros_manuales!$E$29*('Plan mensual'!L3+IF(parametros_manuales!$H$29="Todos",'Plan mensual'!L7,0))+parametros_manuales!$F$29*('Plan mensual'!L4+IF(parametros_manuales!$H$29="Todos",'Plan mensual'!L8,0))+parametros_manuales!$G$29*('Plan mensual'!L5+IF(parametros_manuales!$H$29="Todos",'Plan mensual'!L9,0)))*parametros_manuales!$I$29*parametros_manuales!$J$29</f>
        <v>527.5361658234</v>
      </c>
      <c r="K12" s="14" t="n">
        <f aca="false">(parametros_manuales!$D$29*('Plan mensual'!M2+IF(parametros_manuales!$H$29="Todos",'Plan mensual'!M6,0))+parametros_manuales!$E$29*('Plan mensual'!M3+IF(parametros_manuales!$H$29="Todos",'Plan mensual'!M7,0))+parametros_manuales!$F$29*('Plan mensual'!M4+IF(parametros_manuales!$H$29="Todos",'Plan mensual'!M8,0))+parametros_manuales!$G$29*('Plan mensual'!M5+IF(parametros_manuales!$H$29="Todos",'Plan mensual'!M9,0)))*parametros_manuales!$I$29*parametros_manuales!$J$29</f>
        <v>514.15298300475</v>
      </c>
      <c r="L12" s="14" t="n">
        <f aca="false">(parametros_manuales!$D$29*('Plan mensual'!N2+IF(parametros_manuales!$H$29="Todos",'Plan mensual'!N6,0))+parametros_manuales!$E$29*('Plan mensual'!N3+IF(parametros_manuales!$H$29="Todos",'Plan mensual'!N7,0))+parametros_manuales!$F$29*('Plan mensual'!N4+IF(parametros_manuales!$H$29="Todos",'Plan mensual'!N8,0))+parametros_manuales!$G$29*('Plan mensual'!N5+IF(parametros_manuales!$H$29="Todos",'Plan mensual'!N9,0)))*parametros_manuales!$I$29*parametros_manuales!$J$29</f>
        <v>500.7698001861</v>
      </c>
      <c r="M12" s="14" t="n">
        <f aca="false">(parametros_manuales!$D$29*('Plan mensual'!O2+IF(parametros_manuales!$H$29="Todos",'Plan mensual'!O6,0))+parametros_manuales!$E$29*('Plan mensual'!O3+IF(parametros_manuales!$H$29="Todos",'Plan mensual'!O7,0))+parametros_manuales!$F$29*('Plan mensual'!O4+IF(parametros_manuales!$H$29="Todos",'Plan mensual'!O8,0))+parametros_manuales!$G$29*('Plan mensual'!O5+IF(parametros_manuales!$H$29="Todos",'Plan mensual'!O9,0)))*parametros_manuales!$I$29*parametros_manuales!$J$29</f>
        <v>795.8784071703</v>
      </c>
      <c r="N12" s="14" t="n">
        <f aca="false">SUM(B12:M12)</f>
        <v>6855.37310673</v>
      </c>
      <c r="O12" s="14" t="n">
        <f aca="false">MAX(B12:M12)</f>
        <v>795.8784071703</v>
      </c>
      <c r="P12" s="57" t="n">
        <f aca="false">O12/(parametros_manuales!$B$7)</f>
        <v>5.305856047802</v>
      </c>
      <c r="Q12" s="13" t="str">
        <f aca="false">IF(O12=0,"-",INDEX($B$1:$M$1,MATCH(O12,B12:M12,0)))</f>
        <v>Dic</v>
      </c>
    </row>
    <row r="13" customFormat="false" ht="14.25" hidden="false" customHeight="true" outlineLevel="0" collapsed="false">
      <c r="A13" s="13" t="str">
        <f aca="false">parametros_manuales!$B$30</f>
        <v>Bordoneado</v>
      </c>
      <c r="B13" s="14" t="n">
        <f aca="false">(parametros_manuales!$D$30*('Plan mensual'!D2+IF(parametros_manuales!$H$30="Todos",'Plan mensual'!D6,0))+parametros_manuales!$E$30*('Plan mensual'!D3+IF(parametros_manuales!$H$30="Todos",'Plan mensual'!D7,0))+parametros_manuales!$F$30*('Plan mensual'!D4+IF(parametros_manuales!$H$30="Todos",'Plan mensual'!D8,0))+parametros_manuales!$G$30*('Plan mensual'!D5+IF(parametros_manuales!$H$30="Todos",'Plan mensual'!D9,0)))*parametros_manuales!$I$30*parametros_manuales!$J$30</f>
        <v>769.112041533</v>
      </c>
      <c r="C13" s="14" t="n">
        <f aca="false">(parametros_manuales!$D$30*('Plan mensual'!E2+IF(parametros_manuales!$H$30="Todos",'Plan mensual'!E6,0))+parametros_manuales!$E$30*('Plan mensual'!E3+IF(parametros_manuales!$H$30="Todos",'Plan mensual'!E7,0))+parametros_manuales!$F$30*('Plan mensual'!E4+IF(parametros_manuales!$H$30="Todos",'Plan mensual'!E8,0))+parametros_manuales!$G$30*('Plan mensual'!E5+IF(parametros_manuales!$H$30="Todos",'Plan mensual'!E9,0)))*parametros_manuales!$I$30*parametros_manuales!$J$30</f>
        <v>590.2172139684</v>
      </c>
      <c r="D13" s="14" t="n">
        <f aca="false">(parametros_manuales!$D$30*('Plan mensual'!F2+IF(parametros_manuales!$H$30="Todos",'Plan mensual'!F6,0))+parametros_manuales!$E$30*('Plan mensual'!F3+IF(parametros_manuales!$H$30="Todos",'Plan mensual'!F7,0))+parametros_manuales!$F$30*('Plan mensual'!F4+IF(parametros_manuales!$H$30="Todos",'Plan mensual'!F8,0))+parametros_manuales!$G$30*('Plan mensual'!F5+IF(parametros_manuales!$H$30="Todos",'Plan mensual'!F9,0)))*parametros_manuales!$I$30*parametros_manuales!$J$30</f>
        <v>561.81303135705</v>
      </c>
      <c r="E13" s="14" t="n">
        <f aca="false">(parametros_manuales!$D$30*('Plan mensual'!G2+IF(parametros_manuales!$H$30="Todos",'Plan mensual'!G6,0))+parametros_manuales!$E$30*('Plan mensual'!G3+IF(parametros_manuales!$H$30="Todos",'Plan mensual'!G7,0))+parametros_manuales!$F$30*('Plan mensual'!G4+IF(parametros_manuales!$H$30="Todos",'Plan mensual'!G8,0))+parametros_manuales!$G$30*('Plan mensual'!G5+IF(parametros_manuales!$H$30="Todos",'Plan mensual'!G9,0)))*parametros_manuales!$I$30*parametros_manuales!$J$30</f>
        <v>540.91934864205</v>
      </c>
      <c r="F13" s="14" t="n">
        <f aca="false">(parametros_manuales!$D$30*('Plan mensual'!H2+IF(parametros_manuales!$H$30="Todos",'Plan mensual'!H6,0))+parametros_manuales!$E$30*('Plan mensual'!H3+IF(parametros_manuales!$H$30="Todos",'Plan mensual'!H7,0))+parametros_manuales!$F$30*('Plan mensual'!H4+IF(parametros_manuales!$H$30="Todos",'Plan mensual'!H8,0))+parametros_manuales!$G$30*('Plan mensual'!H5+IF(parametros_manuales!$H$30="Todos",'Plan mensual'!H9,0)))*parametros_manuales!$I$30*parametros_manuales!$J$30</f>
        <v>506.6424831084</v>
      </c>
      <c r="G13" s="14" t="n">
        <f aca="false">(parametros_manuales!$D$30*('Plan mensual'!I2+IF(parametros_manuales!$H$30="Todos",'Plan mensual'!I6,0))+parametros_manuales!$E$30*('Plan mensual'!I3+IF(parametros_manuales!$H$30="Todos",'Plan mensual'!I7,0))+parametros_manuales!$F$30*('Plan mensual'!I4+IF(parametros_manuales!$H$30="Todos",'Plan mensual'!I8,0))+parametros_manuales!$G$30*('Plan mensual'!I5+IF(parametros_manuales!$H$30="Todos",'Plan mensual'!I9,0)))*parametros_manuales!$I$30*parametros_manuales!$J$30</f>
        <v>493.25930028975</v>
      </c>
      <c r="H13" s="14" t="n">
        <f aca="false">(parametros_manuales!$D$30*('Plan mensual'!J2+IF(parametros_manuales!$H$30="Todos",'Plan mensual'!J6,0))+parametros_manuales!$E$30*('Plan mensual'!J3+IF(parametros_manuales!$H$30="Todos",'Plan mensual'!J7,0))+parametros_manuales!$F$30*('Plan mensual'!J4+IF(parametros_manuales!$H$30="Todos",'Plan mensual'!J8,0))+parametros_manuales!$G$30*('Plan mensual'!J5+IF(parametros_manuales!$H$30="Todos",'Plan mensual'!J9,0)))*parametros_manuales!$I$30*parametros_manuales!$J$30</f>
        <v>527.5361658234</v>
      </c>
      <c r="I13" s="14" t="n">
        <f aca="false">(parametros_manuales!$D$30*('Plan mensual'!K2+IF(parametros_manuales!$H$30="Todos",'Plan mensual'!K6,0))+parametros_manuales!$E$30*('Plan mensual'!K3+IF(parametros_manuales!$H$30="Todos",'Plan mensual'!K7,0))+parametros_manuales!$F$30*('Plan mensual'!K4+IF(parametros_manuales!$H$30="Todos",'Plan mensual'!K8,0))+parametros_manuales!$G$30*('Plan mensual'!K5+IF(parametros_manuales!$H$30="Todos",'Plan mensual'!K9,0)))*parametros_manuales!$I$30*parametros_manuales!$J$30</f>
        <v>527.5361658234</v>
      </c>
      <c r="J13" s="14" t="n">
        <f aca="false">(parametros_manuales!$D$30*('Plan mensual'!L2+IF(parametros_manuales!$H$30="Todos",'Plan mensual'!L6,0))+parametros_manuales!$E$30*('Plan mensual'!L3+IF(parametros_manuales!$H$30="Todos",'Plan mensual'!L7,0))+parametros_manuales!$F$30*('Plan mensual'!L4+IF(parametros_manuales!$H$30="Todos",'Plan mensual'!L8,0))+parametros_manuales!$G$30*('Plan mensual'!L5+IF(parametros_manuales!$H$30="Todos",'Plan mensual'!L9,0)))*parametros_manuales!$I$30*parametros_manuales!$J$30</f>
        <v>527.5361658234</v>
      </c>
      <c r="K13" s="14" t="n">
        <f aca="false">(parametros_manuales!$D$30*('Plan mensual'!M2+IF(parametros_manuales!$H$30="Todos",'Plan mensual'!M6,0))+parametros_manuales!$E$30*('Plan mensual'!M3+IF(parametros_manuales!$H$30="Todos",'Plan mensual'!M7,0))+parametros_manuales!$F$30*('Plan mensual'!M4+IF(parametros_manuales!$H$30="Todos",'Plan mensual'!M8,0))+parametros_manuales!$G$30*('Plan mensual'!M5+IF(parametros_manuales!$H$30="Todos",'Plan mensual'!M9,0)))*parametros_manuales!$I$30*parametros_manuales!$J$30</f>
        <v>514.15298300475</v>
      </c>
      <c r="L13" s="14" t="n">
        <f aca="false">(parametros_manuales!$D$30*('Plan mensual'!N2+IF(parametros_manuales!$H$30="Todos",'Plan mensual'!N6,0))+parametros_manuales!$E$30*('Plan mensual'!N3+IF(parametros_manuales!$H$30="Todos",'Plan mensual'!N7,0))+parametros_manuales!$F$30*('Plan mensual'!N4+IF(parametros_manuales!$H$30="Todos",'Plan mensual'!N8,0))+parametros_manuales!$G$30*('Plan mensual'!N5+IF(parametros_manuales!$H$30="Todos",'Plan mensual'!N9,0)))*parametros_manuales!$I$30*parametros_manuales!$J$30</f>
        <v>500.7698001861</v>
      </c>
      <c r="M13" s="14" t="n">
        <f aca="false">(parametros_manuales!$D$30*('Plan mensual'!O2+IF(parametros_manuales!$H$30="Todos",'Plan mensual'!O6,0))+parametros_manuales!$E$30*('Plan mensual'!O3+IF(parametros_manuales!$H$30="Todos",'Plan mensual'!O7,0))+parametros_manuales!$F$30*('Plan mensual'!O4+IF(parametros_manuales!$H$30="Todos",'Plan mensual'!O8,0))+parametros_manuales!$G$30*('Plan mensual'!O5+IF(parametros_manuales!$H$30="Todos",'Plan mensual'!O9,0)))*parametros_manuales!$I$30*parametros_manuales!$J$30</f>
        <v>795.8784071703</v>
      </c>
      <c r="N13" s="14" t="n">
        <f aca="false">SUM(B13:M13)</f>
        <v>6855.37310673</v>
      </c>
      <c r="O13" s="14" t="n">
        <f aca="false">MAX(B13:M13)</f>
        <v>795.8784071703</v>
      </c>
      <c r="P13" s="57" t="n">
        <f aca="false">O13/(parametros_manuales!$B$7)</f>
        <v>5.305856047802</v>
      </c>
      <c r="Q13" s="13" t="str">
        <f aca="false">IF(O13=0,"-",INDEX($B$1:$M$1,MATCH(O13,B13:M13,0)))</f>
        <v>Dic</v>
      </c>
    </row>
    <row r="14" customFormat="false" ht="14.25" hidden="false" customHeight="true" outlineLevel="0" collapsed="false">
      <c r="A14" s="13" t="str">
        <f aca="false">parametros_manuales!$B$31</f>
        <v>Soldadura circunferencial de cúpula y fondo</v>
      </c>
      <c r="B14" s="14" t="n">
        <f aca="false">(parametros_manuales!$D$31*('Plan mensual'!D2+IF(parametros_manuales!$H$31="Todos",'Plan mensual'!D6,0))+parametros_manuales!$E$31*('Plan mensual'!D3+IF(parametros_manuales!$H$31="Todos",'Plan mensual'!D7,0))+parametros_manuales!$F$31*('Plan mensual'!D4+IF(parametros_manuales!$H$31="Todos",'Plan mensual'!D8,0))+parametros_manuales!$G$31*('Plan mensual'!D5+IF(parametros_manuales!$H$31="Todos",'Plan mensual'!D9,0)))*parametros_manuales!$I$31*parametros_manuales!$J$31</f>
        <v>769.112041533</v>
      </c>
      <c r="C14" s="14" t="n">
        <f aca="false">(parametros_manuales!$D$31*('Plan mensual'!E2+IF(parametros_manuales!$H$31="Todos",'Plan mensual'!E6,0))+parametros_manuales!$E$31*('Plan mensual'!E3+IF(parametros_manuales!$H$31="Todos",'Plan mensual'!E7,0))+parametros_manuales!$F$31*('Plan mensual'!E4+IF(parametros_manuales!$H$31="Todos",'Plan mensual'!E8,0))+parametros_manuales!$G$31*('Plan mensual'!E5+IF(parametros_manuales!$H$31="Todos",'Plan mensual'!E9,0)))*parametros_manuales!$I$31*parametros_manuales!$J$31</f>
        <v>590.2172139684</v>
      </c>
      <c r="D14" s="14" t="n">
        <f aca="false">(parametros_manuales!$D$31*('Plan mensual'!F2+IF(parametros_manuales!$H$31="Todos",'Plan mensual'!F6,0))+parametros_manuales!$E$31*('Plan mensual'!F3+IF(parametros_manuales!$H$31="Todos",'Plan mensual'!F7,0))+parametros_manuales!$F$31*('Plan mensual'!F4+IF(parametros_manuales!$H$31="Todos",'Plan mensual'!F8,0))+parametros_manuales!$G$31*('Plan mensual'!F5+IF(parametros_manuales!$H$31="Todos",'Plan mensual'!F9,0)))*parametros_manuales!$I$31*parametros_manuales!$J$31</f>
        <v>561.81303135705</v>
      </c>
      <c r="E14" s="14" t="n">
        <f aca="false">(parametros_manuales!$D$31*('Plan mensual'!G2+IF(parametros_manuales!$H$31="Todos",'Plan mensual'!G6,0))+parametros_manuales!$E$31*('Plan mensual'!G3+IF(parametros_manuales!$H$31="Todos",'Plan mensual'!G7,0))+parametros_manuales!$F$31*('Plan mensual'!G4+IF(parametros_manuales!$H$31="Todos",'Plan mensual'!G8,0))+parametros_manuales!$G$31*('Plan mensual'!G5+IF(parametros_manuales!$H$31="Todos",'Plan mensual'!G9,0)))*parametros_manuales!$I$31*parametros_manuales!$J$31</f>
        <v>540.91934864205</v>
      </c>
      <c r="F14" s="14" t="n">
        <f aca="false">(parametros_manuales!$D$31*('Plan mensual'!H2+IF(parametros_manuales!$H$31="Todos",'Plan mensual'!H6,0))+parametros_manuales!$E$31*('Plan mensual'!H3+IF(parametros_manuales!$H$31="Todos",'Plan mensual'!H7,0))+parametros_manuales!$F$31*('Plan mensual'!H4+IF(parametros_manuales!$H$31="Todos",'Plan mensual'!H8,0))+parametros_manuales!$G$31*('Plan mensual'!H5+IF(parametros_manuales!$H$31="Todos",'Plan mensual'!H9,0)))*parametros_manuales!$I$31*parametros_manuales!$J$31</f>
        <v>506.6424831084</v>
      </c>
      <c r="G14" s="14" t="n">
        <f aca="false">(parametros_manuales!$D$31*('Plan mensual'!I2+IF(parametros_manuales!$H$31="Todos",'Plan mensual'!I6,0))+parametros_manuales!$E$31*('Plan mensual'!I3+IF(parametros_manuales!$H$31="Todos",'Plan mensual'!I7,0))+parametros_manuales!$F$31*('Plan mensual'!I4+IF(parametros_manuales!$H$31="Todos",'Plan mensual'!I8,0))+parametros_manuales!$G$31*('Plan mensual'!I5+IF(parametros_manuales!$H$31="Todos",'Plan mensual'!I9,0)))*parametros_manuales!$I$31*parametros_manuales!$J$31</f>
        <v>493.25930028975</v>
      </c>
      <c r="H14" s="14" t="n">
        <f aca="false">(parametros_manuales!$D$31*('Plan mensual'!J2+IF(parametros_manuales!$H$31="Todos",'Plan mensual'!J6,0))+parametros_manuales!$E$31*('Plan mensual'!J3+IF(parametros_manuales!$H$31="Todos",'Plan mensual'!J7,0))+parametros_manuales!$F$31*('Plan mensual'!J4+IF(parametros_manuales!$H$31="Todos",'Plan mensual'!J8,0))+parametros_manuales!$G$31*('Plan mensual'!J5+IF(parametros_manuales!$H$31="Todos",'Plan mensual'!J9,0)))*parametros_manuales!$I$31*parametros_manuales!$J$31</f>
        <v>527.5361658234</v>
      </c>
      <c r="I14" s="14" t="n">
        <f aca="false">(parametros_manuales!$D$31*('Plan mensual'!K2+IF(parametros_manuales!$H$31="Todos",'Plan mensual'!K6,0))+parametros_manuales!$E$31*('Plan mensual'!K3+IF(parametros_manuales!$H$31="Todos",'Plan mensual'!K7,0))+parametros_manuales!$F$31*('Plan mensual'!K4+IF(parametros_manuales!$H$31="Todos",'Plan mensual'!K8,0))+parametros_manuales!$G$31*('Plan mensual'!K5+IF(parametros_manuales!$H$31="Todos",'Plan mensual'!K9,0)))*parametros_manuales!$I$31*parametros_manuales!$J$31</f>
        <v>527.5361658234</v>
      </c>
      <c r="J14" s="14" t="n">
        <f aca="false">(parametros_manuales!$D$31*('Plan mensual'!L2+IF(parametros_manuales!$H$31="Todos",'Plan mensual'!L6,0))+parametros_manuales!$E$31*('Plan mensual'!L3+IF(parametros_manuales!$H$31="Todos",'Plan mensual'!L7,0))+parametros_manuales!$F$31*('Plan mensual'!L4+IF(parametros_manuales!$H$31="Todos",'Plan mensual'!L8,0))+parametros_manuales!$G$31*('Plan mensual'!L5+IF(parametros_manuales!$H$31="Todos",'Plan mensual'!L9,0)))*parametros_manuales!$I$31*parametros_manuales!$J$31</f>
        <v>527.5361658234</v>
      </c>
      <c r="K14" s="14" t="n">
        <f aca="false">(parametros_manuales!$D$31*('Plan mensual'!M2+IF(parametros_manuales!$H$31="Todos",'Plan mensual'!M6,0))+parametros_manuales!$E$31*('Plan mensual'!M3+IF(parametros_manuales!$H$31="Todos",'Plan mensual'!M7,0))+parametros_manuales!$F$31*('Plan mensual'!M4+IF(parametros_manuales!$H$31="Todos",'Plan mensual'!M8,0))+parametros_manuales!$G$31*('Plan mensual'!M5+IF(parametros_manuales!$H$31="Todos",'Plan mensual'!M9,0)))*parametros_manuales!$I$31*parametros_manuales!$J$31</f>
        <v>514.15298300475</v>
      </c>
      <c r="L14" s="14" t="n">
        <f aca="false">(parametros_manuales!$D$31*('Plan mensual'!N2+IF(parametros_manuales!$H$31="Todos",'Plan mensual'!N6,0))+parametros_manuales!$E$31*('Plan mensual'!N3+IF(parametros_manuales!$H$31="Todos",'Plan mensual'!N7,0))+parametros_manuales!$F$31*('Plan mensual'!N4+IF(parametros_manuales!$H$31="Todos",'Plan mensual'!N8,0))+parametros_manuales!$G$31*('Plan mensual'!N5+IF(parametros_manuales!$H$31="Todos",'Plan mensual'!N9,0)))*parametros_manuales!$I$31*parametros_manuales!$J$31</f>
        <v>500.7698001861</v>
      </c>
      <c r="M14" s="14" t="n">
        <f aca="false">(parametros_manuales!$D$31*('Plan mensual'!O2+IF(parametros_manuales!$H$31="Todos",'Plan mensual'!O6,0))+parametros_manuales!$E$31*('Plan mensual'!O3+IF(parametros_manuales!$H$31="Todos",'Plan mensual'!O7,0))+parametros_manuales!$F$31*('Plan mensual'!O4+IF(parametros_manuales!$H$31="Todos",'Plan mensual'!O8,0))+parametros_manuales!$G$31*('Plan mensual'!O5+IF(parametros_manuales!$H$31="Todos",'Plan mensual'!O9,0)))*parametros_manuales!$I$31*parametros_manuales!$J$31</f>
        <v>795.8784071703</v>
      </c>
      <c r="N14" s="14" t="n">
        <f aca="false">SUM(B14:M14)</f>
        <v>6855.37310673</v>
      </c>
      <c r="O14" s="14" t="n">
        <f aca="false">MAX(B14:M14)</f>
        <v>795.8784071703</v>
      </c>
      <c r="P14" s="57" t="n">
        <f aca="false">O14/(parametros_manuales!$B$7)</f>
        <v>5.305856047802</v>
      </c>
      <c r="Q14" s="13" t="str">
        <f aca="false">IF(O14=0,"-",INDEX($B$1:$M$1,MATCH(O14,B14:M14,0)))</f>
        <v>Dic</v>
      </c>
    </row>
    <row r="15" customFormat="false" ht="14.25" hidden="false" customHeight="true" outlineLevel="0" collapsed="false">
      <c r="A15" s="13" t="str">
        <f aca="false">parametros_manuales!$B$32</f>
        <v>Control de calidad — Espesor</v>
      </c>
      <c r="B15" s="14" t="n">
        <f aca="false">(parametros_manuales!$D$32*('Plan mensual'!D2+IF(parametros_manuales!$H$32="Todos",'Plan mensual'!D6,0))+parametros_manuales!$E$32*('Plan mensual'!D3+IF(parametros_manuales!$H$32="Todos",'Plan mensual'!D7,0))+parametros_manuales!$F$32*('Plan mensual'!D4+IF(parametros_manuales!$H$32="Todos",'Plan mensual'!D8,0))+parametros_manuales!$G$32*('Plan mensual'!D5+IF(parametros_manuales!$H$32="Todos",'Plan mensual'!D9,0)))*parametros_manuales!$I$32*parametros_manuales!$J$32</f>
        <v>15.38224083066</v>
      </c>
      <c r="C15" s="14" t="n">
        <f aca="false">(parametros_manuales!$D$32*('Plan mensual'!E2+IF(parametros_manuales!$H$32="Todos",'Plan mensual'!E6,0))+parametros_manuales!$E$32*('Plan mensual'!E3+IF(parametros_manuales!$H$32="Todos",'Plan mensual'!E7,0))+parametros_manuales!$F$32*('Plan mensual'!E4+IF(parametros_manuales!$H$32="Todos",'Plan mensual'!E8,0))+parametros_manuales!$G$32*('Plan mensual'!E5+IF(parametros_manuales!$H$32="Todos",'Plan mensual'!E9,0)))*parametros_manuales!$I$32*parametros_manuales!$J$32</f>
        <v>11.804344279368</v>
      </c>
      <c r="D15" s="14" t="n">
        <f aca="false">(parametros_manuales!$D$32*('Plan mensual'!F2+IF(parametros_manuales!$H$32="Todos",'Plan mensual'!F6,0))+parametros_manuales!$E$32*('Plan mensual'!F3+IF(parametros_manuales!$H$32="Todos",'Plan mensual'!F7,0))+parametros_manuales!$F$32*('Plan mensual'!F4+IF(parametros_manuales!$H$32="Todos",'Plan mensual'!F8,0))+parametros_manuales!$G$32*('Plan mensual'!F5+IF(parametros_manuales!$H$32="Todos",'Plan mensual'!F9,0)))*parametros_manuales!$I$32*parametros_manuales!$J$32</f>
        <v>11.236260627141</v>
      </c>
      <c r="E15" s="14" t="n">
        <f aca="false">(parametros_manuales!$D$32*('Plan mensual'!G2+IF(parametros_manuales!$H$32="Todos",'Plan mensual'!G6,0))+parametros_manuales!$E$32*('Plan mensual'!G3+IF(parametros_manuales!$H$32="Todos",'Plan mensual'!G7,0))+parametros_manuales!$F$32*('Plan mensual'!G4+IF(parametros_manuales!$H$32="Todos",'Plan mensual'!G8,0))+parametros_manuales!$G$32*('Plan mensual'!G5+IF(parametros_manuales!$H$32="Todos",'Plan mensual'!G9,0)))*parametros_manuales!$I$32*parametros_manuales!$J$32</f>
        <v>10.818386972841</v>
      </c>
      <c r="F15" s="14" t="n">
        <f aca="false">(parametros_manuales!$D$32*('Plan mensual'!H2+IF(parametros_manuales!$H$32="Todos",'Plan mensual'!H6,0))+parametros_manuales!$E$32*('Plan mensual'!H3+IF(parametros_manuales!$H$32="Todos",'Plan mensual'!H7,0))+parametros_manuales!$F$32*('Plan mensual'!H4+IF(parametros_manuales!$H$32="Todos",'Plan mensual'!H8,0))+parametros_manuales!$G$32*('Plan mensual'!H5+IF(parametros_manuales!$H$32="Todos",'Plan mensual'!H9,0)))*parametros_manuales!$I$32*parametros_manuales!$J$32</f>
        <v>10.132849662168</v>
      </c>
      <c r="G15" s="14" t="n">
        <f aca="false">(parametros_manuales!$D$32*('Plan mensual'!I2+IF(parametros_manuales!$H$32="Todos",'Plan mensual'!I6,0))+parametros_manuales!$E$32*('Plan mensual'!I3+IF(parametros_manuales!$H$32="Todos",'Plan mensual'!I7,0))+parametros_manuales!$F$32*('Plan mensual'!I4+IF(parametros_manuales!$H$32="Todos",'Plan mensual'!I8,0))+parametros_manuales!$G$32*('Plan mensual'!I5+IF(parametros_manuales!$H$32="Todos",'Plan mensual'!I9,0)))*parametros_manuales!$I$32*parametros_manuales!$J$32</f>
        <v>9.865186005795</v>
      </c>
      <c r="H15" s="14" t="n">
        <f aca="false">(parametros_manuales!$D$32*('Plan mensual'!J2+IF(parametros_manuales!$H$32="Todos",'Plan mensual'!J6,0))+parametros_manuales!$E$32*('Plan mensual'!J3+IF(parametros_manuales!$H$32="Todos",'Plan mensual'!J7,0))+parametros_manuales!$F$32*('Plan mensual'!J4+IF(parametros_manuales!$H$32="Todos",'Plan mensual'!J8,0))+parametros_manuales!$G$32*('Plan mensual'!J5+IF(parametros_manuales!$H$32="Todos",'Plan mensual'!J9,0)))*parametros_manuales!$I$32*parametros_manuales!$J$32</f>
        <v>10.550723316468</v>
      </c>
      <c r="I15" s="14" t="n">
        <f aca="false">(parametros_manuales!$D$32*('Plan mensual'!K2+IF(parametros_manuales!$H$32="Todos",'Plan mensual'!K6,0))+parametros_manuales!$E$32*('Plan mensual'!K3+IF(parametros_manuales!$H$32="Todos",'Plan mensual'!K7,0))+parametros_manuales!$F$32*('Plan mensual'!K4+IF(parametros_manuales!$H$32="Todos",'Plan mensual'!K8,0))+parametros_manuales!$G$32*('Plan mensual'!K5+IF(parametros_manuales!$H$32="Todos",'Plan mensual'!K9,0)))*parametros_manuales!$I$32*parametros_manuales!$J$32</f>
        <v>10.550723316468</v>
      </c>
      <c r="J15" s="14" t="n">
        <f aca="false">(parametros_manuales!$D$32*('Plan mensual'!L2+IF(parametros_manuales!$H$32="Todos",'Plan mensual'!L6,0))+parametros_manuales!$E$32*('Plan mensual'!L3+IF(parametros_manuales!$H$32="Todos",'Plan mensual'!L7,0))+parametros_manuales!$F$32*('Plan mensual'!L4+IF(parametros_manuales!$H$32="Todos",'Plan mensual'!L8,0))+parametros_manuales!$G$32*('Plan mensual'!L5+IF(parametros_manuales!$H$32="Todos",'Plan mensual'!L9,0)))*parametros_manuales!$I$32*parametros_manuales!$J$32</f>
        <v>10.550723316468</v>
      </c>
      <c r="K15" s="14" t="n">
        <f aca="false">(parametros_manuales!$D$32*('Plan mensual'!M2+IF(parametros_manuales!$H$32="Todos",'Plan mensual'!M6,0))+parametros_manuales!$E$32*('Plan mensual'!M3+IF(parametros_manuales!$H$32="Todos",'Plan mensual'!M7,0))+parametros_manuales!$F$32*('Plan mensual'!M4+IF(parametros_manuales!$H$32="Todos",'Plan mensual'!M8,0))+parametros_manuales!$G$32*('Plan mensual'!M5+IF(parametros_manuales!$H$32="Todos",'Plan mensual'!M9,0)))*parametros_manuales!$I$32*parametros_manuales!$J$32</f>
        <v>10.283059660095</v>
      </c>
      <c r="L15" s="14" t="n">
        <f aca="false">(parametros_manuales!$D$32*('Plan mensual'!N2+IF(parametros_manuales!$H$32="Todos",'Plan mensual'!N6,0))+parametros_manuales!$E$32*('Plan mensual'!N3+IF(parametros_manuales!$H$32="Todos",'Plan mensual'!N7,0))+parametros_manuales!$F$32*('Plan mensual'!N4+IF(parametros_manuales!$H$32="Todos",'Plan mensual'!N8,0))+parametros_manuales!$G$32*('Plan mensual'!N5+IF(parametros_manuales!$H$32="Todos",'Plan mensual'!N9,0)))*parametros_manuales!$I$32*parametros_manuales!$J$32</f>
        <v>10.015396003722</v>
      </c>
      <c r="M15" s="14" t="n">
        <f aca="false">(parametros_manuales!$D$32*('Plan mensual'!O2+IF(parametros_manuales!$H$32="Todos",'Plan mensual'!O6,0))+parametros_manuales!$E$32*('Plan mensual'!O3+IF(parametros_manuales!$H$32="Todos",'Plan mensual'!O7,0))+parametros_manuales!$F$32*('Plan mensual'!O4+IF(parametros_manuales!$H$32="Todos",'Plan mensual'!O8,0))+parametros_manuales!$G$32*('Plan mensual'!O5+IF(parametros_manuales!$H$32="Todos",'Plan mensual'!O9,0)))*parametros_manuales!$I$32*parametros_manuales!$J$32</f>
        <v>15.917568143406</v>
      </c>
      <c r="N15" s="14" t="n">
        <f aca="false">SUM(B15:M15)</f>
        <v>137.1074621346</v>
      </c>
      <c r="O15" s="14" t="n">
        <f aca="false">MAX(B15:M15)</f>
        <v>15.917568143406</v>
      </c>
      <c r="P15" s="57" t="n">
        <f aca="false">O15/(parametros_manuales!$B$7)</f>
        <v>0.10611712095604</v>
      </c>
      <c r="Q15" s="13" t="str">
        <f aca="false">IF(O15=0,"-",INDEX($B$1:$M$1,MATCH(O15,B15:M15,0)))</f>
        <v>Dic</v>
      </c>
    </row>
    <row r="16" customFormat="false" ht="14.25" hidden="false" customHeight="true" outlineLevel="0" collapsed="false">
      <c r="A16" s="13" t="str">
        <f aca="false">parametros_manuales!$B$33</f>
        <v>Prueba hidráulica</v>
      </c>
      <c r="B16" s="14" t="n">
        <f aca="false">(parametros_manuales!$D$33*('Plan mensual'!D2+IF(parametros_manuales!$H$33="Todos",'Plan mensual'!D6,0))+parametros_manuales!$E$33*('Plan mensual'!D3+IF(parametros_manuales!$H$33="Todos",'Plan mensual'!D7,0))+parametros_manuales!$F$33*('Plan mensual'!D4+IF(parametros_manuales!$H$33="Todos",'Plan mensual'!D8,0))+parametros_manuales!$G$33*('Plan mensual'!D5+IF(parametros_manuales!$H$33="Todos",'Plan mensual'!D9,0)))*parametros_manuales!$I$33*parametros_manuales!$J$33</f>
        <v>769.112041533</v>
      </c>
      <c r="C16" s="14" t="n">
        <f aca="false">(parametros_manuales!$D$33*('Plan mensual'!E2+IF(parametros_manuales!$H$33="Todos",'Plan mensual'!E6,0))+parametros_manuales!$E$33*('Plan mensual'!E3+IF(parametros_manuales!$H$33="Todos",'Plan mensual'!E7,0))+parametros_manuales!$F$33*('Plan mensual'!E4+IF(parametros_manuales!$H$33="Todos",'Plan mensual'!E8,0))+parametros_manuales!$G$33*('Plan mensual'!E5+IF(parametros_manuales!$H$33="Todos",'Plan mensual'!E9,0)))*parametros_manuales!$I$33*parametros_manuales!$J$33</f>
        <v>590.2172139684</v>
      </c>
      <c r="D16" s="14" t="n">
        <f aca="false">(parametros_manuales!$D$33*('Plan mensual'!F2+IF(parametros_manuales!$H$33="Todos",'Plan mensual'!F6,0))+parametros_manuales!$E$33*('Plan mensual'!F3+IF(parametros_manuales!$H$33="Todos",'Plan mensual'!F7,0))+parametros_manuales!$F$33*('Plan mensual'!F4+IF(parametros_manuales!$H$33="Todos",'Plan mensual'!F8,0))+parametros_manuales!$G$33*('Plan mensual'!F5+IF(parametros_manuales!$H$33="Todos",'Plan mensual'!F9,0)))*parametros_manuales!$I$33*parametros_manuales!$J$33</f>
        <v>561.81303135705</v>
      </c>
      <c r="E16" s="14" t="n">
        <f aca="false">(parametros_manuales!$D$33*('Plan mensual'!G2+IF(parametros_manuales!$H$33="Todos",'Plan mensual'!G6,0))+parametros_manuales!$E$33*('Plan mensual'!G3+IF(parametros_manuales!$H$33="Todos",'Plan mensual'!G7,0))+parametros_manuales!$F$33*('Plan mensual'!G4+IF(parametros_manuales!$H$33="Todos",'Plan mensual'!G8,0))+parametros_manuales!$G$33*('Plan mensual'!G5+IF(parametros_manuales!$H$33="Todos",'Plan mensual'!G9,0)))*parametros_manuales!$I$33*parametros_manuales!$J$33</f>
        <v>540.91934864205</v>
      </c>
      <c r="F16" s="14" t="n">
        <f aca="false">(parametros_manuales!$D$33*('Plan mensual'!H2+IF(parametros_manuales!$H$33="Todos",'Plan mensual'!H6,0))+parametros_manuales!$E$33*('Plan mensual'!H3+IF(parametros_manuales!$H$33="Todos",'Plan mensual'!H7,0))+parametros_manuales!$F$33*('Plan mensual'!H4+IF(parametros_manuales!$H$33="Todos",'Plan mensual'!H8,0))+parametros_manuales!$G$33*('Plan mensual'!H5+IF(parametros_manuales!$H$33="Todos",'Plan mensual'!H9,0)))*parametros_manuales!$I$33*parametros_manuales!$J$33</f>
        <v>506.6424831084</v>
      </c>
      <c r="G16" s="14" t="n">
        <f aca="false">(parametros_manuales!$D$33*('Plan mensual'!I2+IF(parametros_manuales!$H$33="Todos",'Plan mensual'!I6,0))+parametros_manuales!$E$33*('Plan mensual'!I3+IF(parametros_manuales!$H$33="Todos",'Plan mensual'!I7,0))+parametros_manuales!$F$33*('Plan mensual'!I4+IF(parametros_manuales!$H$33="Todos",'Plan mensual'!I8,0))+parametros_manuales!$G$33*('Plan mensual'!I5+IF(parametros_manuales!$H$33="Todos",'Plan mensual'!I9,0)))*parametros_manuales!$I$33*parametros_manuales!$J$33</f>
        <v>493.25930028975</v>
      </c>
      <c r="H16" s="14" t="n">
        <f aca="false">(parametros_manuales!$D$33*('Plan mensual'!J2+IF(parametros_manuales!$H$33="Todos",'Plan mensual'!J6,0))+parametros_manuales!$E$33*('Plan mensual'!J3+IF(parametros_manuales!$H$33="Todos",'Plan mensual'!J7,0))+parametros_manuales!$F$33*('Plan mensual'!J4+IF(parametros_manuales!$H$33="Todos",'Plan mensual'!J8,0))+parametros_manuales!$G$33*('Plan mensual'!J5+IF(parametros_manuales!$H$33="Todos",'Plan mensual'!J9,0)))*parametros_manuales!$I$33*parametros_manuales!$J$33</f>
        <v>527.5361658234</v>
      </c>
      <c r="I16" s="14" t="n">
        <f aca="false">(parametros_manuales!$D$33*('Plan mensual'!K2+IF(parametros_manuales!$H$33="Todos",'Plan mensual'!K6,0))+parametros_manuales!$E$33*('Plan mensual'!K3+IF(parametros_manuales!$H$33="Todos",'Plan mensual'!K7,0))+parametros_manuales!$F$33*('Plan mensual'!K4+IF(parametros_manuales!$H$33="Todos",'Plan mensual'!K8,0))+parametros_manuales!$G$33*('Plan mensual'!K5+IF(parametros_manuales!$H$33="Todos",'Plan mensual'!K9,0)))*parametros_manuales!$I$33*parametros_manuales!$J$33</f>
        <v>527.5361658234</v>
      </c>
      <c r="J16" s="14" t="n">
        <f aca="false">(parametros_manuales!$D$33*('Plan mensual'!L2+IF(parametros_manuales!$H$33="Todos",'Plan mensual'!L6,0))+parametros_manuales!$E$33*('Plan mensual'!L3+IF(parametros_manuales!$H$33="Todos",'Plan mensual'!L7,0))+parametros_manuales!$F$33*('Plan mensual'!L4+IF(parametros_manuales!$H$33="Todos",'Plan mensual'!L8,0))+parametros_manuales!$G$33*('Plan mensual'!L5+IF(parametros_manuales!$H$33="Todos",'Plan mensual'!L9,0)))*parametros_manuales!$I$33*parametros_manuales!$J$33</f>
        <v>527.5361658234</v>
      </c>
      <c r="K16" s="14" t="n">
        <f aca="false">(parametros_manuales!$D$33*('Plan mensual'!M2+IF(parametros_manuales!$H$33="Todos",'Plan mensual'!M6,0))+parametros_manuales!$E$33*('Plan mensual'!M3+IF(parametros_manuales!$H$33="Todos",'Plan mensual'!M7,0))+parametros_manuales!$F$33*('Plan mensual'!M4+IF(parametros_manuales!$H$33="Todos",'Plan mensual'!M8,0))+parametros_manuales!$G$33*('Plan mensual'!M5+IF(parametros_manuales!$H$33="Todos",'Plan mensual'!M9,0)))*parametros_manuales!$I$33*parametros_manuales!$J$33</f>
        <v>514.15298300475</v>
      </c>
      <c r="L16" s="14" t="n">
        <f aca="false">(parametros_manuales!$D$33*('Plan mensual'!N2+IF(parametros_manuales!$H$33="Todos",'Plan mensual'!N6,0))+parametros_manuales!$E$33*('Plan mensual'!N3+IF(parametros_manuales!$H$33="Todos",'Plan mensual'!N7,0))+parametros_manuales!$F$33*('Plan mensual'!N4+IF(parametros_manuales!$H$33="Todos",'Plan mensual'!N8,0))+parametros_manuales!$G$33*('Plan mensual'!N5+IF(parametros_manuales!$H$33="Todos",'Plan mensual'!N9,0)))*parametros_manuales!$I$33*parametros_manuales!$J$33</f>
        <v>500.7698001861</v>
      </c>
      <c r="M16" s="14" t="n">
        <f aca="false">(parametros_manuales!$D$33*('Plan mensual'!O2+IF(parametros_manuales!$H$33="Todos",'Plan mensual'!O6,0))+parametros_manuales!$E$33*('Plan mensual'!O3+IF(parametros_manuales!$H$33="Todos",'Plan mensual'!O7,0))+parametros_manuales!$F$33*('Plan mensual'!O4+IF(parametros_manuales!$H$33="Todos",'Plan mensual'!O8,0))+parametros_manuales!$G$33*('Plan mensual'!O5+IF(parametros_manuales!$H$33="Todos",'Plan mensual'!O9,0)))*parametros_manuales!$I$33*parametros_manuales!$J$33</f>
        <v>795.8784071703</v>
      </c>
      <c r="N16" s="14" t="n">
        <f aca="false">SUM(B16:M16)</f>
        <v>6855.37310673</v>
      </c>
      <c r="O16" s="14" t="n">
        <f aca="false">MAX(B16:M16)</f>
        <v>795.8784071703</v>
      </c>
      <c r="P16" s="57" t="n">
        <f aca="false">O16/(parametros_manuales!$B$7)</f>
        <v>5.305856047802</v>
      </c>
      <c r="Q16" s="13" t="str">
        <f aca="false">IF(O16=0,"-",INDEX($B$1:$M$1,MATCH(O16,B16:M16,0)))</f>
        <v>Dic</v>
      </c>
    </row>
    <row r="17" customFormat="false" ht="14.25" hidden="false" customHeight="true" outlineLevel="0" collapsed="false">
      <c r="A17" s="13" t="str">
        <f aca="false">parametros_manuales!$B$34</f>
        <v>Secado</v>
      </c>
      <c r="B17" s="14" t="n">
        <f aca="false">(parametros_manuales!$D$34*('Plan mensual'!D2+IF(parametros_manuales!$H$34="Todos",'Plan mensual'!D6,0))+parametros_manuales!$E$34*('Plan mensual'!D3+IF(parametros_manuales!$H$34="Todos",'Plan mensual'!D7,0))+parametros_manuales!$F$34*('Plan mensual'!D4+IF(parametros_manuales!$H$34="Todos",'Plan mensual'!D8,0))+parametros_manuales!$G$34*('Plan mensual'!D5+IF(parametros_manuales!$H$34="Todos",'Plan mensual'!D9,0)))*parametros_manuales!$I$34*parametros_manuales!$J$34</f>
        <v>769.112041533</v>
      </c>
      <c r="C17" s="14" t="n">
        <f aca="false">(parametros_manuales!$D$34*('Plan mensual'!E2+IF(parametros_manuales!$H$34="Todos",'Plan mensual'!E6,0))+parametros_manuales!$E$34*('Plan mensual'!E3+IF(parametros_manuales!$H$34="Todos",'Plan mensual'!E7,0))+parametros_manuales!$F$34*('Plan mensual'!E4+IF(parametros_manuales!$H$34="Todos",'Plan mensual'!E8,0))+parametros_manuales!$G$34*('Plan mensual'!E5+IF(parametros_manuales!$H$34="Todos",'Plan mensual'!E9,0)))*parametros_manuales!$I$34*parametros_manuales!$J$34</f>
        <v>590.2172139684</v>
      </c>
      <c r="D17" s="14" t="n">
        <f aca="false">(parametros_manuales!$D$34*('Plan mensual'!F2+IF(parametros_manuales!$H$34="Todos",'Plan mensual'!F6,0))+parametros_manuales!$E$34*('Plan mensual'!F3+IF(parametros_manuales!$H$34="Todos",'Plan mensual'!F7,0))+parametros_manuales!$F$34*('Plan mensual'!F4+IF(parametros_manuales!$H$34="Todos",'Plan mensual'!F8,0))+parametros_manuales!$G$34*('Plan mensual'!F5+IF(parametros_manuales!$H$34="Todos",'Plan mensual'!F9,0)))*parametros_manuales!$I$34*parametros_manuales!$J$34</f>
        <v>561.81303135705</v>
      </c>
      <c r="E17" s="14" t="n">
        <f aca="false">(parametros_manuales!$D$34*('Plan mensual'!G2+IF(parametros_manuales!$H$34="Todos",'Plan mensual'!G6,0))+parametros_manuales!$E$34*('Plan mensual'!G3+IF(parametros_manuales!$H$34="Todos",'Plan mensual'!G7,0))+parametros_manuales!$F$34*('Plan mensual'!G4+IF(parametros_manuales!$H$34="Todos",'Plan mensual'!G8,0))+parametros_manuales!$G$34*('Plan mensual'!G5+IF(parametros_manuales!$H$34="Todos",'Plan mensual'!G9,0)))*parametros_manuales!$I$34*parametros_manuales!$J$34</f>
        <v>540.91934864205</v>
      </c>
      <c r="F17" s="14" t="n">
        <f aca="false">(parametros_manuales!$D$34*('Plan mensual'!H2+IF(parametros_manuales!$H$34="Todos",'Plan mensual'!H6,0))+parametros_manuales!$E$34*('Plan mensual'!H3+IF(parametros_manuales!$H$34="Todos",'Plan mensual'!H7,0))+parametros_manuales!$F$34*('Plan mensual'!H4+IF(parametros_manuales!$H$34="Todos",'Plan mensual'!H8,0))+parametros_manuales!$G$34*('Plan mensual'!H5+IF(parametros_manuales!$H$34="Todos",'Plan mensual'!H9,0)))*parametros_manuales!$I$34*parametros_manuales!$J$34</f>
        <v>506.6424831084</v>
      </c>
      <c r="G17" s="14" t="n">
        <f aca="false">(parametros_manuales!$D$34*('Plan mensual'!I2+IF(parametros_manuales!$H$34="Todos",'Plan mensual'!I6,0))+parametros_manuales!$E$34*('Plan mensual'!I3+IF(parametros_manuales!$H$34="Todos",'Plan mensual'!I7,0))+parametros_manuales!$F$34*('Plan mensual'!I4+IF(parametros_manuales!$H$34="Todos",'Plan mensual'!I8,0))+parametros_manuales!$G$34*('Plan mensual'!I5+IF(parametros_manuales!$H$34="Todos",'Plan mensual'!I9,0)))*parametros_manuales!$I$34*parametros_manuales!$J$34</f>
        <v>493.25930028975</v>
      </c>
      <c r="H17" s="14" t="n">
        <f aca="false">(parametros_manuales!$D$34*('Plan mensual'!J2+IF(parametros_manuales!$H$34="Todos",'Plan mensual'!J6,0))+parametros_manuales!$E$34*('Plan mensual'!J3+IF(parametros_manuales!$H$34="Todos",'Plan mensual'!J7,0))+parametros_manuales!$F$34*('Plan mensual'!J4+IF(parametros_manuales!$H$34="Todos",'Plan mensual'!J8,0))+parametros_manuales!$G$34*('Plan mensual'!J5+IF(parametros_manuales!$H$34="Todos",'Plan mensual'!J9,0)))*parametros_manuales!$I$34*parametros_manuales!$J$34</f>
        <v>527.5361658234</v>
      </c>
      <c r="I17" s="14" t="n">
        <f aca="false">(parametros_manuales!$D$34*('Plan mensual'!K2+IF(parametros_manuales!$H$34="Todos",'Plan mensual'!K6,0))+parametros_manuales!$E$34*('Plan mensual'!K3+IF(parametros_manuales!$H$34="Todos",'Plan mensual'!K7,0))+parametros_manuales!$F$34*('Plan mensual'!K4+IF(parametros_manuales!$H$34="Todos",'Plan mensual'!K8,0))+parametros_manuales!$G$34*('Plan mensual'!K5+IF(parametros_manuales!$H$34="Todos",'Plan mensual'!K9,0)))*parametros_manuales!$I$34*parametros_manuales!$J$34</f>
        <v>527.5361658234</v>
      </c>
      <c r="J17" s="14" t="n">
        <f aca="false">(parametros_manuales!$D$34*('Plan mensual'!L2+IF(parametros_manuales!$H$34="Todos",'Plan mensual'!L6,0))+parametros_manuales!$E$34*('Plan mensual'!L3+IF(parametros_manuales!$H$34="Todos",'Plan mensual'!L7,0))+parametros_manuales!$F$34*('Plan mensual'!L4+IF(parametros_manuales!$H$34="Todos",'Plan mensual'!L8,0))+parametros_manuales!$G$34*('Plan mensual'!L5+IF(parametros_manuales!$H$34="Todos",'Plan mensual'!L9,0)))*parametros_manuales!$I$34*parametros_manuales!$J$34</f>
        <v>527.5361658234</v>
      </c>
      <c r="K17" s="14" t="n">
        <f aca="false">(parametros_manuales!$D$34*('Plan mensual'!M2+IF(parametros_manuales!$H$34="Todos",'Plan mensual'!M6,0))+parametros_manuales!$E$34*('Plan mensual'!M3+IF(parametros_manuales!$H$34="Todos",'Plan mensual'!M7,0))+parametros_manuales!$F$34*('Plan mensual'!M4+IF(parametros_manuales!$H$34="Todos",'Plan mensual'!M8,0))+parametros_manuales!$G$34*('Plan mensual'!M5+IF(parametros_manuales!$H$34="Todos",'Plan mensual'!M9,0)))*parametros_manuales!$I$34*parametros_manuales!$J$34</f>
        <v>514.15298300475</v>
      </c>
      <c r="L17" s="14" t="n">
        <f aca="false">(parametros_manuales!$D$34*('Plan mensual'!N2+IF(parametros_manuales!$H$34="Todos",'Plan mensual'!N6,0))+parametros_manuales!$E$34*('Plan mensual'!N3+IF(parametros_manuales!$H$34="Todos",'Plan mensual'!N7,0))+parametros_manuales!$F$34*('Plan mensual'!N4+IF(parametros_manuales!$H$34="Todos",'Plan mensual'!N8,0))+parametros_manuales!$G$34*('Plan mensual'!N5+IF(parametros_manuales!$H$34="Todos",'Plan mensual'!N9,0)))*parametros_manuales!$I$34*parametros_manuales!$J$34</f>
        <v>500.7698001861</v>
      </c>
      <c r="M17" s="14" t="n">
        <f aca="false">(parametros_manuales!$D$34*('Plan mensual'!O2+IF(parametros_manuales!$H$34="Todos",'Plan mensual'!O6,0))+parametros_manuales!$E$34*('Plan mensual'!O3+IF(parametros_manuales!$H$34="Todos",'Plan mensual'!O7,0))+parametros_manuales!$F$34*('Plan mensual'!O4+IF(parametros_manuales!$H$34="Todos",'Plan mensual'!O8,0))+parametros_manuales!$G$34*('Plan mensual'!O5+IF(parametros_manuales!$H$34="Todos",'Plan mensual'!O9,0)))*parametros_manuales!$I$34*parametros_manuales!$J$34</f>
        <v>795.8784071703</v>
      </c>
      <c r="N17" s="14" t="n">
        <f aca="false">SUM(B17:M17)</f>
        <v>6855.37310673</v>
      </c>
      <c r="O17" s="14" t="n">
        <f aca="false">MAX(B17:M17)</f>
        <v>795.8784071703</v>
      </c>
      <c r="P17" s="57" t="n">
        <f aca="false">O17/(parametros_manuales!$B$7)</f>
        <v>5.305856047802</v>
      </c>
      <c r="Q17" s="13" t="str">
        <f aca="false">IF(O17=0,"-",INDEX($B$1:$M$1,MATCH(O17,B17:M17,0)))</f>
        <v>Dic</v>
      </c>
    </row>
    <row r="18" customFormat="false" ht="14.25" hidden="false" customHeight="true" outlineLevel="0" collapsed="false">
      <c r="A18" s="13" t="str">
        <f aca="false">parametros_manuales!$B$35</f>
        <v>Granallado</v>
      </c>
      <c r="B18" s="14" t="n">
        <f aca="false">(parametros_manuales!$D$35*('Plan mensual'!D2+IF(parametros_manuales!$H$35="Todos",'Plan mensual'!D6,0))+parametros_manuales!$E$35*('Plan mensual'!D3+IF(parametros_manuales!$H$35="Todos",'Plan mensual'!D7,0))+parametros_manuales!$F$35*('Plan mensual'!D4+IF(parametros_manuales!$H$35="Todos",'Plan mensual'!D8,0))+parametros_manuales!$G$35*('Plan mensual'!D5+IF(parametros_manuales!$H$35="Todos",'Plan mensual'!D9,0)))*parametros_manuales!$I$35*parametros_manuales!$J$35</f>
        <v>769.112041533</v>
      </c>
      <c r="C18" s="14" t="n">
        <f aca="false">(parametros_manuales!$D$35*('Plan mensual'!E2+IF(parametros_manuales!$H$35="Todos",'Plan mensual'!E6,0))+parametros_manuales!$E$35*('Plan mensual'!E3+IF(parametros_manuales!$H$35="Todos",'Plan mensual'!E7,0))+parametros_manuales!$F$35*('Plan mensual'!E4+IF(parametros_manuales!$H$35="Todos",'Plan mensual'!E8,0))+parametros_manuales!$G$35*('Plan mensual'!E5+IF(parametros_manuales!$H$35="Todos",'Plan mensual'!E9,0)))*parametros_manuales!$I$35*parametros_manuales!$J$35</f>
        <v>590.2172139684</v>
      </c>
      <c r="D18" s="14" t="n">
        <f aca="false">(parametros_manuales!$D$35*('Plan mensual'!F2+IF(parametros_manuales!$H$35="Todos",'Plan mensual'!F6,0))+parametros_manuales!$E$35*('Plan mensual'!F3+IF(parametros_manuales!$H$35="Todos",'Plan mensual'!F7,0))+parametros_manuales!$F$35*('Plan mensual'!F4+IF(parametros_manuales!$H$35="Todos",'Plan mensual'!F8,0))+parametros_manuales!$G$35*('Plan mensual'!F5+IF(parametros_manuales!$H$35="Todos",'Plan mensual'!F9,0)))*parametros_manuales!$I$35*parametros_manuales!$J$35</f>
        <v>561.81303135705</v>
      </c>
      <c r="E18" s="14" t="n">
        <f aca="false">(parametros_manuales!$D$35*('Plan mensual'!G2+IF(parametros_manuales!$H$35="Todos",'Plan mensual'!G6,0))+parametros_manuales!$E$35*('Plan mensual'!G3+IF(parametros_manuales!$H$35="Todos",'Plan mensual'!G7,0))+parametros_manuales!$F$35*('Plan mensual'!G4+IF(parametros_manuales!$H$35="Todos",'Plan mensual'!G8,0))+parametros_manuales!$G$35*('Plan mensual'!G5+IF(parametros_manuales!$H$35="Todos",'Plan mensual'!G9,0)))*parametros_manuales!$I$35*parametros_manuales!$J$35</f>
        <v>540.91934864205</v>
      </c>
      <c r="F18" s="14" t="n">
        <f aca="false">(parametros_manuales!$D$35*('Plan mensual'!H2+IF(parametros_manuales!$H$35="Todos",'Plan mensual'!H6,0))+parametros_manuales!$E$35*('Plan mensual'!H3+IF(parametros_manuales!$H$35="Todos",'Plan mensual'!H7,0))+parametros_manuales!$F$35*('Plan mensual'!H4+IF(parametros_manuales!$H$35="Todos",'Plan mensual'!H8,0))+parametros_manuales!$G$35*('Plan mensual'!H5+IF(parametros_manuales!$H$35="Todos",'Plan mensual'!H9,0)))*parametros_manuales!$I$35*parametros_manuales!$J$35</f>
        <v>506.6424831084</v>
      </c>
      <c r="G18" s="14" t="n">
        <f aca="false">(parametros_manuales!$D$35*('Plan mensual'!I2+IF(parametros_manuales!$H$35="Todos",'Plan mensual'!I6,0))+parametros_manuales!$E$35*('Plan mensual'!I3+IF(parametros_manuales!$H$35="Todos",'Plan mensual'!I7,0))+parametros_manuales!$F$35*('Plan mensual'!I4+IF(parametros_manuales!$H$35="Todos",'Plan mensual'!I8,0))+parametros_manuales!$G$35*('Plan mensual'!I5+IF(parametros_manuales!$H$35="Todos",'Plan mensual'!I9,0)))*parametros_manuales!$I$35*parametros_manuales!$J$35</f>
        <v>493.25930028975</v>
      </c>
      <c r="H18" s="14" t="n">
        <f aca="false">(parametros_manuales!$D$35*('Plan mensual'!J2+IF(parametros_manuales!$H$35="Todos",'Plan mensual'!J6,0))+parametros_manuales!$E$35*('Plan mensual'!J3+IF(parametros_manuales!$H$35="Todos",'Plan mensual'!J7,0))+parametros_manuales!$F$35*('Plan mensual'!J4+IF(parametros_manuales!$H$35="Todos",'Plan mensual'!J8,0))+parametros_manuales!$G$35*('Plan mensual'!J5+IF(parametros_manuales!$H$35="Todos",'Plan mensual'!J9,0)))*parametros_manuales!$I$35*parametros_manuales!$J$35</f>
        <v>527.5361658234</v>
      </c>
      <c r="I18" s="14" t="n">
        <f aca="false">(parametros_manuales!$D$35*('Plan mensual'!K2+IF(parametros_manuales!$H$35="Todos",'Plan mensual'!K6,0))+parametros_manuales!$E$35*('Plan mensual'!K3+IF(parametros_manuales!$H$35="Todos",'Plan mensual'!K7,0))+parametros_manuales!$F$35*('Plan mensual'!K4+IF(parametros_manuales!$H$35="Todos",'Plan mensual'!K8,0))+parametros_manuales!$G$35*('Plan mensual'!K5+IF(parametros_manuales!$H$35="Todos",'Plan mensual'!K9,0)))*parametros_manuales!$I$35*parametros_manuales!$J$35</f>
        <v>527.5361658234</v>
      </c>
      <c r="J18" s="14" t="n">
        <f aca="false">(parametros_manuales!$D$35*('Plan mensual'!L2+IF(parametros_manuales!$H$35="Todos",'Plan mensual'!L6,0))+parametros_manuales!$E$35*('Plan mensual'!L3+IF(parametros_manuales!$H$35="Todos",'Plan mensual'!L7,0))+parametros_manuales!$F$35*('Plan mensual'!L4+IF(parametros_manuales!$H$35="Todos",'Plan mensual'!L8,0))+parametros_manuales!$G$35*('Plan mensual'!L5+IF(parametros_manuales!$H$35="Todos",'Plan mensual'!L9,0)))*parametros_manuales!$I$35*parametros_manuales!$J$35</f>
        <v>527.5361658234</v>
      </c>
      <c r="K18" s="14" t="n">
        <f aca="false">(parametros_manuales!$D$35*('Plan mensual'!M2+IF(parametros_manuales!$H$35="Todos",'Plan mensual'!M6,0))+parametros_manuales!$E$35*('Plan mensual'!M3+IF(parametros_manuales!$H$35="Todos",'Plan mensual'!M7,0))+parametros_manuales!$F$35*('Plan mensual'!M4+IF(parametros_manuales!$H$35="Todos",'Plan mensual'!M8,0))+parametros_manuales!$G$35*('Plan mensual'!M5+IF(parametros_manuales!$H$35="Todos",'Plan mensual'!M9,0)))*parametros_manuales!$I$35*parametros_manuales!$J$35</f>
        <v>514.15298300475</v>
      </c>
      <c r="L18" s="14" t="n">
        <f aca="false">(parametros_manuales!$D$35*('Plan mensual'!N2+IF(parametros_manuales!$H$35="Todos",'Plan mensual'!N6,0))+parametros_manuales!$E$35*('Plan mensual'!N3+IF(parametros_manuales!$H$35="Todos",'Plan mensual'!N7,0))+parametros_manuales!$F$35*('Plan mensual'!N4+IF(parametros_manuales!$H$35="Todos",'Plan mensual'!N8,0))+parametros_manuales!$G$35*('Plan mensual'!N5+IF(parametros_manuales!$H$35="Todos",'Plan mensual'!N9,0)))*parametros_manuales!$I$35*parametros_manuales!$J$35</f>
        <v>500.7698001861</v>
      </c>
      <c r="M18" s="14" t="n">
        <f aca="false">(parametros_manuales!$D$35*('Plan mensual'!O2+IF(parametros_manuales!$H$35="Todos",'Plan mensual'!O6,0))+parametros_manuales!$E$35*('Plan mensual'!O3+IF(parametros_manuales!$H$35="Todos",'Plan mensual'!O7,0))+parametros_manuales!$F$35*('Plan mensual'!O4+IF(parametros_manuales!$H$35="Todos",'Plan mensual'!O8,0))+parametros_manuales!$G$35*('Plan mensual'!O5+IF(parametros_manuales!$H$35="Todos",'Plan mensual'!O9,0)))*parametros_manuales!$I$35*parametros_manuales!$J$35</f>
        <v>795.8784071703</v>
      </c>
      <c r="N18" s="14" t="n">
        <f aca="false">SUM(B18:M18)</f>
        <v>6855.37310673</v>
      </c>
      <c r="O18" s="14" t="n">
        <f aca="false">MAX(B18:M18)</f>
        <v>795.8784071703</v>
      </c>
      <c r="P18" s="57" t="n">
        <f aca="false">O18/(parametros_manuales!$B$7)</f>
        <v>5.305856047802</v>
      </c>
      <c r="Q18" s="13" t="str">
        <f aca="false">IF(O18=0,"-",INDEX($B$1:$M$1,MATCH(O18,B18:M18,0)))</f>
        <v>Dic</v>
      </c>
    </row>
    <row r="19" customFormat="false" ht="14.25" hidden="false" customHeight="true" outlineLevel="0" collapsed="false">
      <c r="A19" s="13" t="str">
        <f aca="false">parametros_manuales!$B$36</f>
        <v>Detección de defectos</v>
      </c>
      <c r="B19" s="14" t="n">
        <f aca="false">(parametros_manuales!$D$36*('Plan mensual'!D2+IF(parametros_manuales!$H$36="Todos",'Plan mensual'!D6,0))+parametros_manuales!$E$36*('Plan mensual'!D3+IF(parametros_manuales!$H$36="Todos",'Plan mensual'!D7,0))+parametros_manuales!$F$36*('Plan mensual'!D4+IF(parametros_manuales!$H$36="Todos",'Plan mensual'!D8,0))+parametros_manuales!$G$36*('Plan mensual'!D5+IF(parametros_manuales!$H$36="Todos",'Plan mensual'!D9,0)))*parametros_manuales!$I$36*parametros_manuales!$J$36</f>
        <v>769.112041533</v>
      </c>
      <c r="C19" s="14" t="n">
        <f aca="false">(parametros_manuales!$D$36*('Plan mensual'!E2+IF(parametros_manuales!$H$36="Todos",'Plan mensual'!E6,0))+parametros_manuales!$E$36*('Plan mensual'!E3+IF(parametros_manuales!$H$36="Todos",'Plan mensual'!E7,0))+parametros_manuales!$F$36*('Plan mensual'!E4+IF(parametros_manuales!$H$36="Todos",'Plan mensual'!E8,0))+parametros_manuales!$G$36*('Plan mensual'!E5+IF(parametros_manuales!$H$36="Todos",'Plan mensual'!E9,0)))*parametros_manuales!$I$36*parametros_manuales!$J$36</f>
        <v>590.2172139684</v>
      </c>
      <c r="D19" s="14" t="n">
        <f aca="false">(parametros_manuales!$D$36*('Plan mensual'!F2+IF(parametros_manuales!$H$36="Todos",'Plan mensual'!F6,0))+parametros_manuales!$E$36*('Plan mensual'!F3+IF(parametros_manuales!$H$36="Todos",'Plan mensual'!F7,0))+parametros_manuales!$F$36*('Plan mensual'!F4+IF(parametros_manuales!$H$36="Todos",'Plan mensual'!F8,0))+parametros_manuales!$G$36*('Plan mensual'!F5+IF(parametros_manuales!$H$36="Todos",'Plan mensual'!F9,0)))*parametros_manuales!$I$36*parametros_manuales!$J$36</f>
        <v>561.81303135705</v>
      </c>
      <c r="E19" s="14" t="n">
        <f aca="false">(parametros_manuales!$D$36*('Plan mensual'!G2+IF(parametros_manuales!$H$36="Todos",'Plan mensual'!G6,0))+parametros_manuales!$E$36*('Plan mensual'!G3+IF(parametros_manuales!$H$36="Todos",'Plan mensual'!G7,0))+parametros_manuales!$F$36*('Plan mensual'!G4+IF(parametros_manuales!$H$36="Todos",'Plan mensual'!G8,0))+parametros_manuales!$G$36*('Plan mensual'!G5+IF(parametros_manuales!$H$36="Todos",'Plan mensual'!G9,0)))*parametros_manuales!$I$36*parametros_manuales!$J$36</f>
        <v>540.91934864205</v>
      </c>
      <c r="F19" s="14" t="n">
        <f aca="false">(parametros_manuales!$D$36*('Plan mensual'!H2+IF(parametros_manuales!$H$36="Todos",'Plan mensual'!H6,0))+parametros_manuales!$E$36*('Plan mensual'!H3+IF(parametros_manuales!$H$36="Todos",'Plan mensual'!H7,0))+parametros_manuales!$F$36*('Plan mensual'!H4+IF(parametros_manuales!$H$36="Todos",'Plan mensual'!H8,0))+parametros_manuales!$G$36*('Plan mensual'!H5+IF(parametros_manuales!$H$36="Todos",'Plan mensual'!H9,0)))*parametros_manuales!$I$36*parametros_manuales!$J$36</f>
        <v>506.6424831084</v>
      </c>
      <c r="G19" s="14" t="n">
        <f aca="false">(parametros_manuales!$D$36*('Plan mensual'!I2+IF(parametros_manuales!$H$36="Todos",'Plan mensual'!I6,0))+parametros_manuales!$E$36*('Plan mensual'!I3+IF(parametros_manuales!$H$36="Todos",'Plan mensual'!I7,0))+parametros_manuales!$F$36*('Plan mensual'!I4+IF(parametros_manuales!$H$36="Todos",'Plan mensual'!I8,0))+parametros_manuales!$G$36*('Plan mensual'!I5+IF(parametros_manuales!$H$36="Todos",'Plan mensual'!I9,0)))*parametros_manuales!$I$36*parametros_manuales!$J$36</f>
        <v>493.25930028975</v>
      </c>
      <c r="H19" s="14" t="n">
        <f aca="false">(parametros_manuales!$D$36*('Plan mensual'!J2+IF(parametros_manuales!$H$36="Todos",'Plan mensual'!J6,0))+parametros_manuales!$E$36*('Plan mensual'!J3+IF(parametros_manuales!$H$36="Todos",'Plan mensual'!J7,0))+parametros_manuales!$F$36*('Plan mensual'!J4+IF(parametros_manuales!$H$36="Todos",'Plan mensual'!J8,0))+parametros_manuales!$G$36*('Plan mensual'!J5+IF(parametros_manuales!$H$36="Todos",'Plan mensual'!J9,0)))*parametros_manuales!$I$36*parametros_manuales!$J$36</f>
        <v>527.5361658234</v>
      </c>
      <c r="I19" s="14" t="n">
        <f aca="false">(parametros_manuales!$D$36*('Plan mensual'!K2+IF(parametros_manuales!$H$36="Todos",'Plan mensual'!K6,0))+parametros_manuales!$E$36*('Plan mensual'!K3+IF(parametros_manuales!$H$36="Todos",'Plan mensual'!K7,0))+parametros_manuales!$F$36*('Plan mensual'!K4+IF(parametros_manuales!$H$36="Todos",'Plan mensual'!K8,0))+parametros_manuales!$G$36*('Plan mensual'!K5+IF(parametros_manuales!$H$36="Todos",'Plan mensual'!K9,0)))*parametros_manuales!$I$36*parametros_manuales!$J$36</f>
        <v>527.5361658234</v>
      </c>
      <c r="J19" s="14" t="n">
        <f aca="false">(parametros_manuales!$D$36*('Plan mensual'!L2+IF(parametros_manuales!$H$36="Todos",'Plan mensual'!L6,0))+parametros_manuales!$E$36*('Plan mensual'!L3+IF(parametros_manuales!$H$36="Todos",'Plan mensual'!L7,0))+parametros_manuales!$F$36*('Plan mensual'!L4+IF(parametros_manuales!$H$36="Todos",'Plan mensual'!L8,0))+parametros_manuales!$G$36*('Plan mensual'!L5+IF(parametros_manuales!$H$36="Todos",'Plan mensual'!L9,0)))*parametros_manuales!$I$36*parametros_manuales!$J$36</f>
        <v>527.5361658234</v>
      </c>
      <c r="K19" s="14" t="n">
        <f aca="false">(parametros_manuales!$D$36*('Plan mensual'!M2+IF(parametros_manuales!$H$36="Todos",'Plan mensual'!M6,0))+parametros_manuales!$E$36*('Plan mensual'!M3+IF(parametros_manuales!$H$36="Todos",'Plan mensual'!M7,0))+parametros_manuales!$F$36*('Plan mensual'!M4+IF(parametros_manuales!$H$36="Todos",'Plan mensual'!M8,0))+parametros_manuales!$G$36*('Plan mensual'!M5+IF(parametros_manuales!$H$36="Todos",'Plan mensual'!M9,0)))*parametros_manuales!$I$36*parametros_manuales!$J$36</f>
        <v>514.15298300475</v>
      </c>
      <c r="L19" s="14" t="n">
        <f aca="false">(parametros_manuales!$D$36*('Plan mensual'!N2+IF(parametros_manuales!$H$36="Todos",'Plan mensual'!N6,0))+parametros_manuales!$E$36*('Plan mensual'!N3+IF(parametros_manuales!$H$36="Todos",'Plan mensual'!N7,0))+parametros_manuales!$F$36*('Plan mensual'!N4+IF(parametros_manuales!$H$36="Todos",'Plan mensual'!N8,0))+parametros_manuales!$G$36*('Plan mensual'!N5+IF(parametros_manuales!$H$36="Todos",'Plan mensual'!N9,0)))*parametros_manuales!$I$36*parametros_manuales!$J$36</f>
        <v>500.7698001861</v>
      </c>
      <c r="M19" s="14" t="n">
        <f aca="false">(parametros_manuales!$D$36*('Plan mensual'!O2+IF(parametros_manuales!$H$36="Todos",'Plan mensual'!O6,0))+parametros_manuales!$E$36*('Plan mensual'!O3+IF(parametros_manuales!$H$36="Todos",'Plan mensual'!O7,0))+parametros_manuales!$F$36*('Plan mensual'!O4+IF(parametros_manuales!$H$36="Todos",'Plan mensual'!O8,0))+parametros_manuales!$G$36*('Plan mensual'!O5+IF(parametros_manuales!$H$36="Todos",'Plan mensual'!O9,0)))*parametros_manuales!$I$36*parametros_manuales!$J$36</f>
        <v>795.8784071703</v>
      </c>
      <c r="N19" s="14" t="n">
        <f aca="false">SUM(B19:M19)</f>
        <v>6855.37310673</v>
      </c>
      <c r="O19" s="14" t="n">
        <f aca="false">MAX(B19:M19)</f>
        <v>795.8784071703</v>
      </c>
      <c r="P19" s="57" t="n">
        <f aca="false">O19/(parametros_manuales!$B$7)</f>
        <v>5.305856047802</v>
      </c>
      <c r="Q19" s="13" t="str">
        <f aca="false">IF(O19=0,"-",INDEX($B$1:$M$1,MATCH(O19,B19:M19,0)))</f>
        <v>Dic</v>
      </c>
    </row>
    <row r="20" customFormat="false" ht="14.25" hidden="false" customHeight="true" outlineLevel="0" collapsed="false">
      <c r="A20" s="13" t="str">
        <f aca="false">parametros_manuales!$B$37</f>
        <v>Corrección de defectos</v>
      </c>
      <c r="B20" s="14" t="n">
        <f aca="false">(parametros_manuales!$D$37*('Plan mensual'!D2+IF(parametros_manuales!$H$37="Todos",'Plan mensual'!D6,0))+parametros_manuales!$E$37*('Plan mensual'!D3+IF(parametros_manuales!$H$37="Todos",'Plan mensual'!D7,0))+parametros_manuales!$F$37*('Plan mensual'!D4+IF(parametros_manuales!$H$37="Todos",'Plan mensual'!D8,0))+parametros_manuales!$G$37*('Plan mensual'!D5+IF(parametros_manuales!$H$37="Todos",'Plan mensual'!D9,0)))*parametros_manuales!$I$37*parametros_manuales!$J$37</f>
        <v>38.45560207665</v>
      </c>
      <c r="C20" s="14" t="n">
        <f aca="false">(parametros_manuales!$D$37*('Plan mensual'!E2+IF(parametros_manuales!$H$37="Todos",'Plan mensual'!E6,0))+parametros_manuales!$E$37*('Plan mensual'!E3+IF(parametros_manuales!$H$37="Todos",'Plan mensual'!E7,0))+parametros_manuales!$F$37*('Plan mensual'!E4+IF(parametros_manuales!$H$37="Todos",'Plan mensual'!E8,0))+parametros_manuales!$G$37*('Plan mensual'!E5+IF(parametros_manuales!$H$37="Todos",'Plan mensual'!E9,0)))*parametros_manuales!$I$37*parametros_manuales!$J$37</f>
        <v>29.51086069842</v>
      </c>
      <c r="D20" s="14" t="n">
        <f aca="false">(parametros_manuales!$D$37*('Plan mensual'!F2+IF(parametros_manuales!$H$37="Todos",'Plan mensual'!F6,0))+parametros_manuales!$E$37*('Plan mensual'!F3+IF(parametros_manuales!$H$37="Todos",'Plan mensual'!F7,0))+parametros_manuales!$F$37*('Plan mensual'!F4+IF(parametros_manuales!$H$37="Todos",'Plan mensual'!F8,0))+parametros_manuales!$G$37*('Plan mensual'!F5+IF(parametros_manuales!$H$37="Todos",'Plan mensual'!F9,0)))*parametros_manuales!$I$37*parametros_manuales!$J$37</f>
        <v>28.0906515678525</v>
      </c>
      <c r="E20" s="14" t="n">
        <f aca="false">(parametros_manuales!$D$37*('Plan mensual'!G2+IF(parametros_manuales!$H$37="Todos",'Plan mensual'!G6,0))+parametros_manuales!$E$37*('Plan mensual'!G3+IF(parametros_manuales!$H$37="Todos",'Plan mensual'!G7,0))+parametros_manuales!$F$37*('Plan mensual'!G4+IF(parametros_manuales!$H$37="Todos",'Plan mensual'!G8,0))+parametros_manuales!$G$37*('Plan mensual'!G5+IF(parametros_manuales!$H$37="Todos",'Plan mensual'!G9,0)))*parametros_manuales!$I$37*parametros_manuales!$J$37</f>
        <v>27.0459674321025</v>
      </c>
      <c r="F20" s="14" t="n">
        <f aca="false">(parametros_manuales!$D$37*('Plan mensual'!H2+IF(parametros_manuales!$H$37="Todos",'Plan mensual'!H6,0))+parametros_manuales!$E$37*('Plan mensual'!H3+IF(parametros_manuales!$H$37="Todos",'Plan mensual'!H7,0))+parametros_manuales!$F$37*('Plan mensual'!H4+IF(parametros_manuales!$H$37="Todos",'Plan mensual'!H8,0))+parametros_manuales!$G$37*('Plan mensual'!H5+IF(parametros_manuales!$H$37="Todos",'Plan mensual'!H9,0)))*parametros_manuales!$I$37*parametros_manuales!$J$37</f>
        <v>25.33212415542</v>
      </c>
      <c r="G20" s="14" t="n">
        <f aca="false">(parametros_manuales!$D$37*('Plan mensual'!I2+IF(parametros_manuales!$H$37="Todos",'Plan mensual'!I6,0))+parametros_manuales!$E$37*('Plan mensual'!I3+IF(parametros_manuales!$H$37="Todos",'Plan mensual'!I7,0))+parametros_manuales!$F$37*('Plan mensual'!I4+IF(parametros_manuales!$H$37="Todos",'Plan mensual'!I8,0))+parametros_manuales!$G$37*('Plan mensual'!I5+IF(parametros_manuales!$H$37="Todos",'Plan mensual'!I9,0)))*parametros_manuales!$I$37*parametros_manuales!$J$37</f>
        <v>24.6629650144875</v>
      </c>
      <c r="H20" s="14" t="n">
        <f aca="false">(parametros_manuales!$D$37*('Plan mensual'!J2+IF(parametros_manuales!$H$37="Todos",'Plan mensual'!J6,0))+parametros_manuales!$E$37*('Plan mensual'!J3+IF(parametros_manuales!$H$37="Todos",'Plan mensual'!J7,0))+parametros_manuales!$F$37*('Plan mensual'!J4+IF(parametros_manuales!$H$37="Todos",'Plan mensual'!J8,0))+parametros_manuales!$G$37*('Plan mensual'!J5+IF(parametros_manuales!$H$37="Todos",'Plan mensual'!J9,0)))*parametros_manuales!$I$37*parametros_manuales!$J$37</f>
        <v>26.37680829117</v>
      </c>
      <c r="I20" s="14" t="n">
        <f aca="false">(parametros_manuales!$D$37*('Plan mensual'!K2+IF(parametros_manuales!$H$37="Todos",'Plan mensual'!K6,0))+parametros_manuales!$E$37*('Plan mensual'!K3+IF(parametros_manuales!$H$37="Todos",'Plan mensual'!K7,0))+parametros_manuales!$F$37*('Plan mensual'!K4+IF(parametros_manuales!$H$37="Todos",'Plan mensual'!K8,0))+parametros_manuales!$G$37*('Plan mensual'!K5+IF(parametros_manuales!$H$37="Todos",'Plan mensual'!K9,0)))*parametros_manuales!$I$37*parametros_manuales!$J$37</f>
        <v>26.37680829117</v>
      </c>
      <c r="J20" s="14" t="n">
        <f aca="false">(parametros_manuales!$D$37*('Plan mensual'!L2+IF(parametros_manuales!$H$37="Todos",'Plan mensual'!L6,0))+parametros_manuales!$E$37*('Plan mensual'!L3+IF(parametros_manuales!$H$37="Todos",'Plan mensual'!L7,0))+parametros_manuales!$F$37*('Plan mensual'!L4+IF(parametros_manuales!$H$37="Todos",'Plan mensual'!L8,0))+parametros_manuales!$G$37*('Plan mensual'!L5+IF(parametros_manuales!$H$37="Todos",'Plan mensual'!L9,0)))*parametros_manuales!$I$37*parametros_manuales!$J$37</f>
        <v>26.37680829117</v>
      </c>
      <c r="K20" s="14" t="n">
        <f aca="false">(parametros_manuales!$D$37*('Plan mensual'!M2+IF(parametros_manuales!$H$37="Todos",'Plan mensual'!M6,0))+parametros_manuales!$E$37*('Plan mensual'!M3+IF(parametros_manuales!$H$37="Todos",'Plan mensual'!M7,0))+parametros_manuales!$F$37*('Plan mensual'!M4+IF(parametros_manuales!$H$37="Todos",'Plan mensual'!M8,0))+parametros_manuales!$G$37*('Plan mensual'!M5+IF(parametros_manuales!$H$37="Todos",'Plan mensual'!M9,0)))*parametros_manuales!$I$37*parametros_manuales!$J$37</f>
        <v>25.7076491502375</v>
      </c>
      <c r="L20" s="14" t="n">
        <f aca="false">(parametros_manuales!$D$37*('Plan mensual'!N2+IF(parametros_manuales!$H$37="Todos",'Plan mensual'!N6,0))+parametros_manuales!$E$37*('Plan mensual'!N3+IF(parametros_manuales!$H$37="Todos",'Plan mensual'!N7,0))+parametros_manuales!$F$37*('Plan mensual'!N4+IF(parametros_manuales!$H$37="Todos",'Plan mensual'!N8,0))+parametros_manuales!$G$37*('Plan mensual'!N5+IF(parametros_manuales!$H$37="Todos",'Plan mensual'!N9,0)))*parametros_manuales!$I$37*parametros_manuales!$J$37</f>
        <v>25.038490009305</v>
      </c>
      <c r="M20" s="14" t="n">
        <f aca="false">(parametros_manuales!$D$37*('Plan mensual'!O2+IF(parametros_manuales!$H$37="Todos",'Plan mensual'!O6,0))+parametros_manuales!$E$37*('Plan mensual'!O3+IF(parametros_manuales!$H$37="Todos",'Plan mensual'!O7,0))+parametros_manuales!$F$37*('Plan mensual'!O4+IF(parametros_manuales!$H$37="Todos",'Plan mensual'!O8,0))+parametros_manuales!$G$37*('Plan mensual'!O5+IF(parametros_manuales!$H$37="Todos",'Plan mensual'!O9,0)))*parametros_manuales!$I$37*parametros_manuales!$J$37</f>
        <v>39.793920358515</v>
      </c>
      <c r="N20" s="14" t="n">
        <f aca="false">SUM(B20:M20)</f>
        <v>342.7686553365</v>
      </c>
      <c r="O20" s="14" t="n">
        <f aca="false">MAX(B20:M20)</f>
        <v>39.793920358515</v>
      </c>
      <c r="P20" s="57" t="n">
        <f aca="false">O20/(parametros_manuales!$B$7)</f>
        <v>0.2652928023901</v>
      </c>
      <c r="Q20" s="13" t="str">
        <f aca="false">IF(O20=0,"-",INDEX($B$1:$M$1,MATCH(O20,B20:M20,0)))</f>
        <v>Dic</v>
      </c>
    </row>
    <row r="21" customFormat="false" ht="14.25" hidden="false" customHeight="true" outlineLevel="0" collapsed="false">
      <c r="A21" s="13" t="str">
        <f aca="false">parametros_manuales!$B$38</f>
        <v>Pintura en polvo + horno</v>
      </c>
      <c r="B21" s="14" t="n">
        <f aca="false">(parametros_manuales!$D$38*('Plan mensual'!D2+IF(parametros_manuales!$H$38="Todos",'Plan mensual'!D6,0))+parametros_manuales!$E$38*('Plan mensual'!D3+IF(parametros_manuales!$H$38="Todos",'Plan mensual'!D7,0))+parametros_manuales!$F$38*('Plan mensual'!D4+IF(parametros_manuales!$H$38="Todos",'Plan mensual'!D8,0))+parametros_manuales!$G$38*('Plan mensual'!D5+IF(parametros_manuales!$H$38="Todos",'Plan mensual'!D9,0)))*parametros_manuales!$I$38*parametros_manuales!$J$38</f>
        <v>769.112041533</v>
      </c>
      <c r="C21" s="14" t="n">
        <f aca="false">(parametros_manuales!$D$38*('Plan mensual'!E2+IF(parametros_manuales!$H$38="Todos",'Plan mensual'!E6,0))+parametros_manuales!$E$38*('Plan mensual'!E3+IF(parametros_manuales!$H$38="Todos",'Plan mensual'!E7,0))+parametros_manuales!$F$38*('Plan mensual'!E4+IF(parametros_manuales!$H$38="Todos",'Plan mensual'!E8,0))+parametros_manuales!$G$38*('Plan mensual'!E5+IF(parametros_manuales!$H$38="Todos",'Plan mensual'!E9,0)))*parametros_manuales!$I$38*parametros_manuales!$J$38</f>
        <v>590.2172139684</v>
      </c>
      <c r="D21" s="14" t="n">
        <f aca="false">(parametros_manuales!$D$38*('Plan mensual'!F2+IF(parametros_manuales!$H$38="Todos",'Plan mensual'!F6,0))+parametros_manuales!$E$38*('Plan mensual'!F3+IF(parametros_manuales!$H$38="Todos",'Plan mensual'!F7,0))+parametros_manuales!$F$38*('Plan mensual'!F4+IF(parametros_manuales!$H$38="Todos",'Plan mensual'!F8,0))+parametros_manuales!$G$38*('Plan mensual'!F5+IF(parametros_manuales!$H$38="Todos",'Plan mensual'!F9,0)))*parametros_manuales!$I$38*parametros_manuales!$J$38</f>
        <v>561.81303135705</v>
      </c>
      <c r="E21" s="14" t="n">
        <f aca="false">(parametros_manuales!$D$38*('Plan mensual'!G2+IF(parametros_manuales!$H$38="Todos",'Plan mensual'!G6,0))+parametros_manuales!$E$38*('Plan mensual'!G3+IF(parametros_manuales!$H$38="Todos",'Plan mensual'!G7,0))+parametros_manuales!$F$38*('Plan mensual'!G4+IF(parametros_manuales!$H$38="Todos",'Plan mensual'!G8,0))+parametros_manuales!$G$38*('Plan mensual'!G5+IF(parametros_manuales!$H$38="Todos",'Plan mensual'!G9,0)))*parametros_manuales!$I$38*parametros_manuales!$J$38</f>
        <v>540.91934864205</v>
      </c>
      <c r="F21" s="14" t="n">
        <f aca="false">(parametros_manuales!$D$38*('Plan mensual'!H2+IF(parametros_manuales!$H$38="Todos",'Plan mensual'!H6,0))+parametros_manuales!$E$38*('Plan mensual'!H3+IF(parametros_manuales!$H$38="Todos",'Plan mensual'!H7,0))+parametros_manuales!$F$38*('Plan mensual'!H4+IF(parametros_manuales!$H$38="Todos",'Plan mensual'!H8,0))+parametros_manuales!$G$38*('Plan mensual'!H5+IF(parametros_manuales!$H$38="Todos",'Plan mensual'!H9,0)))*parametros_manuales!$I$38*parametros_manuales!$J$38</f>
        <v>506.6424831084</v>
      </c>
      <c r="G21" s="14" t="n">
        <f aca="false">(parametros_manuales!$D$38*('Plan mensual'!I2+IF(parametros_manuales!$H$38="Todos",'Plan mensual'!I6,0))+parametros_manuales!$E$38*('Plan mensual'!I3+IF(parametros_manuales!$H$38="Todos",'Plan mensual'!I7,0))+parametros_manuales!$F$38*('Plan mensual'!I4+IF(parametros_manuales!$H$38="Todos",'Plan mensual'!I8,0))+parametros_manuales!$G$38*('Plan mensual'!I5+IF(parametros_manuales!$H$38="Todos",'Plan mensual'!I9,0)))*parametros_manuales!$I$38*parametros_manuales!$J$38</f>
        <v>493.25930028975</v>
      </c>
      <c r="H21" s="14" t="n">
        <f aca="false">(parametros_manuales!$D$38*('Plan mensual'!J2+IF(parametros_manuales!$H$38="Todos",'Plan mensual'!J6,0))+parametros_manuales!$E$38*('Plan mensual'!J3+IF(parametros_manuales!$H$38="Todos",'Plan mensual'!J7,0))+parametros_manuales!$F$38*('Plan mensual'!J4+IF(parametros_manuales!$H$38="Todos",'Plan mensual'!J8,0))+parametros_manuales!$G$38*('Plan mensual'!J5+IF(parametros_manuales!$H$38="Todos",'Plan mensual'!J9,0)))*parametros_manuales!$I$38*parametros_manuales!$J$38</f>
        <v>527.5361658234</v>
      </c>
      <c r="I21" s="14" t="n">
        <f aca="false">(parametros_manuales!$D$38*('Plan mensual'!K2+IF(parametros_manuales!$H$38="Todos",'Plan mensual'!K6,0))+parametros_manuales!$E$38*('Plan mensual'!K3+IF(parametros_manuales!$H$38="Todos",'Plan mensual'!K7,0))+parametros_manuales!$F$38*('Plan mensual'!K4+IF(parametros_manuales!$H$38="Todos",'Plan mensual'!K8,0))+parametros_manuales!$G$38*('Plan mensual'!K5+IF(parametros_manuales!$H$38="Todos",'Plan mensual'!K9,0)))*parametros_manuales!$I$38*parametros_manuales!$J$38</f>
        <v>527.5361658234</v>
      </c>
      <c r="J21" s="14" t="n">
        <f aca="false">(parametros_manuales!$D$38*('Plan mensual'!L2+IF(parametros_manuales!$H$38="Todos",'Plan mensual'!L6,0))+parametros_manuales!$E$38*('Plan mensual'!L3+IF(parametros_manuales!$H$38="Todos",'Plan mensual'!L7,0))+parametros_manuales!$F$38*('Plan mensual'!L4+IF(parametros_manuales!$H$38="Todos",'Plan mensual'!L8,0))+parametros_manuales!$G$38*('Plan mensual'!L5+IF(parametros_manuales!$H$38="Todos",'Plan mensual'!L9,0)))*parametros_manuales!$I$38*parametros_manuales!$J$38</f>
        <v>527.5361658234</v>
      </c>
      <c r="K21" s="14" t="n">
        <f aca="false">(parametros_manuales!$D$38*('Plan mensual'!M2+IF(parametros_manuales!$H$38="Todos",'Plan mensual'!M6,0))+parametros_manuales!$E$38*('Plan mensual'!M3+IF(parametros_manuales!$H$38="Todos",'Plan mensual'!M7,0))+parametros_manuales!$F$38*('Plan mensual'!M4+IF(parametros_manuales!$H$38="Todos",'Plan mensual'!M8,0))+parametros_manuales!$G$38*('Plan mensual'!M5+IF(parametros_manuales!$H$38="Todos",'Plan mensual'!M9,0)))*parametros_manuales!$I$38*parametros_manuales!$J$38</f>
        <v>514.15298300475</v>
      </c>
      <c r="L21" s="14" t="n">
        <f aca="false">(parametros_manuales!$D$38*('Plan mensual'!N2+IF(parametros_manuales!$H$38="Todos",'Plan mensual'!N6,0))+parametros_manuales!$E$38*('Plan mensual'!N3+IF(parametros_manuales!$H$38="Todos",'Plan mensual'!N7,0))+parametros_manuales!$F$38*('Plan mensual'!N4+IF(parametros_manuales!$H$38="Todos",'Plan mensual'!N8,0))+parametros_manuales!$G$38*('Plan mensual'!N5+IF(parametros_manuales!$H$38="Todos",'Plan mensual'!N9,0)))*parametros_manuales!$I$38*parametros_manuales!$J$38</f>
        <v>500.7698001861</v>
      </c>
      <c r="M21" s="14" t="n">
        <f aca="false">(parametros_manuales!$D$38*('Plan mensual'!O2+IF(parametros_manuales!$H$38="Todos",'Plan mensual'!O6,0))+parametros_manuales!$E$38*('Plan mensual'!O3+IF(parametros_manuales!$H$38="Todos",'Plan mensual'!O7,0))+parametros_manuales!$F$38*('Plan mensual'!O4+IF(parametros_manuales!$H$38="Todos",'Plan mensual'!O8,0))+parametros_manuales!$G$38*('Plan mensual'!O5+IF(parametros_manuales!$H$38="Todos",'Plan mensual'!O9,0)))*parametros_manuales!$I$38*parametros_manuales!$J$38</f>
        <v>795.8784071703</v>
      </c>
      <c r="N21" s="14" t="n">
        <f aca="false">SUM(B21:M21)</f>
        <v>6855.37310673</v>
      </c>
      <c r="O21" s="14" t="n">
        <f aca="false">MAX(B21:M21)</f>
        <v>795.8784071703</v>
      </c>
      <c r="P21" s="57" t="n">
        <f aca="false">O21/(parametros_manuales!$B$7)</f>
        <v>5.305856047802</v>
      </c>
      <c r="Q21" s="13" t="str">
        <f aca="false">IF(O21=0,"-",INDEX($B$1:$M$1,MATCH(O21,B21:M21,0)))</f>
        <v>Dic</v>
      </c>
    </row>
    <row r="22" customFormat="false" ht="14.25" hidden="false" customHeight="true" outlineLevel="0" collapsed="false">
      <c r="A22" s="13" t="str">
        <f aca="false">parametros_manuales!$B$39</f>
        <v>Carga de polvo</v>
      </c>
      <c r="B22" s="14" t="n">
        <f aca="false">(parametros_manuales!$D$39*('Plan mensual'!D2+IF(parametros_manuales!$H$39="Todos",'Plan mensual'!D6,0))+parametros_manuales!$E$39*('Plan mensual'!D3+IF(parametros_manuales!$H$39="Todos",'Plan mensual'!D7,0))+parametros_manuales!$F$39*('Plan mensual'!D4+IF(parametros_manuales!$H$39="Todos",'Plan mensual'!D8,0))+parametros_manuales!$G$39*('Plan mensual'!D5+IF(parametros_manuales!$H$39="Todos",'Plan mensual'!D9,0)))*parametros_manuales!$I$39*parametros_manuales!$J$39</f>
        <v>766.912041533</v>
      </c>
      <c r="C22" s="14" t="n">
        <f aca="false">(parametros_manuales!$D$39*('Plan mensual'!E2+IF(parametros_manuales!$H$39="Todos",'Plan mensual'!E6,0))+parametros_manuales!$E$39*('Plan mensual'!E3+IF(parametros_manuales!$H$39="Todos",'Plan mensual'!E7,0))+parametros_manuales!$F$39*('Plan mensual'!E4+IF(parametros_manuales!$H$39="Todos",'Plan mensual'!E8,0))+parametros_manuales!$G$39*('Plan mensual'!E5+IF(parametros_manuales!$H$39="Todos",'Plan mensual'!E9,0)))*parametros_manuales!$I$39*parametros_manuales!$J$39</f>
        <v>588.4572139684</v>
      </c>
      <c r="D22" s="14" t="n">
        <f aca="false">(parametros_manuales!$D$39*('Plan mensual'!F2+IF(parametros_manuales!$H$39="Todos",'Plan mensual'!F6,0))+parametros_manuales!$E$39*('Plan mensual'!F3+IF(parametros_manuales!$H$39="Todos",'Plan mensual'!F7,0))+parametros_manuales!$F$39*('Plan mensual'!F4+IF(parametros_manuales!$H$39="Todos",'Plan mensual'!F8,0))+parametros_manuales!$G$39*('Plan mensual'!F5+IF(parametros_manuales!$H$39="Todos",'Plan mensual'!F9,0)))*parametros_manuales!$I$39*parametros_manuales!$J$39</f>
        <v>559.94303135705</v>
      </c>
      <c r="E22" s="14" t="n">
        <f aca="false">(parametros_manuales!$D$39*('Plan mensual'!G2+IF(parametros_manuales!$H$39="Todos",'Plan mensual'!G6,0))+parametros_manuales!$E$39*('Plan mensual'!G3+IF(parametros_manuales!$H$39="Todos",'Plan mensual'!G7,0))+parametros_manuales!$F$39*('Plan mensual'!G4+IF(parametros_manuales!$H$39="Todos",'Plan mensual'!G8,0))+parametros_manuales!$G$39*('Plan mensual'!G5+IF(parametros_manuales!$H$39="Todos",'Plan mensual'!G9,0)))*parametros_manuales!$I$39*parametros_manuales!$J$39</f>
        <v>539.04934864205</v>
      </c>
      <c r="F22" s="14" t="n">
        <f aca="false">(parametros_manuales!$D$39*('Plan mensual'!H2+IF(parametros_manuales!$H$39="Todos",'Plan mensual'!H6,0))+parametros_manuales!$E$39*('Plan mensual'!H3+IF(parametros_manuales!$H$39="Todos",'Plan mensual'!H7,0))+parametros_manuales!$F$39*('Plan mensual'!H4+IF(parametros_manuales!$H$39="Todos",'Plan mensual'!H8,0))+parametros_manuales!$G$39*('Plan mensual'!H5+IF(parametros_manuales!$H$39="Todos",'Plan mensual'!H9,0)))*parametros_manuales!$I$39*parametros_manuales!$J$39</f>
        <v>504.8824831084</v>
      </c>
      <c r="G22" s="14" t="n">
        <f aca="false">(parametros_manuales!$D$39*('Plan mensual'!I2+IF(parametros_manuales!$H$39="Todos",'Plan mensual'!I6,0))+parametros_manuales!$E$39*('Plan mensual'!I3+IF(parametros_manuales!$H$39="Todos",'Plan mensual'!I7,0))+parametros_manuales!$F$39*('Plan mensual'!I4+IF(parametros_manuales!$H$39="Todos",'Plan mensual'!I8,0))+parametros_manuales!$G$39*('Plan mensual'!I5+IF(parametros_manuales!$H$39="Todos",'Plan mensual'!I9,0)))*parametros_manuales!$I$39*parametros_manuales!$J$39</f>
        <v>491.60930028975</v>
      </c>
      <c r="H22" s="14" t="n">
        <f aca="false">(parametros_manuales!$D$39*('Plan mensual'!J2+IF(parametros_manuales!$H$39="Todos",'Plan mensual'!J6,0))+parametros_manuales!$E$39*('Plan mensual'!J3+IF(parametros_manuales!$H$39="Todos",'Plan mensual'!J7,0))+parametros_manuales!$F$39*('Plan mensual'!J4+IF(parametros_manuales!$H$39="Todos",'Plan mensual'!J8,0))+parametros_manuales!$G$39*('Plan mensual'!J5+IF(parametros_manuales!$H$39="Todos",'Plan mensual'!J9,0)))*parametros_manuales!$I$39*parametros_manuales!$J$39</f>
        <v>525.7761658234</v>
      </c>
      <c r="I22" s="14" t="n">
        <f aca="false">(parametros_manuales!$D$39*('Plan mensual'!K2+IF(parametros_manuales!$H$39="Todos",'Plan mensual'!K6,0))+parametros_manuales!$E$39*('Plan mensual'!K3+IF(parametros_manuales!$H$39="Todos",'Plan mensual'!K7,0))+parametros_manuales!$F$39*('Plan mensual'!K4+IF(parametros_manuales!$H$39="Todos",'Plan mensual'!K8,0))+parametros_manuales!$G$39*('Plan mensual'!K5+IF(parametros_manuales!$H$39="Todos",'Plan mensual'!K9,0)))*parametros_manuales!$I$39*parametros_manuales!$J$39</f>
        <v>525.7761658234</v>
      </c>
      <c r="J22" s="14" t="n">
        <f aca="false">(parametros_manuales!$D$39*('Plan mensual'!L2+IF(parametros_manuales!$H$39="Todos",'Plan mensual'!L6,0))+parametros_manuales!$E$39*('Plan mensual'!L3+IF(parametros_manuales!$H$39="Todos",'Plan mensual'!L7,0))+parametros_manuales!$F$39*('Plan mensual'!L4+IF(parametros_manuales!$H$39="Todos",'Plan mensual'!L8,0))+parametros_manuales!$G$39*('Plan mensual'!L5+IF(parametros_manuales!$H$39="Todos",'Plan mensual'!L9,0)))*parametros_manuales!$I$39*parametros_manuales!$J$39</f>
        <v>525.7761658234</v>
      </c>
      <c r="K22" s="14" t="n">
        <f aca="false">(parametros_manuales!$D$39*('Plan mensual'!M2+IF(parametros_manuales!$H$39="Todos",'Plan mensual'!M6,0))+parametros_manuales!$E$39*('Plan mensual'!M3+IF(parametros_manuales!$H$39="Todos",'Plan mensual'!M7,0))+parametros_manuales!$F$39*('Plan mensual'!M4+IF(parametros_manuales!$H$39="Todos",'Plan mensual'!M8,0))+parametros_manuales!$G$39*('Plan mensual'!M5+IF(parametros_manuales!$H$39="Todos",'Plan mensual'!M9,0)))*parametros_manuales!$I$39*parametros_manuales!$J$39</f>
        <v>512.50298300475</v>
      </c>
      <c r="L22" s="14" t="n">
        <f aca="false">(parametros_manuales!$D$39*('Plan mensual'!N2+IF(parametros_manuales!$H$39="Todos",'Plan mensual'!N6,0))+parametros_manuales!$E$39*('Plan mensual'!N3+IF(parametros_manuales!$H$39="Todos",'Plan mensual'!N7,0))+parametros_manuales!$F$39*('Plan mensual'!N4+IF(parametros_manuales!$H$39="Todos",'Plan mensual'!N8,0))+parametros_manuales!$G$39*('Plan mensual'!N5+IF(parametros_manuales!$H$39="Todos",'Plan mensual'!N9,0)))*parametros_manuales!$I$39*parametros_manuales!$J$39</f>
        <v>499.2298001861</v>
      </c>
      <c r="M22" s="14" t="n">
        <f aca="false">(parametros_manuales!$D$39*('Plan mensual'!O2+IF(parametros_manuales!$H$39="Todos",'Plan mensual'!O6,0))+parametros_manuales!$E$39*('Plan mensual'!O3+IF(parametros_manuales!$H$39="Todos",'Plan mensual'!O7,0))+parametros_manuales!$F$39*('Plan mensual'!O4+IF(parametros_manuales!$H$39="Todos",'Plan mensual'!O8,0))+parametros_manuales!$G$39*('Plan mensual'!O5+IF(parametros_manuales!$H$39="Todos",'Plan mensual'!O9,0)))*parametros_manuales!$I$39*parametros_manuales!$J$39</f>
        <v>793.4584071703</v>
      </c>
      <c r="N22" s="14" t="n">
        <f aca="false">SUM(B22:M22)</f>
        <v>6833.37310673</v>
      </c>
      <c r="O22" s="14" t="n">
        <f aca="false">MAX(B22:M22)</f>
        <v>793.4584071703</v>
      </c>
      <c r="P22" s="57" t="n">
        <f aca="false">O22/(parametros_manuales!$B$7)</f>
        <v>5.28972271446867</v>
      </c>
      <c r="Q22" s="13" t="str">
        <f aca="false">IF(O22=0,"-",INDEX($B$1:$M$1,MATCH(O22,B22:M22,0)))</f>
        <v>Dic</v>
      </c>
    </row>
    <row r="23" customFormat="false" ht="14.25" hidden="false" customHeight="true" outlineLevel="0" collapsed="false">
      <c r="A23" s="13" t="str">
        <f aca="false">parametros_manuales!$B$40</f>
        <v>Ensamblaje</v>
      </c>
      <c r="B23" s="14" t="n">
        <f aca="false">(parametros_manuales!$D$40*('Plan mensual'!D2+IF(parametros_manuales!$H$40="Todos",'Plan mensual'!D6,0))+parametros_manuales!$E$40*('Plan mensual'!D3+IF(parametros_manuales!$H$40="Todos",'Plan mensual'!D7,0))+parametros_manuales!$F$40*('Plan mensual'!D4+IF(parametros_manuales!$H$40="Todos",'Plan mensual'!D8,0))+parametros_manuales!$G$40*('Plan mensual'!D5+IF(parametros_manuales!$H$40="Todos",'Plan mensual'!D9,0)))*parametros_manuales!$I$40*parametros_manuales!$J$40</f>
        <v>766.912041533</v>
      </c>
      <c r="C23" s="14" t="n">
        <f aca="false">(parametros_manuales!$D$40*('Plan mensual'!E2+IF(parametros_manuales!$H$40="Todos",'Plan mensual'!E6,0))+parametros_manuales!$E$40*('Plan mensual'!E3+IF(parametros_manuales!$H$40="Todos",'Plan mensual'!E7,0))+parametros_manuales!$F$40*('Plan mensual'!E4+IF(parametros_manuales!$H$40="Todos",'Plan mensual'!E8,0))+parametros_manuales!$G$40*('Plan mensual'!E5+IF(parametros_manuales!$H$40="Todos",'Plan mensual'!E9,0)))*parametros_manuales!$I$40*parametros_manuales!$J$40</f>
        <v>588.4572139684</v>
      </c>
      <c r="D23" s="14" t="n">
        <f aca="false">(parametros_manuales!$D$40*('Plan mensual'!F2+IF(parametros_manuales!$H$40="Todos",'Plan mensual'!F6,0))+parametros_manuales!$E$40*('Plan mensual'!F3+IF(parametros_manuales!$H$40="Todos",'Plan mensual'!F7,0))+parametros_manuales!$F$40*('Plan mensual'!F4+IF(parametros_manuales!$H$40="Todos",'Plan mensual'!F8,0))+parametros_manuales!$G$40*('Plan mensual'!F5+IF(parametros_manuales!$H$40="Todos",'Plan mensual'!F9,0)))*parametros_manuales!$I$40*parametros_manuales!$J$40</f>
        <v>559.94303135705</v>
      </c>
      <c r="E23" s="14" t="n">
        <f aca="false">(parametros_manuales!$D$40*('Plan mensual'!G2+IF(parametros_manuales!$H$40="Todos",'Plan mensual'!G6,0))+parametros_manuales!$E$40*('Plan mensual'!G3+IF(parametros_manuales!$H$40="Todos",'Plan mensual'!G7,0))+parametros_manuales!$F$40*('Plan mensual'!G4+IF(parametros_manuales!$H$40="Todos",'Plan mensual'!G8,0))+parametros_manuales!$G$40*('Plan mensual'!G5+IF(parametros_manuales!$H$40="Todos",'Plan mensual'!G9,0)))*parametros_manuales!$I$40*parametros_manuales!$J$40</f>
        <v>539.04934864205</v>
      </c>
      <c r="F23" s="14" t="n">
        <f aca="false">(parametros_manuales!$D$40*('Plan mensual'!H2+IF(parametros_manuales!$H$40="Todos",'Plan mensual'!H6,0))+parametros_manuales!$E$40*('Plan mensual'!H3+IF(parametros_manuales!$H$40="Todos",'Plan mensual'!H7,0))+parametros_manuales!$F$40*('Plan mensual'!H4+IF(parametros_manuales!$H$40="Todos",'Plan mensual'!H8,0))+parametros_manuales!$G$40*('Plan mensual'!H5+IF(parametros_manuales!$H$40="Todos",'Plan mensual'!H9,0)))*parametros_manuales!$I$40*parametros_manuales!$J$40</f>
        <v>504.8824831084</v>
      </c>
      <c r="G23" s="14" t="n">
        <f aca="false">(parametros_manuales!$D$40*('Plan mensual'!I2+IF(parametros_manuales!$H$40="Todos",'Plan mensual'!I6,0))+parametros_manuales!$E$40*('Plan mensual'!I3+IF(parametros_manuales!$H$40="Todos",'Plan mensual'!I7,0))+parametros_manuales!$F$40*('Plan mensual'!I4+IF(parametros_manuales!$H$40="Todos",'Plan mensual'!I8,0))+parametros_manuales!$G$40*('Plan mensual'!I5+IF(parametros_manuales!$H$40="Todos",'Plan mensual'!I9,0)))*parametros_manuales!$I$40*parametros_manuales!$J$40</f>
        <v>491.60930028975</v>
      </c>
      <c r="H23" s="14" t="n">
        <f aca="false">(parametros_manuales!$D$40*('Plan mensual'!J2+IF(parametros_manuales!$H$40="Todos",'Plan mensual'!J6,0))+parametros_manuales!$E$40*('Plan mensual'!J3+IF(parametros_manuales!$H$40="Todos",'Plan mensual'!J7,0))+parametros_manuales!$F$40*('Plan mensual'!J4+IF(parametros_manuales!$H$40="Todos",'Plan mensual'!J8,0))+parametros_manuales!$G$40*('Plan mensual'!J5+IF(parametros_manuales!$H$40="Todos",'Plan mensual'!J9,0)))*parametros_manuales!$I$40*parametros_manuales!$J$40</f>
        <v>525.7761658234</v>
      </c>
      <c r="I23" s="14" t="n">
        <f aca="false">(parametros_manuales!$D$40*('Plan mensual'!K2+IF(parametros_manuales!$H$40="Todos",'Plan mensual'!K6,0))+parametros_manuales!$E$40*('Plan mensual'!K3+IF(parametros_manuales!$H$40="Todos",'Plan mensual'!K7,0))+parametros_manuales!$F$40*('Plan mensual'!K4+IF(parametros_manuales!$H$40="Todos",'Plan mensual'!K8,0))+parametros_manuales!$G$40*('Plan mensual'!K5+IF(parametros_manuales!$H$40="Todos",'Plan mensual'!K9,0)))*parametros_manuales!$I$40*parametros_manuales!$J$40</f>
        <v>525.7761658234</v>
      </c>
      <c r="J23" s="14" t="n">
        <f aca="false">(parametros_manuales!$D$40*('Plan mensual'!L2+IF(parametros_manuales!$H$40="Todos",'Plan mensual'!L6,0))+parametros_manuales!$E$40*('Plan mensual'!L3+IF(parametros_manuales!$H$40="Todos",'Plan mensual'!L7,0))+parametros_manuales!$F$40*('Plan mensual'!L4+IF(parametros_manuales!$H$40="Todos",'Plan mensual'!L8,0))+parametros_manuales!$G$40*('Plan mensual'!L5+IF(parametros_manuales!$H$40="Todos",'Plan mensual'!L9,0)))*parametros_manuales!$I$40*parametros_manuales!$J$40</f>
        <v>525.7761658234</v>
      </c>
      <c r="K23" s="14" t="n">
        <f aca="false">(parametros_manuales!$D$40*('Plan mensual'!M2+IF(parametros_manuales!$H$40="Todos",'Plan mensual'!M6,0))+parametros_manuales!$E$40*('Plan mensual'!M3+IF(parametros_manuales!$H$40="Todos",'Plan mensual'!M7,0))+parametros_manuales!$F$40*('Plan mensual'!M4+IF(parametros_manuales!$H$40="Todos",'Plan mensual'!M8,0))+parametros_manuales!$G$40*('Plan mensual'!M5+IF(parametros_manuales!$H$40="Todos",'Plan mensual'!M9,0)))*parametros_manuales!$I$40*parametros_manuales!$J$40</f>
        <v>512.50298300475</v>
      </c>
      <c r="L23" s="14" t="n">
        <f aca="false">(parametros_manuales!$D$40*('Plan mensual'!N2+IF(parametros_manuales!$H$40="Todos",'Plan mensual'!N6,0))+parametros_manuales!$E$40*('Plan mensual'!N3+IF(parametros_manuales!$H$40="Todos",'Plan mensual'!N7,0))+parametros_manuales!$F$40*('Plan mensual'!N4+IF(parametros_manuales!$H$40="Todos",'Plan mensual'!N8,0))+parametros_manuales!$G$40*('Plan mensual'!N5+IF(parametros_manuales!$H$40="Todos",'Plan mensual'!N9,0)))*parametros_manuales!$I$40*parametros_manuales!$J$40</f>
        <v>499.2298001861</v>
      </c>
      <c r="M23" s="14" t="n">
        <f aca="false">(parametros_manuales!$D$40*('Plan mensual'!O2+IF(parametros_manuales!$H$40="Todos",'Plan mensual'!O6,0))+parametros_manuales!$E$40*('Plan mensual'!O3+IF(parametros_manuales!$H$40="Todos",'Plan mensual'!O7,0))+parametros_manuales!$F$40*('Plan mensual'!O4+IF(parametros_manuales!$H$40="Todos",'Plan mensual'!O8,0))+parametros_manuales!$G$40*('Plan mensual'!O5+IF(parametros_manuales!$H$40="Todos",'Plan mensual'!O9,0)))*parametros_manuales!$I$40*parametros_manuales!$J$40</f>
        <v>793.4584071703</v>
      </c>
      <c r="N23" s="14" t="n">
        <f aca="false">SUM(B23:M23)</f>
        <v>6833.37310673</v>
      </c>
      <c r="O23" s="14" t="n">
        <f aca="false">MAX(B23:M23)</f>
        <v>793.4584071703</v>
      </c>
      <c r="P23" s="57" t="n">
        <f aca="false">O23/(parametros_manuales!$B$7)</f>
        <v>5.28972271446867</v>
      </c>
      <c r="Q23" s="13" t="str">
        <f aca="false">IF(O23=0,"-",INDEX($B$1:$M$1,MATCH(O23,B23:M23,0)))</f>
        <v>Dic</v>
      </c>
    </row>
    <row r="24" customFormat="false" ht="14.25" hidden="false" customHeight="true" outlineLevel="0" collapsed="false">
      <c r="A24" s="13" t="str">
        <f aca="false">parametros_manuales!$B$41</f>
        <v>Presurización</v>
      </c>
      <c r="B24" s="14" t="n">
        <f aca="false">(parametros_manuales!$D$41*('Plan mensual'!D2+IF(parametros_manuales!$H$41="Todos",'Plan mensual'!D6,0))+parametros_manuales!$E$41*('Plan mensual'!D3+IF(parametros_manuales!$H$41="Todos",'Plan mensual'!D7,0))+parametros_manuales!$F$41*('Plan mensual'!D4+IF(parametros_manuales!$H$41="Todos",'Plan mensual'!D8,0))+parametros_manuales!$G$41*('Plan mensual'!D5+IF(parametros_manuales!$H$41="Todos",'Plan mensual'!D9,0)))*parametros_manuales!$I$41*parametros_manuales!$J$41</f>
        <v>766.912041533</v>
      </c>
      <c r="C24" s="14" t="n">
        <f aca="false">(parametros_manuales!$D$41*('Plan mensual'!E2+IF(parametros_manuales!$H$41="Todos",'Plan mensual'!E6,0))+parametros_manuales!$E$41*('Plan mensual'!E3+IF(parametros_manuales!$H$41="Todos",'Plan mensual'!E7,0))+parametros_manuales!$F$41*('Plan mensual'!E4+IF(parametros_manuales!$H$41="Todos",'Plan mensual'!E8,0))+parametros_manuales!$G$41*('Plan mensual'!E5+IF(parametros_manuales!$H$41="Todos",'Plan mensual'!E9,0)))*parametros_manuales!$I$41*parametros_manuales!$J$41</f>
        <v>588.4572139684</v>
      </c>
      <c r="D24" s="14" t="n">
        <f aca="false">(parametros_manuales!$D$41*('Plan mensual'!F2+IF(parametros_manuales!$H$41="Todos",'Plan mensual'!F6,0))+parametros_manuales!$E$41*('Plan mensual'!F3+IF(parametros_manuales!$H$41="Todos",'Plan mensual'!F7,0))+parametros_manuales!$F$41*('Plan mensual'!F4+IF(parametros_manuales!$H$41="Todos",'Plan mensual'!F8,0))+parametros_manuales!$G$41*('Plan mensual'!F5+IF(parametros_manuales!$H$41="Todos",'Plan mensual'!F9,0)))*parametros_manuales!$I$41*parametros_manuales!$J$41</f>
        <v>559.94303135705</v>
      </c>
      <c r="E24" s="14" t="n">
        <f aca="false">(parametros_manuales!$D$41*('Plan mensual'!G2+IF(parametros_manuales!$H$41="Todos",'Plan mensual'!G6,0))+parametros_manuales!$E$41*('Plan mensual'!G3+IF(parametros_manuales!$H$41="Todos",'Plan mensual'!G7,0))+parametros_manuales!$F$41*('Plan mensual'!G4+IF(parametros_manuales!$H$41="Todos",'Plan mensual'!G8,0))+parametros_manuales!$G$41*('Plan mensual'!G5+IF(parametros_manuales!$H$41="Todos",'Plan mensual'!G9,0)))*parametros_manuales!$I$41*parametros_manuales!$J$41</f>
        <v>539.04934864205</v>
      </c>
      <c r="F24" s="14" t="n">
        <f aca="false">(parametros_manuales!$D$41*('Plan mensual'!H2+IF(parametros_manuales!$H$41="Todos",'Plan mensual'!H6,0))+parametros_manuales!$E$41*('Plan mensual'!H3+IF(parametros_manuales!$H$41="Todos",'Plan mensual'!H7,0))+parametros_manuales!$F$41*('Plan mensual'!H4+IF(parametros_manuales!$H$41="Todos",'Plan mensual'!H8,0))+parametros_manuales!$G$41*('Plan mensual'!H5+IF(parametros_manuales!$H$41="Todos",'Plan mensual'!H9,0)))*parametros_manuales!$I$41*parametros_manuales!$J$41</f>
        <v>504.8824831084</v>
      </c>
      <c r="G24" s="14" t="n">
        <f aca="false">(parametros_manuales!$D$41*('Plan mensual'!I2+IF(parametros_manuales!$H$41="Todos",'Plan mensual'!I6,0))+parametros_manuales!$E$41*('Plan mensual'!I3+IF(parametros_manuales!$H$41="Todos",'Plan mensual'!I7,0))+parametros_manuales!$F$41*('Plan mensual'!I4+IF(parametros_manuales!$H$41="Todos",'Plan mensual'!I8,0))+parametros_manuales!$G$41*('Plan mensual'!I5+IF(parametros_manuales!$H$41="Todos",'Plan mensual'!I9,0)))*parametros_manuales!$I$41*parametros_manuales!$J$41</f>
        <v>491.60930028975</v>
      </c>
      <c r="H24" s="14" t="n">
        <f aca="false">(parametros_manuales!$D$41*('Plan mensual'!J2+IF(parametros_manuales!$H$41="Todos",'Plan mensual'!J6,0))+parametros_manuales!$E$41*('Plan mensual'!J3+IF(parametros_manuales!$H$41="Todos",'Plan mensual'!J7,0))+parametros_manuales!$F$41*('Plan mensual'!J4+IF(parametros_manuales!$H$41="Todos",'Plan mensual'!J8,0))+parametros_manuales!$G$41*('Plan mensual'!J5+IF(parametros_manuales!$H$41="Todos",'Plan mensual'!J9,0)))*parametros_manuales!$I$41*parametros_manuales!$J$41</f>
        <v>525.7761658234</v>
      </c>
      <c r="I24" s="14" t="n">
        <f aca="false">(parametros_manuales!$D$41*('Plan mensual'!K2+IF(parametros_manuales!$H$41="Todos",'Plan mensual'!K6,0))+parametros_manuales!$E$41*('Plan mensual'!K3+IF(parametros_manuales!$H$41="Todos",'Plan mensual'!K7,0))+parametros_manuales!$F$41*('Plan mensual'!K4+IF(parametros_manuales!$H$41="Todos",'Plan mensual'!K8,0))+parametros_manuales!$G$41*('Plan mensual'!K5+IF(parametros_manuales!$H$41="Todos",'Plan mensual'!K9,0)))*parametros_manuales!$I$41*parametros_manuales!$J$41</f>
        <v>525.7761658234</v>
      </c>
      <c r="J24" s="14" t="n">
        <f aca="false">(parametros_manuales!$D$41*('Plan mensual'!L2+IF(parametros_manuales!$H$41="Todos",'Plan mensual'!L6,0))+parametros_manuales!$E$41*('Plan mensual'!L3+IF(parametros_manuales!$H$41="Todos",'Plan mensual'!L7,0))+parametros_manuales!$F$41*('Plan mensual'!L4+IF(parametros_manuales!$H$41="Todos",'Plan mensual'!L8,0))+parametros_manuales!$G$41*('Plan mensual'!L5+IF(parametros_manuales!$H$41="Todos",'Plan mensual'!L9,0)))*parametros_manuales!$I$41*parametros_manuales!$J$41</f>
        <v>525.7761658234</v>
      </c>
      <c r="K24" s="14" t="n">
        <f aca="false">(parametros_manuales!$D$41*('Plan mensual'!M2+IF(parametros_manuales!$H$41="Todos",'Plan mensual'!M6,0))+parametros_manuales!$E$41*('Plan mensual'!M3+IF(parametros_manuales!$H$41="Todos",'Plan mensual'!M7,0))+parametros_manuales!$F$41*('Plan mensual'!M4+IF(parametros_manuales!$H$41="Todos",'Plan mensual'!M8,0))+parametros_manuales!$G$41*('Plan mensual'!M5+IF(parametros_manuales!$H$41="Todos",'Plan mensual'!M9,0)))*parametros_manuales!$I$41*parametros_manuales!$J$41</f>
        <v>512.50298300475</v>
      </c>
      <c r="L24" s="14" t="n">
        <f aca="false">(parametros_manuales!$D$41*('Plan mensual'!N2+IF(parametros_manuales!$H$41="Todos",'Plan mensual'!N6,0))+parametros_manuales!$E$41*('Plan mensual'!N3+IF(parametros_manuales!$H$41="Todos",'Plan mensual'!N7,0))+parametros_manuales!$F$41*('Plan mensual'!N4+IF(parametros_manuales!$H$41="Todos",'Plan mensual'!N8,0))+parametros_manuales!$G$41*('Plan mensual'!N5+IF(parametros_manuales!$H$41="Todos",'Plan mensual'!N9,0)))*parametros_manuales!$I$41*parametros_manuales!$J$41</f>
        <v>499.2298001861</v>
      </c>
      <c r="M24" s="14" t="n">
        <f aca="false">(parametros_manuales!$D$41*('Plan mensual'!O2+IF(parametros_manuales!$H$41="Todos",'Plan mensual'!O6,0))+parametros_manuales!$E$41*('Plan mensual'!O3+IF(parametros_manuales!$H$41="Todos",'Plan mensual'!O7,0))+parametros_manuales!$F$41*('Plan mensual'!O4+IF(parametros_manuales!$H$41="Todos",'Plan mensual'!O8,0))+parametros_manuales!$G$41*('Plan mensual'!O5+IF(parametros_manuales!$H$41="Todos",'Plan mensual'!O9,0)))*parametros_manuales!$I$41*parametros_manuales!$J$41</f>
        <v>793.4584071703</v>
      </c>
      <c r="N24" s="14" t="n">
        <f aca="false">SUM(B24:M24)</f>
        <v>6833.37310673</v>
      </c>
      <c r="O24" s="14" t="n">
        <f aca="false">MAX(B24:M24)</f>
        <v>793.4584071703</v>
      </c>
      <c r="P24" s="57" t="n">
        <f aca="false">O24/(parametros_manuales!$B$7)</f>
        <v>5.28972271446867</v>
      </c>
      <c r="Q24" s="13" t="str">
        <f aca="false">IF(O24=0,"-",INDEX($B$1:$M$1,MATCH(O24,B24:M24,0)))</f>
        <v>Dic</v>
      </c>
    </row>
    <row r="25" customFormat="false" ht="14.25" hidden="false" customHeight="true" outlineLevel="0" collapsed="false">
      <c r="A25" s="13" t="str">
        <f aca="false">parametros_manuales!$B$42</f>
        <v>Control de calidad — Ensayo de pérdidas</v>
      </c>
      <c r="B25" s="14" t="n">
        <f aca="false">(parametros_manuales!$D$42*('Plan mensual'!D2+IF(parametros_manuales!$H$42="Todos",'Plan mensual'!D6,0))+parametros_manuales!$E$42*('Plan mensual'!D3+IF(parametros_manuales!$H$42="Todos",'Plan mensual'!D7,0))+parametros_manuales!$F$42*('Plan mensual'!D4+IF(parametros_manuales!$H$42="Todos",'Plan mensual'!D8,0))+parametros_manuales!$G$42*('Plan mensual'!D5+IF(parametros_manuales!$H$42="Todos",'Plan mensual'!D9,0)))*parametros_manuales!$I$42*parametros_manuales!$J$42</f>
        <v>766.912041533</v>
      </c>
      <c r="C25" s="14" t="n">
        <f aca="false">(parametros_manuales!$D$42*('Plan mensual'!E2+IF(parametros_manuales!$H$42="Todos",'Plan mensual'!E6,0))+parametros_manuales!$E$42*('Plan mensual'!E3+IF(parametros_manuales!$H$42="Todos",'Plan mensual'!E7,0))+parametros_manuales!$F$42*('Plan mensual'!E4+IF(parametros_manuales!$H$42="Todos",'Plan mensual'!E8,0))+parametros_manuales!$G$42*('Plan mensual'!E5+IF(parametros_manuales!$H$42="Todos",'Plan mensual'!E9,0)))*parametros_manuales!$I$42*parametros_manuales!$J$42</f>
        <v>588.4572139684</v>
      </c>
      <c r="D25" s="14" t="n">
        <f aca="false">(parametros_manuales!$D$42*('Plan mensual'!F2+IF(parametros_manuales!$H$42="Todos",'Plan mensual'!F6,0))+parametros_manuales!$E$42*('Plan mensual'!F3+IF(parametros_manuales!$H$42="Todos",'Plan mensual'!F7,0))+parametros_manuales!$F$42*('Plan mensual'!F4+IF(parametros_manuales!$H$42="Todos",'Plan mensual'!F8,0))+parametros_manuales!$G$42*('Plan mensual'!F5+IF(parametros_manuales!$H$42="Todos",'Plan mensual'!F9,0)))*parametros_manuales!$I$42*parametros_manuales!$J$42</f>
        <v>559.94303135705</v>
      </c>
      <c r="E25" s="14" t="n">
        <f aca="false">(parametros_manuales!$D$42*('Plan mensual'!G2+IF(parametros_manuales!$H$42="Todos",'Plan mensual'!G6,0))+parametros_manuales!$E$42*('Plan mensual'!G3+IF(parametros_manuales!$H$42="Todos",'Plan mensual'!G7,0))+parametros_manuales!$F$42*('Plan mensual'!G4+IF(parametros_manuales!$H$42="Todos",'Plan mensual'!G8,0))+parametros_manuales!$G$42*('Plan mensual'!G5+IF(parametros_manuales!$H$42="Todos",'Plan mensual'!G9,0)))*parametros_manuales!$I$42*parametros_manuales!$J$42</f>
        <v>539.04934864205</v>
      </c>
      <c r="F25" s="14" t="n">
        <f aca="false">(parametros_manuales!$D$42*('Plan mensual'!H2+IF(parametros_manuales!$H$42="Todos",'Plan mensual'!H6,0))+parametros_manuales!$E$42*('Plan mensual'!H3+IF(parametros_manuales!$H$42="Todos",'Plan mensual'!H7,0))+parametros_manuales!$F$42*('Plan mensual'!H4+IF(parametros_manuales!$H$42="Todos",'Plan mensual'!H8,0))+parametros_manuales!$G$42*('Plan mensual'!H5+IF(parametros_manuales!$H$42="Todos",'Plan mensual'!H9,0)))*parametros_manuales!$I$42*parametros_manuales!$J$42</f>
        <v>504.8824831084</v>
      </c>
      <c r="G25" s="14" t="n">
        <f aca="false">(parametros_manuales!$D$42*('Plan mensual'!I2+IF(parametros_manuales!$H$42="Todos",'Plan mensual'!I6,0))+parametros_manuales!$E$42*('Plan mensual'!I3+IF(parametros_manuales!$H$42="Todos",'Plan mensual'!I7,0))+parametros_manuales!$F$42*('Plan mensual'!I4+IF(parametros_manuales!$H$42="Todos",'Plan mensual'!I8,0))+parametros_manuales!$G$42*('Plan mensual'!I5+IF(parametros_manuales!$H$42="Todos",'Plan mensual'!I9,0)))*parametros_manuales!$I$42*parametros_manuales!$J$42</f>
        <v>491.60930028975</v>
      </c>
      <c r="H25" s="14" t="n">
        <f aca="false">(parametros_manuales!$D$42*('Plan mensual'!J2+IF(parametros_manuales!$H$42="Todos",'Plan mensual'!J6,0))+parametros_manuales!$E$42*('Plan mensual'!J3+IF(parametros_manuales!$H$42="Todos",'Plan mensual'!J7,0))+parametros_manuales!$F$42*('Plan mensual'!J4+IF(parametros_manuales!$H$42="Todos",'Plan mensual'!J8,0))+parametros_manuales!$G$42*('Plan mensual'!J5+IF(parametros_manuales!$H$42="Todos",'Plan mensual'!J9,0)))*parametros_manuales!$I$42*parametros_manuales!$J$42</f>
        <v>525.7761658234</v>
      </c>
      <c r="I25" s="14" t="n">
        <f aca="false">(parametros_manuales!$D$42*('Plan mensual'!K2+IF(parametros_manuales!$H$42="Todos",'Plan mensual'!K6,0))+parametros_manuales!$E$42*('Plan mensual'!K3+IF(parametros_manuales!$H$42="Todos",'Plan mensual'!K7,0))+parametros_manuales!$F$42*('Plan mensual'!K4+IF(parametros_manuales!$H$42="Todos",'Plan mensual'!K8,0))+parametros_manuales!$G$42*('Plan mensual'!K5+IF(parametros_manuales!$H$42="Todos",'Plan mensual'!K9,0)))*parametros_manuales!$I$42*parametros_manuales!$J$42</f>
        <v>525.7761658234</v>
      </c>
      <c r="J25" s="14" t="n">
        <f aca="false">(parametros_manuales!$D$42*('Plan mensual'!L2+IF(parametros_manuales!$H$42="Todos",'Plan mensual'!L6,0))+parametros_manuales!$E$42*('Plan mensual'!L3+IF(parametros_manuales!$H$42="Todos",'Plan mensual'!L7,0))+parametros_manuales!$F$42*('Plan mensual'!L4+IF(parametros_manuales!$H$42="Todos",'Plan mensual'!L8,0))+parametros_manuales!$G$42*('Plan mensual'!L5+IF(parametros_manuales!$H$42="Todos",'Plan mensual'!L9,0)))*parametros_manuales!$I$42*parametros_manuales!$J$42</f>
        <v>525.7761658234</v>
      </c>
      <c r="K25" s="14" t="n">
        <f aca="false">(parametros_manuales!$D$42*('Plan mensual'!M2+IF(parametros_manuales!$H$42="Todos",'Plan mensual'!M6,0))+parametros_manuales!$E$42*('Plan mensual'!M3+IF(parametros_manuales!$H$42="Todos",'Plan mensual'!M7,0))+parametros_manuales!$F$42*('Plan mensual'!M4+IF(parametros_manuales!$H$42="Todos",'Plan mensual'!M8,0))+parametros_manuales!$G$42*('Plan mensual'!M5+IF(parametros_manuales!$H$42="Todos",'Plan mensual'!M9,0)))*parametros_manuales!$I$42*parametros_manuales!$J$42</f>
        <v>512.50298300475</v>
      </c>
      <c r="L25" s="14" t="n">
        <f aca="false">(parametros_manuales!$D$42*('Plan mensual'!N2+IF(parametros_manuales!$H$42="Todos",'Plan mensual'!N6,0))+parametros_manuales!$E$42*('Plan mensual'!N3+IF(parametros_manuales!$H$42="Todos",'Plan mensual'!N7,0))+parametros_manuales!$F$42*('Plan mensual'!N4+IF(parametros_manuales!$H$42="Todos",'Plan mensual'!N8,0))+parametros_manuales!$G$42*('Plan mensual'!N5+IF(parametros_manuales!$H$42="Todos",'Plan mensual'!N9,0)))*parametros_manuales!$I$42*parametros_manuales!$J$42</f>
        <v>499.2298001861</v>
      </c>
      <c r="M25" s="14" t="n">
        <f aca="false">(parametros_manuales!$D$42*('Plan mensual'!O2+IF(parametros_manuales!$H$42="Todos",'Plan mensual'!O6,0))+parametros_manuales!$E$42*('Plan mensual'!O3+IF(parametros_manuales!$H$42="Todos",'Plan mensual'!O7,0))+parametros_manuales!$F$42*('Plan mensual'!O4+IF(parametros_manuales!$H$42="Todos",'Plan mensual'!O8,0))+parametros_manuales!$G$42*('Plan mensual'!O5+IF(parametros_manuales!$H$42="Todos",'Plan mensual'!O9,0)))*parametros_manuales!$I$42*parametros_manuales!$J$42</f>
        <v>793.4584071703</v>
      </c>
      <c r="N25" s="14" t="n">
        <f aca="false">SUM(B25:M25)</f>
        <v>6833.37310673</v>
      </c>
      <c r="O25" s="14" t="n">
        <f aca="false">MAX(B25:M25)</f>
        <v>793.4584071703</v>
      </c>
      <c r="P25" s="57" t="n">
        <f aca="false">O25/(parametros_manuales!$B$7)</f>
        <v>5.28972271446867</v>
      </c>
      <c r="Q25" s="13" t="str">
        <f aca="false">IF(O25=0,"-",INDEX($B$1:$M$1,MATCH(O25,B25:M25,0)))</f>
        <v>Dic</v>
      </c>
    </row>
    <row r="26" customFormat="false" ht="14.25" hidden="false" customHeight="true" outlineLevel="0" collapsed="false">
      <c r="A26" s="13" t="str">
        <f aca="false">parametros_manuales!$B$43</f>
        <v>Etiquetado</v>
      </c>
      <c r="B26" s="14" t="n">
        <f aca="false">(parametros_manuales!$D$43*('Plan mensual'!D2+IF(parametros_manuales!$H$43="Todos",'Plan mensual'!D6,0))+parametros_manuales!$E$43*('Plan mensual'!D3+IF(parametros_manuales!$H$43="Todos",'Plan mensual'!D7,0))+parametros_manuales!$F$43*('Plan mensual'!D4+IF(parametros_manuales!$H$43="Todos",'Plan mensual'!D8,0))+parametros_manuales!$G$43*('Plan mensual'!D5+IF(parametros_manuales!$H$43="Todos",'Plan mensual'!D9,0)))*parametros_manuales!$I$43*parametros_manuales!$J$43</f>
        <v>766.912041533</v>
      </c>
      <c r="C26" s="14" t="n">
        <f aca="false">(parametros_manuales!$D$43*('Plan mensual'!E2+IF(parametros_manuales!$H$43="Todos",'Plan mensual'!E6,0))+parametros_manuales!$E$43*('Plan mensual'!E3+IF(parametros_manuales!$H$43="Todos",'Plan mensual'!E7,0))+parametros_manuales!$F$43*('Plan mensual'!E4+IF(parametros_manuales!$H$43="Todos",'Plan mensual'!E8,0))+parametros_manuales!$G$43*('Plan mensual'!E5+IF(parametros_manuales!$H$43="Todos",'Plan mensual'!E9,0)))*parametros_manuales!$I$43*parametros_manuales!$J$43</f>
        <v>588.4572139684</v>
      </c>
      <c r="D26" s="14" t="n">
        <f aca="false">(parametros_manuales!$D$43*('Plan mensual'!F2+IF(parametros_manuales!$H$43="Todos",'Plan mensual'!F6,0))+parametros_manuales!$E$43*('Plan mensual'!F3+IF(parametros_manuales!$H$43="Todos",'Plan mensual'!F7,0))+parametros_manuales!$F$43*('Plan mensual'!F4+IF(parametros_manuales!$H$43="Todos",'Plan mensual'!F8,0))+parametros_manuales!$G$43*('Plan mensual'!F5+IF(parametros_manuales!$H$43="Todos",'Plan mensual'!F9,0)))*parametros_manuales!$I$43*parametros_manuales!$J$43</f>
        <v>559.94303135705</v>
      </c>
      <c r="E26" s="14" t="n">
        <f aca="false">(parametros_manuales!$D$43*('Plan mensual'!G2+IF(parametros_manuales!$H$43="Todos",'Plan mensual'!G6,0))+parametros_manuales!$E$43*('Plan mensual'!G3+IF(parametros_manuales!$H$43="Todos",'Plan mensual'!G7,0))+parametros_manuales!$F$43*('Plan mensual'!G4+IF(parametros_manuales!$H$43="Todos",'Plan mensual'!G8,0))+parametros_manuales!$G$43*('Plan mensual'!G5+IF(parametros_manuales!$H$43="Todos",'Plan mensual'!G9,0)))*parametros_manuales!$I$43*parametros_manuales!$J$43</f>
        <v>539.04934864205</v>
      </c>
      <c r="F26" s="14" t="n">
        <f aca="false">(parametros_manuales!$D$43*('Plan mensual'!H2+IF(parametros_manuales!$H$43="Todos",'Plan mensual'!H6,0))+parametros_manuales!$E$43*('Plan mensual'!H3+IF(parametros_manuales!$H$43="Todos",'Plan mensual'!H7,0))+parametros_manuales!$F$43*('Plan mensual'!H4+IF(parametros_manuales!$H$43="Todos",'Plan mensual'!H8,0))+parametros_manuales!$G$43*('Plan mensual'!H5+IF(parametros_manuales!$H$43="Todos",'Plan mensual'!H9,0)))*parametros_manuales!$I$43*parametros_manuales!$J$43</f>
        <v>504.8824831084</v>
      </c>
      <c r="G26" s="14" t="n">
        <f aca="false">(parametros_manuales!$D$43*('Plan mensual'!I2+IF(parametros_manuales!$H$43="Todos",'Plan mensual'!I6,0))+parametros_manuales!$E$43*('Plan mensual'!I3+IF(parametros_manuales!$H$43="Todos",'Plan mensual'!I7,0))+parametros_manuales!$F$43*('Plan mensual'!I4+IF(parametros_manuales!$H$43="Todos",'Plan mensual'!I8,0))+parametros_manuales!$G$43*('Plan mensual'!I5+IF(parametros_manuales!$H$43="Todos",'Plan mensual'!I9,0)))*parametros_manuales!$I$43*parametros_manuales!$J$43</f>
        <v>491.60930028975</v>
      </c>
      <c r="H26" s="14" t="n">
        <f aca="false">(parametros_manuales!$D$43*('Plan mensual'!J2+IF(parametros_manuales!$H$43="Todos",'Plan mensual'!J6,0))+parametros_manuales!$E$43*('Plan mensual'!J3+IF(parametros_manuales!$H$43="Todos",'Plan mensual'!J7,0))+parametros_manuales!$F$43*('Plan mensual'!J4+IF(parametros_manuales!$H$43="Todos",'Plan mensual'!J8,0))+parametros_manuales!$G$43*('Plan mensual'!J5+IF(parametros_manuales!$H$43="Todos",'Plan mensual'!J9,0)))*parametros_manuales!$I$43*parametros_manuales!$J$43</f>
        <v>525.7761658234</v>
      </c>
      <c r="I26" s="14" t="n">
        <f aca="false">(parametros_manuales!$D$43*('Plan mensual'!K2+IF(parametros_manuales!$H$43="Todos",'Plan mensual'!K6,0))+parametros_manuales!$E$43*('Plan mensual'!K3+IF(parametros_manuales!$H$43="Todos",'Plan mensual'!K7,0))+parametros_manuales!$F$43*('Plan mensual'!K4+IF(parametros_manuales!$H$43="Todos",'Plan mensual'!K8,0))+parametros_manuales!$G$43*('Plan mensual'!K5+IF(parametros_manuales!$H$43="Todos",'Plan mensual'!K9,0)))*parametros_manuales!$I$43*parametros_manuales!$J$43</f>
        <v>525.7761658234</v>
      </c>
      <c r="J26" s="14" t="n">
        <f aca="false">(parametros_manuales!$D$43*('Plan mensual'!L2+IF(parametros_manuales!$H$43="Todos",'Plan mensual'!L6,0))+parametros_manuales!$E$43*('Plan mensual'!L3+IF(parametros_manuales!$H$43="Todos",'Plan mensual'!L7,0))+parametros_manuales!$F$43*('Plan mensual'!L4+IF(parametros_manuales!$H$43="Todos",'Plan mensual'!L8,0))+parametros_manuales!$G$43*('Plan mensual'!L5+IF(parametros_manuales!$H$43="Todos",'Plan mensual'!L9,0)))*parametros_manuales!$I$43*parametros_manuales!$J$43</f>
        <v>525.7761658234</v>
      </c>
      <c r="K26" s="14" t="n">
        <f aca="false">(parametros_manuales!$D$43*('Plan mensual'!M2+IF(parametros_manuales!$H$43="Todos",'Plan mensual'!M6,0))+parametros_manuales!$E$43*('Plan mensual'!M3+IF(parametros_manuales!$H$43="Todos",'Plan mensual'!M7,0))+parametros_manuales!$F$43*('Plan mensual'!M4+IF(parametros_manuales!$H$43="Todos",'Plan mensual'!M8,0))+parametros_manuales!$G$43*('Plan mensual'!M5+IF(parametros_manuales!$H$43="Todos",'Plan mensual'!M9,0)))*parametros_manuales!$I$43*parametros_manuales!$J$43</f>
        <v>512.50298300475</v>
      </c>
      <c r="L26" s="14" t="n">
        <f aca="false">(parametros_manuales!$D$43*('Plan mensual'!N2+IF(parametros_manuales!$H$43="Todos",'Plan mensual'!N6,0))+parametros_manuales!$E$43*('Plan mensual'!N3+IF(parametros_manuales!$H$43="Todos",'Plan mensual'!N7,0))+parametros_manuales!$F$43*('Plan mensual'!N4+IF(parametros_manuales!$H$43="Todos",'Plan mensual'!N8,0))+parametros_manuales!$G$43*('Plan mensual'!N5+IF(parametros_manuales!$H$43="Todos",'Plan mensual'!N9,0)))*parametros_manuales!$I$43*parametros_manuales!$J$43</f>
        <v>499.2298001861</v>
      </c>
      <c r="M26" s="14" t="n">
        <f aca="false">(parametros_manuales!$D$43*('Plan mensual'!O2+IF(parametros_manuales!$H$43="Todos",'Plan mensual'!O6,0))+parametros_manuales!$E$43*('Plan mensual'!O3+IF(parametros_manuales!$H$43="Todos",'Plan mensual'!O7,0))+parametros_manuales!$F$43*('Plan mensual'!O4+IF(parametros_manuales!$H$43="Todos",'Plan mensual'!O8,0))+parametros_manuales!$G$43*('Plan mensual'!O5+IF(parametros_manuales!$H$43="Todos",'Plan mensual'!O9,0)))*parametros_manuales!$I$43*parametros_manuales!$J$43</f>
        <v>793.4584071703</v>
      </c>
      <c r="N26" s="14" t="n">
        <f aca="false">SUM(B26:M26)</f>
        <v>6833.37310673</v>
      </c>
      <c r="O26" s="14" t="n">
        <f aca="false">MAX(B26:M26)</f>
        <v>793.4584071703</v>
      </c>
      <c r="P26" s="57" t="n">
        <f aca="false">O26/(parametros_manuales!$B$7)</f>
        <v>5.28972271446867</v>
      </c>
      <c r="Q26" s="13" t="str">
        <f aca="false">IF(O26=0,"-",INDEX($B$1:$M$1,MATCH(O26,B26:M26,0)))</f>
        <v>Dic</v>
      </c>
    </row>
    <row r="27" customFormat="false" ht="14.25" hidden="false" customHeight="true" outlineLevel="0" collapsed="false">
      <c r="A27" s="13" t="str">
        <f aca="false">parametros_manuales!$B$44</f>
        <v>Embalaje y paletizado</v>
      </c>
      <c r="B27" s="14" t="n">
        <f aca="false">(parametros_manuales!$D$44*('Plan mensual'!D2+IF(parametros_manuales!$H$44="Todos",'Plan mensual'!D6,0))+parametros_manuales!$E$44*('Plan mensual'!D3+IF(parametros_manuales!$H$44="Todos",'Plan mensual'!D7,0))+parametros_manuales!$F$44*('Plan mensual'!D4+IF(parametros_manuales!$H$44="Todos",'Plan mensual'!D8,0))+parametros_manuales!$G$44*('Plan mensual'!D5+IF(parametros_manuales!$H$44="Todos",'Plan mensual'!D9,0)))*parametros_manuales!$I$44*parametros_manuales!$J$44</f>
        <v>769.112041533</v>
      </c>
      <c r="C27" s="14" t="n">
        <f aca="false">(parametros_manuales!$D$44*('Plan mensual'!E2+IF(parametros_manuales!$H$44="Todos",'Plan mensual'!E6,0))+parametros_manuales!$E$44*('Plan mensual'!E3+IF(parametros_manuales!$H$44="Todos",'Plan mensual'!E7,0))+parametros_manuales!$F$44*('Plan mensual'!E4+IF(parametros_manuales!$H$44="Todos",'Plan mensual'!E8,0))+parametros_manuales!$G$44*('Plan mensual'!E5+IF(parametros_manuales!$H$44="Todos",'Plan mensual'!E9,0)))*parametros_manuales!$I$44*parametros_manuales!$J$44</f>
        <v>590.2172139684</v>
      </c>
      <c r="D27" s="14" t="n">
        <f aca="false">(parametros_manuales!$D$44*('Plan mensual'!F2+IF(parametros_manuales!$H$44="Todos",'Plan mensual'!F6,0))+parametros_manuales!$E$44*('Plan mensual'!F3+IF(parametros_manuales!$H$44="Todos",'Plan mensual'!F7,0))+parametros_manuales!$F$44*('Plan mensual'!F4+IF(parametros_manuales!$H$44="Todos",'Plan mensual'!F8,0))+parametros_manuales!$G$44*('Plan mensual'!F5+IF(parametros_manuales!$H$44="Todos",'Plan mensual'!F9,0)))*parametros_manuales!$I$44*parametros_manuales!$J$44</f>
        <v>561.81303135705</v>
      </c>
      <c r="E27" s="14" t="n">
        <f aca="false">(parametros_manuales!$D$44*('Plan mensual'!G2+IF(parametros_manuales!$H$44="Todos",'Plan mensual'!G6,0))+parametros_manuales!$E$44*('Plan mensual'!G3+IF(parametros_manuales!$H$44="Todos",'Plan mensual'!G7,0))+parametros_manuales!$F$44*('Plan mensual'!G4+IF(parametros_manuales!$H$44="Todos",'Plan mensual'!G8,0))+parametros_manuales!$G$44*('Plan mensual'!G5+IF(parametros_manuales!$H$44="Todos",'Plan mensual'!G9,0)))*parametros_manuales!$I$44*parametros_manuales!$J$44</f>
        <v>540.91934864205</v>
      </c>
      <c r="F27" s="14" t="n">
        <f aca="false">(parametros_manuales!$D$44*('Plan mensual'!H2+IF(parametros_manuales!$H$44="Todos",'Plan mensual'!H6,0))+parametros_manuales!$E$44*('Plan mensual'!H3+IF(parametros_manuales!$H$44="Todos",'Plan mensual'!H7,0))+parametros_manuales!$F$44*('Plan mensual'!H4+IF(parametros_manuales!$H$44="Todos",'Plan mensual'!H8,0))+parametros_manuales!$G$44*('Plan mensual'!H5+IF(parametros_manuales!$H$44="Todos",'Plan mensual'!H9,0)))*parametros_manuales!$I$44*parametros_manuales!$J$44</f>
        <v>506.6424831084</v>
      </c>
      <c r="G27" s="14" t="n">
        <f aca="false">(parametros_manuales!$D$44*('Plan mensual'!I2+IF(parametros_manuales!$H$44="Todos",'Plan mensual'!I6,0))+parametros_manuales!$E$44*('Plan mensual'!I3+IF(parametros_manuales!$H$44="Todos",'Plan mensual'!I7,0))+parametros_manuales!$F$44*('Plan mensual'!I4+IF(parametros_manuales!$H$44="Todos",'Plan mensual'!I8,0))+parametros_manuales!$G$44*('Plan mensual'!I5+IF(parametros_manuales!$H$44="Todos",'Plan mensual'!I9,0)))*parametros_manuales!$I$44*parametros_manuales!$J$44</f>
        <v>493.25930028975</v>
      </c>
      <c r="H27" s="14" t="n">
        <f aca="false">(parametros_manuales!$D$44*('Plan mensual'!J2+IF(parametros_manuales!$H$44="Todos",'Plan mensual'!J6,0))+parametros_manuales!$E$44*('Plan mensual'!J3+IF(parametros_manuales!$H$44="Todos",'Plan mensual'!J7,0))+parametros_manuales!$F$44*('Plan mensual'!J4+IF(parametros_manuales!$H$44="Todos",'Plan mensual'!J8,0))+parametros_manuales!$G$44*('Plan mensual'!J5+IF(parametros_manuales!$H$44="Todos",'Plan mensual'!J9,0)))*parametros_manuales!$I$44*parametros_manuales!$J$44</f>
        <v>527.5361658234</v>
      </c>
      <c r="I27" s="14" t="n">
        <f aca="false">(parametros_manuales!$D$44*('Plan mensual'!K2+IF(parametros_manuales!$H$44="Todos",'Plan mensual'!K6,0))+parametros_manuales!$E$44*('Plan mensual'!K3+IF(parametros_manuales!$H$44="Todos",'Plan mensual'!K7,0))+parametros_manuales!$F$44*('Plan mensual'!K4+IF(parametros_manuales!$H$44="Todos",'Plan mensual'!K8,0))+parametros_manuales!$G$44*('Plan mensual'!K5+IF(parametros_manuales!$H$44="Todos",'Plan mensual'!K9,0)))*parametros_manuales!$I$44*parametros_manuales!$J$44</f>
        <v>527.5361658234</v>
      </c>
      <c r="J27" s="14" t="n">
        <f aca="false">(parametros_manuales!$D$44*('Plan mensual'!L2+IF(parametros_manuales!$H$44="Todos",'Plan mensual'!L6,0))+parametros_manuales!$E$44*('Plan mensual'!L3+IF(parametros_manuales!$H$44="Todos",'Plan mensual'!L7,0))+parametros_manuales!$F$44*('Plan mensual'!L4+IF(parametros_manuales!$H$44="Todos",'Plan mensual'!L8,0))+parametros_manuales!$G$44*('Plan mensual'!L5+IF(parametros_manuales!$H$44="Todos",'Plan mensual'!L9,0)))*parametros_manuales!$I$44*parametros_manuales!$J$44</f>
        <v>527.5361658234</v>
      </c>
      <c r="K27" s="14" t="n">
        <f aca="false">(parametros_manuales!$D$44*('Plan mensual'!M2+IF(parametros_manuales!$H$44="Todos",'Plan mensual'!M6,0))+parametros_manuales!$E$44*('Plan mensual'!M3+IF(parametros_manuales!$H$44="Todos",'Plan mensual'!M7,0))+parametros_manuales!$F$44*('Plan mensual'!M4+IF(parametros_manuales!$H$44="Todos",'Plan mensual'!M8,0))+parametros_manuales!$G$44*('Plan mensual'!M5+IF(parametros_manuales!$H$44="Todos",'Plan mensual'!M9,0)))*parametros_manuales!$I$44*parametros_manuales!$J$44</f>
        <v>514.15298300475</v>
      </c>
      <c r="L27" s="14" t="n">
        <f aca="false">(parametros_manuales!$D$44*('Plan mensual'!N2+IF(parametros_manuales!$H$44="Todos",'Plan mensual'!N6,0))+parametros_manuales!$E$44*('Plan mensual'!N3+IF(parametros_manuales!$H$44="Todos",'Plan mensual'!N7,0))+parametros_manuales!$F$44*('Plan mensual'!N4+IF(parametros_manuales!$H$44="Todos",'Plan mensual'!N8,0))+parametros_manuales!$G$44*('Plan mensual'!N5+IF(parametros_manuales!$H$44="Todos",'Plan mensual'!N9,0)))*parametros_manuales!$I$44*parametros_manuales!$J$44</f>
        <v>500.7698001861</v>
      </c>
      <c r="M27" s="14" t="n">
        <f aca="false">(parametros_manuales!$D$44*('Plan mensual'!O2+IF(parametros_manuales!$H$44="Todos",'Plan mensual'!O6,0))+parametros_manuales!$E$44*('Plan mensual'!O3+IF(parametros_manuales!$H$44="Todos",'Plan mensual'!O7,0))+parametros_manuales!$F$44*('Plan mensual'!O4+IF(parametros_manuales!$H$44="Todos",'Plan mensual'!O8,0))+parametros_manuales!$G$44*('Plan mensual'!O5+IF(parametros_manuales!$H$44="Todos",'Plan mensual'!O9,0)))*parametros_manuales!$I$44*parametros_manuales!$J$44</f>
        <v>795.8784071703</v>
      </c>
      <c r="N27" s="14" t="n">
        <f aca="false">SUM(B27:M27)</f>
        <v>6855.37310673</v>
      </c>
      <c r="O27" s="14" t="n">
        <f aca="false">MAX(B27:M27)</f>
        <v>795.8784071703</v>
      </c>
      <c r="P27" s="57" t="n">
        <f aca="false">O27/(parametros_manuales!$B$7)</f>
        <v>5.305856047802</v>
      </c>
      <c r="Q27" s="13" t="str">
        <f aca="false">IF(O27=0,"-",INDEX($B$1:$M$1,MATCH(O27,B27:M27,0)))</f>
        <v>Dic</v>
      </c>
    </row>
    <row r="28" customFormat="false" ht="14.25" hidden="false" customHeight="true" outlineLevel="0" collapsed="false"/>
    <row r="29" customFormat="false" ht="14.25" hidden="false" customHeight="true" outlineLevel="0" collapsed="false">
      <c r="A29" s="12" t="s">
        <v>269</v>
      </c>
      <c r="B29" s="12" t="s">
        <v>37</v>
      </c>
      <c r="C29" s="12" t="s">
        <v>38</v>
      </c>
      <c r="D29" s="12" t="s">
        <v>39</v>
      </c>
      <c r="E29" s="12" t="s">
        <v>40</v>
      </c>
      <c r="F29" s="12" t="s">
        <v>41</v>
      </c>
      <c r="G29" s="12" t="s">
        <v>42</v>
      </c>
      <c r="H29" s="12" t="s">
        <v>43</v>
      </c>
      <c r="I29" s="12" t="s">
        <v>44</v>
      </c>
      <c r="J29" s="12" t="s">
        <v>45</v>
      </c>
      <c r="K29" s="12" t="s">
        <v>46</v>
      </c>
      <c r="L29" s="12" t="s">
        <v>47</v>
      </c>
      <c r="M29" s="12" t="s">
        <v>48</v>
      </c>
      <c r="N29" s="12" t="s">
        <v>261</v>
      </c>
      <c r="O29" s="12" t="s">
        <v>266</v>
      </c>
      <c r="P29" s="12" t="s">
        <v>267</v>
      </c>
      <c r="Q29" s="12" t="s">
        <v>268</v>
      </c>
    </row>
    <row r="30" customFormat="false" ht="14.25" hidden="false" customHeight="true" outlineLevel="0" collapsed="false">
      <c r="A30" s="13" t="str">
        <f aca="false">parametros_manuales!$B$19</f>
        <v>Recepción de materia prima</v>
      </c>
      <c r="B30" s="14" t="n">
        <f aca="false">(parametros_manuales!$D$19*('Plan mensual'!D13+IF(parametros_manuales!$H$19="Todos",'Plan mensual'!D17,0))+parametros_manuales!$E$19*('Plan mensual'!D14+IF(parametros_manuales!$H$19="Todos",'Plan mensual'!D18,0))+parametros_manuales!$F$19*('Plan mensual'!D15+IF(parametros_manuales!$H$19="Todos",'Plan mensual'!D19,0))+parametros_manuales!$G$19*('Plan mensual'!D16+IF(parametros_manuales!$H$19="Todos",'Plan mensual'!D20,0)))*parametros_manuales!$I$19*parametros_manuales!$J$19</f>
        <v>1203.14384004</v>
      </c>
      <c r="C30" s="14" t="n">
        <f aca="false">(parametros_manuales!$D$19*('Plan mensual'!E13+IF(parametros_manuales!$H$19="Todos",'Plan mensual'!E17,0))+parametros_manuales!$E$19*('Plan mensual'!E14+IF(parametros_manuales!$H$19="Todos",'Plan mensual'!E18,0))+parametros_manuales!$F$19*('Plan mensual'!E15+IF(parametros_manuales!$H$19="Todos",'Plan mensual'!E19,0))+parametros_manuales!$G$19*('Plan mensual'!E16+IF(parametros_manuales!$H$19="Todos",'Plan mensual'!E20,0)))*parametros_manuales!$I$19*parametros_manuales!$J$19</f>
        <v>926.53124817</v>
      </c>
      <c r="D30" s="14" t="n">
        <f aca="false">(parametros_manuales!$D$19*('Plan mensual'!F13+IF(parametros_manuales!$H$19="Todos",'Plan mensual'!F17,0))+parametros_manuales!$E$19*('Plan mensual'!F14+IF(parametros_manuales!$H$19="Todos",'Plan mensual'!F18,0))+parametros_manuales!$F$19*('Plan mensual'!F15+IF(parametros_manuales!$H$19="Todos",'Plan mensual'!F19,0))+parametros_manuales!$G$19*('Plan mensual'!F16+IF(parametros_manuales!$H$19="Todos",'Plan mensual'!F20,0)))*parametros_manuales!$I$19*parametros_manuales!$J$19</f>
        <v>890.73157654</v>
      </c>
      <c r="E30" s="14" t="n">
        <f aca="false">(parametros_manuales!$D$19*('Plan mensual'!G13+IF(parametros_manuales!$H$19="Todos",'Plan mensual'!G17,0))+parametros_manuales!$E$19*('Plan mensual'!G14+IF(parametros_manuales!$H$19="Todos",'Plan mensual'!G18,0))+parametros_manuales!$F$19*('Plan mensual'!G15+IF(parametros_manuales!$H$19="Todos",'Plan mensual'!G19,0))+parametros_manuales!$G$19*('Plan mensual'!G16+IF(parametros_manuales!$H$19="Todos",'Plan mensual'!G20,0)))*parametros_manuales!$I$19*parametros_manuales!$J$19</f>
        <v>860.745056655</v>
      </c>
      <c r="F30" s="14" t="n">
        <f aca="false">(parametros_manuales!$D$19*('Plan mensual'!H13+IF(parametros_manuales!$H$19="Todos",'Plan mensual'!H17,0))+parametros_manuales!$E$19*('Plan mensual'!H14+IF(parametros_manuales!$H$19="Todos",'Plan mensual'!H18,0))+parametros_manuales!$F$19*('Plan mensual'!H15+IF(parametros_manuales!$H$19="Todos",'Plan mensual'!H19,0))+parametros_manuales!$G$19*('Plan mensual'!H16+IF(parametros_manuales!$H$19="Todos",'Plan mensual'!H20,0)))*parametros_manuales!$I$19*parametros_manuales!$J$19</f>
        <v>806.58516863</v>
      </c>
      <c r="G30" s="14" t="n">
        <f aca="false">(parametros_manuales!$D$19*('Plan mensual'!I13+IF(parametros_manuales!$H$19="Todos",'Plan mensual'!I17,0))+parametros_manuales!$E$19*('Plan mensual'!I14+IF(parametros_manuales!$H$19="Todos",'Plan mensual'!I18,0))+parametros_manuales!$F$19*('Plan mensual'!I15+IF(parametros_manuales!$H$19="Todos",'Plan mensual'!I19,0))+parametros_manuales!$G$19*('Plan mensual'!I16+IF(parametros_manuales!$H$19="Todos",'Plan mensual'!I20,0)))*parametros_manuales!$I$19*parametros_manuales!$J$19</f>
        <v>782.41180049</v>
      </c>
      <c r="H30" s="14" t="n">
        <f aca="false">(parametros_manuales!$D$19*('Plan mensual'!J13+IF(parametros_manuales!$H$19="Todos",'Plan mensual'!J17,0))+parametros_manuales!$E$19*('Plan mensual'!J14+IF(parametros_manuales!$H$19="Todos",'Plan mensual'!J18,0))+parametros_manuales!$F$19*('Plan mensual'!J15+IF(parametros_manuales!$H$19="Todos",'Plan mensual'!J19,0))+parametros_manuales!$G$19*('Plan mensual'!J16+IF(parametros_manuales!$H$19="Todos",'Plan mensual'!J20,0)))*parametros_manuales!$I$19*parametros_manuales!$J$19</f>
        <v>836.571688515</v>
      </c>
      <c r="I30" s="14" t="n">
        <f aca="false">(parametros_manuales!$D$19*('Plan mensual'!K13+IF(parametros_manuales!$H$19="Todos",'Plan mensual'!K17,0))+parametros_manuales!$E$19*('Plan mensual'!K14+IF(parametros_manuales!$H$19="Todos",'Plan mensual'!K18,0))+parametros_manuales!$F$19*('Plan mensual'!K15+IF(parametros_manuales!$H$19="Todos",'Plan mensual'!K19,0))+parametros_manuales!$G$19*('Plan mensual'!K16+IF(parametros_manuales!$H$19="Todos",'Plan mensual'!K20,0)))*parametros_manuales!$I$19*parametros_manuales!$J$19</f>
        <v>836.571688515</v>
      </c>
      <c r="J30" s="14" t="n">
        <f aca="false">(parametros_manuales!$D$19*('Plan mensual'!L13+IF(parametros_manuales!$H$19="Todos",'Plan mensual'!L17,0))+parametros_manuales!$E$19*('Plan mensual'!L14+IF(parametros_manuales!$H$19="Todos",'Plan mensual'!L18,0))+parametros_manuales!$F$19*('Plan mensual'!L15+IF(parametros_manuales!$H$19="Todos",'Plan mensual'!L19,0))+parametros_manuales!$G$19*('Plan mensual'!L16+IF(parametros_manuales!$H$19="Todos",'Plan mensual'!L20,0)))*parametros_manuales!$I$19*parametros_manuales!$J$19</f>
        <v>836.571688515</v>
      </c>
      <c r="K30" s="14" t="n">
        <f aca="false">(parametros_manuales!$D$19*('Plan mensual'!M13+IF(parametros_manuales!$H$19="Todos",'Plan mensual'!M17,0))+parametros_manuales!$E$19*('Plan mensual'!M14+IF(parametros_manuales!$H$19="Todos",'Plan mensual'!M18,0))+parametros_manuales!$F$19*('Plan mensual'!M15+IF(parametros_manuales!$H$19="Todos",'Plan mensual'!M19,0))+parametros_manuales!$G$19*('Plan mensual'!M16+IF(parametros_manuales!$H$19="Todos",'Plan mensual'!M20,0)))*parametros_manuales!$I$19*parametros_manuales!$J$19</f>
        <v>812.398320375</v>
      </c>
      <c r="L30" s="14" t="n">
        <f aca="false">(parametros_manuales!$D$19*('Plan mensual'!N13+IF(parametros_manuales!$H$19="Todos",'Plan mensual'!N17,0))+parametros_manuales!$E$19*('Plan mensual'!N14+IF(parametros_manuales!$H$19="Todos",'Plan mensual'!N18,0))+parametros_manuales!$F$19*('Plan mensual'!N15+IF(parametros_manuales!$H$19="Todos",'Plan mensual'!N19,0))+parametros_manuales!$G$19*('Plan mensual'!N16+IF(parametros_manuales!$H$19="Todos",'Plan mensual'!N20,0)))*parametros_manuales!$I$19*parametros_manuales!$J$19</f>
        <v>788.224952235</v>
      </c>
      <c r="M30" s="14" t="n">
        <f aca="false">(parametros_manuales!$D$19*('Plan mensual'!O13+IF(parametros_manuales!$H$19="Todos",'Plan mensual'!O17,0))+parametros_manuales!$E$19*('Plan mensual'!O14+IF(parametros_manuales!$H$19="Todos",'Plan mensual'!O18,0))+parametros_manuales!$F$19*('Plan mensual'!O15+IF(parametros_manuales!$H$19="Todos",'Plan mensual'!O19,0))+parametros_manuales!$G$19*('Plan mensual'!O16+IF(parametros_manuales!$H$19="Todos",'Plan mensual'!O20,0)))*parametros_manuales!$I$19*parametros_manuales!$J$19</f>
        <v>1251.49057632</v>
      </c>
      <c r="N30" s="14" t="n">
        <f aca="false">SUM(B30:M30)</f>
        <v>10831.977605</v>
      </c>
      <c r="O30" s="14" t="n">
        <f aca="false">MAX(B30:M30)</f>
        <v>1251.49057632</v>
      </c>
      <c r="P30" s="57" t="n">
        <f aca="false">O30/(parametros_manuales!$B$7)</f>
        <v>8.3432705088</v>
      </c>
      <c r="Q30" s="13" t="str">
        <f aca="false">IF(O30=0,"-",INDEX($B$29:$M$29,MATCH(O30,B30:M30,0)))</f>
        <v>Dic</v>
      </c>
    </row>
    <row r="31" customFormat="false" ht="14.25" hidden="false" customHeight="true" outlineLevel="0" collapsed="false">
      <c r="A31" s="13" t="str">
        <f aca="false">parametros_manuales!$B$20</f>
        <v>Corte de chapa — 1.er corte en franjas (guillotina 1, manuales + carros)</v>
      </c>
      <c r="B31" s="14" t="n">
        <f aca="false">(parametros_manuales!$D$20*('Plan mensual'!D13+IF(parametros_manuales!$H$20="Todos",'Plan mensual'!D17,0))+parametros_manuales!$E$20*('Plan mensual'!D14+IF(parametros_manuales!$H$20="Todos",'Plan mensual'!D18,0))+parametros_manuales!$F$20*('Plan mensual'!D15+IF(parametros_manuales!$H$20="Todos",'Plan mensual'!D19,0))+parametros_manuales!$G$20*('Plan mensual'!D16+IF(parametros_manuales!$H$20="Todos",'Plan mensual'!D20,0)))*parametros_manuales!$I$20*parametros_manuales!$J$20+parametros_manuales!$B$149</f>
        <v>1349.20052257022</v>
      </c>
      <c r="C31" s="14" t="n">
        <f aca="false">(parametros_manuales!$D$20*('Plan mensual'!E13+IF(parametros_manuales!$H$20="Todos",'Plan mensual'!E17,0))+parametros_manuales!$E$20*('Plan mensual'!E14+IF(parametros_manuales!$H$20="Todos",'Plan mensual'!E18,0))+parametros_manuales!$F$20*('Plan mensual'!E15+IF(parametros_manuales!$H$20="Todos",'Plan mensual'!E19,0))+parametros_manuales!$G$20*('Plan mensual'!E16+IF(parametros_manuales!$H$20="Todos",'Plan mensual'!E20,0)))*parametros_manuales!$I$20*parametros_manuales!$J$20+parametros_manuales!$C$149</f>
        <v>1055.40479157902</v>
      </c>
      <c r="D31" s="14" t="n">
        <f aca="false">(parametros_manuales!$D$20*('Plan mensual'!F13+IF(parametros_manuales!$H$20="Todos",'Plan mensual'!F17,0))+parametros_manuales!$E$20*('Plan mensual'!F14+IF(parametros_manuales!$H$20="Todos",'Plan mensual'!F18,0))+parametros_manuales!$F$20*('Plan mensual'!F15+IF(parametros_manuales!$H$20="Todos",'Plan mensual'!F19,0))+parametros_manuales!$G$20*('Plan mensual'!F16+IF(parametros_manuales!$H$20="Todos",'Plan mensual'!F20,0)))*parametros_manuales!$I$20*parametros_manuales!$J$20+parametros_manuales!$D$149</f>
        <v>1045.37982863082</v>
      </c>
      <c r="E31" s="14" t="n">
        <f aca="false">(parametros_manuales!$D$20*('Plan mensual'!G13+IF(parametros_manuales!$H$20="Todos",'Plan mensual'!G17,0))+parametros_manuales!$E$20*('Plan mensual'!G14+IF(parametros_manuales!$H$20="Todos",'Plan mensual'!G18,0))+parametros_manuales!$F$20*('Plan mensual'!G15+IF(parametros_manuales!$H$20="Todos",'Plan mensual'!G19,0))+parametros_manuales!$G$20*('Plan mensual'!G16+IF(parametros_manuales!$H$20="Todos",'Plan mensual'!G20,0)))*parametros_manuales!$I$20*parametros_manuales!$J$20+parametros_manuales!$E$149</f>
        <v>1015.39330874582</v>
      </c>
      <c r="F31" s="14" t="n">
        <f aca="false">(parametros_manuales!$D$20*('Plan mensual'!H13+IF(parametros_manuales!$H$20="Todos",'Plan mensual'!H17,0))+parametros_manuales!$E$20*('Plan mensual'!H14+IF(parametros_manuales!$H$20="Todos",'Plan mensual'!H18,0))+parametros_manuales!$F$20*('Plan mensual'!H15+IF(parametros_manuales!$H$20="Todos",'Plan mensual'!H19,0))+parametros_manuales!$G$20*('Plan mensual'!H16+IF(parametros_manuales!$H$20="Todos",'Plan mensual'!H20,0)))*parametros_manuales!$I$20*parametros_manuales!$J$20+parametros_manuales!$F$149</f>
        <v>961.233420720825</v>
      </c>
      <c r="G31" s="14" t="n">
        <f aca="false">(parametros_manuales!$D$20*('Plan mensual'!I13+IF(parametros_manuales!$H$20="Todos",'Plan mensual'!I17,0))+parametros_manuales!$E$20*('Plan mensual'!I14+IF(parametros_manuales!$H$20="Todos",'Plan mensual'!I18,0))+parametros_manuales!$F$20*('Plan mensual'!I15+IF(parametros_manuales!$H$20="Todos",'Plan mensual'!I19,0))+parametros_manuales!$G$20*('Plan mensual'!I16+IF(parametros_manuales!$H$20="Todos",'Plan mensual'!I20,0)))*parametros_manuales!$I$20*parametros_manuales!$J$20+parametros_manuales!$G$149</f>
        <v>919.876913459622</v>
      </c>
      <c r="H31" s="14" t="n">
        <f aca="false">(parametros_manuales!$D$20*('Plan mensual'!J13+IF(parametros_manuales!$H$20="Todos",'Plan mensual'!J17,0))+parametros_manuales!$E$20*('Plan mensual'!J14+IF(parametros_manuales!$H$20="Todos",'Plan mensual'!J18,0))+parametros_manuales!$F$20*('Plan mensual'!J15+IF(parametros_manuales!$H$20="Todos",'Plan mensual'!J19,0))+parametros_manuales!$G$20*('Plan mensual'!J16+IF(parametros_manuales!$H$20="Todos",'Plan mensual'!J20,0)))*parametros_manuales!$I$20*parametros_manuales!$J$20+parametros_manuales!$H$149</f>
        <v>991.219940605825</v>
      </c>
      <c r="I31" s="14" t="n">
        <f aca="false">(parametros_manuales!$D$20*('Plan mensual'!K13+IF(parametros_manuales!$H$20="Todos",'Plan mensual'!K17,0))+parametros_manuales!$E$20*('Plan mensual'!K14+IF(parametros_manuales!$H$20="Todos",'Plan mensual'!K18,0))+parametros_manuales!$F$20*('Plan mensual'!K15+IF(parametros_manuales!$H$20="Todos",'Plan mensual'!K19,0))+parametros_manuales!$G$20*('Plan mensual'!K16+IF(parametros_manuales!$H$20="Todos",'Plan mensual'!K20,0)))*parametros_manuales!$I$20*parametros_manuales!$J$20+parametros_manuales!$I$149</f>
        <v>991.219940605825</v>
      </c>
      <c r="J31" s="14" t="n">
        <f aca="false">(parametros_manuales!$D$20*('Plan mensual'!L13+IF(parametros_manuales!$H$20="Todos",'Plan mensual'!L17,0))+parametros_manuales!$E$20*('Plan mensual'!L14+IF(parametros_manuales!$H$20="Todos",'Plan mensual'!L18,0))+parametros_manuales!$F$20*('Plan mensual'!L15+IF(parametros_manuales!$H$20="Todos",'Plan mensual'!L19,0))+parametros_manuales!$G$20*('Plan mensual'!L16+IF(parametros_manuales!$H$20="Todos",'Plan mensual'!L20,0)))*parametros_manuales!$I$20*parametros_manuales!$J$20+parametros_manuales!$J$149</f>
        <v>982.628371045223</v>
      </c>
      <c r="K31" s="14" t="n">
        <f aca="false">(parametros_manuales!$D$20*('Plan mensual'!M13+IF(parametros_manuales!$H$20="Todos",'Plan mensual'!M17,0))+parametros_manuales!$E$20*('Plan mensual'!M14+IF(parametros_manuales!$H$20="Todos",'Plan mensual'!M18,0))+parametros_manuales!$F$20*('Plan mensual'!M15+IF(parametros_manuales!$H$20="Todos",'Plan mensual'!M19,0))+parametros_manuales!$G$20*('Plan mensual'!M16+IF(parametros_manuales!$H$20="Todos",'Plan mensual'!M20,0)))*parametros_manuales!$I$20*parametros_manuales!$J$20+parametros_manuales!$K$149</f>
        <v>941.27186378402</v>
      </c>
      <c r="L31" s="14" t="n">
        <f aca="false">(parametros_manuales!$D$20*('Plan mensual'!N13+IF(parametros_manuales!$H$20="Todos",'Plan mensual'!N17,0))+parametros_manuales!$E$20*('Plan mensual'!N14+IF(parametros_manuales!$H$20="Todos",'Plan mensual'!N18,0))+parametros_manuales!$F$20*('Plan mensual'!N15+IF(parametros_manuales!$H$20="Todos",'Plan mensual'!N19,0))+parametros_manuales!$G$20*('Plan mensual'!N16+IF(parametros_manuales!$H$20="Todos",'Plan mensual'!N20,0)))*parametros_manuales!$I$20*parametros_manuales!$J$20+parametros_manuales!$L$149</f>
        <v>908.506926083419</v>
      </c>
      <c r="M31" s="14" t="n">
        <f aca="false">(parametros_manuales!$D$20*('Plan mensual'!O13+IF(parametros_manuales!$H$20="Todos",'Plan mensual'!O17,0))+parametros_manuales!$E$20*('Plan mensual'!O14+IF(parametros_manuales!$H$20="Todos",'Plan mensual'!O18,0))+parametros_manuales!$F$20*('Plan mensual'!O15+IF(parametros_manuales!$H$20="Todos",'Plan mensual'!O19,0))+parametros_manuales!$G$20*('Plan mensual'!O16+IF(parametros_manuales!$H$20="Todos",'Plan mensual'!O20,0)))*parametros_manuales!$I$20*parametros_manuales!$J$20+parametros_manuales!$M$149</f>
        <v>1388.95568928962</v>
      </c>
      <c r="N31" s="14" t="n">
        <f aca="false">SUM(B31:M31)</f>
        <v>12550.2915171203</v>
      </c>
      <c r="O31" s="14" t="n">
        <f aca="false">MAX(B31:M31)</f>
        <v>1388.95568928962</v>
      </c>
      <c r="P31" s="57" t="n">
        <f aca="false">O31/(parametros_manuales!$B$7)</f>
        <v>9.25970459526415</v>
      </c>
      <c r="Q31" s="13" t="str">
        <f aca="false">IF(O31=0,"-",INDEX($B$29:$M$29,MATCH(O31,B31:M31,0)))</f>
        <v>Dic</v>
      </c>
    </row>
    <row r="32" customFormat="false" ht="14.25" hidden="false" customHeight="true" outlineLevel="0" collapsed="false">
      <c r="A32" s="13" t="str">
        <f aca="false">parametros_manuales!$B$21</f>
        <v>Corte de chapa — 2.º corte en piezas (guillotina 2, manuales + carros)</v>
      </c>
      <c r="B32" s="14" t="n">
        <f aca="false">(parametros_manuales!$D$21*('Plan mensual'!D13+IF(parametros_manuales!$H$21="Todos",'Plan mensual'!D17,0))+parametros_manuales!$E$21*('Plan mensual'!D14+IF(parametros_manuales!$H$21="Todos",'Plan mensual'!D18,0))+parametros_manuales!$F$21*('Plan mensual'!D15+IF(parametros_manuales!$H$21="Todos",'Plan mensual'!D19,0))+parametros_manuales!$G$21*('Plan mensual'!D16+IF(parametros_manuales!$H$21="Todos",'Plan mensual'!D20,0)))*parametros_manuales!$I$21*parametros_manuales!$J$21+parametros_manuales!$B$161</f>
        <v>1392.78020773024</v>
      </c>
      <c r="C32" s="14" t="n">
        <f aca="false">(parametros_manuales!$D$21*('Plan mensual'!E13+IF(parametros_manuales!$H$21="Todos",'Plan mensual'!E17,0))+parametros_manuales!$E$21*('Plan mensual'!E14+IF(parametros_manuales!$H$21="Todos",'Plan mensual'!E18,0))+parametros_manuales!$F$21*('Plan mensual'!E15+IF(parametros_manuales!$H$21="Todos",'Plan mensual'!E19,0))+parametros_manuales!$G$21*('Plan mensual'!E16+IF(parametros_manuales!$H$21="Todos",'Plan mensual'!E20,0)))*parametros_manuales!$I$21*parametros_manuales!$J$21+parametros_manuales!$C$161</f>
        <v>1093.85745495551</v>
      </c>
      <c r="D32" s="14" t="n">
        <f aca="false">(parametros_manuales!$D$21*('Plan mensual'!F13+IF(parametros_manuales!$H$21="Todos",'Plan mensual'!F17,0))+parametros_manuales!$E$21*('Plan mensual'!F14+IF(parametros_manuales!$H$21="Todos",'Plan mensual'!F18,0))+parametros_manuales!$F$21*('Plan mensual'!F15+IF(parametros_manuales!$H$21="Todos",'Plan mensual'!F19,0))+parametros_manuales!$G$21*('Plan mensual'!F16+IF(parametros_manuales!$H$21="Todos",'Plan mensual'!F20,0)))*parametros_manuales!$I$21*parametros_manuales!$J$21+parametros_manuales!$D$161</f>
        <v>1091.52302468261</v>
      </c>
      <c r="E32" s="14" t="n">
        <f aca="false">(parametros_manuales!$D$21*('Plan mensual'!G13+IF(parametros_manuales!$H$21="Todos",'Plan mensual'!G17,0))+parametros_manuales!$E$21*('Plan mensual'!G14+IF(parametros_manuales!$H$21="Todos",'Plan mensual'!G18,0))+parametros_manuales!$F$21*('Plan mensual'!G15+IF(parametros_manuales!$H$21="Todos",'Plan mensual'!G19,0))+parametros_manuales!$G$21*('Plan mensual'!G16+IF(parametros_manuales!$H$21="Todos",'Plan mensual'!G20,0)))*parametros_manuales!$I$21*parametros_manuales!$J$21+parametros_manuales!$E$161</f>
        <v>1061.53650479761</v>
      </c>
      <c r="F32" s="14" t="n">
        <f aca="false">(parametros_manuales!$D$21*('Plan mensual'!H13+IF(parametros_manuales!$H$21="Todos",'Plan mensual'!H17,0))+parametros_manuales!$E$21*('Plan mensual'!H14+IF(parametros_manuales!$H$21="Todos",'Plan mensual'!H18,0))+parametros_manuales!$F$21*('Plan mensual'!H15+IF(parametros_manuales!$H$21="Todos",'Plan mensual'!H19,0))+parametros_manuales!$G$21*('Plan mensual'!H16+IF(parametros_manuales!$H$21="Todos",'Plan mensual'!H20,0)))*parametros_manuales!$I$21*parametros_manuales!$J$21+parametros_manuales!$F$161</f>
        <v>1007.37661677261</v>
      </c>
      <c r="G32" s="14" t="n">
        <f aca="false">(parametros_manuales!$D$21*('Plan mensual'!I13+IF(parametros_manuales!$H$21="Todos",'Plan mensual'!I17,0))+parametros_manuales!$E$21*('Plan mensual'!I14+IF(parametros_manuales!$H$21="Todos",'Plan mensual'!I18,0))+parametros_manuales!$F$21*('Plan mensual'!I15+IF(parametros_manuales!$H$21="Todos",'Plan mensual'!I19,0))+parametros_manuales!$G$21*('Plan mensual'!I16+IF(parametros_manuales!$H$21="Todos",'Plan mensual'!I20,0)))*parametros_manuales!$I$21*parametros_manuales!$J$21+parametros_manuales!$G$161</f>
        <v>960.893087727874</v>
      </c>
      <c r="H32" s="14" t="n">
        <f aca="false">(parametros_manuales!$D$21*('Plan mensual'!J13+IF(parametros_manuales!$H$21="Todos",'Plan mensual'!J17,0))+parametros_manuales!$E$21*('Plan mensual'!J14+IF(parametros_manuales!$H$21="Todos",'Plan mensual'!J18,0))+parametros_manuales!$F$21*('Plan mensual'!J15+IF(parametros_manuales!$H$21="Todos",'Plan mensual'!J19,0))+parametros_manuales!$G$21*('Plan mensual'!J16+IF(parametros_manuales!$H$21="Todos",'Plan mensual'!J20,0)))*parametros_manuales!$I$21*parametros_manuales!$J$21+parametros_manuales!$H$161</f>
        <v>1037.36313665761</v>
      </c>
      <c r="I32" s="14" t="n">
        <f aca="false">(parametros_manuales!$D$21*('Plan mensual'!K13+IF(parametros_manuales!$H$21="Todos",'Plan mensual'!K17,0))+parametros_manuales!$E$21*('Plan mensual'!K14+IF(parametros_manuales!$H$21="Todos",'Plan mensual'!K18,0))+parametros_manuales!$F$21*('Plan mensual'!K15+IF(parametros_manuales!$H$21="Todos",'Plan mensual'!K19,0))+parametros_manuales!$G$21*('Plan mensual'!K16+IF(parametros_manuales!$H$21="Todos",'Plan mensual'!K20,0)))*parametros_manuales!$I$21*parametros_manuales!$J$21+parametros_manuales!$I$161</f>
        <v>1037.36313665761</v>
      </c>
      <c r="J32" s="14" t="n">
        <f aca="false">(parametros_manuales!$D$21*('Plan mensual'!L13+IF(parametros_manuales!$H$21="Todos",'Plan mensual'!L17,0))+parametros_manuales!$E$21*('Plan mensual'!L14+IF(parametros_manuales!$H$21="Todos",'Plan mensual'!L18,0))+parametros_manuales!$F$21*('Plan mensual'!L15+IF(parametros_manuales!$H$21="Todos",'Plan mensual'!L19,0))+parametros_manuales!$G$21*('Plan mensual'!L16+IF(parametros_manuales!$H$21="Todos",'Plan mensual'!L20,0)))*parametros_manuales!$I$21*parametros_manuales!$J$21+parametros_manuales!$J$161</f>
        <v>1026.20805620524</v>
      </c>
      <c r="K32" s="14" t="n">
        <f aca="false">(parametros_manuales!$D$21*('Plan mensual'!M13+IF(parametros_manuales!$H$21="Todos",'Plan mensual'!M17,0))+parametros_manuales!$E$21*('Plan mensual'!M14+IF(parametros_manuales!$H$21="Todos",'Plan mensual'!M18,0))+parametros_manuales!$F$21*('Plan mensual'!M15+IF(parametros_manuales!$H$21="Todos",'Plan mensual'!M19,0))+parametros_manuales!$G$21*('Plan mensual'!M16+IF(parametros_manuales!$H$21="Todos",'Plan mensual'!M20,0)))*parametros_manuales!$I$21*parametros_manuales!$J$21+parametros_manuales!$K$161</f>
        <v>979.724527160507</v>
      </c>
      <c r="L32" s="14" t="n">
        <f aca="false">(parametros_manuales!$D$21*('Plan mensual'!N13+IF(parametros_manuales!$H$21="Todos",'Plan mensual'!N17,0))+parametros_manuales!$E$21*('Plan mensual'!N14+IF(parametros_manuales!$H$21="Todos",'Plan mensual'!N18,0))+parametros_manuales!$F$21*('Plan mensual'!N15+IF(parametros_manuales!$H$21="Todos",'Plan mensual'!N19,0))+parametros_manuales!$G$21*('Plan mensual'!N16+IF(parametros_manuales!$H$21="Todos",'Plan mensual'!N20,0)))*parametros_manuales!$I$21*parametros_manuales!$J$21+parametros_manuales!$L$161</f>
        <v>944.39607856814</v>
      </c>
      <c r="M32" s="14" t="n">
        <f aca="false">(parametros_manuales!$D$21*('Plan mensual'!O13+IF(parametros_manuales!$H$21="Todos",'Plan mensual'!O17,0))+parametros_manuales!$E$21*('Plan mensual'!O14+IF(parametros_manuales!$H$21="Todos",'Plan mensual'!O18,0))+parametros_manuales!$F$21*('Plan mensual'!O15+IF(parametros_manuales!$H$21="Todos",'Plan mensual'!O19,0))+parametros_manuales!$G$21*('Plan mensual'!O16+IF(parametros_manuales!$H$21="Todos",'Plan mensual'!O20,0)))*parametros_manuales!$I$21*parametros_manuales!$J$21+parametros_manuales!$M$161</f>
        <v>1429.97186355787</v>
      </c>
      <c r="N32" s="14" t="n">
        <f aca="false">SUM(B32:M32)</f>
        <v>13062.9936954734</v>
      </c>
      <c r="O32" s="14" t="n">
        <f aca="false">MAX(B32:M32)</f>
        <v>1429.97186355787</v>
      </c>
      <c r="P32" s="57" t="n">
        <f aca="false">O32/(parametros_manuales!$B$7)</f>
        <v>9.5331457570525</v>
      </c>
      <c r="Q32" s="13" t="str">
        <f aca="false">IF(O32=0,"-",INDEX($B$29:$M$29,MATCH(O32,B32:M32,0)))</f>
        <v>Dic</v>
      </c>
    </row>
    <row r="33" customFormat="false" ht="14.25" hidden="false" customHeight="true" outlineLevel="0" collapsed="false">
      <c r="A33" s="13" t="str">
        <f aca="false">parametros_manuales!$B$22</f>
        <v>Corte de disco y embutido (cúpula y fondo)</v>
      </c>
      <c r="B33" s="14" t="n">
        <f aca="false">(parametros_manuales!$D$22*('Plan mensual'!D13+IF(parametros_manuales!$H$22="Todos",'Plan mensual'!D17,0))+parametros_manuales!$E$22*('Plan mensual'!D14+IF(parametros_manuales!$H$22="Todos",'Plan mensual'!D18,0))+parametros_manuales!$F$22*('Plan mensual'!D15+IF(parametros_manuales!$H$22="Todos",'Plan mensual'!D19,0))+parametros_manuales!$G$22*('Plan mensual'!D16+IF(parametros_manuales!$H$22="Todos",'Plan mensual'!D20,0)))*parametros_manuales!$I$22*parametros_manuales!$J$22</f>
        <v>2406.28768008</v>
      </c>
      <c r="C33" s="14" t="n">
        <f aca="false">(parametros_manuales!$D$22*('Plan mensual'!E13+IF(parametros_manuales!$H$22="Todos",'Plan mensual'!E17,0))+parametros_manuales!$E$22*('Plan mensual'!E14+IF(parametros_manuales!$H$22="Todos",'Plan mensual'!E18,0))+parametros_manuales!$F$22*('Plan mensual'!E15+IF(parametros_manuales!$H$22="Todos",'Plan mensual'!E19,0))+parametros_manuales!$G$22*('Plan mensual'!E16+IF(parametros_manuales!$H$22="Todos",'Plan mensual'!E20,0)))*parametros_manuales!$I$22*parametros_manuales!$J$22</f>
        <v>1853.06249634</v>
      </c>
      <c r="D33" s="14" t="n">
        <f aca="false">(parametros_manuales!$D$22*('Plan mensual'!F13+IF(parametros_manuales!$H$22="Todos",'Plan mensual'!F17,0))+parametros_manuales!$E$22*('Plan mensual'!F14+IF(parametros_manuales!$H$22="Todos",'Plan mensual'!F18,0))+parametros_manuales!$F$22*('Plan mensual'!F15+IF(parametros_manuales!$H$22="Todos",'Plan mensual'!F19,0))+parametros_manuales!$G$22*('Plan mensual'!F16+IF(parametros_manuales!$H$22="Todos",'Plan mensual'!F20,0)))*parametros_manuales!$I$22*parametros_manuales!$J$22</f>
        <v>1781.46315308</v>
      </c>
      <c r="E33" s="14" t="n">
        <f aca="false">(parametros_manuales!$D$22*('Plan mensual'!G13+IF(parametros_manuales!$H$22="Todos",'Plan mensual'!G17,0))+parametros_manuales!$E$22*('Plan mensual'!G14+IF(parametros_manuales!$H$22="Todos",'Plan mensual'!G18,0))+parametros_manuales!$F$22*('Plan mensual'!G15+IF(parametros_manuales!$H$22="Todos",'Plan mensual'!G19,0))+parametros_manuales!$G$22*('Plan mensual'!G16+IF(parametros_manuales!$H$22="Todos",'Plan mensual'!G20,0)))*parametros_manuales!$I$22*parametros_manuales!$J$22</f>
        <v>1721.49011331</v>
      </c>
      <c r="F33" s="14" t="n">
        <f aca="false">(parametros_manuales!$D$22*('Plan mensual'!H13+IF(parametros_manuales!$H$22="Todos",'Plan mensual'!H17,0))+parametros_manuales!$E$22*('Plan mensual'!H14+IF(parametros_manuales!$H$22="Todos",'Plan mensual'!H18,0))+parametros_manuales!$F$22*('Plan mensual'!H15+IF(parametros_manuales!$H$22="Todos",'Plan mensual'!H19,0))+parametros_manuales!$G$22*('Plan mensual'!H16+IF(parametros_manuales!$H$22="Todos",'Plan mensual'!H20,0)))*parametros_manuales!$I$22*parametros_manuales!$J$22</f>
        <v>1613.17033726</v>
      </c>
      <c r="G33" s="14" t="n">
        <f aca="false">(parametros_manuales!$D$22*('Plan mensual'!I13+IF(parametros_manuales!$H$22="Todos",'Plan mensual'!I17,0))+parametros_manuales!$E$22*('Plan mensual'!I14+IF(parametros_manuales!$H$22="Todos",'Plan mensual'!I18,0))+parametros_manuales!$F$22*('Plan mensual'!I15+IF(parametros_manuales!$H$22="Todos",'Plan mensual'!I19,0))+parametros_manuales!$G$22*('Plan mensual'!I16+IF(parametros_manuales!$H$22="Todos",'Plan mensual'!I20,0)))*parametros_manuales!$I$22*parametros_manuales!$J$22</f>
        <v>1564.82360098</v>
      </c>
      <c r="H33" s="14" t="n">
        <f aca="false">(parametros_manuales!$D$22*('Plan mensual'!J13+IF(parametros_manuales!$H$22="Todos",'Plan mensual'!J17,0))+parametros_manuales!$E$22*('Plan mensual'!J14+IF(parametros_manuales!$H$22="Todos",'Plan mensual'!J18,0))+parametros_manuales!$F$22*('Plan mensual'!J15+IF(parametros_manuales!$H$22="Todos",'Plan mensual'!J19,0))+parametros_manuales!$G$22*('Plan mensual'!J16+IF(parametros_manuales!$H$22="Todos",'Plan mensual'!J20,0)))*parametros_manuales!$I$22*parametros_manuales!$J$22</f>
        <v>1673.14337703</v>
      </c>
      <c r="I33" s="14" t="n">
        <f aca="false">(parametros_manuales!$D$22*('Plan mensual'!K13+IF(parametros_manuales!$H$22="Todos",'Plan mensual'!K17,0))+parametros_manuales!$E$22*('Plan mensual'!K14+IF(parametros_manuales!$H$22="Todos",'Plan mensual'!K18,0))+parametros_manuales!$F$22*('Plan mensual'!K15+IF(parametros_manuales!$H$22="Todos",'Plan mensual'!K19,0))+parametros_manuales!$G$22*('Plan mensual'!K16+IF(parametros_manuales!$H$22="Todos",'Plan mensual'!K20,0)))*parametros_manuales!$I$22*parametros_manuales!$J$22</f>
        <v>1673.14337703</v>
      </c>
      <c r="J33" s="14" t="n">
        <f aca="false">(parametros_manuales!$D$22*('Plan mensual'!L13+IF(parametros_manuales!$H$22="Todos",'Plan mensual'!L17,0))+parametros_manuales!$E$22*('Plan mensual'!L14+IF(parametros_manuales!$H$22="Todos",'Plan mensual'!L18,0))+parametros_manuales!$F$22*('Plan mensual'!L15+IF(parametros_manuales!$H$22="Todos",'Plan mensual'!L19,0))+parametros_manuales!$G$22*('Plan mensual'!L16+IF(parametros_manuales!$H$22="Todos",'Plan mensual'!L20,0)))*parametros_manuales!$I$22*parametros_manuales!$J$22</f>
        <v>1673.14337703</v>
      </c>
      <c r="K33" s="14" t="n">
        <f aca="false">(parametros_manuales!$D$22*('Plan mensual'!M13+IF(parametros_manuales!$H$22="Todos",'Plan mensual'!M17,0))+parametros_manuales!$E$22*('Plan mensual'!M14+IF(parametros_manuales!$H$22="Todos",'Plan mensual'!M18,0))+parametros_manuales!$F$22*('Plan mensual'!M15+IF(parametros_manuales!$H$22="Todos",'Plan mensual'!M19,0))+parametros_manuales!$G$22*('Plan mensual'!M16+IF(parametros_manuales!$H$22="Todos",'Plan mensual'!M20,0)))*parametros_manuales!$I$22*parametros_manuales!$J$22</f>
        <v>1624.79664075</v>
      </c>
      <c r="L33" s="14" t="n">
        <f aca="false">(parametros_manuales!$D$22*('Plan mensual'!N13+IF(parametros_manuales!$H$22="Todos",'Plan mensual'!N17,0))+parametros_manuales!$E$22*('Plan mensual'!N14+IF(parametros_manuales!$H$22="Todos",'Plan mensual'!N18,0))+parametros_manuales!$F$22*('Plan mensual'!N15+IF(parametros_manuales!$H$22="Todos",'Plan mensual'!N19,0))+parametros_manuales!$G$22*('Plan mensual'!N16+IF(parametros_manuales!$H$22="Todos",'Plan mensual'!N20,0)))*parametros_manuales!$I$22*parametros_manuales!$J$22</f>
        <v>1576.44990447</v>
      </c>
      <c r="M33" s="14" t="n">
        <f aca="false">(parametros_manuales!$D$22*('Plan mensual'!O13+IF(parametros_manuales!$H$22="Todos",'Plan mensual'!O17,0))+parametros_manuales!$E$22*('Plan mensual'!O14+IF(parametros_manuales!$H$22="Todos",'Plan mensual'!O18,0))+parametros_manuales!$F$22*('Plan mensual'!O15+IF(parametros_manuales!$H$22="Todos",'Plan mensual'!O19,0))+parametros_manuales!$G$22*('Plan mensual'!O16+IF(parametros_manuales!$H$22="Todos",'Plan mensual'!O20,0)))*parametros_manuales!$I$22*parametros_manuales!$J$22</f>
        <v>2502.98115264</v>
      </c>
      <c r="N33" s="14" t="n">
        <f aca="false">SUM(B33:M33)</f>
        <v>21663.95521</v>
      </c>
      <c r="O33" s="14" t="n">
        <f aca="false">MAX(B33:M33)</f>
        <v>2502.98115264</v>
      </c>
      <c r="P33" s="57" t="n">
        <f aca="false">O33/(parametros_manuales!$B$7)</f>
        <v>16.6865410176</v>
      </c>
      <c r="Q33" s="13" t="str">
        <f aca="false">IF(O33=0,"-",INDEX($B$29:$M$29,MATCH(O33,B33:M33,0)))</f>
        <v>Dic</v>
      </c>
    </row>
    <row r="34" customFormat="false" ht="14.25" hidden="false" customHeight="true" outlineLevel="0" collapsed="false">
      <c r="A34" s="13" t="str">
        <f aca="false">parametros_manuales!$B$23</f>
        <v>Preparación de cuello</v>
      </c>
      <c r="B34" s="14" t="n">
        <f aca="false">(parametros_manuales!$D$23*('Plan mensual'!D13+IF(parametros_manuales!$H$23="Todos",'Plan mensual'!D17,0))+parametros_manuales!$E$23*('Plan mensual'!D14+IF(parametros_manuales!$H$23="Todos",'Plan mensual'!D18,0))+parametros_manuales!$F$23*('Plan mensual'!D15+IF(parametros_manuales!$H$23="Todos",'Plan mensual'!D19,0))+parametros_manuales!$G$23*('Plan mensual'!D16+IF(parametros_manuales!$H$23="Todos",'Plan mensual'!D20,0)))*parametros_manuales!$I$23*parametros_manuales!$J$23</f>
        <v>1203.14384004</v>
      </c>
      <c r="C34" s="14" t="n">
        <f aca="false">(parametros_manuales!$D$23*('Plan mensual'!E13+IF(parametros_manuales!$H$23="Todos",'Plan mensual'!E17,0))+parametros_manuales!$E$23*('Plan mensual'!E14+IF(parametros_manuales!$H$23="Todos",'Plan mensual'!E18,0))+parametros_manuales!$F$23*('Plan mensual'!E15+IF(parametros_manuales!$H$23="Todos",'Plan mensual'!E19,0))+parametros_manuales!$G$23*('Plan mensual'!E16+IF(parametros_manuales!$H$23="Todos",'Plan mensual'!E20,0)))*parametros_manuales!$I$23*parametros_manuales!$J$23</f>
        <v>926.53124817</v>
      </c>
      <c r="D34" s="14" t="n">
        <f aca="false">(parametros_manuales!$D$23*('Plan mensual'!F13+IF(parametros_manuales!$H$23="Todos",'Plan mensual'!F17,0))+parametros_manuales!$E$23*('Plan mensual'!F14+IF(parametros_manuales!$H$23="Todos",'Plan mensual'!F18,0))+parametros_manuales!$F$23*('Plan mensual'!F15+IF(parametros_manuales!$H$23="Todos",'Plan mensual'!F19,0))+parametros_manuales!$G$23*('Plan mensual'!F16+IF(parametros_manuales!$H$23="Todos",'Plan mensual'!F20,0)))*parametros_manuales!$I$23*parametros_manuales!$J$23</f>
        <v>890.73157654</v>
      </c>
      <c r="E34" s="14" t="n">
        <f aca="false">(parametros_manuales!$D$23*('Plan mensual'!G13+IF(parametros_manuales!$H$23="Todos",'Plan mensual'!G17,0))+parametros_manuales!$E$23*('Plan mensual'!G14+IF(parametros_manuales!$H$23="Todos",'Plan mensual'!G18,0))+parametros_manuales!$F$23*('Plan mensual'!G15+IF(parametros_manuales!$H$23="Todos",'Plan mensual'!G19,0))+parametros_manuales!$G$23*('Plan mensual'!G16+IF(parametros_manuales!$H$23="Todos",'Plan mensual'!G20,0)))*parametros_manuales!$I$23*parametros_manuales!$J$23</f>
        <v>860.745056655</v>
      </c>
      <c r="F34" s="14" t="n">
        <f aca="false">(parametros_manuales!$D$23*('Plan mensual'!H13+IF(parametros_manuales!$H$23="Todos",'Plan mensual'!H17,0))+parametros_manuales!$E$23*('Plan mensual'!H14+IF(parametros_manuales!$H$23="Todos",'Plan mensual'!H18,0))+parametros_manuales!$F$23*('Plan mensual'!H15+IF(parametros_manuales!$H$23="Todos",'Plan mensual'!H19,0))+parametros_manuales!$G$23*('Plan mensual'!H16+IF(parametros_manuales!$H$23="Todos",'Plan mensual'!H20,0)))*parametros_manuales!$I$23*parametros_manuales!$J$23</f>
        <v>806.58516863</v>
      </c>
      <c r="G34" s="14" t="n">
        <f aca="false">(parametros_manuales!$D$23*('Plan mensual'!I13+IF(parametros_manuales!$H$23="Todos",'Plan mensual'!I17,0))+parametros_manuales!$E$23*('Plan mensual'!I14+IF(parametros_manuales!$H$23="Todos",'Plan mensual'!I18,0))+parametros_manuales!$F$23*('Plan mensual'!I15+IF(parametros_manuales!$H$23="Todos",'Plan mensual'!I19,0))+parametros_manuales!$G$23*('Plan mensual'!I16+IF(parametros_manuales!$H$23="Todos",'Plan mensual'!I20,0)))*parametros_manuales!$I$23*parametros_manuales!$J$23</f>
        <v>782.41180049</v>
      </c>
      <c r="H34" s="14" t="n">
        <f aca="false">(parametros_manuales!$D$23*('Plan mensual'!J13+IF(parametros_manuales!$H$23="Todos",'Plan mensual'!J17,0))+parametros_manuales!$E$23*('Plan mensual'!J14+IF(parametros_manuales!$H$23="Todos",'Plan mensual'!J18,0))+parametros_manuales!$F$23*('Plan mensual'!J15+IF(parametros_manuales!$H$23="Todos",'Plan mensual'!J19,0))+parametros_manuales!$G$23*('Plan mensual'!J16+IF(parametros_manuales!$H$23="Todos",'Plan mensual'!J20,0)))*parametros_manuales!$I$23*parametros_manuales!$J$23</f>
        <v>836.571688515</v>
      </c>
      <c r="I34" s="14" t="n">
        <f aca="false">(parametros_manuales!$D$23*('Plan mensual'!K13+IF(parametros_manuales!$H$23="Todos",'Plan mensual'!K17,0))+parametros_manuales!$E$23*('Plan mensual'!K14+IF(parametros_manuales!$H$23="Todos",'Plan mensual'!K18,0))+parametros_manuales!$F$23*('Plan mensual'!K15+IF(parametros_manuales!$H$23="Todos",'Plan mensual'!K19,0))+parametros_manuales!$G$23*('Plan mensual'!K16+IF(parametros_manuales!$H$23="Todos",'Plan mensual'!K20,0)))*parametros_manuales!$I$23*parametros_manuales!$J$23</f>
        <v>836.571688515</v>
      </c>
      <c r="J34" s="14" t="n">
        <f aca="false">(parametros_manuales!$D$23*('Plan mensual'!L13+IF(parametros_manuales!$H$23="Todos",'Plan mensual'!L17,0))+parametros_manuales!$E$23*('Plan mensual'!L14+IF(parametros_manuales!$H$23="Todos",'Plan mensual'!L18,0))+parametros_manuales!$F$23*('Plan mensual'!L15+IF(parametros_manuales!$H$23="Todos",'Plan mensual'!L19,0))+parametros_manuales!$G$23*('Plan mensual'!L16+IF(parametros_manuales!$H$23="Todos",'Plan mensual'!L20,0)))*parametros_manuales!$I$23*parametros_manuales!$J$23</f>
        <v>836.571688515</v>
      </c>
      <c r="K34" s="14" t="n">
        <f aca="false">(parametros_manuales!$D$23*('Plan mensual'!M13+IF(parametros_manuales!$H$23="Todos",'Plan mensual'!M17,0))+parametros_manuales!$E$23*('Plan mensual'!M14+IF(parametros_manuales!$H$23="Todos",'Plan mensual'!M18,0))+parametros_manuales!$F$23*('Plan mensual'!M15+IF(parametros_manuales!$H$23="Todos",'Plan mensual'!M19,0))+parametros_manuales!$G$23*('Plan mensual'!M16+IF(parametros_manuales!$H$23="Todos",'Plan mensual'!M20,0)))*parametros_manuales!$I$23*parametros_manuales!$J$23</f>
        <v>812.398320375</v>
      </c>
      <c r="L34" s="14" t="n">
        <f aca="false">(parametros_manuales!$D$23*('Plan mensual'!N13+IF(parametros_manuales!$H$23="Todos",'Plan mensual'!N17,0))+parametros_manuales!$E$23*('Plan mensual'!N14+IF(parametros_manuales!$H$23="Todos",'Plan mensual'!N18,0))+parametros_manuales!$F$23*('Plan mensual'!N15+IF(parametros_manuales!$H$23="Todos",'Plan mensual'!N19,0))+parametros_manuales!$G$23*('Plan mensual'!N16+IF(parametros_manuales!$H$23="Todos",'Plan mensual'!N20,0)))*parametros_manuales!$I$23*parametros_manuales!$J$23</f>
        <v>788.224952235</v>
      </c>
      <c r="M34" s="14" t="n">
        <f aca="false">(parametros_manuales!$D$23*('Plan mensual'!O13+IF(parametros_manuales!$H$23="Todos",'Plan mensual'!O17,0))+parametros_manuales!$E$23*('Plan mensual'!O14+IF(parametros_manuales!$H$23="Todos",'Plan mensual'!O18,0))+parametros_manuales!$F$23*('Plan mensual'!O15+IF(parametros_manuales!$H$23="Todos",'Plan mensual'!O19,0))+parametros_manuales!$G$23*('Plan mensual'!O16+IF(parametros_manuales!$H$23="Todos",'Plan mensual'!O20,0)))*parametros_manuales!$I$23*parametros_manuales!$J$23</f>
        <v>1251.49057632</v>
      </c>
      <c r="N34" s="14" t="n">
        <f aca="false">SUM(B34:M34)</f>
        <v>10831.977605</v>
      </c>
      <c r="O34" s="14" t="n">
        <f aca="false">MAX(B34:M34)</f>
        <v>1251.49057632</v>
      </c>
      <c r="P34" s="57" t="n">
        <f aca="false">O34/(parametros_manuales!$B$7)</f>
        <v>8.3432705088</v>
      </c>
      <c r="Q34" s="13" t="str">
        <f aca="false">IF(O34=0,"-",INDEX($B$29:$M$29,MATCH(O34,B34:M34,0)))</f>
        <v>Dic</v>
      </c>
    </row>
    <row r="35" customFormat="false" ht="14.25" hidden="false" customHeight="true" outlineLevel="0" collapsed="false">
      <c r="A35" s="13" t="str">
        <f aca="false">parametros_manuales!$B$24</f>
        <v>Numerado de cúpula</v>
      </c>
      <c r="B35" s="14" t="n">
        <f aca="false">(parametros_manuales!$D$24*('Plan mensual'!D13+IF(parametros_manuales!$H$24="Todos",'Plan mensual'!D17,0))+parametros_manuales!$E$24*('Plan mensual'!D14+IF(parametros_manuales!$H$24="Todos",'Plan mensual'!D18,0))+parametros_manuales!$F$24*('Plan mensual'!D15+IF(parametros_manuales!$H$24="Todos",'Plan mensual'!D19,0))+parametros_manuales!$G$24*('Plan mensual'!D16+IF(parametros_manuales!$H$24="Todos",'Plan mensual'!D20,0)))*parametros_manuales!$I$24*parametros_manuales!$J$24</f>
        <v>1203.14384004</v>
      </c>
      <c r="C35" s="14" t="n">
        <f aca="false">(parametros_manuales!$D$24*('Plan mensual'!E13+IF(parametros_manuales!$H$24="Todos",'Plan mensual'!E17,0))+parametros_manuales!$E$24*('Plan mensual'!E14+IF(parametros_manuales!$H$24="Todos",'Plan mensual'!E18,0))+parametros_manuales!$F$24*('Plan mensual'!E15+IF(parametros_manuales!$H$24="Todos",'Plan mensual'!E19,0))+parametros_manuales!$G$24*('Plan mensual'!E16+IF(parametros_manuales!$H$24="Todos",'Plan mensual'!E20,0)))*parametros_manuales!$I$24*parametros_manuales!$J$24</f>
        <v>926.53124817</v>
      </c>
      <c r="D35" s="14" t="n">
        <f aca="false">(parametros_manuales!$D$24*('Plan mensual'!F13+IF(parametros_manuales!$H$24="Todos",'Plan mensual'!F17,0))+parametros_manuales!$E$24*('Plan mensual'!F14+IF(parametros_manuales!$H$24="Todos",'Plan mensual'!F18,0))+parametros_manuales!$F$24*('Plan mensual'!F15+IF(parametros_manuales!$H$24="Todos",'Plan mensual'!F19,0))+parametros_manuales!$G$24*('Plan mensual'!F16+IF(parametros_manuales!$H$24="Todos",'Plan mensual'!F20,0)))*parametros_manuales!$I$24*parametros_manuales!$J$24</f>
        <v>890.73157654</v>
      </c>
      <c r="E35" s="14" t="n">
        <f aca="false">(parametros_manuales!$D$24*('Plan mensual'!G13+IF(parametros_manuales!$H$24="Todos",'Plan mensual'!G17,0))+parametros_manuales!$E$24*('Plan mensual'!G14+IF(parametros_manuales!$H$24="Todos",'Plan mensual'!G18,0))+parametros_manuales!$F$24*('Plan mensual'!G15+IF(parametros_manuales!$H$24="Todos",'Plan mensual'!G19,0))+parametros_manuales!$G$24*('Plan mensual'!G16+IF(parametros_manuales!$H$24="Todos",'Plan mensual'!G20,0)))*parametros_manuales!$I$24*parametros_manuales!$J$24</f>
        <v>860.745056655</v>
      </c>
      <c r="F35" s="14" t="n">
        <f aca="false">(parametros_manuales!$D$24*('Plan mensual'!H13+IF(parametros_manuales!$H$24="Todos",'Plan mensual'!H17,0))+parametros_manuales!$E$24*('Plan mensual'!H14+IF(parametros_manuales!$H$24="Todos",'Plan mensual'!H18,0))+parametros_manuales!$F$24*('Plan mensual'!H15+IF(parametros_manuales!$H$24="Todos",'Plan mensual'!H19,0))+parametros_manuales!$G$24*('Plan mensual'!H16+IF(parametros_manuales!$H$24="Todos",'Plan mensual'!H20,0)))*parametros_manuales!$I$24*parametros_manuales!$J$24</f>
        <v>806.58516863</v>
      </c>
      <c r="G35" s="14" t="n">
        <f aca="false">(parametros_manuales!$D$24*('Plan mensual'!I13+IF(parametros_manuales!$H$24="Todos",'Plan mensual'!I17,0))+parametros_manuales!$E$24*('Plan mensual'!I14+IF(parametros_manuales!$H$24="Todos",'Plan mensual'!I18,0))+parametros_manuales!$F$24*('Plan mensual'!I15+IF(parametros_manuales!$H$24="Todos",'Plan mensual'!I19,0))+parametros_manuales!$G$24*('Plan mensual'!I16+IF(parametros_manuales!$H$24="Todos",'Plan mensual'!I20,0)))*parametros_manuales!$I$24*parametros_manuales!$J$24</f>
        <v>782.41180049</v>
      </c>
      <c r="H35" s="14" t="n">
        <f aca="false">(parametros_manuales!$D$24*('Plan mensual'!J13+IF(parametros_manuales!$H$24="Todos",'Plan mensual'!J17,0))+parametros_manuales!$E$24*('Plan mensual'!J14+IF(parametros_manuales!$H$24="Todos",'Plan mensual'!J18,0))+parametros_manuales!$F$24*('Plan mensual'!J15+IF(parametros_manuales!$H$24="Todos",'Plan mensual'!J19,0))+parametros_manuales!$G$24*('Plan mensual'!J16+IF(parametros_manuales!$H$24="Todos",'Plan mensual'!J20,0)))*parametros_manuales!$I$24*parametros_manuales!$J$24</f>
        <v>836.571688515</v>
      </c>
      <c r="I35" s="14" t="n">
        <f aca="false">(parametros_manuales!$D$24*('Plan mensual'!K13+IF(parametros_manuales!$H$24="Todos",'Plan mensual'!K17,0))+parametros_manuales!$E$24*('Plan mensual'!K14+IF(parametros_manuales!$H$24="Todos",'Plan mensual'!K18,0))+parametros_manuales!$F$24*('Plan mensual'!K15+IF(parametros_manuales!$H$24="Todos",'Plan mensual'!K19,0))+parametros_manuales!$G$24*('Plan mensual'!K16+IF(parametros_manuales!$H$24="Todos",'Plan mensual'!K20,0)))*parametros_manuales!$I$24*parametros_manuales!$J$24</f>
        <v>836.571688515</v>
      </c>
      <c r="J35" s="14" t="n">
        <f aca="false">(parametros_manuales!$D$24*('Plan mensual'!L13+IF(parametros_manuales!$H$24="Todos",'Plan mensual'!L17,0))+parametros_manuales!$E$24*('Plan mensual'!L14+IF(parametros_manuales!$H$24="Todos",'Plan mensual'!L18,0))+parametros_manuales!$F$24*('Plan mensual'!L15+IF(parametros_manuales!$H$24="Todos",'Plan mensual'!L19,0))+parametros_manuales!$G$24*('Plan mensual'!L16+IF(parametros_manuales!$H$24="Todos",'Plan mensual'!L20,0)))*parametros_manuales!$I$24*parametros_manuales!$J$24</f>
        <v>836.571688515</v>
      </c>
      <c r="K35" s="14" t="n">
        <f aca="false">(parametros_manuales!$D$24*('Plan mensual'!M13+IF(parametros_manuales!$H$24="Todos",'Plan mensual'!M17,0))+parametros_manuales!$E$24*('Plan mensual'!M14+IF(parametros_manuales!$H$24="Todos",'Plan mensual'!M18,0))+parametros_manuales!$F$24*('Plan mensual'!M15+IF(parametros_manuales!$H$24="Todos",'Plan mensual'!M19,0))+parametros_manuales!$G$24*('Plan mensual'!M16+IF(parametros_manuales!$H$24="Todos",'Plan mensual'!M20,0)))*parametros_manuales!$I$24*parametros_manuales!$J$24</f>
        <v>812.398320375</v>
      </c>
      <c r="L35" s="14" t="n">
        <f aca="false">(parametros_manuales!$D$24*('Plan mensual'!N13+IF(parametros_manuales!$H$24="Todos",'Plan mensual'!N17,0))+parametros_manuales!$E$24*('Plan mensual'!N14+IF(parametros_manuales!$H$24="Todos",'Plan mensual'!N18,0))+parametros_manuales!$F$24*('Plan mensual'!N15+IF(parametros_manuales!$H$24="Todos",'Plan mensual'!N19,0))+parametros_manuales!$G$24*('Plan mensual'!N16+IF(parametros_manuales!$H$24="Todos",'Plan mensual'!N20,0)))*parametros_manuales!$I$24*parametros_manuales!$J$24</f>
        <v>788.224952235</v>
      </c>
      <c r="M35" s="14" t="n">
        <f aca="false">(parametros_manuales!$D$24*('Plan mensual'!O13+IF(parametros_manuales!$H$24="Todos",'Plan mensual'!O17,0))+parametros_manuales!$E$24*('Plan mensual'!O14+IF(parametros_manuales!$H$24="Todos",'Plan mensual'!O18,0))+parametros_manuales!$F$24*('Plan mensual'!O15+IF(parametros_manuales!$H$24="Todos",'Plan mensual'!O19,0))+parametros_manuales!$G$24*('Plan mensual'!O16+IF(parametros_manuales!$H$24="Todos",'Plan mensual'!O20,0)))*parametros_manuales!$I$24*parametros_manuales!$J$24</f>
        <v>1251.49057632</v>
      </c>
      <c r="N35" s="14" t="n">
        <f aca="false">SUM(B35:M35)</f>
        <v>10831.977605</v>
      </c>
      <c r="O35" s="14" t="n">
        <f aca="false">MAX(B35:M35)</f>
        <v>1251.49057632</v>
      </c>
      <c r="P35" s="57" t="n">
        <f aca="false">O35/(parametros_manuales!$B$7)</f>
        <v>8.3432705088</v>
      </c>
      <c r="Q35" s="13" t="str">
        <f aca="false">IF(O35=0,"-",INDEX($B$29:$M$29,MATCH(O35,B35:M35,0)))</f>
        <v>Dic</v>
      </c>
    </row>
    <row r="36" customFormat="false" ht="14.25" hidden="false" customHeight="true" outlineLevel="0" collapsed="false">
      <c r="A36" s="13" t="str">
        <f aca="false">parametros_manuales!$B$25</f>
        <v>Soldadura del cuello a la cúpula</v>
      </c>
      <c r="B36" s="14" t="n">
        <f aca="false">(parametros_manuales!$D$25*('Plan mensual'!D13+IF(parametros_manuales!$H$25="Todos",'Plan mensual'!D17,0))+parametros_manuales!$E$25*('Plan mensual'!D14+IF(parametros_manuales!$H$25="Todos",'Plan mensual'!D18,0))+parametros_manuales!$F$25*('Plan mensual'!D15+IF(parametros_manuales!$H$25="Todos",'Plan mensual'!D19,0))+parametros_manuales!$G$25*('Plan mensual'!D16+IF(parametros_manuales!$H$25="Todos",'Plan mensual'!D20,0)))*parametros_manuales!$I$25*parametros_manuales!$J$25</f>
        <v>1203.14384004</v>
      </c>
      <c r="C36" s="14" t="n">
        <f aca="false">(parametros_manuales!$D$25*('Plan mensual'!E13+IF(parametros_manuales!$H$25="Todos",'Plan mensual'!E17,0))+parametros_manuales!$E$25*('Plan mensual'!E14+IF(parametros_manuales!$H$25="Todos",'Plan mensual'!E18,0))+parametros_manuales!$F$25*('Plan mensual'!E15+IF(parametros_manuales!$H$25="Todos",'Plan mensual'!E19,0))+parametros_manuales!$G$25*('Plan mensual'!E16+IF(parametros_manuales!$H$25="Todos",'Plan mensual'!E20,0)))*parametros_manuales!$I$25*parametros_manuales!$J$25</f>
        <v>926.53124817</v>
      </c>
      <c r="D36" s="14" t="n">
        <f aca="false">(parametros_manuales!$D$25*('Plan mensual'!F13+IF(parametros_manuales!$H$25="Todos",'Plan mensual'!F17,0))+parametros_manuales!$E$25*('Plan mensual'!F14+IF(parametros_manuales!$H$25="Todos",'Plan mensual'!F18,0))+parametros_manuales!$F$25*('Plan mensual'!F15+IF(parametros_manuales!$H$25="Todos",'Plan mensual'!F19,0))+parametros_manuales!$G$25*('Plan mensual'!F16+IF(parametros_manuales!$H$25="Todos",'Plan mensual'!F20,0)))*parametros_manuales!$I$25*parametros_manuales!$J$25</f>
        <v>890.73157654</v>
      </c>
      <c r="E36" s="14" t="n">
        <f aca="false">(parametros_manuales!$D$25*('Plan mensual'!G13+IF(parametros_manuales!$H$25="Todos",'Plan mensual'!G17,0))+parametros_manuales!$E$25*('Plan mensual'!G14+IF(parametros_manuales!$H$25="Todos",'Plan mensual'!G18,0))+parametros_manuales!$F$25*('Plan mensual'!G15+IF(parametros_manuales!$H$25="Todos",'Plan mensual'!G19,0))+parametros_manuales!$G$25*('Plan mensual'!G16+IF(parametros_manuales!$H$25="Todos",'Plan mensual'!G20,0)))*parametros_manuales!$I$25*parametros_manuales!$J$25</f>
        <v>860.745056655</v>
      </c>
      <c r="F36" s="14" t="n">
        <f aca="false">(parametros_manuales!$D$25*('Plan mensual'!H13+IF(parametros_manuales!$H$25="Todos",'Plan mensual'!H17,0))+parametros_manuales!$E$25*('Plan mensual'!H14+IF(parametros_manuales!$H$25="Todos",'Plan mensual'!H18,0))+parametros_manuales!$F$25*('Plan mensual'!H15+IF(parametros_manuales!$H$25="Todos",'Plan mensual'!H19,0))+parametros_manuales!$G$25*('Plan mensual'!H16+IF(parametros_manuales!$H$25="Todos",'Plan mensual'!H20,0)))*parametros_manuales!$I$25*parametros_manuales!$J$25</f>
        <v>806.58516863</v>
      </c>
      <c r="G36" s="14" t="n">
        <f aca="false">(parametros_manuales!$D$25*('Plan mensual'!I13+IF(parametros_manuales!$H$25="Todos",'Plan mensual'!I17,0))+parametros_manuales!$E$25*('Plan mensual'!I14+IF(parametros_manuales!$H$25="Todos",'Plan mensual'!I18,0))+parametros_manuales!$F$25*('Plan mensual'!I15+IF(parametros_manuales!$H$25="Todos",'Plan mensual'!I19,0))+parametros_manuales!$G$25*('Plan mensual'!I16+IF(parametros_manuales!$H$25="Todos",'Plan mensual'!I20,0)))*parametros_manuales!$I$25*parametros_manuales!$J$25</f>
        <v>782.41180049</v>
      </c>
      <c r="H36" s="14" t="n">
        <f aca="false">(parametros_manuales!$D$25*('Plan mensual'!J13+IF(parametros_manuales!$H$25="Todos",'Plan mensual'!J17,0))+parametros_manuales!$E$25*('Plan mensual'!J14+IF(parametros_manuales!$H$25="Todos",'Plan mensual'!J18,0))+parametros_manuales!$F$25*('Plan mensual'!J15+IF(parametros_manuales!$H$25="Todos",'Plan mensual'!J19,0))+parametros_manuales!$G$25*('Plan mensual'!J16+IF(parametros_manuales!$H$25="Todos",'Plan mensual'!J20,0)))*parametros_manuales!$I$25*parametros_manuales!$J$25</f>
        <v>836.571688515</v>
      </c>
      <c r="I36" s="14" t="n">
        <f aca="false">(parametros_manuales!$D$25*('Plan mensual'!K13+IF(parametros_manuales!$H$25="Todos",'Plan mensual'!K17,0))+parametros_manuales!$E$25*('Plan mensual'!K14+IF(parametros_manuales!$H$25="Todos",'Plan mensual'!K18,0))+parametros_manuales!$F$25*('Plan mensual'!K15+IF(parametros_manuales!$H$25="Todos",'Plan mensual'!K19,0))+parametros_manuales!$G$25*('Plan mensual'!K16+IF(parametros_manuales!$H$25="Todos",'Plan mensual'!K20,0)))*parametros_manuales!$I$25*parametros_manuales!$J$25</f>
        <v>836.571688515</v>
      </c>
      <c r="J36" s="14" t="n">
        <f aca="false">(parametros_manuales!$D$25*('Plan mensual'!L13+IF(parametros_manuales!$H$25="Todos",'Plan mensual'!L17,0))+parametros_manuales!$E$25*('Plan mensual'!L14+IF(parametros_manuales!$H$25="Todos",'Plan mensual'!L18,0))+parametros_manuales!$F$25*('Plan mensual'!L15+IF(parametros_manuales!$H$25="Todos",'Plan mensual'!L19,0))+parametros_manuales!$G$25*('Plan mensual'!L16+IF(parametros_manuales!$H$25="Todos",'Plan mensual'!L20,0)))*parametros_manuales!$I$25*parametros_manuales!$J$25</f>
        <v>836.571688515</v>
      </c>
      <c r="K36" s="14" t="n">
        <f aca="false">(parametros_manuales!$D$25*('Plan mensual'!M13+IF(parametros_manuales!$H$25="Todos",'Plan mensual'!M17,0))+parametros_manuales!$E$25*('Plan mensual'!M14+IF(parametros_manuales!$H$25="Todos",'Plan mensual'!M18,0))+parametros_manuales!$F$25*('Plan mensual'!M15+IF(parametros_manuales!$H$25="Todos",'Plan mensual'!M19,0))+parametros_manuales!$G$25*('Plan mensual'!M16+IF(parametros_manuales!$H$25="Todos",'Plan mensual'!M20,0)))*parametros_manuales!$I$25*parametros_manuales!$J$25</f>
        <v>812.398320375</v>
      </c>
      <c r="L36" s="14" t="n">
        <f aca="false">(parametros_manuales!$D$25*('Plan mensual'!N13+IF(parametros_manuales!$H$25="Todos",'Plan mensual'!N17,0))+parametros_manuales!$E$25*('Plan mensual'!N14+IF(parametros_manuales!$H$25="Todos",'Plan mensual'!N18,0))+parametros_manuales!$F$25*('Plan mensual'!N15+IF(parametros_manuales!$H$25="Todos",'Plan mensual'!N19,0))+parametros_manuales!$G$25*('Plan mensual'!N16+IF(parametros_manuales!$H$25="Todos",'Plan mensual'!N20,0)))*parametros_manuales!$I$25*parametros_manuales!$J$25</f>
        <v>788.224952235</v>
      </c>
      <c r="M36" s="14" t="n">
        <f aca="false">(parametros_manuales!$D$25*('Plan mensual'!O13+IF(parametros_manuales!$H$25="Todos",'Plan mensual'!O17,0))+parametros_manuales!$E$25*('Plan mensual'!O14+IF(parametros_manuales!$H$25="Todos",'Plan mensual'!O18,0))+parametros_manuales!$F$25*('Plan mensual'!O15+IF(parametros_manuales!$H$25="Todos",'Plan mensual'!O19,0))+parametros_manuales!$G$25*('Plan mensual'!O16+IF(parametros_manuales!$H$25="Todos",'Plan mensual'!O20,0)))*parametros_manuales!$I$25*parametros_manuales!$J$25</f>
        <v>1251.49057632</v>
      </c>
      <c r="N36" s="14" t="n">
        <f aca="false">SUM(B36:M36)</f>
        <v>10831.977605</v>
      </c>
      <c r="O36" s="14" t="n">
        <f aca="false">MAX(B36:M36)</f>
        <v>1251.49057632</v>
      </c>
      <c r="P36" s="57" t="n">
        <f aca="false">O36/(parametros_manuales!$B$7)</f>
        <v>8.3432705088</v>
      </c>
      <c r="Q36" s="13" t="str">
        <f aca="false">IF(O36=0,"-",INDEX($B$29:$M$29,MATCH(O36,B36:M36,0)))</f>
        <v>Dic</v>
      </c>
    </row>
    <row r="37" customFormat="false" ht="14.25" hidden="false" customHeight="true" outlineLevel="0" collapsed="false">
      <c r="A37" s="13" t="str">
        <f aca="false">parametros_manuales!$B$26</f>
        <v>Cilindrado</v>
      </c>
      <c r="B37" s="14" t="n">
        <f aca="false">(parametros_manuales!$D$26*('Plan mensual'!D13+IF(parametros_manuales!$H$26="Todos",'Plan mensual'!D17,0))+parametros_manuales!$E$26*('Plan mensual'!D14+IF(parametros_manuales!$H$26="Todos",'Plan mensual'!D18,0))+parametros_manuales!$F$26*('Plan mensual'!D15+IF(parametros_manuales!$H$26="Todos",'Plan mensual'!D19,0))+parametros_manuales!$G$26*('Plan mensual'!D16+IF(parametros_manuales!$H$26="Todos",'Plan mensual'!D20,0)))*parametros_manuales!$I$26*parametros_manuales!$J$26</f>
        <v>1203.14384004</v>
      </c>
      <c r="C37" s="14" t="n">
        <f aca="false">(parametros_manuales!$D$26*('Plan mensual'!E13+IF(parametros_manuales!$H$26="Todos",'Plan mensual'!E17,0))+parametros_manuales!$E$26*('Plan mensual'!E14+IF(parametros_manuales!$H$26="Todos",'Plan mensual'!E18,0))+parametros_manuales!$F$26*('Plan mensual'!E15+IF(parametros_manuales!$H$26="Todos",'Plan mensual'!E19,0))+parametros_manuales!$G$26*('Plan mensual'!E16+IF(parametros_manuales!$H$26="Todos",'Plan mensual'!E20,0)))*parametros_manuales!$I$26*parametros_manuales!$J$26</f>
        <v>926.53124817</v>
      </c>
      <c r="D37" s="14" t="n">
        <f aca="false">(parametros_manuales!$D$26*('Plan mensual'!F13+IF(parametros_manuales!$H$26="Todos",'Plan mensual'!F17,0))+parametros_manuales!$E$26*('Plan mensual'!F14+IF(parametros_manuales!$H$26="Todos",'Plan mensual'!F18,0))+parametros_manuales!$F$26*('Plan mensual'!F15+IF(parametros_manuales!$H$26="Todos",'Plan mensual'!F19,0))+parametros_manuales!$G$26*('Plan mensual'!F16+IF(parametros_manuales!$H$26="Todos",'Plan mensual'!F20,0)))*parametros_manuales!$I$26*parametros_manuales!$J$26</f>
        <v>890.73157654</v>
      </c>
      <c r="E37" s="14" t="n">
        <f aca="false">(parametros_manuales!$D$26*('Plan mensual'!G13+IF(parametros_manuales!$H$26="Todos",'Plan mensual'!G17,0))+parametros_manuales!$E$26*('Plan mensual'!G14+IF(parametros_manuales!$H$26="Todos",'Plan mensual'!G18,0))+parametros_manuales!$F$26*('Plan mensual'!G15+IF(parametros_manuales!$H$26="Todos",'Plan mensual'!G19,0))+parametros_manuales!$G$26*('Plan mensual'!G16+IF(parametros_manuales!$H$26="Todos",'Plan mensual'!G20,0)))*parametros_manuales!$I$26*parametros_manuales!$J$26</f>
        <v>860.745056655</v>
      </c>
      <c r="F37" s="14" t="n">
        <f aca="false">(parametros_manuales!$D$26*('Plan mensual'!H13+IF(parametros_manuales!$H$26="Todos",'Plan mensual'!H17,0))+parametros_manuales!$E$26*('Plan mensual'!H14+IF(parametros_manuales!$H$26="Todos",'Plan mensual'!H18,0))+parametros_manuales!$F$26*('Plan mensual'!H15+IF(parametros_manuales!$H$26="Todos",'Plan mensual'!H19,0))+parametros_manuales!$G$26*('Plan mensual'!H16+IF(parametros_manuales!$H$26="Todos",'Plan mensual'!H20,0)))*parametros_manuales!$I$26*parametros_manuales!$J$26</f>
        <v>806.58516863</v>
      </c>
      <c r="G37" s="14" t="n">
        <f aca="false">(parametros_manuales!$D$26*('Plan mensual'!I13+IF(parametros_manuales!$H$26="Todos",'Plan mensual'!I17,0))+parametros_manuales!$E$26*('Plan mensual'!I14+IF(parametros_manuales!$H$26="Todos",'Plan mensual'!I18,0))+parametros_manuales!$F$26*('Plan mensual'!I15+IF(parametros_manuales!$H$26="Todos",'Plan mensual'!I19,0))+parametros_manuales!$G$26*('Plan mensual'!I16+IF(parametros_manuales!$H$26="Todos",'Plan mensual'!I20,0)))*parametros_manuales!$I$26*parametros_manuales!$J$26</f>
        <v>782.41180049</v>
      </c>
      <c r="H37" s="14" t="n">
        <f aca="false">(parametros_manuales!$D$26*('Plan mensual'!J13+IF(parametros_manuales!$H$26="Todos",'Plan mensual'!J17,0))+parametros_manuales!$E$26*('Plan mensual'!J14+IF(parametros_manuales!$H$26="Todos",'Plan mensual'!J18,0))+parametros_manuales!$F$26*('Plan mensual'!J15+IF(parametros_manuales!$H$26="Todos",'Plan mensual'!J19,0))+parametros_manuales!$G$26*('Plan mensual'!J16+IF(parametros_manuales!$H$26="Todos",'Plan mensual'!J20,0)))*parametros_manuales!$I$26*parametros_manuales!$J$26</f>
        <v>836.571688515</v>
      </c>
      <c r="I37" s="14" t="n">
        <f aca="false">(parametros_manuales!$D$26*('Plan mensual'!K13+IF(parametros_manuales!$H$26="Todos",'Plan mensual'!K17,0))+parametros_manuales!$E$26*('Plan mensual'!K14+IF(parametros_manuales!$H$26="Todos",'Plan mensual'!K18,0))+parametros_manuales!$F$26*('Plan mensual'!K15+IF(parametros_manuales!$H$26="Todos",'Plan mensual'!K19,0))+parametros_manuales!$G$26*('Plan mensual'!K16+IF(parametros_manuales!$H$26="Todos",'Plan mensual'!K20,0)))*parametros_manuales!$I$26*parametros_manuales!$J$26</f>
        <v>836.571688515</v>
      </c>
      <c r="J37" s="14" t="n">
        <f aca="false">(parametros_manuales!$D$26*('Plan mensual'!L13+IF(parametros_manuales!$H$26="Todos",'Plan mensual'!L17,0))+parametros_manuales!$E$26*('Plan mensual'!L14+IF(parametros_manuales!$H$26="Todos",'Plan mensual'!L18,0))+parametros_manuales!$F$26*('Plan mensual'!L15+IF(parametros_manuales!$H$26="Todos",'Plan mensual'!L19,0))+parametros_manuales!$G$26*('Plan mensual'!L16+IF(parametros_manuales!$H$26="Todos",'Plan mensual'!L20,0)))*parametros_manuales!$I$26*parametros_manuales!$J$26</f>
        <v>836.571688515</v>
      </c>
      <c r="K37" s="14" t="n">
        <f aca="false">(parametros_manuales!$D$26*('Plan mensual'!M13+IF(parametros_manuales!$H$26="Todos",'Plan mensual'!M17,0))+parametros_manuales!$E$26*('Plan mensual'!M14+IF(parametros_manuales!$H$26="Todos",'Plan mensual'!M18,0))+parametros_manuales!$F$26*('Plan mensual'!M15+IF(parametros_manuales!$H$26="Todos",'Plan mensual'!M19,0))+parametros_manuales!$G$26*('Plan mensual'!M16+IF(parametros_manuales!$H$26="Todos",'Plan mensual'!M20,0)))*parametros_manuales!$I$26*parametros_manuales!$J$26</f>
        <v>812.398320375</v>
      </c>
      <c r="L37" s="14" t="n">
        <f aca="false">(parametros_manuales!$D$26*('Plan mensual'!N13+IF(parametros_manuales!$H$26="Todos",'Plan mensual'!N17,0))+parametros_manuales!$E$26*('Plan mensual'!N14+IF(parametros_manuales!$H$26="Todos",'Plan mensual'!N18,0))+parametros_manuales!$F$26*('Plan mensual'!N15+IF(parametros_manuales!$H$26="Todos",'Plan mensual'!N19,0))+parametros_manuales!$G$26*('Plan mensual'!N16+IF(parametros_manuales!$H$26="Todos",'Plan mensual'!N20,0)))*parametros_manuales!$I$26*parametros_manuales!$J$26</f>
        <v>788.224952235</v>
      </c>
      <c r="M37" s="14" t="n">
        <f aca="false">(parametros_manuales!$D$26*('Plan mensual'!O13+IF(parametros_manuales!$H$26="Todos",'Plan mensual'!O17,0))+parametros_manuales!$E$26*('Plan mensual'!O14+IF(parametros_manuales!$H$26="Todos",'Plan mensual'!O18,0))+parametros_manuales!$F$26*('Plan mensual'!O15+IF(parametros_manuales!$H$26="Todos",'Plan mensual'!O19,0))+parametros_manuales!$G$26*('Plan mensual'!O16+IF(parametros_manuales!$H$26="Todos",'Plan mensual'!O20,0)))*parametros_manuales!$I$26*parametros_manuales!$J$26</f>
        <v>1251.49057632</v>
      </c>
      <c r="N37" s="14" t="n">
        <f aca="false">SUM(B37:M37)</f>
        <v>10831.977605</v>
      </c>
      <c r="O37" s="14" t="n">
        <f aca="false">MAX(B37:M37)</f>
        <v>1251.49057632</v>
      </c>
      <c r="P37" s="57" t="n">
        <f aca="false">O37/(parametros_manuales!$B$7)</f>
        <v>8.3432705088</v>
      </c>
      <c r="Q37" s="13" t="str">
        <f aca="false">IF(O37=0,"-",INDEX($B$29:$M$29,MATCH(O37,B37:M37,0)))</f>
        <v>Dic</v>
      </c>
    </row>
    <row r="38" customFormat="false" ht="14.25" hidden="false" customHeight="true" outlineLevel="0" collapsed="false">
      <c r="A38" s="13" t="str">
        <f aca="false">parametros_manuales!$B$27</f>
        <v>Soldadura longitudinal — 2,5 a 10 kg</v>
      </c>
      <c r="B38" s="14" t="n">
        <f aca="false">(parametros_manuales!$D$27*('Plan mensual'!D13+IF(parametros_manuales!$H$27="Todos",'Plan mensual'!D17,0))+parametros_manuales!$E$27*('Plan mensual'!D14+IF(parametros_manuales!$H$27="Todos",'Plan mensual'!D18,0))+parametros_manuales!$F$27*('Plan mensual'!D15+IF(parametros_manuales!$H$27="Todos",'Plan mensual'!D19,0))+parametros_manuales!$G$27*('Plan mensual'!D16+IF(parametros_manuales!$H$27="Todos",'Plan mensual'!D20,0)))*parametros_manuales!$I$27*parametros_manuales!$J$27</f>
        <v>483.4673628</v>
      </c>
      <c r="C38" s="14" t="n">
        <f aca="false">(parametros_manuales!$D$27*('Plan mensual'!E13+IF(parametros_manuales!$H$27="Todos",'Plan mensual'!E17,0))+parametros_manuales!$E$27*('Plan mensual'!E14+IF(parametros_manuales!$H$27="Todos",'Plan mensual'!E18,0))+parametros_manuales!$F$27*('Plan mensual'!E15+IF(parametros_manuales!$H$27="Todos",'Plan mensual'!E19,0))+parametros_manuales!$G$27*('Plan mensual'!E16+IF(parametros_manuales!$H$27="Todos",'Plan mensual'!E20,0)))*parametros_manuales!$I$27*parametros_manuales!$J$27</f>
        <v>386.77389024</v>
      </c>
      <c r="D38" s="14" t="n">
        <f aca="false">(parametros_manuales!$D$27*('Plan mensual'!F13+IF(parametros_manuales!$H$27="Todos",'Plan mensual'!F17,0))+parametros_manuales!$E$27*('Plan mensual'!F14+IF(parametros_manuales!$H$27="Todos",'Plan mensual'!F18,0))+parametros_manuales!$F$27*('Plan mensual'!F15+IF(parametros_manuales!$H$27="Todos",'Plan mensual'!F19,0))+parametros_manuales!$G$27*('Plan mensual'!F16+IF(parametros_manuales!$H$27="Todos",'Plan mensual'!F20,0)))*parametros_manuales!$I$27*parametros_manuales!$J$27</f>
        <v>410.94725838</v>
      </c>
      <c r="E38" s="14" t="n">
        <f aca="false">(parametros_manuales!$D$27*('Plan mensual'!G13+IF(parametros_manuales!$H$27="Todos",'Plan mensual'!G17,0))+parametros_manuales!$E$27*('Plan mensual'!G14+IF(parametros_manuales!$H$27="Todos",'Plan mensual'!G18,0))+parametros_manuales!$F$27*('Plan mensual'!G15+IF(parametros_manuales!$H$27="Todos",'Plan mensual'!G19,0))+parametros_manuales!$G$27*('Plan mensual'!G16+IF(parametros_manuales!$H$27="Todos",'Plan mensual'!G20,0)))*parametros_manuales!$I$27*parametros_manuales!$J$27</f>
        <v>410.94725838</v>
      </c>
      <c r="F38" s="14" t="n">
        <f aca="false">(parametros_manuales!$D$27*('Plan mensual'!H13+IF(parametros_manuales!$H$27="Todos",'Plan mensual'!H17,0))+parametros_manuales!$E$27*('Plan mensual'!H14+IF(parametros_manuales!$H$27="Todos",'Plan mensual'!H18,0))+parametros_manuales!$F$27*('Plan mensual'!H15+IF(parametros_manuales!$H$27="Todos",'Plan mensual'!H19,0))+parametros_manuales!$G$27*('Plan mensual'!H16+IF(parametros_manuales!$H$27="Todos",'Plan mensual'!H20,0)))*parametros_manuales!$I$27*parametros_manuales!$J$27</f>
        <v>386.77389024</v>
      </c>
      <c r="G38" s="14" t="n">
        <f aca="false">(parametros_manuales!$D$27*('Plan mensual'!I13+IF(parametros_manuales!$H$27="Todos",'Plan mensual'!I17,0))+parametros_manuales!$E$27*('Plan mensual'!I14+IF(parametros_manuales!$H$27="Todos",'Plan mensual'!I18,0))+parametros_manuales!$F$27*('Plan mensual'!I15+IF(parametros_manuales!$H$27="Todos",'Plan mensual'!I19,0))+parametros_manuales!$G$27*('Plan mensual'!I16+IF(parametros_manuales!$H$27="Todos",'Plan mensual'!I20,0)))*parametros_manuales!$I$27*parametros_manuales!$J$27</f>
        <v>362.6005221</v>
      </c>
      <c r="H38" s="14" t="n">
        <f aca="false">(parametros_manuales!$D$27*('Plan mensual'!J13+IF(parametros_manuales!$H$27="Todos",'Plan mensual'!J17,0))+parametros_manuales!$E$27*('Plan mensual'!J14+IF(parametros_manuales!$H$27="Todos",'Plan mensual'!J18,0))+parametros_manuales!$F$27*('Plan mensual'!J15+IF(parametros_manuales!$H$27="Todos",'Plan mensual'!J19,0))+parametros_manuales!$G$27*('Plan mensual'!J16+IF(parametros_manuales!$H$27="Todos",'Plan mensual'!J20,0)))*parametros_manuales!$I$27*parametros_manuales!$J$27</f>
        <v>386.77389024</v>
      </c>
      <c r="I38" s="14" t="n">
        <f aca="false">(parametros_manuales!$D$27*('Plan mensual'!K13+IF(parametros_manuales!$H$27="Todos",'Plan mensual'!K17,0))+parametros_manuales!$E$27*('Plan mensual'!K14+IF(parametros_manuales!$H$27="Todos",'Plan mensual'!K18,0))+parametros_manuales!$F$27*('Plan mensual'!K15+IF(parametros_manuales!$H$27="Todos",'Plan mensual'!K19,0))+parametros_manuales!$G$27*('Plan mensual'!K16+IF(parametros_manuales!$H$27="Todos",'Plan mensual'!K20,0)))*parametros_manuales!$I$27*parametros_manuales!$J$27</f>
        <v>386.77389024</v>
      </c>
      <c r="J38" s="14" t="n">
        <f aca="false">(parametros_manuales!$D$27*('Plan mensual'!L13+IF(parametros_manuales!$H$27="Todos",'Plan mensual'!L17,0))+parametros_manuales!$E$27*('Plan mensual'!L14+IF(parametros_manuales!$H$27="Todos",'Plan mensual'!L18,0))+parametros_manuales!$F$27*('Plan mensual'!L15+IF(parametros_manuales!$H$27="Todos",'Plan mensual'!L19,0))+parametros_manuales!$G$27*('Plan mensual'!L16+IF(parametros_manuales!$H$27="Todos",'Plan mensual'!L20,0)))*parametros_manuales!$I$27*parametros_manuales!$J$27</f>
        <v>386.77389024</v>
      </c>
      <c r="K38" s="14" t="n">
        <f aca="false">(parametros_manuales!$D$27*('Plan mensual'!M13+IF(parametros_manuales!$H$27="Todos",'Plan mensual'!M17,0))+parametros_manuales!$E$27*('Plan mensual'!M14+IF(parametros_manuales!$H$27="Todos",'Plan mensual'!M18,0))+parametros_manuales!$F$27*('Plan mensual'!M15+IF(parametros_manuales!$H$27="Todos",'Plan mensual'!M19,0))+parametros_manuales!$G$27*('Plan mensual'!M16+IF(parametros_manuales!$H$27="Todos",'Plan mensual'!M20,0)))*parametros_manuales!$I$27*parametros_manuales!$J$27</f>
        <v>362.6005221</v>
      </c>
      <c r="L38" s="14" t="n">
        <f aca="false">(parametros_manuales!$D$27*('Plan mensual'!N13+IF(parametros_manuales!$H$27="Todos",'Plan mensual'!N17,0))+parametros_manuales!$E$27*('Plan mensual'!N14+IF(parametros_manuales!$H$27="Todos",'Plan mensual'!N18,0))+parametros_manuales!$F$27*('Plan mensual'!N15+IF(parametros_manuales!$H$27="Todos",'Plan mensual'!N19,0))+parametros_manuales!$G$27*('Plan mensual'!N16+IF(parametros_manuales!$H$27="Todos",'Plan mensual'!N20,0)))*parametros_manuales!$I$27*parametros_manuales!$J$27</f>
        <v>338.42715396</v>
      </c>
      <c r="M38" s="14" t="n">
        <f aca="false">(parametros_manuales!$D$27*('Plan mensual'!O13+IF(parametros_manuales!$H$27="Todos",'Plan mensual'!O17,0))+parametros_manuales!$E$27*('Plan mensual'!O14+IF(parametros_manuales!$H$27="Todos",'Plan mensual'!O18,0))+parametros_manuales!$F$27*('Plan mensual'!O15+IF(parametros_manuales!$H$27="Todos",'Plan mensual'!O19,0))+parametros_manuales!$G$27*('Plan mensual'!O16+IF(parametros_manuales!$H$27="Todos",'Plan mensual'!O20,0)))*parametros_manuales!$I$27*parametros_manuales!$J$27</f>
        <v>531.81409908</v>
      </c>
      <c r="N38" s="14" t="n">
        <f aca="false">SUM(B38:M38)</f>
        <v>4834.673628</v>
      </c>
      <c r="O38" s="14" t="n">
        <f aca="false">MAX(B38:M38)</f>
        <v>531.81409908</v>
      </c>
      <c r="P38" s="57" t="n">
        <f aca="false">O38/(parametros_manuales!$B$7)</f>
        <v>3.5454273272</v>
      </c>
      <c r="Q38" s="13" t="str">
        <f aca="false">IF(O38=0,"-",INDEX($B$29:$M$29,MATCH(O38,B38:M38,0)))</f>
        <v>Dic</v>
      </c>
    </row>
    <row r="39" customFormat="false" ht="14.25" hidden="false" customHeight="true" outlineLevel="0" collapsed="false">
      <c r="A39" s="13" t="str">
        <f aca="false">parametros_manuales!$B$28</f>
        <v>Soldadura longitudinal TIG — 1 kg</v>
      </c>
      <c r="B39" s="14" t="n">
        <f aca="false">(parametros_manuales!$D$28*('Plan mensual'!D13+IF(parametros_manuales!$H$28="Todos",'Plan mensual'!D17,0))+parametros_manuales!$E$28*('Plan mensual'!D14+IF(parametros_manuales!$H$28="Todos",'Plan mensual'!D18,0))+parametros_manuales!$F$28*('Plan mensual'!D15+IF(parametros_manuales!$H$28="Todos",'Plan mensual'!D19,0))+parametros_manuales!$G$28*('Plan mensual'!D16+IF(parametros_manuales!$H$28="Todos",'Plan mensual'!D20,0)))*parametros_manuales!$I$28*parametros_manuales!$J$28</f>
        <v>719.67647724</v>
      </c>
      <c r="C39" s="14" t="n">
        <f aca="false">(parametros_manuales!$D$28*('Plan mensual'!E13+IF(parametros_manuales!$H$28="Todos",'Plan mensual'!E17,0))+parametros_manuales!$E$28*('Plan mensual'!E14+IF(parametros_manuales!$H$28="Todos",'Plan mensual'!E18,0))+parametros_manuales!$F$28*('Plan mensual'!E15+IF(parametros_manuales!$H$28="Todos",'Plan mensual'!E19,0))+parametros_manuales!$G$28*('Plan mensual'!E16+IF(parametros_manuales!$H$28="Todos",'Plan mensual'!E20,0)))*parametros_manuales!$I$28*parametros_manuales!$J$28</f>
        <v>539.75735793</v>
      </c>
      <c r="D39" s="14" t="n">
        <f aca="false">(parametros_manuales!$D$28*('Plan mensual'!F13+IF(parametros_manuales!$H$28="Todos",'Plan mensual'!F17,0))+parametros_manuales!$E$28*('Plan mensual'!F14+IF(parametros_manuales!$H$28="Todos",'Plan mensual'!F18,0))+parametros_manuales!$F$28*('Plan mensual'!F15+IF(parametros_manuales!$H$28="Todos",'Plan mensual'!F19,0))+parametros_manuales!$G$28*('Plan mensual'!F16+IF(parametros_manuales!$H$28="Todos",'Plan mensual'!F20,0)))*parametros_manuales!$I$28*parametros_manuales!$J$28</f>
        <v>479.78431816</v>
      </c>
      <c r="E39" s="14" t="n">
        <f aca="false">(parametros_manuales!$D$28*('Plan mensual'!G13+IF(parametros_manuales!$H$28="Todos",'Plan mensual'!G17,0))+parametros_manuales!$E$28*('Plan mensual'!G14+IF(parametros_manuales!$H$28="Todos",'Plan mensual'!G18,0))+parametros_manuales!$F$28*('Plan mensual'!G15+IF(parametros_manuales!$H$28="Todos",'Plan mensual'!G19,0))+parametros_manuales!$G$28*('Plan mensual'!G16+IF(parametros_manuales!$H$28="Todos",'Plan mensual'!G20,0)))*parametros_manuales!$I$28*parametros_manuales!$J$28</f>
        <v>449.797798275</v>
      </c>
      <c r="F39" s="14" t="n">
        <f aca="false">(parametros_manuales!$D$28*('Plan mensual'!H13+IF(parametros_manuales!$H$28="Todos",'Plan mensual'!H17,0))+parametros_manuales!$E$28*('Plan mensual'!H14+IF(parametros_manuales!$H$28="Todos",'Plan mensual'!H18,0))+parametros_manuales!$F$28*('Plan mensual'!H15+IF(parametros_manuales!$H$28="Todos",'Plan mensual'!H19,0))+parametros_manuales!$G$28*('Plan mensual'!H16+IF(parametros_manuales!$H$28="Todos",'Plan mensual'!H20,0)))*parametros_manuales!$I$28*parametros_manuales!$J$28</f>
        <v>419.81127839</v>
      </c>
      <c r="G39" s="14" t="n">
        <f aca="false">(parametros_manuales!$D$28*('Plan mensual'!I13+IF(parametros_manuales!$H$28="Todos",'Plan mensual'!I17,0))+parametros_manuales!$E$28*('Plan mensual'!I14+IF(parametros_manuales!$H$28="Todos",'Plan mensual'!I18,0))+parametros_manuales!$F$28*('Plan mensual'!I15+IF(parametros_manuales!$H$28="Todos",'Plan mensual'!I19,0))+parametros_manuales!$G$28*('Plan mensual'!I16+IF(parametros_manuales!$H$28="Todos",'Plan mensual'!I20,0)))*parametros_manuales!$I$28*parametros_manuales!$J$28</f>
        <v>419.81127839</v>
      </c>
      <c r="H39" s="14" t="n">
        <f aca="false">(parametros_manuales!$D$28*('Plan mensual'!J13+IF(parametros_manuales!$H$28="Todos",'Plan mensual'!J17,0))+parametros_manuales!$E$28*('Plan mensual'!J14+IF(parametros_manuales!$H$28="Todos",'Plan mensual'!J18,0))+parametros_manuales!$F$28*('Plan mensual'!J15+IF(parametros_manuales!$H$28="Todos",'Plan mensual'!J19,0))+parametros_manuales!$G$28*('Plan mensual'!J16+IF(parametros_manuales!$H$28="Todos",'Plan mensual'!J20,0)))*parametros_manuales!$I$28*parametros_manuales!$J$28</f>
        <v>449.797798275</v>
      </c>
      <c r="I39" s="14" t="n">
        <f aca="false">(parametros_manuales!$D$28*('Plan mensual'!K13+IF(parametros_manuales!$H$28="Todos",'Plan mensual'!K17,0))+parametros_manuales!$E$28*('Plan mensual'!K14+IF(parametros_manuales!$H$28="Todos",'Plan mensual'!K18,0))+parametros_manuales!$F$28*('Plan mensual'!K15+IF(parametros_manuales!$H$28="Todos",'Plan mensual'!K19,0))+parametros_manuales!$G$28*('Plan mensual'!K16+IF(parametros_manuales!$H$28="Todos",'Plan mensual'!K20,0)))*parametros_manuales!$I$28*parametros_manuales!$J$28</f>
        <v>449.797798275</v>
      </c>
      <c r="J39" s="14" t="n">
        <f aca="false">(parametros_manuales!$D$28*('Plan mensual'!L13+IF(parametros_manuales!$H$28="Todos",'Plan mensual'!L17,0))+parametros_manuales!$E$28*('Plan mensual'!L14+IF(parametros_manuales!$H$28="Todos",'Plan mensual'!L18,0))+parametros_manuales!$F$28*('Plan mensual'!L15+IF(parametros_manuales!$H$28="Todos",'Plan mensual'!L19,0))+parametros_manuales!$G$28*('Plan mensual'!L16+IF(parametros_manuales!$H$28="Todos",'Plan mensual'!L20,0)))*parametros_manuales!$I$28*parametros_manuales!$J$28</f>
        <v>449.797798275</v>
      </c>
      <c r="K39" s="14" t="n">
        <f aca="false">(parametros_manuales!$D$28*('Plan mensual'!M13+IF(parametros_manuales!$H$28="Todos",'Plan mensual'!M17,0))+parametros_manuales!$E$28*('Plan mensual'!M14+IF(parametros_manuales!$H$28="Todos",'Plan mensual'!M18,0))+parametros_manuales!$F$28*('Plan mensual'!M15+IF(parametros_manuales!$H$28="Todos",'Plan mensual'!M19,0))+parametros_manuales!$G$28*('Plan mensual'!M16+IF(parametros_manuales!$H$28="Todos",'Plan mensual'!M20,0)))*parametros_manuales!$I$28*parametros_manuales!$J$28</f>
        <v>449.797798275</v>
      </c>
      <c r="L39" s="14" t="n">
        <f aca="false">(parametros_manuales!$D$28*('Plan mensual'!N13+IF(parametros_manuales!$H$28="Todos",'Plan mensual'!N17,0))+parametros_manuales!$E$28*('Plan mensual'!N14+IF(parametros_manuales!$H$28="Todos",'Plan mensual'!N18,0))+parametros_manuales!$F$28*('Plan mensual'!N15+IF(parametros_manuales!$H$28="Todos",'Plan mensual'!N19,0))+parametros_manuales!$G$28*('Plan mensual'!N16+IF(parametros_manuales!$H$28="Todos",'Plan mensual'!N20,0)))*parametros_manuales!$I$28*parametros_manuales!$J$28</f>
        <v>449.797798275</v>
      </c>
      <c r="M39" s="14" t="n">
        <f aca="false">(parametros_manuales!$D$28*('Plan mensual'!O13+IF(parametros_manuales!$H$28="Todos",'Plan mensual'!O17,0))+parametros_manuales!$E$28*('Plan mensual'!O14+IF(parametros_manuales!$H$28="Todos",'Plan mensual'!O18,0))+parametros_manuales!$F$28*('Plan mensual'!O15+IF(parametros_manuales!$H$28="Todos",'Plan mensual'!O19,0))+parametros_manuales!$G$28*('Plan mensual'!O16+IF(parametros_manuales!$H$28="Todos",'Plan mensual'!O20,0)))*parametros_manuales!$I$28*parametros_manuales!$J$28</f>
        <v>719.67647724</v>
      </c>
      <c r="N39" s="14" t="n">
        <f aca="false">SUM(B39:M39)</f>
        <v>5997.303977</v>
      </c>
      <c r="O39" s="14" t="n">
        <f aca="false">MAX(B39:M39)</f>
        <v>719.67647724</v>
      </c>
      <c r="P39" s="57" t="n">
        <f aca="false">O39/(parametros_manuales!$B$7)</f>
        <v>4.7978431816</v>
      </c>
      <c r="Q39" s="13" t="str">
        <f aca="false">IF(O39=0,"-",INDEX($B$29:$M$29,MATCH(O39,B39:M39,0)))</f>
        <v>Ene</v>
      </c>
    </row>
    <row r="40" customFormat="false" ht="14.25" hidden="false" customHeight="true" outlineLevel="0" collapsed="false">
      <c r="A40" s="13" t="str">
        <f aca="false">parametros_manuales!$B$29</f>
        <v>Encastre de fondo</v>
      </c>
      <c r="B40" s="14" t="n">
        <f aca="false">(parametros_manuales!$D$29*('Plan mensual'!D13+IF(parametros_manuales!$H$29="Todos",'Plan mensual'!D17,0))+parametros_manuales!$E$29*('Plan mensual'!D14+IF(parametros_manuales!$H$29="Todos",'Plan mensual'!D18,0))+parametros_manuales!$F$29*('Plan mensual'!D15+IF(parametros_manuales!$H$29="Todos",'Plan mensual'!D19,0))+parametros_manuales!$G$29*('Plan mensual'!D16+IF(parametros_manuales!$H$29="Todos",'Plan mensual'!D20,0)))*parametros_manuales!$I$29*parametros_manuales!$J$29</f>
        <v>1203.14384004</v>
      </c>
      <c r="C40" s="14" t="n">
        <f aca="false">(parametros_manuales!$D$29*('Plan mensual'!E13+IF(parametros_manuales!$H$29="Todos",'Plan mensual'!E17,0))+parametros_manuales!$E$29*('Plan mensual'!E14+IF(parametros_manuales!$H$29="Todos",'Plan mensual'!E18,0))+parametros_manuales!$F$29*('Plan mensual'!E15+IF(parametros_manuales!$H$29="Todos",'Plan mensual'!E19,0))+parametros_manuales!$G$29*('Plan mensual'!E16+IF(parametros_manuales!$H$29="Todos",'Plan mensual'!E20,0)))*parametros_manuales!$I$29*parametros_manuales!$J$29</f>
        <v>926.53124817</v>
      </c>
      <c r="D40" s="14" t="n">
        <f aca="false">(parametros_manuales!$D$29*('Plan mensual'!F13+IF(parametros_manuales!$H$29="Todos",'Plan mensual'!F17,0))+parametros_manuales!$E$29*('Plan mensual'!F14+IF(parametros_manuales!$H$29="Todos",'Plan mensual'!F18,0))+parametros_manuales!$F$29*('Plan mensual'!F15+IF(parametros_manuales!$H$29="Todos",'Plan mensual'!F19,0))+parametros_manuales!$G$29*('Plan mensual'!F16+IF(parametros_manuales!$H$29="Todos",'Plan mensual'!F20,0)))*parametros_manuales!$I$29*parametros_manuales!$J$29</f>
        <v>890.73157654</v>
      </c>
      <c r="E40" s="14" t="n">
        <f aca="false">(parametros_manuales!$D$29*('Plan mensual'!G13+IF(parametros_manuales!$H$29="Todos",'Plan mensual'!G17,0))+parametros_manuales!$E$29*('Plan mensual'!G14+IF(parametros_manuales!$H$29="Todos",'Plan mensual'!G18,0))+parametros_manuales!$F$29*('Plan mensual'!G15+IF(parametros_manuales!$H$29="Todos",'Plan mensual'!G19,0))+parametros_manuales!$G$29*('Plan mensual'!G16+IF(parametros_manuales!$H$29="Todos",'Plan mensual'!G20,0)))*parametros_manuales!$I$29*parametros_manuales!$J$29</f>
        <v>860.745056655</v>
      </c>
      <c r="F40" s="14" t="n">
        <f aca="false">(parametros_manuales!$D$29*('Plan mensual'!H13+IF(parametros_manuales!$H$29="Todos",'Plan mensual'!H17,0))+parametros_manuales!$E$29*('Plan mensual'!H14+IF(parametros_manuales!$H$29="Todos",'Plan mensual'!H18,0))+parametros_manuales!$F$29*('Plan mensual'!H15+IF(parametros_manuales!$H$29="Todos",'Plan mensual'!H19,0))+parametros_manuales!$G$29*('Plan mensual'!H16+IF(parametros_manuales!$H$29="Todos",'Plan mensual'!H20,0)))*parametros_manuales!$I$29*parametros_manuales!$J$29</f>
        <v>806.58516863</v>
      </c>
      <c r="G40" s="14" t="n">
        <f aca="false">(parametros_manuales!$D$29*('Plan mensual'!I13+IF(parametros_manuales!$H$29="Todos",'Plan mensual'!I17,0))+parametros_manuales!$E$29*('Plan mensual'!I14+IF(parametros_manuales!$H$29="Todos",'Plan mensual'!I18,0))+parametros_manuales!$F$29*('Plan mensual'!I15+IF(parametros_manuales!$H$29="Todos",'Plan mensual'!I19,0))+parametros_manuales!$G$29*('Plan mensual'!I16+IF(parametros_manuales!$H$29="Todos",'Plan mensual'!I20,0)))*parametros_manuales!$I$29*parametros_manuales!$J$29</f>
        <v>782.41180049</v>
      </c>
      <c r="H40" s="14" t="n">
        <f aca="false">(parametros_manuales!$D$29*('Plan mensual'!J13+IF(parametros_manuales!$H$29="Todos",'Plan mensual'!J17,0))+parametros_manuales!$E$29*('Plan mensual'!J14+IF(parametros_manuales!$H$29="Todos",'Plan mensual'!J18,0))+parametros_manuales!$F$29*('Plan mensual'!J15+IF(parametros_manuales!$H$29="Todos",'Plan mensual'!J19,0))+parametros_manuales!$G$29*('Plan mensual'!J16+IF(parametros_manuales!$H$29="Todos",'Plan mensual'!J20,0)))*parametros_manuales!$I$29*parametros_manuales!$J$29</f>
        <v>836.571688515</v>
      </c>
      <c r="I40" s="14" t="n">
        <f aca="false">(parametros_manuales!$D$29*('Plan mensual'!K13+IF(parametros_manuales!$H$29="Todos",'Plan mensual'!K17,0))+parametros_manuales!$E$29*('Plan mensual'!K14+IF(parametros_manuales!$H$29="Todos",'Plan mensual'!K18,0))+parametros_manuales!$F$29*('Plan mensual'!K15+IF(parametros_manuales!$H$29="Todos",'Plan mensual'!K19,0))+parametros_manuales!$G$29*('Plan mensual'!K16+IF(parametros_manuales!$H$29="Todos",'Plan mensual'!K20,0)))*parametros_manuales!$I$29*parametros_manuales!$J$29</f>
        <v>836.571688515</v>
      </c>
      <c r="J40" s="14" t="n">
        <f aca="false">(parametros_manuales!$D$29*('Plan mensual'!L13+IF(parametros_manuales!$H$29="Todos",'Plan mensual'!L17,0))+parametros_manuales!$E$29*('Plan mensual'!L14+IF(parametros_manuales!$H$29="Todos",'Plan mensual'!L18,0))+parametros_manuales!$F$29*('Plan mensual'!L15+IF(parametros_manuales!$H$29="Todos",'Plan mensual'!L19,0))+parametros_manuales!$G$29*('Plan mensual'!L16+IF(parametros_manuales!$H$29="Todos",'Plan mensual'!L20,0)))*parametros_manuales!$I$29*parametros_manuales!$J$29</f>
        <v>836.571688515</v>
      </c>
      <c r="K40" s="14" t="n">
        <f aca="false">(parametros_manuales!$D$29*('Plan mensual'!M13+IF(parametros_manuales!$H$29="Todos",'Plan mensual'!M17,0))+parametros_manuales!$E$29*('Plan mensual'!M14+IF(parametros_manuales!$H$29="Todos",'Plan mensual'!M18,0))+parametros_manuales!$F$29*('Plan mensual'!M15+IF(parametros_manuales!$H$29="Todos",'Plan mensual'!M19,0))+parametros_manuales!$G$29*('Plan mensual'!M16+IF(parametros_manuales!$H$29="Todos",'Plan mensual'!M20,0)))*parametros_manuales!$I$29*parametros_manuales!$J$29</f>
        <v>812.398320375</v>
      </c>
      <c r="L40" s="14" t="n">
        <f aca="false">(parametros_manuales!$D$29*('Plan mensual'!N13+IF(parametros_manuales!$H$29="Todos",'Plan mensual'!N17,0))+parametros_manuales!$E$29*('Plan mensual'!N14+IF(parametros_manuales!$H$29="Todos",'Plan mensual'!N18,0))+parametros_manuales!$F$29*('Plan mensual'!N15+IF(parametros_manuales!$H$29="Todos",'Plan mensual'!N19,0))+parametros_manuales!$G$29*('Plan mensual'!N16+IF(parametros_manuales!$H$29="Todos",'Plan mensual'!N20,0)))*parametros_manuales!$I$29*parametros_manuales!$J$29</f>
        <v>788.224952235</v>
      </c>
      <c r="M40" s="14" t="n">
        <f aca="false">(parametros_manuales!$D$29*('Plan mensual'!O13+IF(parametros_manuales!$H$29="Todos",'Plan mensual'!O17,0))+parametros_manuales!$E$29*('Plan mensual'!O14+IF(parametros_manuales!$H$29="Todos",'Plan mensual'!O18,0))+parametros_manuales!$F$29*('Plan mensual'!O15+IF(parametros_manuales!$H$29="Todos",'Plan mensual'!O19,0))+parametros_manuales!$G$29*('Plan mensual'!O16+IF(parametros_manuales!$H$29="Todos",'Plan mensual'!O20,0)))*parametros_manuales!$I$29*parametros_manuales!$J$29</f>
        <v>1251.49057632</v>
      </c>
      <c r="N40" s="14" t="n">
        <f aca="false">SUM(B40:M40)</f>
        <v>10831.977605</v>
      </c>
      <c r="O40" s="14" t="n">
        <f aca="false">MAX(B40:M40)</f>
        <v>1251.49057632</v>
      </c>
      <c r="P40" s="57" t="n">
        <f aca="false">O40/(parametros_manuales!$B$7)</f>
        <v>8.3432705088</v>
      </c>
      <c r="Q40" s="13" t="str">
        <f aca="false">IF(O40=0,"-",INDEX($B$29:$M$29,MATCH(O40,B40:M40,0)))</f>
        <v>Dic</v>
      </c>
    </row>
    <row r="41" customFormat="false" ht="14.25" hidden="false" customHeight="true" outlineLevel="0" collapsed="false">
      <c r="A41" s="13" t="str">
        <f aca="false">parametros_manuales!$B$30</f>
        <v>Bordoneado</v>
      </c>
      <c r="B41" s="14" t="n">
        <f aca="false">(parametros_manuales!$D$30*('Plan mensual'!D13+IF(parametros_manuales!$H$30="Todos",'Plan mensual'!D17,0))+parametros_manuales!$E$30*('Plan mensual'!D14+IF(parametros_manuales!$H$30="Todos",'Plan mensual'!D18,0))+parametros_manuales!$F$30*('Plan mensual'!D15+IF(parametros_manuales!$H$30="Todos",'Plan mensual'!D19,0))+parametros_manuales!$G$30*('Plan mensual'!D16+IF(parametros_manuales!$H$30="Todos",'Plan mensual'!D20,0)))*parametros_manuales!$I$30*parametros_manuales!$J$30</f>
        <v>1203.14384004</v>
      </c>
      <c r="C41" s="14" t="n">
        <f aca="false">(parametros_manuales!$D$30*('Plan mensual'!E13+IF(parametros_manuales!$H$30="Todos",'Plan mensual'!E17,0))+parametros_manuales!$E$30*('Plan mensual'!E14+IF(parametros_manuales!$H$30="Todos",'Plan mensual'!E18,0))+parametros_manuales!$F$30*('Plan mensual'!E15+IF(parametros_manuales!$H$30="Todos",'Plan mensual'!E19,0))+parametros_manuales!$G$30*('Plan mensual'!E16+IF(parametros_manuales!$H$30="Todos",'Plan mensual'!E20,0)))*parametros_manuales!$I$30*parametros_manuales!$J$30</f>
        <v>926.53124817</v>
      </c>
      <c r="D41" s="14" t="n">
        <f aca="false">(parametros_manuales!$D$30*('Plan mensual'!F13+IF(parametros_manuales!$H$30="Todos",'Plan mensual'!F17,0))+parametros_manuales!$E$30*('Plan mensual'!F14+IF(parametros_manuales!$H$30="Todos",'Plan mensual'!F18,0))+parametros_manuales!$F$30*('Plan mensual'!F15+IF(parametros_manuales!$H$30="Todos",'Plan mensual'!F19,0))+parametros_manuales!$G$30*('Plan mensual'!F16+IF(parametros_manuales!$H$30="Todos",'Plan mensual'!F20,0)))*parametros_manuales!$I$30*parametros_manuales!$J$30</f>
        <v>890.73157654</v>
      </c>
      <c r="E41" s="14" t="n">
        <f aca="false">(parametros_manuales!$D$30*('Plan mensual'!G13+IF(parametros_manuales!$H$30="Todos",'Plan mensual'!G17,0))+parametros_manuales!$E$30*('Plan mensual'!G14+IF(parametros_manuales!$H$30="Todos",'Plan mensual'!G18,0))+parametros_manuales!$F$30*('Plan mensual'!G15+IF(parametros_manuales!$H$30="Todos",'Plan mensual'!G19,0))+parametros_manuales!$G$30*('Plan mensual'!G16+IF(parametros_manuales!$H$30="Todos",'Plan mensual'!G20,0)))*parametros_manuales!$I$30*parametros_manuales!$J$30</f>
        <v>860.745056655</v>
      </c>
      <c r="F41" s="14" t="n">
        <f aca="false">(parametros_manuales!$D$30*('Plan mensual'!H13+IF(parametros_manuales!$H$30="Todos",'Plan mensual'!H17,0))+parametros_manuales!$E$30*('Plan mensual'!H14+IF(parametros_manuales!$H$30="Todos",'Plan mensual'!H18,0))+parametros_manuales!$F$30*('Plan mensual'!H15+IF(parametros_manuales!$H$30="Todos",'Plan mensual'!H19,0))+parametros_manuales!$G$30*('Plan mensual'!H16+IF(parametros_manuales!$H$30="Todos",'Plan mensual'!H20,0)))*parametros_manuales!$I$30*parametros_manuales!$J$30</f>
        <v>806.58516863</v>
      </c>
      <c r="G41" s="14" t="n">
        <f aca="false">(parametros_manuales!$D$30*('Plan mensual'!I13+IF(parametros_manuales!$H$30="Todos",'Plan mensual'!I17,0))+parametros_manuales!$E$30*('Plan mensual'!I14+IF(parametros_manuales!$H$30="Todos",'Plan mensual'!I18,0))+parametros_manuales!$F$30*('Plan mensual'!I15+IF(parametros_manuales!$H$30="Todos",'Plan mensual'!I19,0))+parametros_manuales!$G$30*('Plan mensual'!I16+IF(parametros_manuales!$H$30="Todos",'Plan mensual'!I20,0)))*parametros_manuales!$I$30*parametros_manuales!$J$30</f>
        <v>782.41180049</v>
      </c>
      <c r="H41" s="14" t="n">
        <f aca="false">(parametros_manuales!$D$30*('Plan mensual'!J13+IF(parametros_manuales!$H$30="Todos",'Plan mensual'!J17,0))+parametros_manuales!$E$30*('Plan mensual'!J14+IF(parametros_manuales!$H$30="Todos",'Plan mensual'!J18,0))+parametros_manuales!$F$30*('Plan mensual'!J15+IF(parametros_manuales!$H$30="Todos",'Plan mensual'!J19,0))+parametros_manuales!$G$30*('Plan mensual'!J16+IF(parametros_manuales!$H$30="Todos",'Plan mensual'!J20,0)))*parametros_manuales!$I$30*parametros_manuales!$J$30</f>
        <v>836.571688515</v>
      </c>
      <c r="I41" s="14" t="n">
        <f aca="false">(parametros_manuales!$D$30*('Plan mensual'!K13+IF(parametros_manuales!$H$30="Todos",'Plan mensual'!K17,0))+parametros_manuales!$E$30*('Plan mensual'!K14+IF(parametros_manuales!$H$30="Todos",'Plan mensual'!K18,0))+parametros_manuales!$F$30*('Plan mensual'!K15+IF(parametros_manuales!$H$30="Todos",'Plan mensual'!K19,0))+parametros_manuales!$G$30*('Plan mensual'!K16+IF(parametros_manuales!$H$30="Todos",'Plan mensual'!K20,0)))*parametros_manuales!$I$30*parametros_manuales!$J$30</f>
        <v>836.571688515</v>
      </c>
      <c r="J41" s="14" t="n">
        <f aca="false">(parametros_manuales!$D$30*('Plan mensual'!L13+IF(parametros_manuales!$H$30="Todos",'Plan mensual'!L17,0))+parametros_manuales!$E$30*('Plan mensual'!L14+IF(parametros_manuales!$H$30="Todos",'Plan mensual'!L18,0))+parametros_manuales!$F$30*('Plan mensual'!L15+IF(parametros_manuales!$H$30="Todos",'Plan mensual'!L19,0))+parametros_manuales!$G$30*('Plan mensual'!L16+IF(parametros_manuales!$H$30="Todos",'Plan mensual'!L20,0)))*parametros_manuales!$I$30*parametros_manuales!$J$30</f>
        <v>836.571688515</v>
      </c>
      <c r="K41" s="14" t="n">
        <f aca="false">(parametros_manuales!$D$30*('Plan mensual'!M13+IF(parametros_manuales!$H$30="Todos",'Plan mensual'!M17,0))+parametros_manuales!$E$30*('Plan mensual'!M14+IF(parametros_manuales!$H$30="Todos",'Plan mensual'!M18,0))+parametros_manuales!$F$30*('Plan mensual'!M15+IF(parametros_manuales!$H$30="Todos",'Plan mensual'!M19,0))+parametros_manuales!$G$30*('Plan mensual'!M16+IF(parametros_manuales!$H$30="Todos",'Plan mensual'!M20,0)))*parametros_manuales!$I$30*parametros_manuales!$J$30</f>
        <v>812.398320375</v>
      </c>
      <c r="L41" s="14" t="n">
        <f aca="false">(parametros_manuales!$D$30*('Plan mensual'!N13+IF(parametros_manuales!$H$30="Todos",'Plan mensual'!N17,0))+parametros_manuales!$E$30*('Plan mensual'!N14+IF(parametros_manuales!$H$30="Todos",'Plan mensual'!N18,0))+parametros_manuales!$F$30*('Plan mensual'!N15+IF(parametros_manuales!$H$30="Todos",'Plan mensual'!N19,0))+parametros_manuales!$G$30*('Plan mensual'!N16+IF(parametros_manuales!$H$30="Todos",'Plan mensual'!N20,0)))*parametros_manuales!$I$30*parametros_manuales!$J$30</f>
        <v>788.224952235</v>
      </c>
      <c r="M41" s="14" t="n">
        <f aca="false">(parametros_manuales!$D$30*('Plan mensual'!O13+IF(parametros_manuales!$H$30="Todos",'Plan mensual'!O17,0))+parametros_manuales!$E$30*('Plan mensual'!O14+IF(parametros_manuales!$H$30="Todos",'Plan mensual'!O18,0))+parametros_manuales!$F$30*('Plan mensual'!O15+IF(parametros_manuales!$H$30="Todos",'Plan mensual'!O19,0))+parametros_manuales!$G$30*('Plan mensual'!O16+IF(parametros_manuales!$H$30="Todos",'Plan mensual'!O20,0)))*parametros_manuales!$I$30*parametros_manuales!$J$30</f>
        <v>1251.49057632</v>
      </c>
      <c r="N41" s="14" t="n">
        <f aca="false">SUM(B41:M41)</f>
        <v>10831.977605</v>
      </c>
      <c r="O41" s="14" t="n">
        <f aca="false">MAX(B41:M41)</f>
        <v>1251.49057632</v>
      </c>
      <c r="P41" s="57" t="n">
        <f aca="false">O41/(parametros_manuales!$B$7)</f>
        <v>8.3432705088</v>
      </c>
      <c r="Q41" s="13" t="str">
        <f aca="false">IF(O41=0,"-",INDEX($B$29:$M$29,MATCH(O41,B41:M41,0)))</f>
        <v>Dic</v>
      </c>
    </row>
    <row r="42" customFormat="false" ht="14.25" hidden="false" customHeight="true" outlineLevel="0" collapsed="false">
      <c r="A42" s="13" t="str">
        <f aca="false">parametros_manuales!$B$31</f>
        <v>Soldadura circunferencial de cúpula y fondo</v>
      </c>
      <c r="B42" s="14" t="n">
        <f aca="false">(parametros_manuales!$D$31*('Plan mensual'!D13+IF(parametros_manuales!$H$31="Todos",'Plan mensual'!D17,0))+parametros_manuales!$E$31*('Plan mensual'!D14+IF(parametros_manuales!$H$31="Todos",'Plan mensual'!D18,0))+parametros_manuales!$F$31*('Plan mensual'!D15+IF(parametros_manuales!$H$31="Todos",'Plan mensual'!D19,0))+parametros_manuales!$G$31*('Plan mensual'!D16+IF(parametros_manuales!$H$31="Todos",'Plan mensual'!D20,0)))*parametros_manuales!$I$31*parametros_manuales!$J$31</f>
        <v>1203.14384004</v>
      </c>
      <c r="C42" s="14" t="n">
        <f aca="false">(parametros_manuales!$D$31*('Plan mensual'!E13+IF(parametros_manuales!$H$31="Todos",'Plan mensual'!E17,0))+parametros_manuales!$E$31*('Plan mensual'!E14+IF(parametros_manuales!$H$31="Todos",'Plan mensual'!E18,0))+parametros_manuales!$F$31*('Plan mensual'!E15+IF(parametros_manuales!$H$31="Todos",'Plan mensual'!E19,0))+parametros_manuales!$G$31*('Plan mensual'!E16+IF(parametros_manuales!$H$31="Todos",'Plan mensual'!E20,0)))*parametros_manuales!$I$31*parametros_manuales!$J$31</f>
        <v>926.53124817</v>
      </c>
      <c r="D42" s="14" t="n">
        <f aca="false">(parametros_manuales!$D$31*('Plan mensual'!F13+IF(parametros_manuales!$H$31="Todos",'Plan mensual'!F17,0))+parametros_manuales!$E$31*('Plan mensual'!F14+IF(parametros_manuales!$H$31="Todos",'Plan mensual'!F18,0))+parametros_manuales!$F$31*('Plan mensual'!F15+IF(parametros_manuales!$H$31="Todos",'Plan mensual'!F19,0))+parametros_manuales!$G$31*('Plan mensual'!F16+IF(parametros_manuales!$H$31="Todos",'Plan mensual'!F20,0)))*parametros_manuales!$I$31*parametros_manuales!$J$31</f>
        <v>890.73157654</v>
      </c>
      <c r="E42" s="14" t="n">
        <f aca="false">(parametros_manuales!$D$31*('Plan mensual'!G13+IF(parametros_manuales!$H$31="Todos",'Plan mensual'!G17,0))+parametros_manuales!$E$31*('Plan mensual'!G14+IF(parametros_manuales!$H$31="Todos",'Plan mensual'!G18,0))+parametros_manuales!$F$31*('Plan mensual'!G15+IF(parametros_manuales!$H$31="Todos",'Plan mensual'!G19,0))+parametros_manuales!$G$31*('Plan mensual'!G16+IF(parametros_manuales!$H$31="Todos",'Plan mensual'!G20,0)))*parametros_manuales!$I$31*parametros_manuales!$J$31</f>
        <v>860.745056655</v>
      </c>
      <c r="F42" s="14" t="n">
        <f aca="false">(parametros_manuales!$D$31*('Plan mensual'!H13+IF(parametros_manuales!$H$31="Todos",'Plan mensual'!H17,0))+parametros_manuales!$E$31*('Plan mensual'!H14+IF(parametros_manuales!$H$31="Todos",'Plan mensual'!H18,0))+parametros_manuales!$F$31*('Plan mensual'!H15+IF(parametros_manuales!$H$31="Todos",'Plan mensual'!H19,0))+parametros_manuales!$G$31*('Plan mensual'!H16+IF(parametros_manuales!$H$31="Todos",'Plan mensual'!H20,0)))*parametros_manuales!$I$31*parametros_manuales!$J$31</f>
        <v>806.58516863</v>
      </c>
      <c r="G42" s="14" t="n">
        <f aca="false">(parametros_manuales!$D$31*('Plan mensual'!I13+IF(parametros_manuales!$H$31="Todos",'Plan mensual'!I17,0))+parametros_manuales!$E$31*('Plan mensual'!I14+IF(parametros_manuales!$H$31="Todos",'Plan mensual'!I18,0))+parametros_manuales!$F$31*('Plan mensual'!I15+IF(parametros_manuales!$H$31="Todos",'Plan mensual'!I19,0))+parametros_manuales!$G$31*('Plan mensual'!I16+IF(parametros_manuales!$H$31="Todos",'Plan mensual'!I20,0)))*parametros_manuales!$I$31*parametros_manuales!$J$31</f>
        <v>782.41180049</v>
      </c>
      <c r="H42" s="14" t="n">
        <f aca="false">(parametros_manuales!$D$31*('Plan mensual'!J13+IF(parametros_manuales!$H$31="Todos",'Plan mensual'!J17,0))+parametros_manuales!$E$31*('Plan mensual'!J14+IF(parametros_manuales!$H$31="Todos",'Plan mensual'!J18,0))+parametros_manuales!$F$31*('Plan mensual'!J15+IF(parametros_manuales!$H$31="Todos",'Plan mensual'!J19,0))+parametros_manuales!$G$31*('Plan mensual'!J16+IF(parametros_manuales!$H$31="Todos",'Plan mensual'!J20,0)))*parametros_manuales!$I$31*parametros_manuales!$J$31</f>
        <v>836.571688515</v>
      </c>
      <c r="I42" s="14" t="n">
        <f aca="false">(parametros_manuales!$D$31*('Plan mensual'!K13+IF(parametros_manuales!$H$31="Todos",'Plan mensual'!K17,0))+parametros_manuales!$E$31*('Plan mensual'!K14+IF(parametros_manuales!$H$31="Todos",'Plan mensual'!K18,0))+parametros_manuales!$F$31*('Plan mensual'!K15+IF(parametros_manuales!$H$31="Todos",'Plan mensual'!K19,0))+parametros_manuales!$G$31*('Plan mensual'!K16+IF(parametros_manuales!$H$31="Todos",'Plan mensual'!K20,0)))*parametros_manuales!$I$31*parametros_manuales!$J$31</f>
        <v>836.571688515</v>
      </c>
      <c r="J42" s="14" t="n">
        <f aca="false">(parametros_manuales!$D$31*('Plan mensual'!L13+IF(parametros_manuales!$H$31="Todos",'Plan mensual'!L17,0))+parametros_manuales!$E$31*('Plan mensual'!L14+IF(parametros_manuales!$H$31="Todos",'Plan mensual'!L18,0))+parametros_manuales!$F$31*('Plan mensual'!L15+IF(parametros_manuales!$H$31="Todos",'Plan mensual'!L19,0))+parametros_manuales!$G$31*('Plan mensual'!L16+IF(parametros_manuales!$H$31="Todos",'Plan mensual'!L20,0)))*parametros_manuales!$I$31*parametros_manuales!$J$31</f>
        <v>836.571688515</v>
      </c>
      <c r="K42" s="14" t="n">
        <f aca="false">(parametros_manuales!$D$31*('Plan mensual'!M13+IF(parametros_manuales!$H$31="Todos",'Plan mensual'!M17,0))+parametros_manuales!$E$31*('Plan mensual'!M14+IF(parametros_manuales!$H$31="Todos",'Plan mensual'!M18,0))+parametros_manuales!$F$31*('Plan mensual'!M15+IF(parametros_manuales!$H$31="Todos",'Plan mensual'!M19,0))+parametros_manuales!$G$31*('Plan mensual'!M16+IF(parametros_manuales!$H$31="Todos",'Plan mensual'!M20,0)))*parametros_manuales!$I$31*parametros_manuales!$J$31</f>
        <v>812.398320375</v>
      </c>
      <c r="L42" s="14" t="n">
        <f aca="false">(parametros_manuales!$D$31*('Plan mensual'!N13+IF(parametros_manuales!$H$31="Todos",'Plan mensual'!N17,0))+parametros_manuales!$E$31*('Plan mensual'!N14+IF(parametros_manuales!$H$31="Todos",'Plan mensual'!N18,0))+parametros_manuales!$F$31*('Plan mensual'!N15+IF(parametros_manuales!$H$31="Todos",'Plan mensual'!N19,0))+parametros_manuales!$G$31*('Plan mensual'!N16+IF(parametros_manuales!$H$31="Todos",'Plan mensual'!N20,0)))*parametros_manuales!$I$31*parametros_manuales!$J$31</f>
        <v>788.224952235</v>
      </c>
      <c r="M42" s="14" t="n">
        <f aca="false">(parametros_manuales!$D$31*('Plan mensual'!O13+IF(parametros_manuales!$H$31="Todos",'Plan mensual'!O17,0))+parametros_manuales!$E$31*('Plan mensual'!O14+IF(parametros_manuales!$H$31="Todos",'Plan mensual'!O18,0))+parametros_manuales!$F$31*('Plan mensual'!O15+IF(parametros_manuales!$H$31="Todos",'Plan mensual'!O19,0))+parametros_manuales!$G$31*('Plan mensual'!O16+IF(parametros_manuales!$H$31="Todos",'Plan mensual'!O20,0)))*parametros_manuales!$I$31*parametros_manuales!$J$31</f>
        <v>1251.49057632</v>
      </c>
      <c r="N42" s="14" t="n">
        <f aca="false">SUM(B42:M42)</f>
        <v>10831.977605</v>
      </c>
      <c r="O42" s="14" t="n">
        <f aca="false">MAX(B42:M42)</f>
        <v>1251.49057632</v>
      </c>
      <c r="P42" s="57" t="n">
        <f aca="false">O42/(parametros_manuales!$B$7)</f>
        <v>8.3432705088</v>
      </c>
      <c r="Q42" s="13" t="str">
        <f aca="false">IF(O42=0,"-",INDEX($B$29:$M$29,MATCH(O42,B42:M42,0)))</f>
        <v>Dic</v>
      </c>
    </row>
    <row r="43" customFormat="false" ht="14.25" hidden="false" customHeight="true" outlineLevel="0" collapsed="false">
      <c r="A43" s="13" t="str">
        <f aca="false">parametros_manuales!$B$32</f>
        <v>Control de calidad — Espesor</v>
      </c>
      <c r="B43" s="14" t="n">
        <f aca="false">(parametros_manuales!$D$32*('Plan mensual'!D13+IF(parametros_manuales!$H$32="Todos",'Plan mensual'!D17,0))+parametros_manuales!$E$32*('Plan mensual'!D14+IF(parametros_manuales!$H$32="Todos",'Plan mensual'!D18,0))+parametros_manuales!$F$32*('Plan mensual'!D15+IF(parametros_manuales!$H$32="Todos",'Plan mensual'!D19,0))+parametros_manuales!$G$32*('Plan mensual'!D16+IF(parametros_manuales!$H$32="Todos",'Plan mensual'!D20,0)))*parametros_manuales!$I$32*parametros_manuales!$J$32</f>
        <v>24.0628768008</v>
      </c>
      <c r="C43" s="14" t="n">
        <f aca="false">(parametros_manuales!$D$32*('Plan mensual'!E13+IF(parametros_manuales!$H$32="Todos",'Plan mensual'!E17,0))+parametros_manuales!$E$32*('Plan mensual'!E14+IF(parametros_manuales!$H$32="Todos",'Plan mensual'!E18,0))+parametros_manuales!$F$32*('Plan mensual'!E15+IF(parametros_manuales!$H$32="Todos",'Plan mensual'!E19,0))+parametros_manuales!$G$32*('Plan mensual'!E16+IF(parametros_manuales!$H$32="Todos",'Plan mensual'!E20,0)))*parametros_manuales!$I$32*parametros_manuales!$J$32</f>
        <v>18.5306249634</v>
      </c>
      <c r="D43" s="14" t="n">
        <f aca="false">(parametros_manuales!$D$32*('Plan mensual'!F13+IF(parametros_manuales!$H$32="Todos",'Plan mensual'!F17,0))+parametros_manuales!$E$32*('Plan mensual'!F14+IF(parametros_manuales!$H$32="Todos",'Plan mensual'!F18,0))+parametros_manuales!$F$32*('Plan mensual'!F15+IF(parametros_manuales!$H$32="Todos",'Plan mensual'!F19,0))+parametros_manuales!$G$32*('Plan mensual'!F16+IF(parametros_manuales!$H$32="Todos",'Plan mensual'!F20,0)))*parametros_manuales!$I$32*parametros_manuales!$J$32</f>
        <v>17.8146315308</v>
      </c>
      <c r="E43" s="14" t="n">
        <f aca="false">(parametros_manuales!$D$32*('Plan mensual'!G13+IF(parametros_manuales!$H$32="Todos",'Plan mensual'!G17,0))+parametros_manuales!$E$32*('Plan mensual'!G14+IF(parametros_manuales!$H$32="Todos",'Plan mensual'!G18,0))+parametros_manuales!$F$32*('Plan mensual'!G15+IF(parametros_manuales!$H$32="Todos",'Plan mensual'!G19,0))+parametros_manuales!$G$32*('Plan mensual'!G16+IF(parametros_manuales!$H$32="Todos",'Plan mensual'!G20,0)))*parametros_manuales!$I$32*parametros_manuales!$J$32</f>
        <v>17.2149011331</v>
      </c>
      <c r="F43" s="14" t="n">
        <f aca="false">(parametros_manuales!$D$32*('Plan mensual'!H13+IF(parametros_manuales!$H$32="Todos",'Plan mensual'!H17,0))+parametros_manuales!$E$32*('Plan mensual'!H14+IF(parametros_manuales!$H$32="Todos",'Plan mensual'!H18,0))+parametros_manuales!$F$32*('Plan mensual'!H15+IF(parametros_manuales!$H$32="Todos",'Plan mensual'!H19,0))+parametros_manuales!$G$32*('Plan mensual'!H16+IF(parametros_manuales!$H$32="Todos",'Plan mensual'!H20,0)))*parametros_manuales!$I$32*parametros_manuales!$J$32</f>
        <v>16.1317033726</v>
      </c>
      <c r="G43" s="14" t="n">
        <f aca="false">(parametros_manuales!$D$32*('Plan mensual'!I13+IF(parametros_manuales!$H$32="Todos",'Plan mensual'!I17,0))+parametros_manuales!$E$32*('Plan mensual'!I14+IF(parametros_manuales!$H$32="Todos",'Plan mensual'!I18,0))+parametros_manuales!$F$32*('Plan mensual'!I15+IF(parametros_manuales!$H$32="Todos",'Plan mensual'!I19,0))+parametros_manuales!$G$32*('Plan mensual'!I16+IF(parametros_manuales!$H$32="Todos",'Plan mensual'!I20,0)))*parametros_manuales!$I$32*parametros_manuales!$J$32</f>
        <v>15.6482360098</v>
      </c>
      <c r="H43" s="14" t="n">
        <f aca="false">(parametros_manuales!$D$32*('Plan mensual'!J13+IF(parametros_manuales!$H$32="Todos",'Plan mensual'!J17,0))+parametros_manuales!$E$32*('Plan mensual'!J14+IF(parametros_manuales!$H$32="Todos",'Plan mensual'!J18,0))+parametros_manuales!$F$32*('Plan mensual'!J15+IF(parametros_manuales!$H$32="Todos",'Plan mensual'!J19,0))+parametros_manuales!$G$32*('Plan mensual'!J16+IF(parametros_manuales!$H$32="Todos",'Plan mensual'!J20,0)))*parametros_manuales!$I$32*parametros_manuales!$J$32</f>
        <v>16.7314337703</v>
      </c>
      <c r="I43" s="14" t="n">
        <f aca="false">(parametros_manuales!$D$32*('Plan mensual'!K13+IF(parametros_manuales!$H$32="Todos",'Plan mensual'!K17,0))+parametros_manuales!$E$32*('Plan mensual'!K14+IF(parametros_manuales!$H$32="Todos",'Plan mensual'!K18,0))+parametros_manuales!$F$32*('Plan mensual'!K15+IF(parametros_manuales!$H$32="Todos",'Plan mensual'!K19,0))+parametros_manuales!$G$32*('Plan mensual'!K16+IF(parametros_manuales!$H$32="Todos",'Plan mensual'!K20,0)))*parametros_manuales!$I$32*parametros_manuales!$J$32</f>
        <v>16.7314337703</v>
      </c>
      <c r="J43" s="14" t="n">
        <f aca="false">(parametros_manuales!$D$32*('Plan mensual'!L13+IF(parametros_manuales!$H$32="Todos",'Plan mensual'!L17,0))+parametros_manuales!$E$32*('Plan mensual'!L14+IF(parametros_manuales!$H$32="Todos",'Plan mensual'!L18,0))+parametros_manuales!$F$32*('Plan mensual'!L15+IF(parametros_manuales!$H$32="Todos",'Plan mensual'!L19,0))+parametros_manuales!$G$32*('Plan mensual'!L16+IF(parametros_manuales!$H$32="Todos",'Plan mensual'!L20,0)))*parametros_manuales!$I$32*parametros_manuales!$J$32</f>
        <v>16.7314337703</v>
      </c>
      <c r="K43" s="14" t="n">
        <f aca="false">(parametros_manuales!$D$32*('Plan mensual'!M13+IF(parametros_manuales!$H$32="Todos",'Plan mensual'!M17,0))+parametros_manuales!$E$32*('Plan mensual'!M14+IF(parametros_manuales!$H$32="Todos",'Plan mensual'!M18,0))+parametros_manuales!$F$32*('Plan mensual'!M15+IF(parametros_manuales!$H$32="Todos",'Plan mensual'!M19,0))+parametros_manuales!$G$32*('Plan mensual'!M16+IF(parametros_manuales!$H$32="Todos",'Plan mensual'!M20,0)))*parametros_manuales!$I$32*parametros_manuales!$J$32</f>
        <v>16.2479664075</v>
      </c>
      <c r="L43" s="14" t="n">
        <f aca="false">(parametros_manuales!$D$32*('Plan mensual'!N13+IF(parametros_manuales!$H$32="Todos",'Plan mensual'!N17,0))+parametros_manuales!$E$32*('Plan mensual'!N14+IF(parametros_manuales!$H$32="Todos",'Plan mensual'!N18,0))+parametros_manuales!$F$32*('Plan mensual'!N15+IF(parametros_manuales!$H$32="Todos",'Plan mensual'!N19,0))+parametros_manuales!$G$32*('Plan mensual'!N16+IF(parametros_manuales!$H$32="Todos",'Plan mensual'!N20,0)))*parametros_manuales!$I$32*parametros_manuales!$J$32</f>
        <v>15.7644990447</v>
      </c>
      <c r="M43" s="14" t="n">
        <f aca="false">(parametros_manuales!$D$32*('Plan mensual'!O13+IF(parametros_manuales!$H$32="Todos",'Plan mensual'!O17,0))+parametros_manuales!$E$32*('Plan mensual'!O14+IF(parametros_manuales!$H$32="Todos",'Plan mensual'!O18,0))+parametros_manuales!$F$32*('Plan mensual'!O15+IF(parametros_manuales!$H$32="Todos",'Plan mensual'!O19,0))+parametros_manuales!$G$32*('Plan mensual'!O16+IF(parametros_manuales!$H$32="Todos",'Plan mensual'!O20,0)))*parametros_manuales!$I$32*parametros_manuales!$J$32</f>
        <v>25.0298115264</v>
      </c>
      <c r="N43" s="14" t="n">
        <f aca="false">SUM(B43:M43)</f>
        <v>216.6395521</v>
      </c>
      <c r="O43" s="14" t="n">
        <f aca="false">MAX(B43:M43)</f>
        <v>25.0298115264</v>
      </c>
      <c r="P43" s="57" t="n">
        <f aca="false">O43/(parametros_manuales!$B$7)</f>
        <v>0.166865410176</v>
      </c>
      <c r="Q43" s="13" t="str">
        <f aca="false">IF(O43=0,"-",INDEX($B$29:$M$29,MATCH(O43,B43:M43,0)))</f>
        <v>Dic</v>
      </c>
    </row>
    <row r="44" customFormat="false" ht="14.25" hidden="false" customHeight="true" outlineLevel="0" collapsed="false">
      <c r="A44" s="13" t="str">
        <f aca="false">parametros_manuales!$B$33</f>
        <v>Prueba hidráulica</v>
      </c>
      <c r="B44" s="14" t="n">
        <f aca="false">(parametros_manuales!$D$33*('Plan mensual'!D13+IF(parametros_manuales!$H$33="Todos",'Plan mensual'!D17,0))+parametros_manuales!$E$33*('Plan mensual'!D14+IF(parametros_manuales!$H$33="Todos",'Plan mensual'!D18,0))+parametros_manuales!$F$33*('Plan mensual'!D15+IF(parametros_manuales!$H$33="Todos",'Plan mensual'!D19,0))+parametros_manuales!$G$33*('Plan mensual'!D16+IF(parametros_manuales!$H$33="Todos",'Plan mensual'!D20,0)))*parametros_manuales!$I$33*parametros_manuales!$J$33</f>
        <v>1203.14384004</v>
      </c>
      <c r="C44" s="14" t="n">
        <f aca="false">(parametros_manuales!$D$33*('Plan mensual'!E13+IF(parametros_manuales!$H$33="Todos",'Plan mensual'!E17,0))+parametros_manuales!$E$33*('Plan mensual'!E14+IF(parametros_manuales!$H$33="Todos",'Plan mensual'!E18,0))+parametros_manuales!$F$33*('Plan mensual'!E15+IF(parametros_manuales!$H$33="Todos",'Plan mensual'!E19,0))+parametros_manuales!$G$33*('Plan mensual'!E16+IF(parametros_manuales!$H$33="Todos",'Plan mensual'!E20,0)))*parametros_manuales!$I$33*parametros_manuales!$J$33</f>
        <v>926.53124817</v>
      </c>
      <c r="D44" s="14" t="n">
        <f aca="false">(parametros_manuales!$D$33*('Plan mensual'!F13+IF(parametros_manuales!$H$33="Todos",'Plan mensual'!F17,0))+parametros_manuales!$E$33*('Plan mensual'!F14+IF(parametros_manuales!$H$33="Todos",'Plan mensual'!F18,0))+parametros_manuales!$F$33*('Plan mensual'!F15+IF(parametros_manuales!$H$33="Todos",'Plan mensual'!F19,0))+parametros_manuales!$G$33*('Plan mensual'!F16+IF(parametros_manuales!$H$33="Todos",'Plan mensual'!F20,0)))*parametros_manuales!$I$33*parametros_manuales!$J$33</f>
        <v>890.73157654</v>
      </c>
      <c r="E44" s="14" t="n">
        <f aca="false">(parametros_manuales!$D$33*('Plan mensual'!G13+IF(parametros_manuales!$H$33="Todos",'Plan mensual'!G17,0))+parametros_manuales!$E$33*('Plan mensual'!G14+IF(parametros_manuales!$H$33="Todos",'Plan mensual'!G18,0))+parametros_manuales!$F$33*('Plan mensual'!G15+IF(parametros_manuales!$H$33="Todos",'Plan mensual'!G19,0))+parametros_manuales!$G$33*('Plan mensual'!G16+IF(parametros_manuales!$H$33="Todos",'Plan mensual'!G20,0)))*parametros_manuales!$I$33*parametros_manuales!$J$33</f>
        <v>860.745056655</v>
      </c>
      <c r="F44" s="14" t="n">
        <f aca="false">(parametros_manuales!$D$33*('Plan mensual'!H13+IF(parametros_manuales!$H$33="Todos",'Plan mensual'!H17,0))+parametros_manuales!$E$33*('Plan mensual'!H14+IF(parametros_manuales!$H$33="Todos",'Plan mensual'!H18,0))+parametros_manuales!$F$33*('Plan mensual'!H15+IF(parametros_manuales!$H$33="Todos",'Plan mensual'!H19,0))+parametros_manuales!$G$33*('Plan mensual'!H16+IF(parametros_manuales!$H$33="Todos",'Plan mensual'!H20,0)))*parametros_manuales!$I$33*parametros_manuales!$J$33</f>
        <v>806.58516863</v>
      </c>
      <c r="G44" s="14" t="n">
        <f aca="false">(parametros_manuales!$D$33*('Plan mensual'!I13+IF(parametros_manuales!$H$33="Todos",'Plan mensual'!I17,0))+parametros_manuales!$E$33*('Plan mensual'!I14+IF(parametros_manuales!$H$33="Todos",'Plan mensual'!I18,0))+parametros_manuales!$F$33*('Plan mensual'!I15+IF(parametros_manuales!$H$33="Todos",'Plan mensual'!I19,0))+parametros_manuales!$G$33*('Plan mensual'!I16+IF(parametros_manuales!$H$33="Todos",'Plan mensual'!I20,0)))*parametros_manuales!$I$33*parametros_manuales!$J$33</f>
        <v>782.41180049</v>
      </c>
      <c r="H44" s="14" t="n">
        <f aca="false">(parametros_manuales!$D$33*('Plan mensual'!J13+IF(parametros_manuales!$H$33="Todos",'Plan mensual'!J17,0))+parametros_manuales!$E$33*('Plan mensual'!J14+IF(parametros_manuales!$H$33="Todos",'Plan mensual'!J18,0))+parametros_manuales!$F$33*('Plan mensual'!J15+IF(parametros_manuales!$H$33="Todos",'Plan mensual'!J19,0))+parametros_manuales!$G$33*('Plan mensual'!J16+IF(parametros_manuales!$H$33="Todos",'Plan mensual'!J20,0)))*parametros_manuales!$I$33*parametros_manuales!$J$33</f>
        <v>836.571688515</v>
      </c>
      <c r="I44" s="14" t="n">
        <f aca="false">(parametros_manuales!$D$33*('Plan mensual'!K13+IF(parametros_manuales!$H$33="Todos",'Plan mensual'!K17,0))+parametros_manuales!$E$33*('Plan mensual'!K14+IF(parametros_manuales!$H$33="Todos",'Plan mensual'!K18,0))+parametros_manuales!$F$33*('Plan mensual'!K15+IF(parametros_manuales!$H$33="Todos",'Plan mensual'!K19,0))+parametros_manuales!$G$33*('Plan mensual'!K16+IF(parametros_manuales!$H$33="Todos",'Plan mensual'!K20,0)))*parametros_manuales!$I$33*parametros_manuales!$J$33</f>
        <v>836.571688515</v>
      </c>
      <c r="J44" s="14" t="n">
        <f aca="false">(parametros_manuales!$D$33*('Plan mensual'!L13+IF(parametros_manuales!$H$33="Todos",'Plan mensual'!L17,0))+parametros_manuales!$E$33*('Plan mensual'!L14+IF(parametros_manuales!$H$33="Todos",'Plan mensual'!L18,0))+parametros_manuales!$F$33*('Plan mensual'!L15+IF(parametros_manuales!$H$33="Todos",'Plan mensual'!L19,0))+parametros_manuales!$G$33*('Plan mensual'!L16+IF(parametros_manuales!$H$33="Todos",'Plan mensual'!L20,0)))*parametros_manuales!$I$33*parametros_manuales!$J$33</f>
        <v>836.571688515</v>
      </c>
      <c r="K44" s="14" t="n">
        <f aca="false">(parametros_manuales!$D$33*('Plan mensual'!M13+IF(parametros_manuales!$H$33="Todos",'Plan mensual'!M17,0))+parametros_manuales!$E$33*('Plan mensual'!M14+IF(parametros_manuales!$H$33="Todos",'Plan mensual'!M18,0))+parametros_manuales!$F$33*('Plan mensual'!M15+IF(parametros_manuales!$H$33="Todos",'Plan mensual'!M19,0))+parametros_manuales!$G$33*('Plan mensual'!M16+IF(parametros_manuales!$H$33="Todos",'Plan mensual'!M20,0)))*parametros_manuales!$I$33*parametros_manuales!$J$33</f>
        <v>812.398320375</v>
      </c>
      <c r="L44" s="14" t="n">
        <f aca="false">(parametros_manuales!$D$33*('Plan mensual'!N13+IF(parametros_manuales!$H$33="Todos",'Plan mensual'!N17,0))+parametros_manuales!$E$33*('Plan mensual'!N14+IF(parametros_manuales!$H$33="Todos",'Plan mensual'!N18,0))+parametros_manuales!$F$33*('Plan mensual'!N15+IF(parametros_manuales!$H$33="Todos",'Plan mensual'!N19,0))+parametros_manuales!$G$33*('Plan mensual'!N16+IF(parametros_manuales!$H$33="Todos",'Plan mensual'!N20,0)))*parametros_manuales!$I$33*parametros_manuales!$J$33</f>
        <v>788.224952235</v>
      </c>
      <c r="M44" s="14" t="n">
        <f aca="false">(parametros_manuales!$D$33*('Plan mensual'!O13+IF(parametros_manuales!$H$33="Todos",'Plan mensual'!O17,0))+parametros_manuales!$E$33*('Plan mensual'!O14+IF(parametros_manuales!$H$33="Todos",'Plan mensual'!O18,0))+parametros_manuales!$F$33*('Plan mensual'!O15+IF(parametros_manuales!$H$33="Todos",'Plan mensual'!O19,0))+parametros_manuales!$G$33*('Plan mensual'!O16+IF(parametros_manuales!$H$33="Todos",'Plan mensual'!O20,0)))*parametros_manuales!$I$33*parametros_manuales!$J$33</f>
        <v>1251.49057632</v>
      </c>
      <c r="N44" s="14" t="n">
        <f aca="false">SUM(B44:M44)</f>
        <v>10831.977605</v>
      </c>
      <c r="O44" s="14" t="n">
        <f aca="false">MAX(B44:M44)</f>
        <v>1251.49057632</v>
      </c>
      <c r="P44" s="57" t="n">
        <f aca="false">O44/(parametros_manuales!$B$7)</f>
        <v>8.3432705088</v>
      </c>
      <c r="Q44" s="13" t="str">
        <f aca="false">IF(O44=0,"-",INDEX($B$29:$M$29,MATCH(O44,B44:M44,0)))</f>
        <v>Dic</v>
      </c>
    </row>
    <row r="45" customFormat="false" ht="14.25" hidden="false" customHeight="true" outlineLevel="0" collapsed="false">
      <c r="A45" s="13" t="str">
        <f aca="false">parametros_manuales!$B$34</f>
        <v>Secado</v>
      </c>
      <c r="B45" s="14" t="n">
        <f aca="false">(parametros_manuales!$D$34*('Plan mensual'!D13+IF(parametros_manuales!$H$34="Todos",'Plan mensual'!D17,0))+parametros_manuales!$E$34*('Plan mensual'!D14+IF(parametros_manuales!$H$34="Todos",'Plan mensual'!D18,0))+parametros_manuales!$F$34*('Plan mensual'!D15+IF(parametros_manuales!$H$34="Todos",'Plan mensual'!D19,0))+parametros_manuales!$G$34*('Plan mensual'!D16+IF(parametros_manuales!$H$34="Todos",'Plan mensual'!D20,0)))*parametros_manuales!$I$34*parametros_manuales!$J$34</f>
        <v>1203.14384004</v>
      </c>
      <c r="C45" s="14" t="n">
        <f aca="false">(parametros_manuales!$D$34*('Plan mensual'!E13+IF(parametros_manuales!$H$34="Todos",'Plan mensual'!E17,0))+parametros_manuales!$E$34*('Plan mensual'!E14+IF(parametros_manuales!$H$34="Todos",'Plan mensual'!E18,0))+parametros_manuales!$F$34*('Plan mensual'!E15+IF(parametros_manuales!$H$34="Todos",'Plan mensual'!E19,0))+parametros_manuales!$G$34*('Plan mensual'!E16+IF(parametros_manuales!$H$34="Todos",'Plan mensual'!E20,0)))*parametros_manuales!$I$34*parametros_manuales!$J$34</f>
        <v>926.53124817</v>
      </c>
      <c r="D45" s="14" t="n">
        <f aca="false">(parametros_manuales!$D$34*('Plan mensual'!F13+IF(parametros_manuales!$H$34="Todos",'Plan mensual'!F17,0))+parametros_manuales!$E$34*('Plan mensual'!F14+IF(parametros_manuales!$H$34="Todos",'Plan mensual'!F18,0))+parametros_manuales!$F$34*('Plan mensual'!F15+IF(parametros_manuales!$H$34="Todos",'Plan mensual'!F19,0))+parametros_manuales!$G$34*('Plan mensual'!F16+IF(parametros_manuales!$H$34="Todos",'Plan mensual'!F20,0)))*parametros_manuales!$I$34*parametros_manuales!$J$34</f>
        <v>890.73157654</v>
      </c>
      <c r="E45" s="14" t="n">
        <f aca="false">(parametros_manuales!$D$34*('Plan mensual'!G13+IF(parametros_manuales!$H$34="Todos",'Plan mensual'!G17,0))+parametros_manuales!$E$34*('Plan mensual'!G14+IF(parametros_manuales!$H$34="Todos",'Plan mensual'!G18,0))+parametros_manuales!$F$34*('Plan mensual'!G15+IF(parametros_manuales!$H$34="Todos",'Plan mensual'!G19,0))+parametros_manuales!$G$34*('Plan mensual'!G16+IF(parametros_manuales!$H$34="Todos",'Plan mensual'!G20,0)))*parametros_manuales!$I$34*parametros_manuales!$J$34</f>
        <v>860.745056655</v>
      </c>
      <c r="F45" s="14" t="n">
        <f aca="false">(parametros_manuales!$D$34*('Plan mensual'!H13+IF(parametros_manuales!$H$34="Todos",'Plan mensual'!H17,0))+parametros_manuales!$E$34*('Plan mensual'!H14+IF(parametros_manuales!$H$34="Todos",'Plan mensual'!H18,0))+parametros_manuales!$F$34*('Plan mensual'!H15+IF(parametros_manuales!$H$34="Todos",'Plan mensual'!H19,0))+parametros_manuales!$G$34*('Plan mensual'!H16+IF(parametros_manuales!$H$34="Todos",'Plan mensual'!H20,0)))*parametros_manuales!$I$34*parametros_manuales!$J$34</f>
        <v>806.58516863</v>
      </c>
      <c r="G45" s="14" t="n">
        <f aca="false">(parametros_manuales!$D$34*('Plan mensual'!I13+IF(parametros_manuales!$H$34="Todos",'Plan mensual'!I17,0))+parametros_manuales!$E$34*('Plan mensual'!I14+IF(parametros_manuales!$H$34="Todos",'Plan mensual'!I18,0))+parametros_manuales!$F$34*('Plan mensual'!I15+IF(parametros_manuales!$H$34="Todos",'Plan mensual'!I19,0))+parametros_manuales!$G$34*('Plan mensual'!I16+IF(parametros_manuales!$H$34="Todos",'Plan mensual'!I20,0)))*parametros_manuales!$I$34*parametros_manuales!$J$34</f>
        <v>782.41180049</v>
      </c>
      <c r="H45" s="14" t="n">
        <f aca="false">(parametros_manuales!$D$34*('Plan mensual'!J13+IF(parametros_manuales!$H$34="Todos",'Plan mensual'!J17,0))+parametros_manuales!$E$34*('Plan mensual'!J14+IF(parametros_manuales!$H$34="Todos",'Plan mensual'!J18,0))+parametros_manuales!$F$34*('Plan mensual'!J15+IF(parametros_manuales!$H$34="Todos",'Plan mensual'!J19,0))+parametros_manuales!$G$34*('Plan mensual'!J16+IF(parametros_manuales!$H$34="Todos",'Plan mensual'!J20,0)))*parametros_manuales!$I$34*parametros_manuales!$J$34</f>
        <v>836.571688515</v>
      </c>
      <c r="I45" s="14" t="n">
        <f aca="false">(parametros_manuales!$D$34*('Plan mensual'!K13+IF(parametros_manuales!$H$34="Todos",'Plan mensual'!K17,0))+parametros_manuales!$E$34*('Plan mensual'!K14+IF(parametros_manuales!$H$34="Todos",'Plan mensual'!K18,0))+parametros_manuales!$F$34*('Plan mensual'!K15+IF(parametros_manuales!$H$34="Todos",'Plan mensual'!K19,0))+parametros_manuales!$G$34*('Plan mensual'!K16+IF(parametros_manuales!$H$34="Todos",'Plan mensual'!K20,0)))*parametros_manuales!$I$34*parametros_manuales!$J$34</f>
        <v>836.571688515</v>
      </c>
      <c r="J45" s="14" t="n">
        <f aca="false">(parametros_manuales!$D$34*('Plan mensual'!L13+IF(parametros_manuales!$H$34="Todos",'Plan mensual'!L17,0))+parametros_manuales!$E$34*('Plan mensual'!L14+IF(parametros_manuales!$H$34="Todos",'Plan mensual'!L18,0))+parametros_manuales!$F$34*('Plan mensual'!L15+IF(parametros_manuales!$H$34="Todos",'Plan mensual'!L19,0))+parametros_manuales!$G$34*('Plan mensual'!L16+IF(parametros_manuales!$H$34="Todos",'Plan mensual'!L20,0)))*parametros_manuales!$I$34*parametros_manuales!$J$34</f>
        <v>836.571688515</v>
      </c>
      <c r="K45" s="14" t="n">
        <f aca="false">(parametros_manuales!$D$34*('Plan mensual'!M13+IF(parametros_manuales!$H$34="Todos",'Plan mensual'!M17,0))+parametros_manuales!$E$34*('Plan mensual'!M14+IF(parametros_manuales!$H$34="Todos",'Plan mensual'!M18,0))+parametros_manuales!$F$34*('Plan mensual'!M15+IF(parametros_manuales!$H$34="Todos",'Plan mensual'!M19,0))+parametros_manuales!$G$34*('Plan mensual'!M16+IF(parametros_manuales!$H$34="Todos",'Plan mensual'!M20,0)))*parametros_manuales!$I$34*parametros_manuales!$J$34</f>
        <v>812.398320375</v>
      </c>
      <c r="L45" s="14" t="n">
        <f aca="false">(parametros_manuales!$D$34*('Plan mensual'!N13+IF(parametros_manuales!$H$34="Todos",'Plan mensual'!N17,0))+parametros_manuales!$E$34*('Plan mensual'!N14+IF(parametros_manuales!$H$34="Todos",'Plan mensual'!N18,0))+parametros_manuales!$F$34*('Plan mensual'!N15+IF(parametros_manuales!$H$34="Todos",'Plan mensual'!N19,0))+parametros_manuales!$G$34*('Plan mensual'!N16+IF(parametros_manuales!$H$34="Todos",'Plan mensual'!N20,0)))*parametros_manuales!$I$34*parametros_manuales!$J$34</f>
        <v>788.224952235</v>
      </c>
      <c r="M45" s="14" t="n">
        <f aca="false">(parametros_manuales!$D$34*('Plan mensual'!O13+IF(parametros_manuales!$H$34="Todos",'Plan mensual'!O17,0))+parametros_manuales!$E$34*('Plan mensual'!O14+IF(parametros_manuales!$H$34="Todos",'Plan mensual'!O18,0))+parametros_manuales!$F$34*('Plan mensual'!O15+IF(parametros_manuales!$H$34="Todos",'Plan mensual'!O19,0))+parametros_manuales!$G$34*('Plan mensual'!O16+IF(parametros_manuales!$H$34="Todos",'Plan mensual'!O20,0)))*parametros_manuales!$I$34*parametros_manuales!$J$34</f>
        <v>1251.49057632</v>
      </c>
      <c r="N45" s="14" t="n">
        <f aca="false">SUM(B45:M45)</f>
        <v>10831.977605</v>
      </c>
      <c r="O45" s="14" t="n">
        <f aca="false">MAX(B45:M45)</f>
        <v>1251.49057632</v>
      </c>
      <c r="P45" s="57" t="n">
        <f aca="false">O45/(parametros_manuales!$B$7)</f>
        <v>8.3432705088</v>
      </c>
      <c r="Q45" s="13" t="str">
        <f aca="false">IF(O45=0,"-",INDEX($B$29:$M$29,MATCH(O45,B45:M45,0)))</f>
        <v>Dic</v>
      </c>
    </row>
    <row r="46" customFormat="false" ht="14.25" hidden="false" customHeight="true" outlineLevel="0" collapsed="false">
      <c r="A46" s="13" t="str">
        <f aca="false">parametros_manuales!$B$35</f>
        <v>Granallado</v>
      </c>
      <c r="B46" s="14" t="n">
        <f aca="false">(parametros_manuales!$D$35*('Plan mensual'!D13+IF(parametros_manuales!$H$35="Todos",'Plan mensual'!D17,0))+parametros_manuales!$E$35*('Plan mensual'!D14+IF(parametros_manuales!$H$35="Todos",'Plan mensual'!D18,0))+parametros_manuales!$F$35*('Plan mensual'!D15+IF(parametros_manuales!$H$35="Todos",'Plan mensual'!D19,0))+parametros_manuales!$G$35*('Plan mensual'!D16+IF(parametros_manuales!$H$35="Todos",'Plan mensual'!D20,0)))*parametros_manuales!$I$35*parametros_manuales!$J$35</f>
        <v>1203.14384004</v>
      </c>
      <c r="C46" s="14" t="n">
        <f aca="false">(parametros_manuales!$D$35*('Plan mensual'!E13+IF(parametros_manuales!$H$35="Todos",'Plan mensual'!E17,0))+parametros_manuales!$E$35*('Plan mensual'!E14+IF(parametros_manuales!$H$35="Todos",'Plan mensual'!E18,0))+parametros_manuales!$F$35*('Plan mensual'!E15+IF(parametros_manuales!$H$35="Todos",'Plan mensual'!E19,0))+parametros_manuales!$G$35*('Plan mensual'!E16+IF(parametros_manuales!$H$35="Todos",'Plan mensual'!E20,0)))*parametros_manuales!$I$35*parametros_manuales!$J$35</f>
        <v>926.53124817</v>
      </c>
      <c r="D46" s="14" t="n">
        <f aca="false">(parametros_manuales!$D$35*('Plan mensual'!F13+IF(parametros_manuales!$H$35="Todos",'Plan mensual'!F17,0))+parametros_manuales!$E$35*('Plan mensual'!F14+IF(parametros_manuales!$H$35="Todos",'Plan mensual'!F18,0))+parametros_manuales!$F$35*('Plan mensual'!F15+IF(parametros_manuales!$H$35="Todos",'Plan mensual'!F19,0))+parametros_manuales!$G$35*('Plan mensual'!F16+IF(parametros_manuales!$H$35="Todos",'Plan mensual'!F20,0)))*parametros_manuales!$I$35*parametros_manuales!$J$35</f>
        <v>890.73157654</v>
      </c>
      <c r="E46" s="14" t="n">
        <f aca="false">(parametros_manuales!$D$35*('Plan mensual'!G13+IF(parametros_manuales!$H$35="Todos",'Plan mensual'!G17,0))+parametros_manuales!$E$35*('Plan mensual'!G14+IF(parametros_manuales!$H$35="Todos",'Plan mensual'!G18,0))+parametros_manuales!$F$35*('Plan mensual'!G15+IF(parametros_manuales!$H$35="Todos",'Plan mensual'!G19,0))+parametros_manuales!$G$35*('Plan mensual'!G16+IF(parametros_manuales!$H$35="Todos",'Plan mensual'!G20,0)))*parametros_manuales!$I$35*parametros_manuales!$J$35</f>
        <v>860.745056655</v>
      </c>
      <c r="F46" s="14" t="n">
        <f aca="false">(parametros_manuales!$D$35*('Plan mensual'!H13+IF(parametros_manuales!$H$35="Todos",'Plan mensual'!H17,0))+parametros_manuales!$E$35*('Plan mensual'!H14+IF(parametros_manuales!$H$35="Todos",'Plan mensual'!H18,0))+parametros_manuales!$F$35*('Plan mensual'!H15+IF(parametros_manuales!$H$35="Todos",'Plan mensual'!H19,0))+parametros_manuales!$G$35*('Plan mensual'!H16+IF(parametros_manuales!$H$35="Todos",'Plan mensual'!H20,0)))*parametros_manuales!$I$35*parametros_manuales!$J$35</f>
        <v>806.58516863</v>
      </c>
      <c r="G46" s="14" t="n">
        <f aca="false">(parametros_manuales!$D$35*('Plan mensual'!I13+IF(parametros_manuales!$H$35="Todos",'Plan mensual'!I17,0))+parametros_manuales!$E$35*('Plan mensual'!I14+IF(parametros_manuales!$H$35="Todos",'Plan mensual'!I18,0))+parametros_manuales!$F$35*('Plan mensual'!I15+IF(parametros_manuales!$H$35="Todos",'Plan mensual'!I19,0))+parametros_manuales!$G$35*('Plan mensual'!I16+IF(parametros_manuales!$H$35="Todos",'Plan mensual'!I20,0)))*parametros_manuales!$I$35*parametros_manuales!$J$35</f>
        <v>782.41180049</v>
      </c>
      <c r="H46" s="14" t="n">
        <f aca="false">(parametros_manuales!$D$35*('Plan mensual'!J13+IF(parametros_manuales!$H$35="Todos",'Plan mensual'!J17,0))+parametros_manuales!$E$35*('Plan mensual'!J14+IF(parametros_manuales!$H$35="Todos",'Plan mensual'!J18,0))+parametros_manuales!$F$35*('Plan mensual'!J15+IF(parametros_manuales!$H$35="Todos",'Plan mensual'!J19,0))+parametros_manuales!$G$35*('Plan mensual'!J16+IF(parametros_manuales!$H$35="Todos",'Plan mensual'!J20,0)))*parametros_manuales!$I$35*parametros_manuales!$J$35</f>
        <v>836.571688515</v>
      </c>
      <c r="I46" s="14" t="n">
        <f aca="false">(parametros_manuales!$D$35*('Plan mensual'!K13+IF(parametros_manuales!$H$35="Todos",'Plan mensual'!K17,0))+parametros_manuales!$E$35*('Plan mensual'!K14+IF(parametros_manuales!$H$35="Todos",'Plan mensual'!K18,0))+parametros_manuales!$F$35*('Plan mensual'!K15+IF(parametros_manuales!$H$35="Todos",'Plan mensual'!K19,0))+parametros_manuales!$G$35*('Plan mensual'!K16+IF(parametros_manuales!$H$35="Todos",'Plan mensual'!K20,0)))*parametros_manuales!$I$35*parametros_manuales!$J$35</f>
        <v>836.571688515</v>
      </c>
      <c r="J46" s="14" t="n">
        <f aca="false">(parametros_manuales!$D$35*('Plan mensual'!L13+IF(parametros_manuales!$H$35="Todos",'Plan mensual'!L17,0))+parametros_manuales!$E$35*('Plan mensual'!L14+IF(parametros_manuales!$H$35="Todos",'Plan mensual'!L18,0))+parametros_manuales!$F$35*('Plan mensual'!L15+IF(parametros_manuales!$H$35="Todos",'Plan mensual'!L19,0))+parametros_manuales!$G$35*('Plan mensual'!L16+IF(parametros_manuales!$H$35="Todos",'Plan mensual'!L20,0)))*parametros_manuales!$I$35*parametros_manuales!$J$35</f>
        <v>836.571688515</v>
      </c>
      <c r="K46" s="14" t="n">
        <f aca="false">(parametros_manuales!$D$35*('Plan mensual'!M13+IF(parametros_manuales!$H$35="Todos",'Plan mensual'!M17,0))+parametros_manuales!$E$35*('Plan mensual'!M14+IF(parametros_manuales!$H$35="Todos",'Plan mensual'!M18,0))+parametros_manuales!$F$35*('Plan mensual'!M15+IF(parametros_manuales!$H$35="Todos",'Plan mensual'!M19,0))+parametros_manuales!$G$35*('Plan mensual'!M16+IF(parametros_manuales!$H$35="Todos",'Plan mensual'!M20,0)))*parametros_manuales!$I$35*parametros_manuales!$J$35</f>
        <v>812.398320375</v>
      </c>
      <c r="L46" s="14" t="n">
        <f aca="false">(parametros_manuales!$D$35*('Plan mensual'!N13+IF(parametros_manuales!$H$35="Todos",'Plan mensual'!N17,0))+parametros_manuales!$E$35*('Plan mensual'!N14+IF(parametros_manuales!$H$35="Todos",'Plan mensual'!N18,0))+parametros_manuales!$F$35*('Plan mensual'!N15+IF(parametros_manuales!$H$35="Todos",'Plan mensual'!N19,0))+parametros_manuales!$G$35*('Plan mensual'!N16+IF(parametros_manuales!$H$35="Todos",'Plan mensual'!N20,0)))*parametros_manuales!$I$35*parametros_manuales!$J$35</f>
        <v>788.224952235</v>
      </c>
      <c r="M46" s="14" t="n">
        <f aca="false">(parametros_manuales!$D$35*('Plan mensual'!O13+IF(parametros_manuales!$H$35="Todos",'Plan mensual'!O17,0))+parametros_manuales!$E$35*('Plan mensual'!O14+IF(parametros_manuales!$H$35="Todos",'Plan mensual'!O18,0))+parametros_manuales!$F$35*('Plan mensual'!O15+IF(parametros_manuales!$H$35="Todos",'Plan mensual'!O19,0))+parametros_manuales!$G$35*('Plan mensual'!O16+IF(parametros_manuales!$H$35="Todos",'Plan mensual'!O20,0)))*parametros_manuales!$I$35*parametros_manuales!$J$35</f>
        <v>1251.49057632</v>
      </c>
      <c r="N46" s="14" t="n">
        <f aca="false">SUM(B46:M46)</f>
        <v>10831.977605</v>
      </c>
      <c r="O46" s="14" t="n">
        <f aca="false">MAX(B46:M46)</f>
        <v>1251.49057632</v>
      </c>
      <c r="P46" s="57" t="n">
        <f aca="false">O46/(parametros_manuales!$B$7)</f>
        <v>8.3432705088</v>
      </c>
      <c r="Q46" s="13" t="str">
        <f aca="false">IF(O46=0,"-",INDEX($B$29:$M$29,MATCH(O46,B46:M46,0)))</f>
        <v>Dic</v>
      </c>
    </row>
    <row r="47" customFormat="false" ht="14.25" hidden="false" customHeight="true" outlineLevel="0" collapsed="false">
      <c r="A47" s="13" t="str">
        <f aca="false">parametros_manuales!$B$36</f>
        <v>Detección de defectos</v>
      </c>
      <c r="B47" s="14" t="n">
        <f aca="false">(parametros_manuales!$D$36*('Plan mensual'!D13+IF(parametros_manuales!$H$36="Todos",'Plan mensual'!D17,0))+parametros_manuales!$E$36*('Plan mensual'!D14+IF(parametros_manuales!$H$36="Todos",'Plan mensual'!D18,0))+parametros_manuales!$F$36*('Plan mensual'!D15+IF(parametros_manuales!$H$36="Todos",'Plan mensual'!D19,0))+parametros_manuales!$G$36*('Plan mensual'!D16+IF(parametros_manuales!$H$36="Todos",'Plan mensual'!D20,0)))*parametros_manuales!$I$36*parametros_manuales!$J$36</f>
        <v>1203.14384004</v>
      </c>
      <c r="C47" s="14" t="n">
        <f aca="false">(parametros_manuales!$D$36*('Plan mensual'!E13+IF(parametros_manuales!$H$36="Todos",'Plan mensual'!E17,0))+parametros_manuales!$E$36*('Plan mensual'!E14+IF(parametros_manuales!$H$36="Todos",'Plan mensual'!E18,0))+parametros_manuales!$F$36*('Plan mensual'!E15+IF(parametros_manuales!$H$36="Todos",'Plan mensual'!E19,0))+parametros_manuales!$G$36*('Plan mensual'!E16+IF(parametros_manuales!$H$36="Todos",'Plan mensual'!E20,0)))*parametros_manuales!$I$36*parametros_manuales!$J$36</f>
        <v>926.53124817</v>
      </c>
      <c r="D47" s="14" t="n">
        <f aca="false">(parametros_manuales!$D$36*('Plan mensual'!F13+IF(parametros_manuales!$H$36="Todos",'Plan mensual'!F17,0))+parametros_manuales!$E$36*('Plan mensual'!F14+IF(parametros_manuales!$H$36="Todos",'Plan mensual'!F18,0))+parametros_manuales!$F$36*('Plan mensual'!F15+IF(parametros_manuales!$H$36="Todos",'Plan mensual'!F19,0))+parametros_manuales!$G$36*('Plan mensual'!F16+IF(parametros_manuales!$H$36="Todos",'Plan mensual'!F20,0)))*parametros_manuales!$I$36*parametros_manuales!$J$36</f>
        <v>890.73157654</v>
      </c>
      <c r="E47" s="14" t="n">
        <f aca="false">(parametros_manuales!$D$36*('Plan mensual'!G13+IF(parametros_manuales!$H$36="Todos",'Plan mensual'!G17,0))+parametros_manuales!$E$36*('Plan mensual'!G14+IF(parametros_manuales!$H$36="Todos",'Plan mensual'!G18,0))+parametros_manuales!$F$36*('Plan mensual'!G15+IF(parametros_manuales!$H$36="Todos",'Plan mensual'!G19,0))+parametros_manuales!$G$36*('Plan mensual'!G16+IF(parametros_manuales!$H$36="Todos",'Plan mensual'!G20,0)))*parametros_manuales!$I$36*parametros_manuales!$J$36</f>
        <v>860.745056655</v>
      </c>
      <c r="F47" s="14" t="n">
        <f aca="false">(parametros_manuales!$D$36*('Plan mensual'!H13+IF(parametros_manuales!$H$36="Todos",'Plan mensual'!H17,0))+parametros_manuales!$E$36*('Plan mensual'!H14+IF(parametros_manuales!$H$36="Todos",'Plan mensual'!H18,0))+parametros_manuales!$F$36*('Plan mensual'!H15+IF(parametros_manuales!$H$36="Todos",'Plan mensual'!H19,0))+parametros_manuales!$G$36*('Plan mensual'!H16+IF(parametros_manuales!$H$36="Todos",'Plan mensual'!H20,0)))*parametros_manuales!$I$36*parametros_manuales!$J$36</f>
        <v>806.58516863</v>
      </c>
      <c r="G47" s="14" t="n">
        <f aca="false">(parametros_manuales!$D$36*('Plan mensual'!I13+IF(parametros_manuales!$H$36="Todos",'Plan mensual'!I17,0))+parametros_manuales!$E$36*('Plan mensual'!I14+IF(parametros_manuales!$H$36="Todos",'Plan mensual'!I18,0))+parametros_manuales!$F$36*('Plan mensual'!I15+IF(parametros_manuales!$H$36="Todos",'Plan mensual'!I19,0))+parametros_manuales!$G$36*('Plan mensual'!I16+IF(parametros_manuales!$H$36="Todos",'Plan mensual'!I20,0)))*parametros_manuales!$I$36*parametros_manuales!$J$36</f>
        <v>782.41180049</v>
      </c>
      <c r="H47" s="14" t="n">
        <f aca="false">(parametros_manuales!$D$36*('Plan mensual'!J13+IF(parametros_manuales!$H$36="Todos",'Plan mensual'!J17,0))+parametros_manuales!$E$36*('Plan mensual'!J14+IF(parametros_manuales!$H$36="Todos",'Plan mensual'!J18,0))+parametros_manuales!$F$36*('Plan mensual'!J15+IF(parametros_manuales!$H$36="Todos",'Plan mensual'!J19,0))+parametros_manuales!$G$36*('Plan mensual'!J16+IF(parametros_manuales!$H$36="Todos",'Plan mensual'!J20,0)))*parametros_manuales!$I$36*parametros_manuales!$J$36</f>
        <v>836.571688515</v>
      </c>
      <c r="I47" s="14" t="n">
        <f aca="false">(parametros_manuales!$D$36*('Plan mensual'!K13+IF(parametros_manuales!$H$36="Todos",'Plan mensual'!K17,0))+parametros_manuales!$E$36*('Plan mensual'!K14+IF(parametros_manuales!$H$36="Todos",'Plan mensual'!K18,0))+parametros_manuales!$F$36*('Plan mensual'!K15+IF(parametros_manuales!$H$36="Todos",'Plan mensual'!K19,0))+parametros_manuales!$G$36*('Plan mensual'!K16+IF(parametros_manuales!$H$36="Todos",'Plan mensual'!K20,0)))*parametros_manuales!$I$36*parametros_manuales!$J$36</f>
        <v>836.571688515</v>
      </c>
      <c r="J47" s="14" t="n">
        <f aca="false">(parametros_manuales!$D$36*('Plan mensual'!L13+IF(parametros_manuales!$H$36="Todos",'Plan mensual'!L17,0))+parametros_manuales!$E$36*('Plan mensual'!L14+IF(parametros_manuales!$H$36="Todos",'Plan mensual'!L18,0))+parametros_manuales!$F$36*('Plan mensual'!L15+IF(parametros_manuales!$H$36="Todos",'Plan mensual'!L19,0))+parametros_manuales!$G$36*('Plan mensual'!L16+IF(parametros_manuales!$H$36="Todos",'Plan mensual'!L20,0)))*parametros_manuales!$I$36*parametros_manuales!$J$36</f>
        <v>836.571688515</v>
      </c>
      <c r="K47" s="14" t="n">
        <f aca="false">(parametros_manuales!$D$36*('Plan mensual'!M13+IF(parametros_manuales!$H$36="Todos",'Plan mensual'!M17,0))+parametros_manuales!$E$36*('Plan mensual'!M14+IF(parametros_manuales!$H$36="Todos",'Plan mensual'!M18,0))+parametros_manuales!$F$36*('Plan mensual'!M15+IF(parametros_manuales!$H$36="Todos",'Plan mensual'!M19,0))+parametros_manuales!$G$36*('Plan mensual'!M16+IF(parametros_manuales!$H$36="Todos",'Plan mensual'!M20,0)))*parametros_manuales!$I$36*parametros_manuales!$J$36</f>
        <v>812.398320375</v>
      </c>
      <c r="L47" s="14" t="n">
        <f aca="false">(parametros_manuales!$D$36*('Plan mensual'!N13+IF(parametros_manuales!$H$36="Todos",'Plan mensual'!N17,0))+parametros_manuales!$E$36*('Plan mensual'!N14+IF(parametros_manuales!$H$36="Todos",'Plan mensual'!N18,0))+parametros_manuales!$F$36*('Plan mensual'!N15+IF(parametros_manuales!$H$36="Todos",'Plan mensual'!N19,0))+parametros_manuales!$G$36*('Plan mensual'!N16+IF(parametros_manuales!$H$36="Todos",'Plan mensual'!N20,0)))*parametros_manuales!$I$36*parametros_manuales!$J$36</f>
        <v>788.224952235</v>
      </c>
      <c r="M47" s="14" t="n">
        <f aca="false">(parametros_manuales!$D$36*('Plan mensual'!O13+IF(parametros_manuales!$H$36="Todos",'Plan mensual'!O17,0))+parametros_manuales!$E$36*('Plan mensual'!O14+IF(parametros_manuales!$H$36="Todos",'Plan mensual'!O18,0))+parametros_manuales!$F$36*('Plan mensual'!O15+IF(parametros_manuales!$H$36="Todos",'Plan mensual'!O19,0))+parametros_manuales!$G$36*('Plan mensual'!O16+IF(parametros_manuales!$H$36="Todos",'Plan mensual'!O20,0)))*parametros_manuales!$I$36*parametros_manuales!$J$36</f>
        <v>1251.49057632</v>
      </c>
      <c r="N47" s="14" t="n">
        <f aca="false">SUM(B47:M47)</f>
        <v>10831.977605</v>
      </c>
      <c r="O47" s="14" t="n">
        <f aca="false">MAX(B47:M47)</f>
        <v>1251.49057632</v>
      </c>
      <c r="P47" s="57" t="n">
        <f aca="false">O47/(parametros_manuales!$B$7)</f>
        <v>8.3432705088</v>
      </c>
      <c r="Q47" s="13" t="str">
        <f aca="false">IF(O47=0,"-",INDEX($B$29:$M$29,MATCH(O47,B47:M47,0)))</f>
        <v>Dic</v>
      </c>
    </row>
    <row r="48" customFormat="false" ht="14.25" hidden="false" customHeight="true" outlineLevel="0" collapsed="false">
      <c r="A48" s="13" t="str">
        <f aca="false">parametros_manuales!$B$37</f>
        <v>Corrección de defectos</v>
      </c>
      <c r="B48" s="14" t="n">
        <f aca="false">(parametros_manuales!$D$37*('Plan mensual'!D13+IF(parametros_manuales!$H$37="Todos",'Plan mensual'!D17,0))+parametros_manuales!$E$37*('Plan mensual'!D14+IF(parametros_manuales!$H$37="Todos",'Plan mensual'!D18,0))+parametros_manuales!$F$37*('Plan mensual'!D15+IF(parametros_manuales!$H$37="Todos",'Plan mensual'!D19,0))+parametros_manuales!$G$37*('Plan mensual'!D16+IF(parametros_manuales!$H$37="Todos",'Plan mensual'!D20,0)))*parametros_manuales!$I$37*parametros_manuales!$J$37</f>
        <v>60.157192002</v>
      </c>
      <c r="C48" s="14" t="n">
        <f aca="false">(parametros_manuales!$D$37*('Plan mensual'!E13+IF(parametros_manuales!$H$37="Todos",'Plan mensual'!E17,0))+parametros_manuales!$E$37*('Plan mensual'!E14+IF(parametros_manuales!$H$37="Todos",'Plan mensual'!E18,0))+parametros_manuales!$F$37*('Plan mensual'!E15+IF(parametros_manuales!$H$37="Todos",'Plan mensual'!E19,0))+parametros_manuales!$G$37*('Plan mensual'!E16+IF(parametros_manuales!$H$37="Todos",'Plan mensual'!E20,0)))*parametros_manuales!$I$37*parametros_manuales!$J$37</f>
        <v>46.3265624085</v>
      </c>
      <c r="D48" s="14" t="n">
        <f aca="false">(parametros_manuales!$D$37*('Plan mensual'!F13+IF(parametros_manuales!$H$37="Todos",'Plan mensual'!F17,0))+parametros_manuales!$E$37*('Plan mensual'!F14+IF(parametros_manuales!$H$37="Todos",'Plan mensual'!F18,0))+parametros_manuales!$F$37*('Plan mensual'!F15+IF(parametros_manuales!$H$37="Todos",'Plan mensual'!F19,0))+parametros_manuales!$G$37*('Plan mensual'!F16+IF(parametros_manuales!$H$37="Todos",'Plan mensual'!F20,0)))*parametros_manuales!$I$37*parametros_manuales!$J$37</f>
        <v>44.536578827</v>
      </c>
      <c r="E48" s="14" t="n">
        <f aca="false">(parametros_manuales!$D$37*('Plan mensual'!G13+IF(parametros_manuales!$H$37="Todos",'Plan mensual'!G17,0))+parametros_manuales!$E$37*('Plan mensual'!G14+IF(parametros_manuales!$H$37="Todos",'Plan mensual'!G18,0))+parametros_manuales!$F$37*('Plan mensual'!G15+IF(parametros_manuales!$H$37="Todos",'Plan mensual'!G19,0))+parametros_manuales!$G$37*('Plan mensual'!G16+IF(parametros_manuales!$H$37="Todos",'Plan mensual'!G20,0)))*parametros_manuales!$I$37*parametros_manuales!$J$37</f>
        <v>43.03725283275</v>
      </c>
      <c r="F48" s="14" t="n">
        <f aca="false">(parametros_manuales!$D$37*('Plan mensual'!H13+IF(parametros_manuales!$H$37="Todos",'Plan mensual'!H17,0))+parametros_manuales!$E$37*('Plan mensual'!H14+IF(parametros_manuales!$H$37="Todos",'Plan mensual'!H18,0))+parametros_manuales!$F$37*('Plan mensual'!H15+IF(parametros_manuales!$H$37="Todos",'Plan mensual'!H19,0))+parametros_manuales!$G$37*('Plan mensual'!H16+IF(parametros_manuales!$H$37="Todos",'Plan mensual'!H20,0)))*parametros_manuales!$I$37*parametros_manuales!$J$37</f>
        <v>40.3292584315</v>
      </c>
      <c r="G48" s="14" t="n">
        <f aca="false">(parametros_manuales!$D$37*('Plan mensual'!I13+IF(parametros_manuales!$H$37="Todos",'Plan mensual'!I17,0))+parametros_manuales!$E$37*('Plan mensual'!I14+IF(parametros_manuales!$H$37="Todos",'Plan mensual'!I18,0))+parametros_manuales!$F$37*('Plan mensual'!I15+IF(parametros_manuales!$H$37="Todos",'Plan mensual'!I19,0))+parametros_manuales!$G$37*('Plan mensual'!I16+IF(parametros_manuales!$H$37="Todos",'Plan mensual'!I20,0)))*parametros_manuales!$I$37*parametros_manuales!$J$37</f>
        <v>39.1205900245</v>
      </c>
      <c r="H48" s="14" t="n">
        <f aca="false">(parametros_manuales!$D$37*('Plan mensual'!J13+IF(parametros_manuales!$H$37="Todos",'Plan mensual'!J17,0))+parametros_manuales!$E$37*('Plan mensual'!J14+IF(parametros_manuales!$H$37="Todos",'Plan mensual'!J18,0))+parametros_manuales!$F$37*('Plan mensual'!J15+IF(parametros_manuales!$H$37="Todos",'Plan mensual'!J19,0))+parametros_manuales!$G$37*('Plan mensual'!J16+IF(parametros_manuales!$H$37="Todos",'Plan mensual'!J20,0)))*parametros_manuales!$I$37*parametros_manuales!$J$37</f>
        <v>41.82858442575</v>
      </c>
      <c r="I48" s="14" t="n">
        <f aca="false">(parametros_manuales!$D$37*('Plan mensual'!K13+IF(parametros_manuales!$H$37="Todos",'Plan mensual'!K17,0))+parametros_manuales!$E$37*('Plan mensual'!K14+IF(parametros_manuales!$H$37="Todos",'Plan mensual'!K18,0))+parametros_manuales!$F$37*('Plan mensual'!K15+IF(parametros_manuales!$H$37="Todos",'Plan mensual'!K19,0))+parametros_manuales!$G$37*('Plan mensual'!K16+IF(parametros_manuales!$H$37="Todos",'Plan mensual'!K20,0)))*parametros_manuales!$I$37*parametros_manuales!$J$37</f>
        <v>41.82858442575</v>
      </c>
      <c r="J48" s="14" t="n">
        <f aca="false">(parametros_manuales!$D$37*('Plan mensual'!L13+IF(parametros_manuales!$H$37="Todos",'Plan mensual'!L17,0))+parametros_manuales!$E$37*('Plan mensual'!L14+IF(parametros_manuales!$H$37="Todos",'Plan mensual'!L18,0))+parametros_manuales!$F$37*('Plan mensual'!L15+IF(parametros_manuales!$H$37="Todos",'Plan mensual'!L19,0))+parametros_manuales!$G$37*('Plan mensual'!L16+IF(parametros_manuales!$H$37="Todos",'Plan mensual'!L20,0)))*parametros_manuales!$I$37*parametros_manuales!$J$37</f>
        <v>41.82858442575</v>
      </c>
      <c r="K48" s="14" t="n">
        <f aca="false">(parametros_manuales!$D$37*('Plan mensual'!M13+IF(parametros_manuales!$H$37="Todos",'Plan mensual'!M17,0))+parametros_manuales!$E$37*('Plan mensual'!M14+IF(parametros_manuales!$H$37="Todos",'Plan mensual'!M18,0))+parametros_manuales!$F$37*('Plan mensual'!M15+IF(parametros_manuales!$H$37="Todos",'Plan mensual'!M19,0))+parametros_manuales!$G$37*('Plan mensual'!M16+IF(parametros_manuales!$H$37="Todos",'Plan mensual'!M20,0)))*parametros_manuales!$I$37*parametros_manuales!$J$37</f>
        <v>40.61991601875</v>
      </c>
      <c r="L48" s="14" t="n">
        <f aca="false">(parametros_manuales!$D$37*('Plan mensual'!N13+IF(parametros_manuales!$H$37="Todos",'Plan mensual'!N17,0))+parametros_manuales!$E$37*('Plan mensual'!N14+IF(parametros_manuales!$H$37="Todos",'Plan mensual'!N18,0))+parametros_manuales!$F$37*('Plan mensual'!N15+IF(parametros_manuales!$H$37="Todos",'Plan mensual'!N19,0))+parametros_manuales!$G$37*('Plan mensual'!N16+IF(parametros_manuales!$H$37="Todos",'Plan mensual'!N20,0)))*parametros_manuales!$I$37*parametros_manuales!$J$37</f>
        <v>39.41124761175</v>
      </c>
      <c r="M48" s="14" t="n">
        <f aca="false">(parametros_manuales!$D$37*('Plan mensual'!O13+IF(parametros_manuales!$H$37="Todos",'Plan mensual'!O17,0))+parametros_manuales!$E$37*('Plan mensual'!O14+IF(parametros_manuales!$H$37="Todos",'Plan mensual'!O18,0))+parametros_manuales!$F$37*('Plan mensual'!O15+IF(parametros_manuales!$H$37="Todos",'Plan mensual'!O19,0))+parametros_manuales!$G$37*('Plan mensual'!O16+IF(parametros_manuales!$H$37="Todos",'Plan mensual'!O20,0)))*parametros_manuales!$I$37*parametros_manuales!$J$37</f>
        <v>62.574528816</v>
      </c>
      <c r="N48" s="14" t="n">
        <f aca="false">SUM(B48:M48)</f>
        <v>541.59888025</v>
      </c>
      <c r="O48" s="14" t="n">
        <f aca="false">MAX(B48:M48)</f>
        <v>62.574528816</v>
      </c>
      <c r="P48" s="57" t="n">
        <f aca="false">O48/(parametros_manuales!$B$7)</f>
        <v>0.41716352544</v>
      </c>
      <c r="Q48" s="13" t="str">
        <f aca="false">IF(O48=0,"-",INDEX($B$29:$M$29,MATCH(O48,B48:M48,0)))</f>
        <v>Dic</v>
      </c>
    </row>
    <row r="49" customFormat="false" ht="14.25" hidden="false" customHeight="true" outlineLevel="0" collapsed="false">
      <c r="A49" s="13" t="str">
        <f aca="false">parametros_manuales!$B$38</f>
        <v>Pintura en polvo + horno</v>
      </c>
      <c r="B49" s="14" t="n">
        <f aca="false">(parametros_manuales!$D$38*('Plan mensual'!D13+IF(parametros_manuales!$H$38="Todos",'Plan mensual'!D17,0))+parametros_manuales!$E$38*('Plan mensual'!D14+IF(parametros_manuales!$H$38="Todos",'Plan mensual'!D18,0))+parametros_manuales!$F$38*('Plan mensual'!D15+IF(parametros_manuales!$H$38="Todos",'Plan mensual'!D19,0))+parametros_manuales!$G$38*('Plan mensual'!D16+IF(parametros_manuales!$H$38="Todos",'Plan mensual'!D20,0)))*parametros_manuales!$I$38*parametros_manuales!$J$38</f>
        <v>1203.14384004</v>
      </c>
      <c r="C49" s="14" t="n">
        <f aca="false">(parametros_manuales!$D$38*('Plan mensual'!E13+IF(parametros_manuales!$H$38="Todos",'Plan mensual'!E17,0))+parametros_manuales!$E$38*('Plan mensual'!E14+IF(parametros_manuales!$H$38="Todos",'Plan mensual'!E18,0))+parametros_manuales!$F$38*('Plan mensual'!E15+IF(parametros_manuales!$H$38="Todos",'Plan mensual'!E19,0))+parametros_manuales!$G$38*('Plan mensual'!E16+IF(parametros_manuales!$H$38="Todos",'Plan mensual'!E20,0)))*parametros_manuales!$I$38*parametros_manuales!$J$38</f>
        <v>926.53124817</v>
      </c>
      <c r="D49" s="14" t="n">
        <f aca="false">(parametros_manuales!$D$38*('Plan mensual'!F13+IF(parametros_manuales!$H$38="Todos",'Plan mensual'!F17,0))+parametros_manuales!$E$38*('Plan mensual'!F14+IF(parametros_manuales!$H$38="Todos",'Plan mensual'!F18,0))+parametros_manuales!$F$38*('Plan mensual'!F15+IF(parametros_manuales!$H$38="Todos",'Plan mensual'!F19,0))+parametros_manuales!$G$38*('Plan mensual'!F16+IF(parametros_manuales!$H$38="Todos",'Plan mensual'!F20,0)))*parametros_manuales!$I$38*parametros_manuales!$J$38</f>
        <v>890.73157654</v>
      </c>
      <c r="E49" s="14" t="n">
        <f aca="false">(parametros_manuales!$D$38*('Plan mensual'!G13+IF(parametros_manuales!$H$38="Todos",'Plan mensual'!G17,0))+parametros_manuales!$E$38*('Plan mensual'!G14+IF(parametros_manuales!$H$38="Todos",'Plan mensual'!G18,0))+parametros_manuales!$F$38*('Plan mensual'!G15+IF(parametros_manuales!$H$38="Todos",'Plan mensual'!G19,0))+parametros_manuales!$G$38*('Plan mensual'!G16+IF(parametros_manuales!$H$38="Todos",'Plan mensual'!G20,0)))*parametros_manuales!$I$38*parametros_manuales!$J$38</f>
        <v>860.745056655</v>
      </c>
      <c r="F49" s="14" t="n">
        <f aca="false">(parametros_manuales!$D$38*('Plan mensual'!H13+IF(parametros_manuales!$H$38="Todos",'Plan mensual'!H17,0))+parametros_manuales!$E$38*('Plan mensual'!H14+IF(parametros_manuales!$H$38="Todos",'Plan mensual'!H18,0))+parametros_manuales!$F$38*('Plan mensual'!H15+IF(parametros_manuales!$H$38="Todos",'Plan mensual'!H19,0))+parametros_manuales!$G$38*('Plan mensual'!H16+IF(parametros_manuales!$H$38="Todos",'Plan mensual'!H20,0)))*parametros_manuales!$I$38*parametros_manuales!$J$38</f>
        <v>806.58516863</v>
      </c>
      <c r="G49" s="14" t="n">
        <f aca="false">(parametros_manuales!$D$38*('Plan mensual'!I13+IF(parametros_manuales!$H$38="Todos",'Plan mensual'!I17,0))+parametros_manuales!$E$38*('Plan mensual'!I14+IF(parametros_manuales!$H$38="Todos",'Plan mensual'!I18,0))+parametros_manuales!$F$38*('Plan mensual'!I15+IF(parametros_manuales!$H$38="Todos",'Plan mensual'!I19,0))+parametros_manuales!$G$38*('Plan mensual'!I16+IF(parametros_manuales!$H$38="Todos",'Plan mensual'!I20,0)))*parametros_manuales!$I$38*parametros_manuales!$J$38</f>
        <v>782.41180049</v>
      </c>
      <c r="H49" s="14" t="n">
        <f aca="false">(parametros_manuales!$D$38*('Plan mensual'!J13+IF(parametros_manuales!$H$38="Todos",'Plan mensual'!J17,0))+parametros_manuales!$E$38*('Plan mensual'!J14+IF(parametros_manuales!$H$38="Todos",'Plan mensual'!J18,0))+parametros_manuales!$F$38*('Plan mensual'!J15+IF(parametros_manuales!$H$38="Todos",'Plan mensual'!J19,0))+parametros_manuales!$G$38*('Plan mensual'!J16+IF(parametros_manuales!$H$38="Todos",'Plan mensual'!J20,0)))*parametros_manuales!$I$38*parametros_manuales!$J$38</f>
        <v>836.571688515</v>
      </c>
      <c r="I49" s="14" t="n">
        <f aca="false">(parametros_manuales!$D$38*('Plan mensual'!K13+IF(parametros_manuales!$H$38="Todos",'Plan mensual'!K17,0))+parametros_manuales!$E$38*('Plan mensual'!K14+IF(parametros_manuales!$H$38="Todos",'Plan mensual'!K18,0))+parametros_manuales!$F$38*('Plan mensual'!K15+IF(parametros_manuales!$H$38="Todos",'Plan mensual'!K19,0))+parametros_manuales!$G$38*('Plan mensual'!K16+IF(parametros_manuales!$H$38="Todos",'Plan mensual'!K20,0)))*parametros_manuales!$I$38*parametros_manuales!$J$38</f>
        <v>836.571688515</v>
      </c>
      <c r="J49" s="14" t="n">
        <f aca="false">(parametros_manuales!$D$38*('Plan mensual'!L13+IF(parametros_manuales!$H$38="Todos",'Plan mensual'!L17,0))+parametros_manuales!$E$38*('Plan mensual'!L14+IF(parametros_manuales!$H$38="Todos",'Plan mensual'!L18,0))+parametros_manuales!$F$38*('Plan mensual'!L15+IF(parametros_manuales!$H$38="Todos",'Plan mensual'!L19,0))+parametros_manuales!$G$38*('Plan mensual'!L16+IF(parametros_manuales!$H$38="Todos",'Plan mensual'!L20,0)))*parametros_manuales!$I$38*parametros_manuales!$J$38</f>
        <v>836.571688515</v>
      </c>
      <c r="K49" s="14" t="n">
        <f aca="false">(parametros_manuales!$D$38*('Plan mensual'!M13+IF(parametros_manuales!$H$38="Todos",'Plan mensual'!M17,0))+parametros_manuales!$E$38*('Plan mensual'!M14+IF(parametros_manuales!$H$38="Todos",'Plan mensual'!M18,0))+parametros_manuales!$F$38*('Plan mensual'!M15+IF(parametros_manuales!$H$38="Todos",'Plan mensual'!M19,0))+parametros_manuales!$G$38*('Plan mensual'!M16+IF(parametros_manuales!$H$38="Todos",'Plan mensual'!M20,0)))*parametros_manuales!$I$38*parametros_manuales!$J$38</f>
        <v>812.398320375</v>
      </c>
      <c r="L49" s="14" t="n">
        <f aca="false">(parametros_manuales!$D$38*('Plan mensual'!N13+IF(parametros_manuales!$H$38="Todos",'Plan mensual'!N17,0))+parametros_manuales!$E$38*('Plan mensual'!N14+IF(parametros_manuales!$H$38="Todos",'Plan mensual'!N18,0))+parametros_manuales!$F$38*('Plan mensual'!N15+IF(parametros_manuales!$H$38="Todos",'Plan mensual'!N19,0))+parametros_manuales!$G$38*('Plan mensual'!N16+IF(parametros_manuales!$H$38="Todos",'Plan mensual'!N20,0)))*parametros_manuales!$I$38*parametros_manuales!$J$38</f>
        <v>788.224952235</v>
      </c>
      <c r="M49" s="14" t="n">
        <f aca="false">(parametros_manuales!$D$38*('Plan mensual'!O13+IF(parametros_manuales!$H$38="Todos",'Plan mensual'!O17,0))+parametros_manuales!$E$38*('Plan mensual'!O14+IF(parametros_manuales!$H$38="Todos",'Plan mensual'!O18,0))+parametros_manuales!$F$38*('Plan mensual'!O15+IF(parametros_manuales!$H$38="Todos",'Plan mensual'!O19,0))+parametros_manuales!$G$38*('Plan mensual'!O16+IF(parametros_manuales!$H$38="Todos",'Plan mensual'!O20,0)))*parametros_manuales!$I$38*parametros_manuales!$J$38</f>
        <v>1251.49057632</v>
      </c>
      <c r="N49" s="14" t="n">
        <f aca="false">SUM(B49:M49)</f>
        <v>10831.977605</v>
      </c>
      <c r="O49" s="14" t="n">
        <f aca="false">MAX(B49:M49)</f>
        <v>1251.49057632</v>
      </c>
      <c r="P49" s="57" t="n">
        <f aca="false">O49/(parametros_manuales!$B$7)</f>
        <v>8.3432705088</v>
      </c>
      <c r="Q49" s="13" t="str">
        <f aca="false">IF(O49=0,"-",INDEX($B$29:$M$29,MATCH(O49,B49:M49,0)))</f>
        <v>Dic</v>
      </c>
    </row>
    <row r="50" customFormat="false" ht="14.25" hidden="false" customHeight="true" outlineLevel="0" collapsed="false">
      <c r="A50" s="13" t="str">
        <f aca="false">parametros_manuales!$B$39</f>
        <v>Carga de polvo</v>
      </c>
      <c r="B50" s="14" t="n">
        <f aca="false">(parametros_manuales!$D$39*('Plan mensual'!D13+IF(parametros_manuales!$H$39="Todos",'Plan mensual'!D17,0))+parametros_manuales!$E$39*('Plan mensual'!D14+IF(parametros_manuales!$H$39="Todos",'Plan mensual'!D18,0))+parametros_manuales!$F$39*('Plan mensual'!D15+IF(parametros_manuales!$H$39="Todos",'Plan mensual'!D19,0))+parametros_manuales!$G$39*('Plan mensual'!D16+IF(parametros_manuales!$H$39="Todos",'Plan mensual'!D20,0)))*parametros_manuales!$I$39*parametros_manuales!$J$39</f>
        <v>1196.56784004</v>
      </c>
      <c r="C50" s="14" t="n">
        <f aca="false">(parametros_manuales!$D$39*('Plan mensual'!E13+IF(parametros_manuales!$H$39="Todos",'Plan mensual'!E17,0))+parametros_manuales!$E$39*('Plan mensual'!E14+IF(parametros_manuales!$H$39="Todos",'Plan mensual'!E18,0))+parametros_manuales!$F$39*('Plan mensual'!E15+IF(parametros_manuales!$H$39="Todos",'Plan mensual'!E19,0))+parametros_manuales!$G$39*('Plan mensual'!E16+IF(parametros_manuales!$H$39="Todos",'Plan mensual'!E20,0)))*parametros_manuales!$I$39*parametros_manuales!$J$39</f>
        <v>921.27044817</v>
      </c>
      <c r="D50" s="14" t="n">
        <f aca="false">(parametros_manuales!$D$39*('Plan mensual'!F13+IF(parametros_manuales!$H$39="Todos",'Plan mensual'!F17,0))+parametros_manuales!$E$39*('Plan mensual'!F14+IF(parametros_manuales!$H$39="Todos",'Plan mensual'!F18,0))+parametros_manuales!$F$39*('Plan mensual'!F15+IF(parametros_manuales!$H$39="Todos",'Plan mensual'!F19,0))+parametros_manuales!$G$39*('Plan mensual'!F16+IF(parametros_manuales!$H$39="Todos",'Plan mensual'!F20,0)))*parametros_manuales!$I$39*parametros_manuales!$J$39</f>
        <v>885.14197654</v>
      </c>
      <c r="E50" s="14" t="n">
        <f aca="false">(parametros_manuales!$D$39*('Plan mensual'!G13+IF(parametros_manuales!$H$39="Todos",'Plan mensual'!G17,0))+parametros_manuales!$E$39*('Plan mensual'!G14+IF(parametros_manuales!$H$39="Todos",'Plan mensual'!G18,0))+parametros_manuales!$F$39*('Plan mensual'!G15+IF(parametros_manuales!$H$39="Todos",'Plan mensual'!G19,0))+parametros_manuales!$G$39*('Plan mensual'!G16+IF(parametros_manuales!$H$39="Todos",'Plan mensual'!G20,0)))*parametros_manuales!$I$39*parametros_manuales!$J$39</f>
        <v>855.155456655</v>
      </c>
      <c r="F50" s="14" t="n">
        <f aca="false">(parametros_manuales!$D$39*('Plan mensual'!H13+IF(parametros_manuales!$H$39="Todos",'Plan mensual'!H17,0))+parametros_manuales!$E$39*('Plan mensual'!H14+IF(parametros_manuales!$H$39="Todos",'Plan mensual'!H18,0))+parametros_manuales!$F$39*('Plan mensual'!H15+IF(parametros_manuales!$H$39="Todos",'Plan mensual'!H19,0))+parametros_manuales!$G$39*('Plan mensual'!H16+IF(parametros_manuales!$H$39="Todos",'Plan mensual'!H20,0)))*parametros_manuales!$I$39*parametros_manuales!$J$39</f>
        <v>801.32436863</v>
      </c>
      <c r="G50" s="14" t="n">
        <f aca="false">(parametros_manuales!$D$39*('Plan mensual'!I13+IF(parametros_manuales!$H$39="Todos",'Plan mensual'!I17,0))+parametros_manuales!$E$39*('Plan mensual'!I14+IF(parametros_manuales!$H$39="Todos",'Plan mensual'!I18,0))+parametros_manuales!$F$39*('Plan mensual'!I15+IF(parametros_manuales!$H$39="Todos",'Plan mensual'!I19,0))+parametros_manuales!$G$39*('Plan mensual'!I16+IF(parametros_manuales!$H$39="Todos",'Plan mensual'!I20,0)))*parametros_manuales!$I$39*parametros_manuales!$J$39</f>
        <v>777.47980049</v>
      </c>
      <c r="H50" s="14" t="n">
        <f aca="false">(parametros_manuales!$D$39*('Plan mensual'!J13+IF(parametros_manuales!$H$39="Todos",'Plan mensual'!J17,0))+parametros_manuales!$E$39*('Plan mensual'!J14+IF(parametros_manuales!$H$39="Todos",'Plan mensual'!J18,0))+parametros_manuales!$F$39*('Plan mensual'!J15+IF(parametros_manuales!$H$39="Todos",'Plan mensual'!J19,0))+parametros_manuales!$G$39*('Plan mensual'!J16+IF(parametros_manuales!$H$39="Todos",'Plan mensual'!J20,0)))*parametros_manuales!$I$39*parametros_manuales!$J$39</f>
        <v>831.310888515</v>
      </c>
      <c r="I50" s="14" t="n">
        <f aca="false">(parametros_manuales!$D$39*('Plan mensual'!K13+IF(parametros_manuales!$H$39="Todos",'Plan mensual'!K17,0))+parametros_manuales!$E$39*('Plan mensual'!K14+IF(parametros_manuales!$H$39="Todos",'Plan mensual'!K18,0))+parametros_manuales!$F$39*('Plan mensual'!K15+IF(parametros_manuales!$H$39="Todos",'Plan mensual'!K19,0))+parametros_manuales!$G$39*('Plan mensual'!K16+IF(parametros_manuales!$H$39="Todos",'Plan mensual'!K20,0)))*parametros_manuales!$I$39*parametros_manuales!$J$39</f>
        <v>831.310888515</v>
      </c>
      <c r="J50" s="14" t="n">
        <f aca="false">(parametros_manuales!$D$39*('Plan mensual'!L13+IF(parametros_manuales!$H$39="Todos",'Plan mensual'!L17,0))+parametros_manuales!$E$39*('Plan mensual'!L14+IF(parametros_manuales!$H$39="Todos",'Plan mensual'!L18,0))+parametros_manuales!$F$39*('Plan mensual'!L15+IF(parametros_manuales!$H$39="Todos",'Plan mensual'!L19,0))+parametros_manuales!$G$39*('Plan mensual'!L16+IF(parametros_manuales!$H$39="Todos",'Plan mensual'!L20,0)))*parametros_manuales!$I$39*parametros_manuales!$J$39</f>
        <v>831.310888515</v>
      </c>
      <c r="K50" s="14" t="n">
        <f aca="false">(parametros_manuales!$D$39*('Plan mensual'!M13+IF(parametros_manuales!$H$39="Todos",'Plan mensual'!M17,0))+parametros_manuales!$E$39*('Plan mensual'!M14+IF(parametros_manuales!$H$39="Todos",'Plan mensual'!M18,0))+parametros_manuales!$F$39*('Plan mensual'!M15+IF(parametros_manuales!$H$39="Todos",'Plan mensual'!M19,0))+parametros_manuales!$G$39*('Plan mensual'!M16+IF(parametros_manuales!$H$39="Todos",'Plan mensual'!M20,0)))*parametros_manuales!$I$39*parametros_manuales!$J$39</f>
        <v>807.466320375</v>
      </c>
      <c r="L50" s="14" t="n">
        <f aca="false">(parametros_manuales!$D$39*('Plan mensual'!N13+IF(parametros_manuales!$H$39="Todos",'Plan mensual'!N17,0))+parametros_manuales!$E$39*('Plan mensual'!N14+IF(parametros_manuales!$H$39="Todos",'Plan mensual'!N18,0))+parametros_manuales!$F$39*('Plan mensual'!N15+IF(parametros_manuales!$H$39="Todos",'Plan mensual'!N19,0))+parametros_manuales!$G$39*('Plan mensual'!N16+IF(parametros_manuales!$H$39="Todos",'Plan mensual'!N20,0)))*parametros_manuales!$I$39*parametros_manuales!$J$39</f>
        <v>783.621752235</v>
      </c>
      <c r="M50" s="14" t="n">
        <f aca="false">(parametros_manuales!$D$39*('Plan mensual'!O13+IF(parametros_manuales!$H$39="Todos",'Plan mensual'!O17,0))+parametros_manuales!$E$39*('Plan mensual'!O14+IF(parametros_manuales!$H$39="Todos",'Plan mensual'!O18,0))+parametros_manuales!$F$39*('Plan mensual'!O15+IF(parametros_manuales!$H$39="Todos",'Plan mensual'!O19,0))+parametros_manuales!$G$39*('Plan mensual'!O16+IF(parametros_manuales!$H$39="Todos",'Plan mensual'!O20,0)))*parametros_manuales!$I$39*parametros_manuales!$J$39</f>
        <v>1244.25697632</v>
      </c>
      <c r="N50" s="14" t="n">
        <f aca="false">SUM(B50:M50)</f>
        <v>10766.217605</v>
      </c>
      <c r="O50" s="14" t="n">
        <f aca="false">MAX(B50:M50)</f>
        <v>1244.25697632</v>
      </c>
      <c r="P50" s="57" t="n">
        <f aca="false">O50/(parametros_manuales!$B$7)</f>
        <v>8.2950465088</v>
      </c>
      <c r="Q50" s="13" t="str">
        <f aca="false">IF(O50=0,"-",INDEX($B$29:$M$29,MATCH(O50,B50:M50,0)))</f>
        <v>Dic</v>
      </c>
    </row>
    <row r="51" customFormat="false" ht="14.25" hidden="false" customHeight="true" outlineLevel="0" collapsed="false">
      <c r="A51" s="13" t="str">
        <f aca="false">parametros_manuales!$B$40</f>
        <v>Ensamblaje</v>
      </c>
      <c r="B51" s="14" t="n">
        <f aca="false">(parametros_manuales!$D$40*('Plan mensual'!D13+IF(parametros_manuales!$H$40="Todos",'Plan mensual'!D17,0))+parametros_manuales!$E$40*('Plan mensual'!D14+IF(parametros_manuales!$H$40="Todos",'Plan mensual'!D18,0))+parametros_manuales!$F$40*('Plan mensual'!D15+IF(parametros_manuales!$H$40="Todos",'Plan mensual'!D19,0))+parametros_manuales!$G$40*('Plan mensual'!D16+IF(parametros_manuales!$H$40="Todos",'Plan mensual'!D20,0)))*parametros_manuales!$I$40*parametros_manuales!$J$40</f>
        <v>1196.56784004</v>
      </c>
      <c r="C51" s="14" t="n">
        <f aca="false">(parametros_manuales!$D$40*('Plan mensual'!E13+IF(parametros_manuales!$H$40="Todos",'Plan mensual'!E17,0))+parametros_manuales!$E$40*('Plan mensual'!E14+IF(parametros_manuales!$H$40="Todos",'Plan mensual'!E18,0))+parametros_manuales!$F$40*('Plan mensual'!E15+IF(parametros_manuales!$H$40="Todos",'Plan mensual'!E19,0))+parametros_manuales!$G$40*('Plan mensual'!E16+IF(parametros_manuales!$H$40="Todos",'Plan mensual'!E20,0)))*parametros_manuales!$I$40*parametros_manuales!$J$40</f>
        <v>921.27044817</v>
      </c>
      <c r="D51" s="14" t="n">
        <f aca="false">(parametros_manuales!$D$40*('Plan mensual'!F13+IF(parametros_manuales!$H$40="Todos",'Plan mensual'!F17,0))+parametros_manuales!$E$40*('Plan mensual'!F14+IF(parametros_manuales!$H$40="Todos",'Plan mensual'!F18,0))+parametros_manuales!$F$40*('Plan mensual'!F15+IF(parametros_manuales!$H$40="Todos",'Plan mensual'!F19,0))+parametros_manuales!$G$40*('Plan mensual'!F16+IF(parametros_manuales!$H$40="Todos",'Plan mensual'!F20,0)))*parametros_manuales!$I$40*parametros_manuales!$J$40</f>
        <v>885.14197654</v>
      </c>
      <c r="E51" s="14" t="n">
        <f aca="false">(parametros_manuales!$D$40*('Plan mensual'!G13+IF(parametros_manuales!$H$40="Todos",'Plan mensual'!G17,0))+parametros_manuales!$E$40*('Plan mensual'!G14+IF(parametros_manuales!$H$40="Todos",'Plan mensual'!G18,0))+parametros_manuales!$F$40*('Plan mensual'!G15+IF(parametros_manuales!$H$40="Todos",'Plan mensual'!G19,0))+parametros_manuales!$G$40*('Plan mensual'!G16+IF(parametros_manuales!$H$40="Todos",'Plan mensual'!G20,0)))*parametros_manuales!$I$40*parametros_manuales!$J$40</f>
        <v>855.155456655</v>
      </c>
      <c r="F51" s="14" t="n">
        <f aca="false">(parametros_manuales!$D$40*('Plan mensual'!H13+IF(parametros_manuales!$H$40="Todos",'Plan mensual'!H17,0))+parametros_manuales!$E$40*('Plan mensual'!H14+IF(parametros_manuales!$H$40="Todos",'Plan mensual'!H18,0))+parametros_manuales!$F$40*('Plan mensual'!H15+IF(parametros_manuales!$H$40="Todos",'Plan mensual'!H19,0))+parametros_manuales!$G$40*('Plan mensual'!H16+IF(parametros_manuales!$H$40="Todos",'Plan mensual'!H20,0)))*parametros_manuales!$I$40*parametros_manuales!$J$40</f>
        <v>801.32436863</v>
      </c>
      <c r="G51" s="14" t="n">
        <f aca="false">(parametros_manuales!$D$40*('Plan mensual'!I13+IF(parametros_manuales!$H$40="Todos",'Plan mensual'!I17,0))+parametros_manuales!$E$40*('Plan mensual'!I14+IF(parametros_manuales!$H$40="Todos",'Plan mensual'!I18,0))+parametros_manuales!$F$40*('Plan mensual'!I15+IF(parametros_manuales!$H$40="Todos",'Plan mensual'!I19,0))+parametros_manuales!$G$40*('Plan mensual'!I16+IF(parametros_manuales!$H$40="Todos",'Plan mensual'!I20,0)))*parametros_manuales!$I$40*parametros_manuales!$J$40</f>
        <v>777.47980049</v>
      </c>
      <c r="H51" s="14" t="n">
        <f aca="false">(parametros_manuales!$D$40*('Plan mensual'!J13+IF(parametros_manuales!$H$40="Todos",'Plan mensual'!J17,0))+parametros_manuales!$E$40*('Plan mensual'!J14+IF(parametros_manuales!$H$40="Todos",'Plan mensual'!J18,0))+parametros_manuales!$F$40*('Plan mensual'!J15+IF(parametros_manuales!$H$40="Todos",'Plan mensual'!J19,0))+parametros_manuales!$G$40*('Plan mensual'!J16+IF(parametros_manuales!$H$40="Todos",'Plan mensual'!J20,0)))*parametros_manuales!$I$40*parametros_manuales!$J$40</f>
        <v>831.310888515</v>
      </c>
      <c r="I51" s="14" t="n">
        <f aca="false">(parametros_manuales!$D$40*('Plan mensual'!K13+IF(parametros_manuales!$H$40="Todos",'Plan mensual'!K17,0))+parametros_manuales!$E$40*('Plan mensual'!K14+IF(parametros_manuales!$H$40="Todos",'Plan mensual'!K18,0))+parametros_manuales!$F$40*('Plan mensual'!K15+IF(parametros_manuales!$H$40="Todos",'Plan mensual'!K19,0))+parametros_manuales!$G$40*('Plan mensual'!K16+IF(parametros_manuales!$H$40="Todos",'Plan mensual'!K20,0)))*parametros_manuales!$I$40*parametros_manuales!$J$40</f>
        <v>831.310888515</v>
      </c>
      <c r="J51" s="14" t="n">
        <f aca="false">(parametros_manuales!$D$40*('Plan mensual'!L13+IF(parametros_manuales!$H$40="Todos",'Plan mensual'!L17,0))+parametros_manuales!$E$40*('Plan mensual'!L14+IF(parametros_manuales!$H$40="Todos",'Plan mensual'!L18,0))+parametros_manuales!$F$40*('Plan mensual'!L15+IF(parametros_manuales!$H$40="Todos",'Plan mensual'!L19,0))+parametros_manuales!$G$40*('Plan mensual'!L16+IF(parametros_manuales!$H$40="Todos",'Plan mensual'!L20,0)))*parametros_manuales!$I$40*parametros_manuales!$J$40</f>
        <v>831.310888515</v>
      </c>
      <c r="K51" s="14" t="n">
        <f aca="false">(parametros_manuales!$D$40*('Plan mensual'!M13+IF(parametros_manuales!$H$40="Todos",'Plan mensual'!M17,0))+parametros_manuales!$E$40*('Plan mensual'!M14+IF(parametros_manuales!$H$40="Todos",'Plan mensual'!M18,0))+parametros_manuales!$F$40*('Plan mensual'!M15+IF(parametros_manuales!$H$40="Todos",'Plan mensual'!M19,0))+parametros_manuales!$G$40*('Plan mensual'!M16+IF(parametros_manuales!$H$40="Todos",'Plan mensual'!M20,0)))*parametros_manuales!$I$40*parametros_manuales!$J$40</f>
        <v>807.466320375</v>
      </c>
      <c r="L51" s="14" t="n">
        <f aca="false">(parametros_manuales!$D$40*('Plan mensual'!N13+IF(parametros_manuales!$H$40="Todos",'Plan mensual'!N17,0))+parametros_manuales!$E$40*('Plan mensual'!N14+IF(parametros_manuales!$H$40="Todos",'Plan mensual'!N18,0))+parametros_manuales!$F$40*('Plan mensual'!N15+IF(parametros_manuales!$H$40="Todos",'Plan mensual'!N19,0))+parametros_manuales!$G$40*('Plan mensual'!N16+IF(parametros_manuales!$H$40="Todos",'Plan mensual'!N20,0)))*parametros_manuales!$I$40*parametros_manuales!$J$40</f>
        <v>783.621752235</v>
      </c>
      <c r="M51" s="14" t="n">
        <f aca="false">(parametros_manuales!$D$40*('Plan mensual'!O13+IF(parametros_manuales!$H$40="Todos",'Plan mensual'!O17,0))+parametros_manuales!$E$40*('Plan mensual'!O14+IF(parametros_manuales!$H$40="Todos",'Plan mensual'!O18,0))+parametros_manuales!$F$40*('Plan mensual'!O15+IF(parametros_manuales!$H$40="Todos",'Plan mensual'!O19,0))+parametros_manuales!$G$40*('Plan mensual'!O16+IF(parametros_manuales!$H$40="Todos",'Plan mensual'!O20,0)))*parametros_manuales!$I$40*parametros_manuales!$J$40</f>
        <v>1244.25697632</v>
      </c>
      <c r="N51" s="14" t="n">
        <f aca="false">SUM(B51:M51)</f>
        <v>10766.217605</v>
      </c>
      <c r="O51" s="14" t="n">
        <f aca="false">MAX(B51:M51)</f>
        <v>1244.25697632</v>
      </c>
      <c r="P51" s="57" t="n">
        <f aca="false">O51/(parametros_manuales!$B$7)</f>
        <v>8.2950465088</v>
      </c>
      <c r="Q51" s="13" t="str">
        <f aca="false">IF(O51=0,"-",INDEX($B$29:$M$29,MATCH(O51,B51:M51,0)))</f>
        <v>Dic</v>
      </c>
    </row>
    <row r="52" customFormat="false" ht="14.25" hidden="false" customHeight="true" outlineLevel="0" collapsed="false">
      <c r="A52" s="13" t="str">
        <f aca="false">parametros_manuales!$B$41</f>
        <v>Presurización</v>
      </c>
      <c r="B52" s="14" t="n">
        <f aca="false">(parametros_manuales!$D$41*('Plan mensual'!D13+IF(parametros_manuales!$H$41="Todos",'Plan mensual'!D17,0))+parametros_manuales!$E$41*('Plan mensual'!D14+IF(parametros_manuales!$H$41="Todos",'Plan mensual'!D18,0))+parametros_manuales!$F$41*('Plan mensual'!D15+IF(parametros_manuales!$H$41="Todos",'Plan mensual'!D19,0))+parametros_manuales!$G$41*('Plan mensual'!D16+IF(parametros_manuales!$H$41="Todos",'Plan mensual'!D20,0)))*parametros_manuales!$I$41*parametros_manuales!$J$41</f>
        <v>1196.56784004</v>
      </c>
      <c r="C52" s="14" t="n">
        <f aca="false">(parametros_manuales!$D$41*('Plan mensual'!E13+IF(parametros_manuales!$H$41="Todos",'Plan mensual'!E17,0))+parametros_manuales!$E$41*('Plan mensual'!E14+IF(parametros_manuales!$H$41="Todos",'Plan mensual'!E18,0))+parametros_manuales!$F$41*('Plan mensual'!E15+IF(parametros_manuales!$H$41="Todos",'Plan mensual'!E19,0))+parametros_manuales!$G$41*('Plan mensual'!E16+IF(parametros_manuales!$H$41="Todos",'Plan mensual'!E20,0)))*parametros_manuales!$I$41*parametros_manuales!$J$41</f>
        <v>921.27044817</v>
      </c>
      <c r="D52" s="14" t="n">
        <f aca="false">(parametros_manuales!$D$41*('Plan mensual'!F13+IF(parametros_manuales!$H$41="Todos",'Plan mensual'!F17,0))+parametros_manuales!$E$41*('Plan mensual'!F14+IF(parametros_manuales!$H$41="Todos",'Plan mensual'!F18,0))+parametros_manuales!$F$41*('Plan mensual'!F15+IF(parametros_manuales!$H$41="Todos",'Plan mensual'!F19,0))+parametros_manuales!$G$41*('Plan mensual'!F16+IF(parametros_manuales!$H$41="Todos",'Plan mensual'!F20,0)))*parametros_manuales!$I$41*parametros_manuales!$J$41</f>
        <v>885.14197654</v>
      </c>
      <c r="E52" s="14" t="n">
        <f aca="false">(parametros_manuales!$D$41*('Plan mensual'!G13+IF(parametros_manuales!$H$41="Todos",'Plan mensual'!G17,0))+parametros_manuales!$E$41*('Plan mensual'!G14+IF(parametros_manuales!$H$41="Todos",'Plan mensual'!G18,0))+parametros_manuales!$F$41*('Plan mensual'!G15+IF(parametros_manuales!$H$41="Todos",'Plan mensual'!G19,0))+parametros_manuales!$G$41*('Plan mensual'!G16+IF(parametros_manuales!$H$41="Todos",'Plan mensual'!G20,0)))*parametros_manuales!$I$41*parametros_manuales!$J$41</f>
        <v>855.155456655</v>
      </c>
      <c r="F52" s="14" t="n">
        <f aca="false">(parametros_manuales!$D$41*('Plan mensual'!H13+IF(parametros_manuales!$H$41="Todos",'Plan mensual'!H17,0))+parametros_manuales!$E$41*('Plan mensual'!H14+IF(parametros_manuales!$H$41="Todos",'Plan mensual'!H18,0))+parametros_manuales!$F$41*('Plan mensual'!H15+IF(parametros_manuales!$H$41="Todos",'Plan mensual'!H19,0))+parametros_manuales!$G$41*('Plan mensual'!H16+IF(parametros_manuales!$H$41="Todos",'Plan mensual'!H20,0)))*parametros_manuales!$I$41*parametros_manuales!$J$41</f>
        <v>801.32436863</v>
      </c>
      <c r="G52" s="14" t="n">
        <f aca="false">(parametros_manuales!$D$41*('Plan mensual'!I13+IF(parametros_manuales!$H$41="Todos",'Plan mensual'!I17,0))+parametros_manuales!$E$41*('Plan mensual'!I14+IF(parametros_manuales!$H$41="Todos",'Plan mensual'!I18,0))+parametros_manuales!$F$41*('Plan mensual'!I15+IF(parametros_manuales!$H$41="Todos",'Plan mensual'!I19,0))+parametros_manuales!$G$41*('Plan mensual'!I16+IF(parametros_manuales!$H$41="Todos",'Plan mensual'!I20,0)))*parametros_manuales!$I$41*parametros_manuales!$J$41</f>
        <v>777.47980049</v>
      </c>
      <c r="H52" s="14" t="n">
        <f aca="false">(parametros_manuales!$D$41*('Plan mensual'!J13+IF(parametros_manuales!$H$41="Todos",'Plan mensual'!J17,0))+parametros_manuales!$E$41*('Plan mensual'!J14+IF(parametros_manuales!$H$41="Todos",'Plan mensual'!J18,0))+parametros_manuales!$F$41*('Plan mensual'!J15+IF(parametros_manuales!$H$41="Todos",'Plan mensual'!J19,0))+parametros_manuales!$G$41*('Plan mensual'!J16+IF(parametros_manuales!$H$41="Todos",'Plan mensual'!J20,0)))*parametros_manuales!$I$41*parametros_manuales!$J$41</f>
        <v>831.310888515</v>
      </c>
      <c r="I52" s="14" t="n">
        <f aca="false">(parametros_manuales!$D$41*('Plan mensual'!K13+IF(parametros_manuales!$H$41="Todos",'Plan mensual'!K17,0))+parametros_manuales!$E$41*('Plan mensual'!K14+IF(parametros_manuales!$H$41="Todos",'Plan mensual'!K18,0))+parametros_manuales!$F$41*('Plan mensual'!K15+IF(parametros_manuales!$H$41="Todos",'Plan mensual'!K19,0))+parametros_manuales!$G$41*('Plan mensual'!K16+IF(parametros_manuales!$H$41="Todos",'Plan mensual'!K20,0)))*parametros_manuales!$I$41*parametros_manuales!$J$41</f>
        <v>831.310888515</v>
      </c>
      <c r="J52" s="14" t="n">
        <f aca="false">(parametros_manuales!$D$41*('Plan mensual'!L13+IF(parametros_manuales!$H$41="Todos",'Plan mensual'!L17,0))+parametros_manuales!$E$41*('Plan mensual'!L14+IF(parametros_manuales!$H$41="Todos",'Plan mensual'!L18,0))+parametros_manuales!$F$41*('Plan mensual'!L15+IF(parametros_manuales!$H$41="Todos",'Plan mensual'!L19,0))+parametros_manuales!$G$41*('Plan mensual'!L16+IF(parametros_manuales!$H$41="Todos",'Plan mensual'!L20,0)))*parametros_manuales!$I$41*parametros_manuales!$J$41</f>
        <v>831.310888515</v>
      </c>
      <c r="K52" s="14" t="n">
        <f aca="false">(parametros_manuales!$D$41*('Plan mensual'!M13+IF(parametros_manuales!$H$41="Todos",'Plan mensual'!M17,0))+parametros_manuales!$E$41*('Plan mensual'!M14+IF(parametros_manuales!$H$41="Todos",'Plan mensual'!M18,0))+parametros_manuales!$F$41*('Plan mensual'!M15+IF(parametros_manuales!$H$41="Todos",'Plan mensual'!M19,0))+parametros_manuales!$G$41*('Plan mensual'!M16+IF(parametros_manuales!$H$41="Todos",'Plan mensual'!M20,0)))*parametros_manuales!$I$41*parametros_manuales!$J$41</f>
        <v>807.466320375</v>
      </c>
      <c r="L52" s="14" t="n">
        <f aca="false">(parametros_manuales!$D$41*('Plan mensual'!N13+IF(parametros_manuales!$H$41="Todos",'Plan mensual'!N17,0))+parametros_manuales!$E$41*('Plan mensual'!N14+IF(parametros_manuales!$H$41="Todos",'Plan mensual'!N18,0))+parametros_manuales!$F$41*('Plan mensual'!N15+IF(parametros_manuales!$H$41="Todos",'Plan mensual'!N19,0))+parametros_manuales!$G$41*('Plan mensual'!N16+IF(parametros_manuales!$H$41="Todos",'Plan mensual'!N20,0)))*parametros_manuales!$I$41*parametros_manuales!$J$41</f>
        <v>783.621752235</v>
      </c>
      <c r="M52" s="14" t="n">
        <f aca="false">(parametros_manuales!$D$41*('Plan mensual'!O13+IF(parametros_manuales!$H$41="Todos",'Plan mensual'!O17,0))+parametros_manuales!$E$41*('Plan mensual'!O14+IF(parametros_manuales!$H$41="Todos",'Plan mensual'!O18,0))+parametros_manuales!$F$41*('Plan mensual'!O15+IF(parametros_manuales!$H$41="Todos",'Plan mensual'!O19,0))+parametros_manuales!$G$41*('Plan mensual'!O16+IF(parametros_manuales!$H$41="Todos",'Plan mensual'!O20,0)))*parametros_manuales!$I$41*parametros_manuales!$J$41</f>
        <v>1244.25697632</v>
      </c>
      <c r="N52" s="14" t="n">
        <f aca="false">SUM(B52:M52)</f>
        <v>10766.217605</v>
      </c>
      <c r="O52" s="14" t="n">
        <f aca="false">MAX(B52:M52)</f>
        <v>1244.25697632</v>
      </c>
      <c r="P52" s="57" t="n">
        <f aca="false">O52/(parametros_manuales!$B$7)</f>
        <v>8.2950465088</v>
      </c>
      <c r="Q52" s="13" t="str">
        <f aca="false">IF(O52=0,"-",INDEX($B$29:$M$29,MATCH(O52,B52:M52,0)))</f>
        <v>Dic</v>
      </c>
    </row>
    <row r="53" customFormat="false" ht="14.25" hidden="false" customHeight="true" outlineLevel="0" collapsed="false">
      <c r="A53" s="13" t="str">
        <f aca="false">parametros_manuales!$B$42</f>
        <v>Control de calidad — Ensayo de pérdidas</v>
      </c>
      <c r="B53" s="14" t="n">
        <f aca="false">(parametros_manuales!$D$42*('Plan mensual'!D13+IF(parametros_manuales!$H$42="Todos",'Plan mensual'!D17,0))+parametros_manuales!$E$42*('Plan mensual'!D14+IF(parametros_manuales!$H$42="Todos",'Plan mensual'!D18,0))+parametros_manuales!$F$42*('Plan mensual'!D15+IF(parametros_manuales!$H$42="Todos",'Plan mensual'!D19,0))+parametros_manuales!$G$42*('Plan mensual'!D16+IF(parametros_manuales!$H$42="Todos",'Plan mensual'!D20,0)))*parametros_manuales!$I$42*parametros_manuales!$J$42</f>
        <v>1196.56784004</v>
      </c>
      <c r="C53" s="14" t="n">
        <f aca="false">(parametros_manuales!$D$42*('Plan mensual'!E13+IF(parametros_manuales!$H$42="Todos",'Plan mensual'!E17,0))+parametros_manuales!$E$42*('Plan mensual'!E14+IF(parametros_manuales!$H$42="Todos",'Plan mensual'!E18,0))+parametros_manuales!$F$42*('Plan mensual'!E15+IF(parametros_manuales!$H$42="Todos",'Plan mensual'!E19,0))+parametros_manuales!$G$42*('Plan mensual'!E16+IF(parametros_manuales!$H$42="Todos",'Plan mensual'!E20,0)))*parametros_manuales!$I$42*parametros_manuales!$J$42</f>
        <v>921.27044817</v>
      </c>
      <c r="D53" s="14" t="n">
        <f aca="false">(parametros_manuales!$D$42*('Plan mensual'!F13+IF(parametros_manuales!$H$42="Todos",'Plan mensual'!F17,0))+parametros_manuales!$E$42*('Plan mensual'!F14+IF(parametros_manuales!$H$42="Todos",'Plan mensual'!F18,0))+parametros_manuales!$F$42*('Plan mensual'!F15+IF(parametros_manuales!$H$42="Todos",'Plan mensual'!F19,0))+parametros_manuales!$G$42*('Plan mensual'!F16+IF(parametros_manuales!$H$42="Todos",'Plan mensual'!F20,0)))*parametros_manuales!$I$42*parametros_manuales!$J$42</f>
        <v>885.14197654</v>
      </c>
      <c r="E53" s="14" t="n">
        <f aca="false">(parametros_manuales!$D$42*('Plan mensual'!G13+IF(parametros_manuales!$H$42="Todos",'Plan mensual'!G17,0))+parametros_manuales!$E$42*('Plan mensual'!G14+IF(parametros_manuales!$H$42="Todos",'Plan mensual'!G18,0))+parametros_manuales!$F$42*('Plan mensual'!G15+IF(parametros_manuales!$H$42="Todos",'Plan mensual'!G19,0))+parametros_manuales!$G$42*('Plan mensual'!G16+IF(parametros_manuales!$H$42="Todos",'Plan mensual'!G20,0)))*parametros_manuales!$I$42*parametros_manuales!$J$42</f>
        <v>855.155456655</v>
      </c>
      <c r="F53" s="14" t="n">
        <f aca="false">(parametros_manuales!$D$42*('Plan mensual'!H13+IF(parametros_manuales!$H$42="Todos",'Plan mensual'!H17,0))+parametros_manuales!$E$42*('Plan mensual'!H14+IF(parametros_manuales!$H$42="Todos",'Plan mensual'!H18,0))+parametros_manuales!$F$42*('Plan mensual'!H15+IF(parametros_manuales!$H$42="Todos",'Plan mensual'!H19,0))+parametros_manuales!$G$42*('Plan mensual'!H16+IF(parametros_manuales!$H$42="Todos",'Plan mensual'!H20,0)))*parametros_manuales!$I$42*parametros_manuales!$J$42</f>
        <v>801.32436863</v>
      </c>
      <c r="G53" s="14" t="n">
        <f aca="false">(parametros_manuales!$D$42*('Plan mensual'!I13+IF(parametros_manuales!$H$42="Todos",'Plan mensual'!I17,0))+parametros_manuales!$E$42*('Plan mensual'!I14+IF(parametros_manuales!$H$42="Todos",'Plan mensual'!I18,0))+parametros_manuales!$F$42*('Plan mensual'!I15+IF(parametros_manuales!$H$42="Todos",'Plan mensual'!I19,0))+parametros_manuales!$G$42*('Plan mensual'!I16+IF(parametros_manuales!$H$42="Todos",'Plan mensual'!I20,0)))*parametros_manuales!$I$42*parametros_manuales!$J$42</f>
        <v>777.47980049</v>
      </c>
      <c r="H53" s="14" t="n">
        <f aca="false">(parametros_manuales!$D$42*('Plan mensual'!J13+IF(parametros_manuales!$H$42="Todos",'Plan mensual'!J17,0))+parametros_manuales!$E$42*('Plan mensual'!J14+IF(parametros_manuales!$H$42="Todos",'Plan mensual'!J18,0))+parametros_manuales!$F$42*('Plan mensual'!J15+IF(parametros_manuales!$H$42="Todos",'Plan mensual'!J19,0))+parametros_manuales!$G$42*('Plan mensual'!J16+IF(parametros_manuales!$H$42="Todos",'Plan mensual'!J20,0)))*parametros_manuales!$I$42*parametros_manuales!$J$42</f>
        <v>831.310888515</v>
      </c>
      <c r="I53" s="14" t="n">
        <f aca="false">(parametros_manuales!$D$42*('Plan mensual'!K13+IF(parametros_manuales!$H$42="Todos",'Plan mensual'!K17,0))+parametros_manuales!$E$42*('Plan mensual'!K14+IF(parametros_manuales!$H$42="Todos",'Plan mensual'!K18,0))+parametros_manuales!$F$42*('Plan mensual'!K15+IF(parametros_manuales!$H$42="Todos",'Plan mensual'!K19,0))+parametros_manuales!$G$42*('Plan mensual'!K16+IF(parametros_manuales!$H$42="Todos",'Plan mensual'!K20,0)))*parametros_manuales!$I$42*parametros_manuales!$J$42</f>
        <v>831.310888515</v>
      </c>
      <c r="J53" s="14" t="n">
        <f aca="false">(parametros_manuales!$D$42*('Plan mensual'!L13+IF(parametros_manuales!$H$42="Todos",'Plan mensual'!L17,0))+parametros_manuales!$E$42*('Plan mensual'!L14+IF(parametros_manuales!$H$42="Todos",'Plan mensual'!L18,0))+parametros_manuales!$F$42*('Plan mensual'!L15+IF(parametros_manuales!$H$42="Todos",'Plan mensual'!L19,0))+parametros_manuales!$G$42*('Plan mensual'!L16+IF(parametros_manuales!$H$42="Todos",'Plan mensual'!L20,0)))*parametros_manuales!$I$42*parametros_manuales!$J$42</f>
        <v>831.310888515</v>
      </c>
      <c r="K53" s="14" t="n">
        <f aca="false">(parametros_manuales!$D$42*('Plan mensual'!M13+IF(parametros_manuales!$H$42="Todos",'Plan mensual'!M17,0))+parametros_manuales!$E$42*('Plan mensual'!M14+IF(parametros_manuales!$H$42="Todos",'Plan mensual'!M18,0))+parametros_manuales!$F$42*('Plan mensual'!M15+IF(parametros_manuales!$H$42="Todos",'Plan mensual'!M19,0))+parametros_manuales!$G$42*('Plan mensual'!M16+IF(parametros_manuales!$H$42="Todos",'Plan mensual'!M20,0)))*parametros_manuales!$I$42*parametros_manuales!$J$42</f>
        <v>807.466320375</v>
      </c>
      <c r="L53" s="14" t="n">
        <f aca="false">(parametros_manuales!$D$42*('Plan mensual'!N13+IF(parametros_manuales!$H$42="Todos",'Plan mensual'!N17,0))+parametros_manuales!$E$42*('Plan mensual'!N14+IF(parametros_manuales!$H$42="Todos",'Plan mensual'!N18,0))+parametros_manuales!$F$42*('Plan mensual'!N15+IF(parametros_manuales!$H$42="Todos",'Plan mensual'!N19,0))+parametros_manuales!$G$42*('Plan mensual'!N16+IF(parametros_manuales!$H$42="Todos",'Plan mensual'!N20,0)))*parametros_manuales!$I$42*parametros_manuales!$J$42</f>
        <v>783.621752235</v>
      </c>
      <c r="M53" s="14" t="n">
        <f aca="false">(parametros_manuales!$D$42*('Plan mensual'!O13+IF(parametros_manuales!$H$42="Todos",'Plan mensual'!O17,0))+parametros_manuales!$E$42*('Plan mensual'!O14+IF(parametros_manuales!$H$42="Todos",'Plan mensual'!O18,0))+parametros_manuales!$F$42*('Plan mensual'!O15+IF(parametros_manuales!$H$42="Todos",'Plan mensual'!O19,0))+parametros_manuales!$G$42*('Plan mensual'!O16+IF(parametros_manuales!$H$42="Todos",'Plan mensual'!O20,0)))*parametros_manuales!$I$42*parametros_manuales!$J$42</f>
        <v>1244.25697632</v>
      </c>
      <c r="N53" s="14" t="n">
        <f aca="false">SUM(B53:M53)</f>
        <v>10766.217605</v>
      </c>
      <c r="O53" s="14" t="n">
        <f aca="false">MAX(B53:M53)</f>
        <v>1244.25697632</v>
      </c>
      <c r="P53" s="57" t="n">
        <f aca="false">O53/(parametros_manuales!$B$7)</f>
        <v>8.2950465088</v>
      </c>
      <c r="Q53" s="13" t="str">
        <f aca="false">IF(O53=0,"-",INDEX($B$29:$M$29,MATCH(O53,B53:M53,0)))</f>
        <v>Dic</v>
      </c>
    </row>
    <row r="54" customFormat="false" ht="14.25" hidden="false" customHeight="true" outlineLevel="0" collapsed="false">
      <c r="A54" s="13" t="str">
        <f aca="false">parametros_manuales!$B$43</f>
        <v>Etiquetado</v>
      </c>
      <c r="B54" s="14" t="n">
        <f aca="false">(parametros_manuales!$D$43*('Plan mensual'!D13+IF(parametros_manuales!$H$43="Todos",'Plan mensual'!D17,0))+parametros_manuales!$E$43*('Plan mensual'!D14+IF(parametros_manuales!$H$43="Todos",'Plan mensual'!D18,0))+parametros_manuales!$F$43*('Plan mensual'!D15+IF(parametros_manuales!$H$43="Todos",'Plan mensual'!D19,0))+parametros_manuales!$G$43*('Plan mensual'!D16+IF(parametros_manuales!$H$43="Todos",'Plan mensual'!D20,0)))*parametros_manuales!$I$43*parametros_manuales!$J$43</f>
        <v>1196.56784004</v>
      </c>
      <c r="C54" s="14" t="n">
        <f aca="false">(parametros_manuales!$D$43*('Plan mensual'!E13+IF(parametros_manuales!$H$43="Todos",'Plan mensual'!E17,0))+parametros_manuales!$E$43*('Plan mensual'!E14+IF(parametros_manuales!$H$43="Todos",'Plan mensual'!E18,0))+parametros_manuales!$F$43*('Plan mensual'!E15+IF(parametros_manuales!$H$43="Todos",'Plan mensual'!E19,0))+parametros_manuales!$G$43*('Plan mensual'!E16+IF(parametros_manuales!$H$43="Todos",'Plan mensual'!E20,0)))*parametros_manuales!$I$43*parametros_manuales!$J$43</f>
        <v>921.27044817</v>
      </c>
      <c r="D54" s="14" t="n">
        <f aca="false">(parametros_manuales!$D$43*('Plan mensual'!F13+IF(parametros_manuales!$H$43="Todos",'Plan mensual'!F17,0))+parametros_manuales!$E$43*('Plan mensual'!F14+IF(parametros_manuales!$H$43="Todos",'Plan mensual'!F18,0))+parametros_manuales!$F$43*('Plan mensual'!F15+IF(parametros_manuales!$H$43="Todos",'Plan mensual'!F19,0))+parametros_manuales!$G$43*('Plan mensual'!F16+IF(parametros_manuales!$H$43="Todos",'Plan mensual'!F20,0)))*parametros_manuales!$I$43*parametros_manuales!$J$43</f>
        <v>885.14197654</v>
      </c>
      <c r="E54" s="14" t="n">
        <f aca="false">(parametros_manuales!$D$43*('Plan mensual'!G13+IF(parametros_manuales!$H$43="Todos",'Plan mensual'!G17,0))+parametros_manuales!$E$43*('Plan mensual'!G14+IF(parametros_manuales!$H$43="Todos",'Plan mensual'!G18,0))+parametros_manuales!$F$43*('Plan mensual'!G15+IF(parametros_manuales!$H$43="Todos",'Plan mensual'!G19,0))+parametros_manuales!$G$43*('Plan mensual'!G16+IF(parametros_manuales!$H$43="Todos",'Plan mensual'!G20,0)))*parametros_manuales!$I$43*parametros_manuales!$J$43</f>
        <v>855.155456655</v>
      </c>
      <c r="F54" s="14" t="n">
        <f aca="false">(parametros_manuales!$D$43*('Plan mensual'!H13+IF(parametros_manuales!$H$43="Todos",'Plan mensual'!H17,0))+parametros_manuales!$E$43*('Plan mensual'!H14+IF(parametros_manuales!$H$43="Todos",'Plan mensual'!H18,0))+parametros_manuales!$F$43*('Plan mensual'!H15+IF(parametros_manuales!$H$43="Todos",'Plan mensual'!H19,0))+parametros_manuales!$G$43*('Plan mensual'!H16+IF(parametros_manuales!$H$43="Todos",'Plan mensual'!H20,0)))*parametros_manuales!$I$43*parametros_manuales!$J$43</f>
        <v>801.32436863</v>
      </c>
      <c r="G54" s="14" t="n">
        <f aca="false">(parametros_manuales!$D$43*('Plan mensual'!I13+IF(parametros_manuales!$H$43="Todos",'Plan mensual'!I17,0))+parametros_manuales!$E$43*('Plan mensual'!I14+IF(parametros_manuales!$H$43="Todos",'Plan mensual'!I18,0))+parametros_manuales!$F$43*('Plan mensual'!I15+IF(parametros_manuales!$H$43="Todos",'Plan mensual'!I19,0))+parametros_manuales!$G$43*('Plan mensual'!I16+IF(parametros_manuales!$H$43="Todos",'Plan mensual'!I20,0)))*parametros_manuales!$I$43*parametros_manuales!$J$43</f>
        <v>777.47980049</v>
      </c>
      <c r="H54" s="14" t="n">
        <f aca="false">(parametros_manuales!$D$43*('Plan mensual'!J13+IF(parametros_manuales!$H$43="Todos",'Plan mensual'!J17,0))+parametros_manuales!$E$43*('Plan mensual'!J14+IF(parametros_manuales!$H$43="Todos",'Plan mensual'!J18,0))+parametros_manuales!$F$43*('Plan mensual'!J15+IF(parametros_manuales!$H$43="Todos",'Plan mensual'!J19,0))+parametros_manuales!$G$43*('Plan mensual'!J16+IF(parametros_manuales!$H$43="Todos",'Plan mensual'!J20,0)))*parametros_manuales!$I$43*parametros_manuales!$J$43</f>
        <v>831.310888515</v>
      </c>
      <c r="I54" s="14" t="n">
        <f aca="false">(parametros_manuales!$D$43*('Plan mensual'!K13+IF(parametros_manuales!$H$43="Todos",'Plan mensual'!K17,0))+parametros_manuales!$E$43*('Plan mensual'!K14+IF(parametros_manuales!$H$43="Todos",'Plan mensual'!K18,0))+parametros_manuales!$F$43*('Plan mensual'!K15+IF(parametros_manuales!$H$43="Todos",'Plan mensual'!K19,0))+parametros_manuales!$G$43*('Plan mensual'!K16+IF(parametros_manuales!$H$43="Todos",'Plan mensual'!K20,0)))*parametros_manuales!$I$43*parametros_manuales!$J$43</f>
        <v>831.310888515</v>
      </c>
      <c r="J54" s="14" t="n">
        <f aca="false">(parametros_manuales!$D$43*('Plan mensual'!L13+IF(parametros_manuales!$H$43="Todos",'Plan mensual'!L17,0))+parametros_manuales!$E$43*('Plan mensual'!L14+IF(parametros_manuales!$H$43="Todos",'Plan mensual'!L18,0))+parametros_manuales!$F$43*('Plan mensual'!L15+IF(parametros_manuales!$H$43="Todos",'Plan mensual'!L19,0))+parametros_manuales!$G$43*('Plan mensual'!L16+IF(parametros_manuales!$H$43="Todos",'Plan mensual'!L20,0)))*parametros_manuales!$I$43*parametros_manuales!$J$43</f>
        <v>831.310888515</v>
      </c>
      <c r="K54" s="14" t="n">
        <f aca="false">(parametros_manuales!$D$43*('Plan mensual'!M13+IF(parametros_manuales!$H$43="Todos",'Plan mensual'!M17,0))+parametros_manuales!$E$43*('Plan mensual'!M14+IF(parametros_manuales!$H$43="Todos",'Plan mensual'!M18,0))+parametros_manuales!$F$43*('Plan mensual'!M15+IF(parametros_manuales!$H$43="Todos",'Plan mensual'!M19,0))+parametros_manuales!$G$43*('Plan mensual'!M16+IF(parametros_manuales!$H$43="Todos",'Plan mensual'!M20,0)))*parametros_manuales!$I$43*parametros_manuales!$J$43</f>
        <v>807.466320375</v>
      </c>
      <c r="L54" s="14" t="n">
        <f aca="false">(parametros_manuales!$D$43*('Plan mensual'!N13+IF(parametros_manuales!$H$43="Todos",'Plan mensual'!N17,0))+parametros_manuales!$E$43*('Plan mensual'!N14+IF(parametros_manuales!$H$43="Todos",'Plan mensual'!N18,0))+parametros_manuales!$F$43*('Plan mensual'!N15+IF(parametros_manuales!$H$43="Todos",'Plan mensual'!N19,0))+parametros_manuales!$G$43*('Plan mensual'!N16+IF(parametros_manuales!$H$43="Todos",'Plan mensual'!N20,0)))*parametros_manuales!$I$43*parametros_manuales!$J$43</f>
        <v>783.621752235</v>
      </c>
      <c r="M54" s="14" t="n">
        <f aca="false">(parametros_manuales!$D$43*('Plan mensual'!O13+IF(parametros_manuales!$H$43="Todos",'Plan mensual'!O17,0))+parametros_manuales!$E$43*('Plan mensual'!O14+IF(parametros_manuales!$H$43="Todos",'Plan mensual'!O18,0))+parametros_manuales!$F$43*('Plan mensual'!O15+IF(parametros_manuales!$H$43="Todos",'Plan mensual'!O19,0))+parametros_manuales!$G$43*('Plan mensual'!O16+IF(parametros_manuales!$H$43="Todos",'Plan mensual'!O20,0)))*parametros_manuales!$I$43*parametros_manuales!$J$43</f>
        <v>1244.25697632</v>
      </c>
      <c r="N54" s="14" t="n">
        <f aca="false">SUM(B54:M54)</f>
        <v>10766.217605</v>
      </c>
      <c r="O54" s="14" t="n">
        <f aca="false">MAX(B54:M54)</f>
        <v>1244.25697632</v>
      </c>
      <c r="P54" s="57" t="n">
        <f aca="false">O54/(parametros_manuales!$B$7)</f>
        <v>8.2950465088</v>
      </c>
      <c r="Q54" s="13" t="str">
        <f aca="false">IF(O54=0,"-",INDEX($B$29:$M$29,MATCH(O54,B54:M54,0)))</f>
        <v>Dic</v>
      </c>
    </row>
    <row r="55" customFormat="false" ht="14.25" hidden="false" customHeight="true" outlineLevel="0" collapsed="false">
      <c r="A55" s="13" t="str">
        <f aca="false">parametros_manuales!$B$44</f>
        <v>Embalaje y paletizado</v>
      </c>
      <c r="B55" s="14" t="n">
        <f aca="false">(parametros_manuales!$D$44*('Plan mensual'!D13+IF(parametros_manuales!$H$44="Todos",'Plan mensual'!D17,0))+parametros_manuales!$E$44*('Plan mensual'!D14+IF(parametros_manuales!$H$44="Todos",'Plan mensual'!D18,0))+parametros_manuales!$F$44*('Plan mensual'!D15+IF(parametros_manuales!$H$44="Todos",'Plan mensual'!D19,0))+parametros_manuales!$G$44*('Plan mensual'!D16+IF(parametros_manuales!$H$44="Todos",'Plan mensual'!D20,0)))*parametros_manuales!$I$44*parametros_manuales!$J$44</f>
        <v>1203.14384004</v>
      </c>
      <c r="C55" s="14" t="n">
        <f aca="false">(parametros_manuales!$D$44*('Plan mensual'!E13+IF(parametros_manuales!$H$44="Todos",'Plan mensual'!E17,0))+parametros_manuales!$E$44*('Plan mensual'!E14+IF(parametros_manuales!$H$44="Todos",'Plan mensual'!E18,0))+parametros_manuales!$F$44*('Plan mensual'!E15+IF(parametros_manuales!$H$44="Todos",'Plan mensual'!E19,0))+parametros_manuales!$G$44*('Plan mensual'!E16+IF(parametros_manuales!$H$44="Todos",'Plan mensual'!E20,0)))*parametros_manuales!$I$44*parametros_manuales!$J$44</f>
        <v>926.53124817</v>
      </c>
      <c r="D55" s="14" t="n">
        <f aca="false">(parametros_manuales!$D$44*('Plan mensual'!F13+IF(parametros_manuales!$H$44="Todos",'Plan mensual'!F17,0))+parametros_manuales!$E$44*('Plan mensual'!F14+IF(parametros_manuales!$H$44="Todos",'Plan mensual'!F18,0))+parametros_manuales!$F$44*('Plan mensual'!F15+IF(parametros_manuales!$H$44="Todos",'Plan mensual'!F19,0))+parametros_manuales!$G$44*('Plan mensual'!F16+IF(parametros_manuales!$H$44="Todos",'Plan mensual'!F20,0)))*parametros_manuales!$I$44*parametros_manuales!$J$44</f>
        <v>890.73157654</v>
      </c>
      <c r="E55" s="14" t="n">
        <f aca="false">(parametros_manuales!$D$44*('Plan mensual'!G13+IF(parametros_manuales!$H$44="Todos",'Plan mensual'!G17,0))+parametros_manuales!$E$44*('Plan mensual'!G14+IF(parametros_manuales!$H$44="Todos",'Plan mensual'!G18,0))+parametros_manuales!$F$44*('Plan mensual'!G15+IF(parametros_manuales!$H$44="Todos",'Plan mensual'!G19,0))+parametros_manuales!$G$44*('Plan mensual'!G16+IF(parametros_manuales!$H$44="Todos",'Plan mensual'!G20,0)))*parametros_manuales!$I$44*parametros_manuales!$J$44</f>
        <v>860.745056655</v>
      </c>
      <c r="F55" s="14" t="n">
        <f aca="false">(parametros_manuales!$D$44*('Plan mensual'!H13+IF(parametros_manuales!$H$44="Todos",'Plan mensual'!H17,0))+parametros_manuales!$E$44*('Plan mensual'!H14+IF(parametros_manuales!$H$44="Todos",'Plan mensual'!H18,0))+parametros_manuales!$F$44*('Plan mensual'!H15+IF(parametros_manuales!$H$44="Todos",'Plan mensual'!H19,0))+parametros_manuales!$G$44*('Plan mensual'!H16+IF(parametros_manuales!$H$44="Todos",'Plan mensual'!H20,0)))*parametros_manuales!$I$44*parametros_manuales!$J$44</f>
        <v>806.58516863</v>
      </c>
      <c r="G55" s="14" t="n">
        <f aca="false">(parametros_manuales!$D$44*('Plan mensual'!I13+IF(parametros_manuales!$H$44="Todos",'Plan mensual'!I17,0))+parametros_manuales!$E$44*('Plan mensual'!I14+IF(parametros_manuales!$H$44="Todos",'Plan mensual'!I18,0))+parametros_manuales!$F$44*('Plan mensual'!I15+IF(parametros_manuales!$H$44="Todos",'Plan mensual'!I19,0))+parametros_manuales!$G$44*('Plan mensual'!I16+IF(parametros_manuales!$H$44="Todos",'Plan mensual'!I20,0)))*parametros_manuales!$I$44*parametros_manuales!$J$44</f>
        <v>782.41180049</v>
      </c>
      <c r="H55" s="14" t="n">
        <f aca="false">(parametros_manuales!$D$44*('Plan mensual'!J13+IF(parametros_manuales!$H$44="Todos",'Plan mensual'!J17,0))+parametros_manuales!$E$44*('Plan mensual'!J14+IF(parametros_manuales!$H$44="Todos",'Plan mensual'!J18,0))+parametros_manuales!$F$44*('Plan mensual'!J15+IF(parametros_manuales!$H$44="Todos",'Plan mensual'!J19,0))+parametros_manuales!$G$44*('Plan mensual'!J16+IF(parametros_manuales!$H$44="Todos",'Plan mensual'!J20,0)))*parametros_manuales!$I$44*parametros_manuales!$J$44</f>
        <v>836.571688515</v>
      </c>
      <c r="I55" s="14" t="n">
        <f aca="false">(parametros_manuales!$D$44*('Plan mensual'!K13+IF(parametros_manuales!$H$44="Todos",'Plan mensual'!K17,0))+parametros_manuales!$E$44*('Plan mensual'!K14+IF(parametros_manuales!$H$44="Todos",'Plan mensual'!K18,0))+parametros_manuales!$F$44*('Plan mensual'!K15+IF(parametros_manuales!$H$44="Todos",'Plan mensual'!K19,0))+parametros_manuales!$G$44*('Plan mensual'!K16+IF(parametros_manuales!$H$44="Todos",'Plan mensual'!K20,0)))*parametros_manuales!$I$44*parametros_manuales!$J$44</f>
        <v>836.571688515</v>
      </c>
      <c r="J55" s="14" t="n">
        <f aca="false">(parametros_manuales!$D$44*('Plan mensual'!L13+IF(parametros_manuales!$H$44="Todos",'Plan mensual'!L17,0))+parametros_manuales!$E$44*('Plan mensual'!L14+IF(parametros_manuales!$H$44="Todos",'Plan mensual'!L18,0))+parametros_manuales!$F$44*('Plan mensual'!L15+IF(parametros_manuales!$H$44="Todos",'Plan mensual'!L19,0))+parametros_manuales!$G$44*('Plan mensual'!L16+IF(parametros_manuales!$H$44="Todos",'Plan mensual'!L20,0)))*parametros_manuales!$I$44*parametros_manuales!$J$44</f>
        <v>836.571688515</v>
      </c>
      <c r="K55" s="14" t="n">
        <f aca="false">(parametros_manuales!$D$44*('Plan mensual'!M13+IF(parametros_manuales!$H$44="Todos",'Plan mensual'!M17,0))+parametros_manuales!$E$44*('Plan mensual'!M14+IF(parametros_manuales!$H$44="Todos",'Plan mensual'!M18,0))+parametros_manuales!$F$44*('Plan mensual'!M15+IF(parametros_manuales!$H$44="Todos",'Plan mensual'!M19,0))+parametros_manuales!$G$44*('Plan mensual'!M16+IF(parametros_manuales!$H$44="Todos",'Plan mensual'!M20,0)))*parametros_manuales!$I$44*parametros_manuales!$J$44</f>
        <v>812.398320375</v>
      </c>
      <c r="L55" s="14" t="n">
        <f aca="false">(parametros_manuales!$D$44*('Plan mensual'!N13+IF(parametros_manuales!$H$44="Todos",'Plan mensual'!N17,0))+parametros_manuales!$E$44*('Plan mensual'!N14+IF(parametros_manuales!$H$44="Todos",'Plan mensual'!N18,0))+parametros_manuales!$F$44*('Plan mensual'!N15+IF(parametros_manuales!$H$44="Todos",'Plan mensual'!N19,0))+parametros_manuales!$G$44*('Plan mensual'!N16+IF(parametros_manuales!$H$44="Todos",'Plan mensual'!N20,0)))*parametros_manuales!$I$44*parametros_manuales!$J$44</f>
        <v>788.224952235</v>
      </c>
      <c r="M55" s="14" t="n">
        <f aca="false">(parametros_manuales!$D$44*('Plan mensual'!O13+IF(parametros_manuales!$H$44="Todos",'Plan mensual'!O17,0))+parametros_manuales!$E$44*('Plan mensual'!O14+IF(parametros_manuales!$H$44="Todos",'Plan mensual'!O18,0))+parametros_manuales!$F$44*('Plan mensual'!O15+IF(parametros_manuales!$H$44="Todos",'Plan mensual'!O19,0))+parametros_manuales!$G$44*('Plan mensual'!O16+IF(parametros_manuales!$H$44="Todos",'Plan mensual'!O20,0)))*parametros_manuales!$I$44*parametros_manuales!$J$44</f>
        <v>1251.49057632</v>
      </c>
      <c r="N55" s="14" t="n">
        <f aca="false">SUM(B55:M55)</f>
        <v>10831.977605</v>
      </c>
      <c r="O55" s="14" t="n">
        <f aca="false">MAX(B55:M55)</f>
        <v>1251.49057632</v>
      </c>
      <c r="P55" s="57" t="n">
        <f aca="false">O55/(parametros_manuales!$B$7)</f>
        <v>8.3432705088</v>
      </c>
      <c r="Q55" s="13" t="str">
        <f aca="false">IF(O55=0,"-",INDEX($B$29:$M$29,MATCH(O55,B55:M55,0)))</f>
        <v>Dic</v>
      </c>
    </row>
    <row r="56" customFormat="false" ht="14.25" hidden="false" customHeight="true" outlineLevel="0" collapsed="false"/>
    <row r="57" customFormat="false" ht="14.25" hidden="false" customHeight="true" outlineLevel="0" collapsed="false">
      <c r="A57" s="12" t="s">
        <v>270</v>
      </c>
      <c r="B57" s="12" t="s">
        <v>37</v>
      </c>
      <c r="C57" s="12" t="s">
        <v>38</v>
      </c>
      <c r="D57" s="12" t="s">
        <v>39</v>
      </c>
      <c r="E57" s="12" t="s">
        <v>40</v>
      </c>
      <c r="F57" s="12" t="s">
        <v>41</v>
      </c>
      <c r="G57" s="12" t="s">
        <v>42</v>
      </c>
      <c r="H57" s="12" t="s">
        <v>43</v>
      </c>
      <c r="I57" s="12" t="s">
        <v>44</v>
      </c>
      <c r="J57" s="12" t="s">
        <v>45</v>
      </c>
      <c r="K57" s="12" t="s">
        <v>46</v>
      </c>
      <c r="L57" s="12" t="s">
        <v>47</v>
      </c>
      <c r="M57" s="12" t="s">
        <v>48</v>
      </c>
      <c r="N57" s="12" t="s">
        <v>261</v>
      </c>
      <c r="O57" s="12" t="s">
        <v>266</v>
      </c>
      <c r="P57" s="12" t="s">
        <v>267</v>
      </c>
      <c r="Q57" s="12" t="s">
        <v>268</v>
      </c>
    </row>
    <row r="58" customFormat="false" ht="14.25" hidden="false" customHeight="true" outlineLevel="0" collapsed="false">
      <c r="A58" s="13" t="str">
        <f aca="false">parametros_manuales!$B$19</f>
        <v>Recepción de materia prima</v>
      </c>
      <c r="B58" s="14" t="n">
        <f aca="false">(parametros_manuales!$D$19*('Plan mensual'!D24+IF(parametros_manuales!$H$19="Todos",'Plan mensual'!D28,0))+parametros_manuales!$E$19*('Plan mensual'!D25+IF(parametros_manuales!$H$19="Todos",'Plan mensual'!D29,0))+parametros_manuales!$F$19*('Plan mensual'!D26+IF(parametros_manuales!$H$19="Todos",'Plan mensual'!D30,0))+parametros_manuales!$G$19*('Plan mensual'!D27+IF(parametros_manuales!$H$19="Todos",'Plan mensual'!D31,0)))*parametros_manuales!$I$19*parametros_manuales!$J$19</f>
        <v>2579.0721738</v>
      </c>
      <c r="C58" s="14" t="n">
        <f aca="false">(parametros_manuales!$D$19*('Plan mensual'!E24+IF(parametros_manuales!$H$19="Todos",'Plan mensual'!E28,0))+parametros_manuales!$E$19*('Plan mensual'!E25+IF(parametros_manuales!$H$19="Todos",'Plan mensual'!E29,0))+parametros_manuales!$F$19*('Plan mensual'!E26+IF(parametros_manuales!$H$19="Todos",'Plan mensual'!E30,0))+parametros_manuales!$G$19*('Plan mensual'!E27+IF(parametros_manuales!$H$19="Todos",'Plan mensual'!E31,0)))*parametros_manuales!$I$19*parametros_manuales!$J$19</f>
        <v>1976.172852492</v>
      </c>
      <c r="D58" s="14" t="n">
        <f aca="false">(parametros_manuales!$D$19*('Plan mensual'!F24+IF(parametros_manuales!$H$19="Todos",'Plan mensual'!F28,0))+parametros_manuales!$E$19*('Plan mensual'!F25+IF(parametros_manuales!$H$19="Todos",'Plan mensual'!F29,0))+parametros_manuales!$F$19*('Plan mensual'!F26+IF(parametros_manuales!$H$19="Todos",'Plan mensual'!F30,0))+parametros_manuales!$G$19*('Plan mensual'!F27+IF(parametros_manuales!$H$19="Todos",'Plan mensual'!F31,0)))*parametros_manuales!$I$19*parametros_manuales!$J$19</f>
        <v>1872.900097054</v>
      </c>
      <c r="E58" s="14" t="n">
        <f aca="false">(parametros_manuales!$D$19*('Plan mensual'!G24+IF(parametros_manuales!$H$19="Todos",'Plan mensual'!G28,0))+parametros_manuales!$E$19*('Plan mensual'!G25+IF(parametros_manuales!$H$19="Todos",'Plan mensual'!G29,0))+parametros_manuales!$F$19*('Plan mensual'!G26+IF(parametros_manuales!$H$19="Todos",'Plan mensual'!G30,0))+parametros_manuales!$G$19*('Plan mensual'!G27+IF(parametros_manuales!$H$19="Todos",'Plan mensual'!G31,0)))*parametros_manuales!$I$19*parametros_manuales!$J$19</f>
        <v>1800.329358264</v>
      </c>
      <c r="F58" s="14" t="n">
        <f aca="false">(parametros_manuales!$D$19*('Plan mensual'!H24+IF(parametros_manuales!$H$19="Todos",'Plan mensual'!H28,0))+parametros_manuales!$E$19*('Plan mensual'!H25+IF(parametros_manuales!$H$19="Todos",'Plan mensual'!H29,0))+parametros_manuales!$F$19*('Plan mensual'!H26+IF(parametros_manuales!$H$19="Todos",'Plan mensual'!H30,0))+parametros_manuales!$G$19*('Plan mensual'!H27+IF(parametros_manuales!$H$19="Todos",'Plan mensual'!H31,0)))*parametros_manuales!$I$19*parametros_manuales!$J$19</f>
        <v>1685.889897332</v>
      </c>
      <c r="G58" s="14" t="n">
        <f aca="false">(parametros_manuales!$D$19*('Plan mensual'!I24+IF(parametros_manuales!$H$19="Todos",'Plan mensual'!I28,0))+parametros_manuales!$E$19*('Plan mensual'!I25+IF(parametros_manuales!$H$19="Todos",'Plan mensual'!I29,0))+parametros_manuales!$F$19*('Plan mensual'!I26+IF(parametros_manuales!$H$19="Todos",'Plan mensual'!I30,0))+parametros_manuales!$G$19*('Plan mensual'!I27+IF(parametros_manuales!$H$19="Todos",'Plan mensual'!I31,0)))*parametros_manuales!$I$19*parametros_manuales!$J$19</f>
        <v>1644.02117519</v>
      </c>
      <c r="H58" s="14" t="n">
        <f aca="false">(parametros_manuales!$D$19*('Plan mensual'!J24+IF(parametros_manuales!$H$19="Todos",'Plan mensual'!J28,0))+parametros_manuales!$E$19*('Plan mensual'!J25+IF(parametros_manuales!$H$19="Todos",'Plan mensual'!J29,0))+parametros_manuales!$F$19*('Plan mensual'!J26+IF(parametros_manuales!$H$19="Todos",'Plan mensual'!J30,0))+parametros_manuales!$G$19*('Plan mensual'!J27+IF(parametros_manuales!$H$19="Todos",'Plan mensual'!J31,0)))*parametros_manuales!$I$19*parametros_manuales!$J$19</f>
        <v>1758.460636122</v>
      </c>
      <c r="I58" s="14" t="n">
        <f aca="false">(parametros_manuales!$D$19*('Plan mensual'!K24+IF(parametros_manuales!$H$19="Todos",'Plan mensual'!K28,0))+parametros_manuales!$E$19*('Plan mensual'!K25+IF(parametros_manuales!$H$19="Todos",'Plan mensual'!K29,0))+parametros_manuales!$F$19*('Plan mensual'!K26+IF(parametros_manuales!$H$19="Todos",'Plan mensual'!K30,0))+parametros_manuales!$G$19*('Plan mensual'!K27+IF(parametros_manuales!$H$19="Todos",'Plan mensual'!K31,0)))*parametros_manuales!$I$19*parametros_manuales!$J$19</f>
        <v>1758.460636122</v>
      </c>
      <c r="J58" s="14" t="n">
        <f aca="false">(parametros_manuales!$D$19*('Plan mensual'!L24+IF(parametros_manuales!$H$19="Todos",'Plan mensual'!L28,0))+parametros_manuales!$E$19*('Plan mensual'!L25+IF(parametros_manuales!$H$19="Todos",'Plan mensual'!L29,0))+parametros_manuales!$F$19*('Plan mensual'!L26+IF(parametros_manuales!$H$19="Todos",'Plan mensual'!L30,0))+parametros_manuales!$G$19*('Plan mensual'!L27+IF(parametros_manuales!$H$19="Todos",'Plan mensual'!L31,0)))*parametros_manuales!$I$19*parametros_manuales!$J$19</f>
        <v>1758.460636122</v>
      </c>
      <c r="K58" s="14" t="n">
        <f aca="false">(parametros_manuales!$D$19*('Plan mensual'!M24+IF(parametros_manuales!$H$19="Todos",'Plan mensual'!M28,0))+parametros_manuales!$E$19*('Plan mensual'!M25+IF(parametros_manuales!$H$19="Todos",'Plan mensual'!M29,0))+parametros_manuales!$F$19*('Plan mensual'!M26+IF(parametros_manuales!$H$19="Todos",'Plan mensual'!M30,0))+parametros_manuales!$G$19*('Plan mensual'!M27+IF(parametros_manuales!$H$19="Todos",'Plan mensual'!M31,0)))*parametros_manuales!$I$19*parametros_manuales!$J$19</f>
        <v>1716.59191398</v>
      </c>
      <c r="L58" s="14" t="n">
        <f aca="false">(parametros_manuales!$D$19*('Plan mensual'!N24+IF(parametros_manuales!$H$19="Todos",'Plan mensual'!N28,0))+parametros_manuales!$E$19*('Plan mensual'!N25+IF(parametros_manuales!$H$19="Todos",'Plan mensual'!N29,0))+parametros_manuales!$F$19*('Plan mensual'!N26+IF(parametros_manuales!$H$19="Todos",'Plan mensual'!N30,0))+parametros_manuales!$G$19*('Plan mensual'!N27+IF(parametros_manuales!$H$19="Todos",'Plan mensual'!N31,0)))*parametros_manuales!$I$19*parametros_manuales!$J$19</f>
        <v>1674.723191838</v>
      </c>
      <c r="M58" s="14" t="n">
        <f aca="false">(parametros_manuales!$D$19*('Plan mensual'!O24+IF(parametros_manuales!$H$19="Todos",'Plan mensual'!O28,0))+parametros_manuales!$E$19*('Plan mensual'!O25+IF(parametros_manuales!$H$19="Todos",'Plan mensual'!O29,0))+parametros_manuales!$F$19*('Plan mensual'!O26+IF(parametros_manuales!$H$19="Todos",'Plan mensual'!O30,0))+parametros_manuales!$G$19*('Plan mensual'!O27+IF(parametros_manuales!$H$19="Todos",'Plan mensual'!O31,0)))*parametros_manuales!$I$19*parametros_manuales!$J$19</f>
        <v>2662.809618084</v>
      </c>
      <c r="N58" s="14" t="n">
        <f aca="false">SUM(B58:M58)</f>
        <v>22887.8921864</v>
      </c>
      <c r="O58" s="14" t="n">
        <f aca="false">MAX(B58:M58)</f>
        <v>2662.809618084</v>
      </c>
      <c r="P58" s="57" t="n">
        <f aca="false">O58/(parametros_manuales!$B$7)</f>
        <v>17.75206412056</v>
      </c>
      <c r="Q58" s="13" t="str">
        <f aca="false">IF(O58=0,"-",INDEX($B$57:$M$57,MATCH(O58,B58:M58,0)))</f>
        <v>Dic</v>
      </c>
    </row>
    <row r="59" customFormat="false" ht="14.25" hidden="false" customHeight="true" outlineLevel="0" collapsed="false">
      <c r="A59" s="13" t="str">
        <f aca="false">parametros_manuales!$B$20</f>
        <v>Corte de chapa — 1.er corte en franjas (guillotina 1, manuales + carros)</v>
      </c>
      <c r="B59" s="14" t="n">
        <f aca="false">(parametros_manuales!$D$20*('Plan mensual'!D24+IF(parametros_manuales!$H$20="Todos",'Plan mensual'!D28,0))+parametros_manuales!$E$20*('Plan mensual'!D25+IF(parametros_manuales!$H$20="Todos",'Plan mensual'!D29,0))+parametros_manuales!$F$20*('Plan mensual'!D26+IF(parametros_manuales!$H$20="Todos",'Plan mensual'!D30,0))+parametros_manuales!$G$20*('Plan mensual'!D27+IF(parametros_manuales!$H$20="Todos",'Plan mensual'!D31,0)))*parametros_manuales!$I$20*parametros_manuales!$J$20+parametros_manuales!$B$150</f>
        <v>2803.87881614385</v>
      </c>
      <c r="C59" s="14" t="n">
        <f aca="false">(parametros_manuales!$D$20*('Plan mensual'!E24+IF(parametros_manuales!$H$20="Todos",'Plan mensual'!E28,0))+parametros_manuales!$E$20*('Plan mensual'!E25+IF(parametros_manuales!$H$20="Todos",'Plan mensual'!E29,0))+parametros_manuales!$F$20*('Plan mensual'!E26+IF(parametros_manuales!$H$20="Todos",'Plan mensual'!E30,0))+parametros_manuales!$G$20*('Plan mensual'!E27+IF(parametros_manuales!$H$20="Todos",'Plan mensual'!E31,0)))*parametros_manuales!$I$20*parametros_manuales!$J$20+parametros_manuales!$C$150</f>
        <v>2174.5316545601</v>
      </c>
      <c r="D59" s="14" t="n">
        <f aca="false">(parametros_manuales!$D$20*('Plan mensual'!F24+IF(parametros_manuales!$H$20="Todos",'Plan mensual'!F28,0))+parametros_manuales!$E$20*('Plan mensual'!F25+IF(parametros_manuales!$H$20="Todos",'Plan mensual'!F29,0))+parametros_manuales!$F$20*('Plan mensual'!F26+IF(parametros_manuales!$H$20="Todos",'Plan mensual'!F30,0))+parametros_manuales!$G$20*('Plan mensual'!F27+IF(parametros_manuales!$H$20="Todos",'Plan mensual'!F31,0)))*parametros_manuales!$I$20*parametros_manuales!$J$20+parametros_manuales!$D$150</f>
        <v>2110.93065953572</v>
      </c>
      <c r="E59" s="14" t="n">
        <f aca="false">(parametros_manuales!$D$20*('Plan mensual'!G24+IF(parametros_manuales!$H$20="Todos",'Plan mensual'!G28,0))+parametros_manuales!$E$20*('Plan mensual'!G25+IF(parametros_manuales!$H$20="Todos",'Plan mensual'!G29,0))+parametros_manuales!$F$20*('Plan mensual'!G26+IF(parametros_manuales!$H$20="Todos",'Plan mensual'!G30,0))+parametros_manuales!$G$20*('Plan mensual'!G27+IF(parametros_manuales!$H$20="Todos",'Plan mensual'!G31,0)))*parametros_manuales!$I$20*parametros_manuales!$J$20+parametros_manuales!$E$150</f>
        <v>2038.35992074572</v>
      </c>
      <c r="F59" s="14" t="n">
        <f aca="false">(parametros_manuales!$D$20*('Plan mensual'!H24+IF(parametros_manuales!$H$20="Todos",'Plan mensual'!H28,0))+parametros_manuales!$E$20*('Plan mensual'!H25+IF(parametros_manuales!$H$20="Todos",'Plan mensual'!H29,0))+parametros_manuales!$F$20*('Plan mensual'!H26+IF(parametros_manuales!$H$20="Todos",'Plan mensual'!H30,0))+parametros_manuales!$G$20*('Plan mensual'!H27+IF(parametros_manuales!$H$20="Todos",'Plan mensual'!H31,0)))*parametros_manuales!$I$20*parametros_manuales!$J$20+parametros_manuales!$F$150</f>
        <v>1923.92045981372</v>
      </c>
      <c r="G59" s="14" t="n">
        <f aca="false">(parametros_manuales!$D$20*('Plan mensual'!I24+IF(parametros_manuales!$H$20="Todos",'Plan mensual'!I28,0))+parametros_manuales!$E$20*('Plan mensual'!I25+IF(parametros_manuales!$H$20="Todos",'Plan mensual'!I29,0))+parametros_manuales!$F$20*('Plan mensual'!I26+IF(parametros_manuales!$H$20="Todos",'Plan mensual'!I30,0))+parametros_manuales!$G$20*('Plan mensual'!I27+IF(parametros_manuales!$H$20="Todos",'Plan mensual'!I31,0)))*parametros_manuales!$I$20*parametros_manuales!$J$20+parametros_manuales!$G$150</f>
        <v>1855.60389739597</v>
      </c>
      <c r="H59" s="14" t="n">
        <f aca="false">(parametros_manuales!$D$20*('Plan mensual'!J24+IF(parametros_manuales!$H$20="Todos",'Plan mensual'!J28,0))+parametros_manuales!$E$20*('Plan mensual'!J25+IF(parametros_manuales!$H$20="Todos",'Plan mensual'!J29,0))+parametros_manuales!$F$20*('Plan mensual'!J26+IF(parametros_manuales!$H$20="Todos",'Plan mensual'!J30,0))+parametros_manuales!$G$20*('Plan mensual'!J27+IF(parametros_manuales!$H$20="Todos",'Plan mensual'!J31,0)))*parametros_manuales!$I$20*parametros_manuales!$J$20+parametros_manuales!$H$150</f>
        <v>1996.49119860372</v>
      </c>
      <c r="I59" s="14" t="n">
        <f aca="false">(parametros_manuales!$D$20*('Plan mensual'!K24+IF(parametros_manuales!$H$20="Todos",'Plan mensual'!K28,0))+parametros_manuales!$E$20*('Plan mensual'!K25+IF(parametros_manuales!$H$20="Todos",'Plan mensual'!K29,0))+parametros_manuales!$F$20*('Plan mensual'!K26+IF(parametros_manuales!$H$20="Todos",'Plan mensual'!K30,0))+parametros_manuales!$G$20*('Plan mensual'!K27+IF(parametros_manuales!$H$20="Todos",'Plan mensual'!K31,0)))*parametros_manuales!$I$20*parametros_manuales!$J$20+parametros_manuales!$I$150</f>
        <v>1996.49119860372</v>
      </c>
      <c r="J59" s="14" t="n">
        <f aca="false">(parametros_manuales!$D$20*('Plan mensual'!L24+IF(parametros_manuales!$H$20="Todos",'Plan mensual'!L28,0))+parametros_manuales!$E$20*('Plan mensual'!L25+IF(parametros_manuales!$H$20="Todos",'Plan mensual'!L29,0))+parametros_manuales!$F$20*('Plan mensual'!L26+IF(parametros_manuales!$H$20="Todos",'Plan mensual'!L30,0))+parametros_manuales!$G$20*('Plan mensual'!L27+IF(parametros_manuales!$H$20="Todos",'Plan mensual'!L31,0)))*parametros_manuales!$I$20*parametros_manuales!$J$20+parametros_manuales!$J$150</f>
        <v>1983.26727846585</v>
      </c>
      <c r="K59" s="14" t="n">
        <f aca="false">(parametros_manuales!$D$20*('Plan mensual'!M24+IF(parametros_manuales!$H$20="Todos",'Plan mensual'!M28,0))+parametros_manuales!$E$20*('Plan mensual'!M25+IF(parametros_manuales!$H$20="Todos",'Plan mensual'!M29,0))+parametros_manuales!$F$20*('Plan mensual'!M26+IF(parametros_manuales!$H$20="Todos",'Plan mensual'!M30,0))+parametros_manuales!$G$20*('Plan mensual'!M27+IF(parametros_manuales!$H$20="Todos",'Plan mensual'!M31,0)))*parametros_manuales!$I$20*parametros_manuales!$J$20+parametros_manuales!$K$150</f>
        <v>1914.9507160481</v>
      </c>
      <c r="L59" s="14" t="n">
        <f aca="false">(parametros_manuales!$D$20*('Plan mensual'!N24+IF(parametros_manuales!$H$20="Todos",'Plan mensual'!N28,0))+parametros_manuales!$E$20*('Plan mensual'!N25+IF(parametros_manuales!$H$20="Todos",'Plan mensual'!N29,0))+parametros_manuales!$F$20*('Plan mensual'!N26+IF(parametros_manuales!$H$20="Todos",'Plan mensual'!N30,0))+parametros_manuales!$G$20*('Plan mensual'!N27+IF(parametros_manuales!$H$20="Todos",'Plan mensual'!N31,0)))*parametros_manuales!$I$20*parametros_manuales!$J$20+parametros_manuales!$L$150</f>
        <v>1859.85807376823</v>
      </c>
      <c r="M59" s="14" t="n">
        <f aca="false">(parametros_manuales!$D$20*('Plan mensual'!O24+IF(parametros_manuales!$H$20="Todos",'Plan mensual'!O28,0))+parametros_manuales!$E$20*('Plan mensual'!O25+IF(parametros_manuales!$H$20="Todos",'Plan mensual'!O29,0))+parametros_manuales!$F$20*('Plan mensual'!O26+IF(parametros_manuales!$H$20="Todos",'Plan mensual'!O30,0))+parametros_manuales!$G$20*('Plan mensual'!O27+IF(parametros_manuales!$H$20="Todos",'Plan mensual'!O31,0)))*parametros_manuales!$I$20*parametros_manuales!$J$20+parametros_manuales!$M$150</f>
        <v>2874.39234028997</v>
      </c>
      <c r="N59" s="14" t="n">
        <f aca="false">SUM(B59:M59)</f>
        <v>25532.6762139747</v>
      </c>
      <c r="O59" s="14" t="n">
        <f aca="false">MAX(B59:M59)</f>
        <v>2874.39234028997</v>
      </c>
      <c r="P59" s="57" t="n">
        <f aca="false">O59/(parametros_manuales!$B$7)</f>
        <v>19.1626156019332</v>
      </c>
      <c r="Q59" s="13" t="str">
        <f aca="false">IF(O59=0,"-",INDEX($B$57:$M$57,MATCH(O59,B59:M59,0)))</f>
        <v>Dic</v>
      </c>
    </row>
    <row r="60" customFormat="false" ht="14.25" hidden="false" customHeight="true" outlineLevel="0" collapsed="false">
      <c r="A60" s="13" t="str">
        <f aca="false">parametros_manuales!$B$21</f>
        <v>Corte de chapa — 2.º corte en piezas (guillotina 2, manuales + carros)</v>
      </c>
      <c r="B60" s="14" t="n">
        <f aca="false">(parametros_manuales!$D$21*('Plan mensual'!D24+IF(parametros_manuales!$H$21="Todos",'Plan mensual'!D28,0))+parametros_manuales!$E$21*('Plan mensual'!D25+IF(parametros_manuales!$H$21="Todos",'Plan mensual'!D29,0))+parametros_manuales!$F$21*('Plan mensual'!D26+IF(parametros_manuales!$H$21="Todos",'Plan mensual'!D30,0))+parametros_manuales!$G$21*('Plan mensual'!D27+IF(parametros_manuales!$H$21="Todos",'Plan mensual'!D31,0)))*parametros_manuales!$I$21*parametros_manuales!$J$21+parametros_manuales!$B$162</f>
        <v>2871.20384502931</v>
      </c>
      <c r="C60" s="14" t="n">
        <f aca="false">(parametros_manuales!$D$21*('Plan mensual'!E24+IF(parametros_manuales!$H$21="Todos",'Plan mensual'!E28,0))+parametros_manuales!$E$21*('Plan mensual'!E25+IF(parametros_manuales!$H$21="Todos",'Plan mensual'!E29,0))+parametros_manuales!$F$21*('Plan mensual'!E26+IF(parametros_manuales!$H$21="Todos",'Plan mensual'!E30,0))+parametros_manuales!$G$21*('Plan mensual'!E27+IF(parametros_manuales!$H$21="Todos",'Plan mensual'!E31,0)))*parametros_manuales!$I$21*parametros_manuales!$J$21+parametros_manuales!$C$162</f>
        <v>2233.93609181198</v>
      </c>
      <c r="D60" s="14" t="n">
        <f aca="false">(parametros_manuales!$D$21*('Plan mensual'!F24+IF(parametros_manuales!$H$21="Todos",'Plan mensual'!F28,0))+parametros_manuales!$E$21*('Plan mensual'!F25+IF(parametros_manuales!$H$21="Todos",'Plan mensual'!F29,0))+parametros_manuales!$F$21*('Plan mensual'!F26+IF(parametros_manuales!$H$21="Todos",'Plan mensual'!F30,0))+parametros_manuales!$G$21*('Plan mensual'!F27+IF(parametros_manuales!$H$21="Todos",'Plan mensual'!F31,0)))*parametros_manuales!$I$21*parametros_manuales!$J$21+parametros_manuales!$D$162</f>
        <v>2182.21598423797</v>
      </c>
      <c r="E60" s="14" t="n">
        <f aca="false">(parametros_manuales!$D$21*('Plan mensual'!G24+IF(parametros_manuales!$H$21="Todos",'Plan mensual'!G28,0))+parametros_manuales!$E$21*('Plan mensual'!G25+IF(parametros_manuales!$H$21="Todos",'Plan mensual'!G29,0))+parametros_manuales!$F$21*('Plan mensual'!G26+IF(parametros_manuales!$H$21="Todos",'Plan mensual'!G30,0))+parametros_manuales!$G$21*('Plan mensual'!G27+IF(parametros_manuales!$H$21="Todos",'Plan mensual'!G31,0)))*parametros_manuales!$I$21*parametros_manuales!$J$21+parametros_manuales!$E$162</f>
        <v>2109.64524544797</v>
      </c>
      <c r="F60" s="14" t="n">
        <f aca="false">(parametros_manuales!$D$21*('Plan mensual'!H24+IF(parametros_manuales!$H$21="Todos",'Plan mensual'!H28,0))+parametros_manuales!$E$21*('Plan mensual'!H25+IF(parametros_manuales!$H$21="Todos",'Plan mensual'!H29,0))+parametros_manuales!$F$21*('Plan mensual'!H26+IF(parametros_manuales!$H$21="Todos",'Plan mensual'!H30,0))+parametros_manuales!$G$21*('Plan mensual'!H27+IF(parametros_manuales!$H$21="Todos",'Plan mensual'!H31,0)))*parametros_manuales!$I$21*parametros_manuales!$J$21+parametros_manuales!$F$162</f>
        <v>1995.20578451597</v>
      </c>
      <c r="G60" s="14" t="n">
        <f aca="false">(parametros_manuales!$D$21*('Plan mensual'!I24+IF(parametros_manuales!$H$21="Todos",'Plan mensual'!I28,0))+parametros_manuales!$E$21*('Plan mensual'!I25+IF(parametros_manuales!$H$21="Todos",'Plan mensual'!I29,0))+parametros_manuales!$F$21*('Plan mensual'!I26+IF(parametros_manuales!$H$21="Todos",'Plan mensual'!I30,0))+parametros_manuales!$G$21*('Plan mensual'!I27+IF(parametros_manuales!$H$21="Todos",'Plan mensual'!I31,0)))*parametros_manuales!$I$21*parametros_manuales!$J$21+parametros_manuales!$G$162</f>
        <v>1918.96863046464</v>
      </c>
      <c r="H60" s="14" t="n">
        <f aca="false">(parametros_manuales!$D$21*('Plan mensual'!J24+IF(parametros_manuales!$H$21="Todos",'Plan mensual'!J28,0))+parametros_manuales!$E$21*('Plan mensual'!J25+IF(parametros_manuales!$H$21="Todos",'Plan mensual'!J29,0))+parametros_manuales!$F$21*('Plan mensual'!J26+IF(parametros_manuales!$H$21="Todos",'Plan mensual'!J30,0))+parametros_manuales!$G$21*('Plan mensual'!J27+IF(parametros_manuales!$H$21="Todos",'Plan mensual'!J31,0)))*parametros_manuales!$I$21*parametros_manuales!$J$21+parametros_manuales!$H$162</f>
        <v>2067.77652330597</v>
      </c>
      <c r="I60" s="14" t="n">
        <f aca="false">(parametros_manuales!$D$21*('Plan mensual'!K24+IF(parametros_manuales!$H$21="Todos",'Plan mensual'!K28,0))+parametros_manuales!$E$21*('Plan mensual'!K25+IF(parametros_manuales!$H$21="Todos",'Plan mensual'!K29,0))+parametros_manuales!$F$21*('Plan mensual'!K26+IF(parametros_manuales!$H$21="Todos",'Plan mensual'!K30,0))+parametros_manuales!$G$21*('Plan mensual'!K27+IF(parametros_manuales!$H$21="Todos",'Plan mensual'!K31,0)))*parametros_manuales!$I$21*parametros_manuales!$J$21+parametros_manuales!$I$162</f>
        <v>2067.77652330597</v>
      </c>
      <c r="J60" s="14" t="n">
        <f aca="false">(parametros_manuales!$D$21*('Plan mensual'!L24+IF(parametros_manuales!$H$21="Todos",'Plan mensual'!L28,0))+parametros_manuales!$E$21*('Plan mensual'!L25+IF(parametros_manuales!$H$21="Todos",'Plan mensual'!L29,0))+parametros_manuales!$F$21*('Plan mensual'!L26+IF(parametros_manuales!$H$21="Todos",'Plan mensual'!L30,0))+parametros_manuales!$G$21*('Plan mensual'!L27+IF(parametros_manuales!$H$21="Todos",'Plan mensual'!L31,0)))*parametros_manuales!$I$21*parametros_manuales!$J$21+parametros_manuales!$J$162</f>
        <v>2050.59230735131</v>
      </c>
      <c r="K60" s="14" t="n">
        <f aca="false">(parametros_manuales!$D$21*('Plan mensual'!M24+IF(parametros_manuales!$H$21="Todos",'Plan mensual'!M28,0))+parametros_manuales!$E$21*('Plan mensual'!M25+IF(parametros_manuales!$H$21="Todos",'Plan mensual'!M29,0))+parametros_manuales!$F$21*('Plan mensual'!M26+IF(parametros_manuales!$H$21="Todos",'Plan mensual'!M30,0))+parametros_manuales!$G$21*('Plan mensual'!M27+IF(parametros_manuales!$H$21="Todos",'Plan mensual'!M31,0)))*parametros_manuales!$I$21*parametros_manuales!$J$21+parametros_manuales!$K$162</f>
        <v>1974.35515329998</v>
      </c>
      <c r="L60" s="14" t="n">
        <f aca="false">(parametros_manuales!$D$21*('Plan mensual'!N24+IF(parametros_manuales!$H$21="Todos",'Plan mensual'!N28,0))+parametros_manuales!$E$21*('Plan mensual'!N25+IF(parametros_manuales!$H$21="Todos",'Plan mensual'!N29,0))+parametros_manuales!$F$21*('Plan mensual'!N26+IF(parametros_manuales!$H$21="Todos",'Plan mensual'!N30,0))+parametros_manuales!$G$21*('Plan mensual'!N27+IF(parametros_manuales!$H$21="Todos",'Plan mensual'!N31,0)))*parametros_manuales!$I$21*parametros_manuales!$J$21+parametros_manuales!$L$162</f>
        <v>1915.30221520331</v>
      </c>
      <c r="M60" s="14" t="n">
        <f aca="false">(parametros_manuales!$D$21*('Plan mensual'!O24+IF(parametros_manuales!$H$21="Todos",'Plan mensual'!O28,0))+parametros_manuales!$E$21*('Plan mensual'!O25+IF(parametros_manuales!$H$21="Todos",'Plan mensual'!O29,0))+parametros_manuales!$F$21*('Plan mensual'!O26+IF(parametros_manuales!$H$21="Todos",'Plan mensual'!O30,0))+parametros_manuales!$G$21*('Plan mensual'!O27+IF(parametros_manuales!$H$21="Todos",'Plan mensual'!O31,0)))*parametros_manuales!$I$21*parametros_manuales!$J$21+parametros_manuales!$M$162</f>
        <v>2937.75707335864</v>
      </c>
      <c r="N60" s="14" t="n">
        <f aca="false">SUM(B60:M60)</f>
        <v>26324.7353773331</v>
      </c>
      <c r="O60" s="14" t="n">
        <f aca="false">MAX(B60:M60)</f>
        <v>2937.75707335864</v>
      </c>
      <c r="P60" s="57" t="n">
        <f aca="false">O60/(parametros_manuales!$B$7)</f>
        <v>19.5850471557243</v>
      </c>
      <c r="Q60" s="13" t="str">
        <f aca="false">IF(O60=0,"-",INDEX($B$57:$M$57,MATCH(O60,B60:M60,0)))</f>
        <v>Dic</v>
      </c>
    </row>
    <row r="61" customFormat="false" ht="14.25" hidden="false" customHeight="true" outlineLevel="0" collapsed="false">
      <c r="A61" s="13" t="str">
        <f aca="false">parametros_manuales!$B$22</f>
        <v>Corte de disco y embutido (cúpula y fondo)</v>
      </c>
      <c r="B61" s="14" t="n">
        <f aca="false">(parametros_manuales!$D$22*('Plan mensual'!D24+IF(parametros_manuales!$H$22="Todos",'Plan mensual'!D28,0))+parametros_manuales!$E$22*('Plan mensual'!D25+IF(parametros_manuales!$H$22="Todos",'Plan mensual'!D29,0))+parametros_manuales!$F$22*('Plan mensual'!D26+IF(parametros_manuales!$H$22="Todos",'Plan mensual'!D30,0))+parametros_manuales!$G$22*('Plan mensual'!D27+IF(parametros_manuales!$H$22="Todos",'Plan mensual'!D31,0)))*parametros_manuales!$I$22*parametros_manuales!$J$22</f>
        <v>5158.1443476</v>
      </c>
      <c r="C61" s="14" t="n">
        <f aca="false">(parametros_manuales!$D$22*('Plan mensual'!E24+IF(parametros_manuales!$H$22="Todos",'Plan mensual'!E28,0))+parametros_manuales!$E$22*('Plan mensual'!E25+IF(parametros_manuales!$H$22="Todos",'Plan mensual'!E29,0))+parametros_manuales!$F$22*('Plan mensual'!E26+IF(parametros_manuales!$H$22="Todos",'Plan mensual'!E30,0))+parametros_manuales!$G$22*('Plan mensual'!E27+IF(parametros_manuales!$H$22="Todos",'Plan mensual'!E31,0)))*parametros_manuales!$I$22*parametros_manuales!$J$22</f>
        <v>3952.345704984</v>
      </c>
      <c r="D61" s="14" t="n">
        <f aca="false">(parametros_manuales!$D$22*('Plan mensual'!F24+IF(parametros_manuales!$H$22="Todos",'Plan mensual'!F28,0))+parametros_manuales!$E$22*('Plan mensual'!F25+IF(parametros_manuales!$H$22="Todos",'Plan mensual'!F29,0))+parametros_manuales!$F$22*('Plan mensual'!F26+IF(parametros_manuales!$H$22="Todos",'Plan mensual'!F30,0))+parametros_manuales!$G$22*('Plan mensual'!F27+IF(parametros_manuales!$H$22="Todos",'Plan mensual'!F31,0)))*parametros_manuales!$I$22*parametros_manuales!$J$22</f>
        <v>3745.800194108</v>
      </c>
      <c r="E61" s="14" t="n">
        <f aca="false">(parametros_manuales!$D$22*('Plan mensual'!G24+IF(parametros_manuales!$H$22="Todos",'Plan mensual'!G28,0))+parametros_manuales!$E$22*('Plan mensual'!G25+IF(parametros_manuales!$H$22="Todos",'Plan mensual'!G29,0))+parametros_manuales!$F$22*('Plan mensual'!G26+IF(parametros_manuales!$H$22="Todos",'Plan mensual'!G30,0))+parametros_manuales!$G$22*('Plan mensual'!G27+IF(parametros_manuales!$H$22="Todos",'Plan mensual'!G31,0)))*parametros_manuales!$I$22*parametros_manuales!$J$22</f>
        <v>3600.658716528</v>
      </c>
      <c r="F61" s="14" t="n">
        <f aca="false">(parametros_manuales!$D$22*('Plan mensual'!H24+IF(parametros_manuales!$H$22="Todos",'Plan mensual'!H28,0))+parametros_manuales!$E$22*('Plan mensual'!H25+IF(parametros_manuales!$H$22="Todos",'Plan mensual'!H29,0))+parametros_manuales!$F$22*('Plan mensual'!H26+IF(parametros_manuales!$H$22="Todos",'Plan mensual'!H30,0))+parametros_manuales!$G$22*('Plan mensual'!H27+IF(parametros_manuales!$H$22="Todos",'Plan mensual'!H31,0)))*parametros_manuales!$I$22*parametros_manuales!$J$22</f>
        <v>3371.779794664</v>
      </c>
      <c r="G61" s="14" t="n">
        <f aca="false">(parametros_manuales!$D$22*('Plan mensual'!I24+IF(parametros_manuales!$H$22="Todos",'Plan mensual'!I28,0))+parametros_manuales!$E$22*('Plan mensual'!I25+IF(parametros_manuales!$H$22="Todos",'Plan mensual'!I29,0))+parametros_manuales!$F$22*('Plan mensual'!I26+IF(parametros_manuales!$H$22="Todos",'Plan mensual'!I30,0))+parametros_manuales!$G$22*('Plan mensual'!I27+IF(parametros_manuales!$H$22="Todos",'Plan mensual'!I31,0)))*parametros_manuales!$I$22*parametros_manuales!$J$22</f>
        <v>3288.04235038</v>
      </c>
      <c r="H61" s="14" t="n">
        <f aca="false">(parametros_manuales!$D$22*('Plan mensual'!J24+IF(parametros_manuales!$H$22="Todos",'Plan mensual'!J28,0))+parametros_manuales!$E$22*('Plan mensual'!J25+IF(parametros_manuales!$H$22="Todos",'Plan mensual'!J29,0))+parametros_manuales!$F$22*('Plan mensual'!J26+IF(parametros_manuales!$H$22="Todos",'Plan mensual'!J30,0))+parametros_manuales!$G$22*('Plan mensual'!J27+IF(parametros_manuales!$H$22="Todos",'Plan mensual'!J31,0)))*parametros_manuales!$I$22*parametros_manuales!$J$22</f>
        <v>3516.921272244</v>
      </c>
      <c r="I61" s="14" t="n">
        <f aca="false">(parametros_manuales!$D$22*('Plan mensual'!K24+IF(parametros_manuales!$H$22="Todos",'Plan mensual'!K28,0))+parametros_manuales!$E$22*('Plan mensual'!K25+IF(parametros_manuales!$H$22="Todos",'Plan mensual'!K29,0))+parametros_manuales!$F$22*('Plan mensual'!K26+IF(parametros_manuales!$H$22="Todos",'Plan mensual'!K30,0))+parametros_manuales!$G$22*('Plan mensual'!K27+IF(parametros_manuales!$H$22="Todos",'Plan mensual'!K31,0)))*parametros_manuales!$I$22*parametros_manuales!$J$22</f>
        <v>3516.921272244</v>
      </c>
      <c r="J61" s="14" t="n">
        <f aca="false">(parametros_manuales!$D$22*('Plan mensual'!L24+IF(parametros_manuales!$H$22="Todos",'Plan mensual'!L28,0))+parametros_manuales!$E$22*('Plan mensual'!L25+IF(parametros_manuales!$H$22="Todos",'Plan mensual'!L29,0))+parametros_manuales!$F$22*('Plan mensual'!L26+IF(parametros_manuales!$H$22="Todos",'Plan mensual'!L30,0))+parametros_manuales!$G$22*('Plan mensual'!L27+IF(parametros_manuales!$H$22="Todos",'Plan mensual'!L31,0)))*parametros_manuales!$I$22*parametros_manuales!$J$22</f>
        <v>3516.921272244</v>
      </c>
      <c r="K61" s="14" t="n">
        <f aca="false">(parametros_manuales!$D$22*('Plan mensual'!M24+IF(parametros_manuales!$H$22="Todos",'Plan mensual'!M28,0))+parametros_manuales!$E$22*('Plan mensual'!M25+IF(parametros_manuales!$H$22="Todos",'Plan mensual'!M29,0))+parametros_manuales!$F$22*('Plan mensual'!M26+IF(parametros_manuales!$H$22="Todos",'Plan mensual'!M30,0))+parametros_manuales!$G$22*('Plan mensual'!M27+IF(parametros_manuales!$H$22="Todos",'Plan mensual'!M31,0)))*parametros_manuales!$I$22*parametros_manuales!$J$22</f>
        <v>3433.18382796</v>
      </c>
      <c r="L61" s="14" t="n">
        <f aca="false">(parametros_manuales!$D$22*('Plan mensual'!N24+IF(parametros_manuales!$H$22="Todos",'Plan mensual'!N28,0))+parametros_manuales!$E$22*('Plan mensual'!N25+IF(parametros_manuales!$H$22="Todos",'Plan mensual'!N29,0))+parametros_manuales!$F$22*('Plan mensual'!N26+IF(parametros_manuales!$H$22="Todos",'Plan mensual'!N30,0))+parametros_manuales!$G$22*('Plan mensual'!N27+IF(parametros_manuales!$H$22="Todos",'Plan mensual'!N31,0)))*parametros_manuales!$I$22*parametros_manuales!$J$22</f>
        <v>3349.446383676</v>
      </c>
      <c r="M61" s="14" t="n">
        <f aca="false">(parametros_manuales!$D$22*('Plan mensual'!O24+IF(parametros_manuales!$H$22="Todos",'Plan mensual'!O28,0))+parametros_manuales!$E$22*('Plan mensual'!O25+IF(parametros_manuales!$H$22="Todos",'Plan mensual'!O29,0))+parametros_manuales!$F$22*('Plan mensual'!O26+IF(parametros_manuales!$H$22="Todos",'Plan mensual'!O30,0))+parametros_manuales!$G$22*('Plan mensual'!O27+IF(parametros_manuales!$H$22="Todos",'Plan mensual'!O31,0)))*parametros_manuales!$I$22*parametros_manuales!$J$22</f>
        <v>5325.619236168</v>
      </c>
      <c r="N61" s="14" t="n">
        <f aca="false">SUM(B61:M61)</f>
        <v>45775.7843728</v>
      </c>
      <c r="O61" s="14" t="n">
        <f aca="false">MAX(B61:M61)</f>
        <v>5325.619236168</v>
      </c>
      <c r="P61" s="57" t="n">
        <f aca="false">O61/(parametros_manuales!$B$7)</f>
        <v>35.50412824112</v>
      </c>
      <c r="Q61" s="13" t="str">
        <f aca="false">IF(O61=0,"-",INDEX($B$57:$M$57,MATCH(O61,B61:M61,0)))</f>
        <v>Dic</v>
      </c>
    </row>
    <row r="62" customFormat="false" ht="14.25" hidden="false" customHeight="true" outlineLevel="0" collapsed="false">
      <c r="A62" s="13" t="str">
        <f aca="false">parametros_manuales!$B$23</f>
        <v>Preparación de cuello</v>
      </c>
      <c r="B62" s="14" t="n">
        <f aca="false">(parametros_manuales!$D$23*('Plan mensual'!D24+IF(parametros_manuales!$H$23="Todos",'Plan mensual'!D28,0))+parametros_manuales!$E$23*('Plan mensual'!D25+IF(parametros_manuales!$H$23="Todos",'Plan mensual'!D29,0))+parametros_manuales!$F$23*('Plan mensual'!D26+IF(parametros_manuales!$H$23="Todos",'Plan mensual'!D30,0))+parametros_manuales!$G$23*('Plan mensual'!D27+IF(parametros_manuales!$H$23="Todos",'Plan mensual'!D31,0)))*parametros_manuales!$I$23*parametros_manuales!$J$23</f>
        <v>2579.0721738</v>
      </c>
      <c r="C62" s="14" t="n">
        <f aca="false">(parametros_manuales!$D$23*('Plan mensual'!E24+IF(parametros_manuales!$H$23="Todos",'Plan mensual'!E28,0))+parametros_manuales!$E$23*('Plan mensual'!E25+IF(parametros_manuales!$H$23="Todos",'Plan mensual'!E29,0))+parametros_manuales!$F$23*('Plan mensual'!E26+IF(parametros_manuales!$H$23="Todos",'Plan mensual'!E30,0))+parametros_manuales!$G$23*('Plan mensual'!E27+IF(parametros_manuales!$H$23="Todos",'Plan mensual'!E31,0)))*parametros_manuales!$I$23*parametros_manuales!$J$23</f>
        <v>1976.172852492</v>
      </c>
      <c r="D62" s="14" t="n">
        <f aca="false">(parametros_manuales!$D$23*('Plan mensual'!F24+IF(parametros_manuales!$H$23="Todos",'Plan mensual'!F28,0))+parametros_manuales!$E$23*('Plan mensual'!F25+IF(parametros_manuales!$H$23="Todos",'Plan mensual'!F29,0))+parametros_manuales!$F$23*('Plan mensual'!F26+IF(parametros_manuales!$H$23="Todos",'Plan mensual'!F30,0))+parametros_manuales!$G$23*('Plan mensual'!F27+IF(parametros_manuales!$H$23="Todos",'Plan mensual'!F31,0)))*parametros_manuales!$I$23*parametros_manuales!$J$23</f>
        <v>1872.900097054</v>
      </c>
      <c r="E62" s="14" t="n">
        <f aca="false">(parametros_manuales!$D$23*('Plan mensual'!G24+IF(parametros_manuales!$H$23="Todos",'Plan mensual'!G28,0))+parametros_manuales!$E$23*('Plan mensual'!G25+IF(parametros_manuales!$H$23="Todos",'Plan mensual'!G29,0))+parametros_manuales!$F$23*('Plan mensual'!G26+IF(parametros_manuales!$H$23="Todos",'Plan mensual'!G30,0))+parametros_manuales!$G$23*('Plan mensual'!G27+IF(parametros_manuales!$H$23="Todos",'Plan mensual'!G31,0)))*parametros_manuales!$I$23*parametros_manuales!$J$23</f>
        <v>1800.329358264</v>
      </c>
      <c r="F62" s="14" t="n">
        <f aca="false">(parametros_manuales!$D$23*('Plan mensual'!H24+IF(parametros_manuales!$H$23="Todos",'Plan mensual'!H28,0))+parametros_manuales!$E$23*('Plan mensual'!H25+IF(parametros_manuales!$H$23="Todos",'Plan mensual'!H29,0))+parametros_manuales!$F$23*('Plan mensual'!H26+IF(parametros_manuales!$H$23="Todos",'Plan mensual'!H30,0))+parametros_manuales!$G$23*('Plan mensual'!H27+IF(parametros_manuales!$H$23="Todos",'Plan mensual'!H31,0)))*parametros_manuales!$I$23*parametros_manuales!$J$23</f>
        <v>1685.889897332</v>
      </c>
      <c r="G62" s="14" t="n">
        <f aca="false">(parametros_manuales!$D$23*('Plan mensual'!I24+IF(parametros_manuales!$H$23="Todos",'Plan mensual'!I28,0))+parametros_manuales!$E$23*('Plan mensual'!I25+IF(parametros_manuales!$H$23="Todos",'Plan mensual'!I29,0))+parametros_manuales!$F$23*('Plan mensual'!I26+IF(parametros_manuales!$H$23="Todos",'Plan mensual'!I30,0))+parametros_manuales!$G$23*('Plan mensual'!I27+IF(parametros_manuales!$H$23="Todos",'Plan mensual'!I31,0)))*parametros_manuales!$I$23*parametros_manuales!$J$23</f>
        <v>1644.02117519</v>
      </c>
      <c r="H62" s="14" t="n">
        <f aca="false">(parametros_manuales!$D$23*('Plan mensual'!J24+IF(parametros_manuales!$H$23="Todos",'Plan mensual'!J28,0))+parametros_manuales!$E$23*('Plan mensual'!J25+IF(parametros_manuales!$H$23="Todos",'Plan mensual'!J29,0))+parametros_manuales!$F$23*('Plan mensual'!J26+IF(parametros_manuales!$H$23="Todos",'Plan mensual'!J30,0))+parametros_manuales!$G$23*('Plan mensual'!J27+IF(parametros_manuales!$H$23="Todos",'Plan mensual'!J31,0)))*parametros_manuales!$I$23*parametros_manuales!$J$23</f>
        <v>1758.460636122</v>
      </c>
      <c r="I62" s="14" t="n">
        <f aca="false">(parametros_manuales!$D$23*('Plan mensual'!K24+IF(parametros_manuales!$H$23="Todos",'Plan mensual'!K28,0))+parametros_manuales!$E$23*('Plan mensual'!K25+IF(parametros_manuales!$H$23="Todos",'Plan mensual'!K29,0))+parametros_manuales!$F$23*('Plan mensual'!K26+IF(parametros_manuales!$H$23="Todos",'Plan mensual'!K30,0))+parametros_manuales!$G$23*('Plan mensual'!K27+IF(parametros_manuales!$H$23="Todos",'Plan mensual'!K31,0)))*parametros_manuales!$I$23*parametros_manuales!$J$23</f>
        <v>1758.460636122</v>
      </c>
      <c r="J62" s="14" t="n">
        <f aca="false">(parametros_manuales!$D$23*('Plan mensual'!L24+IF(parametros_manuales!$H$23="Todos",'Plan mensual'!L28,0))+parametros_manuales!$E$23*('Plan mensual'!L25+IF(parametros_manuales!$H$23="Todos",'Plan mensual'!L29,0))+parametros_manuales!$F$23*('Plan mensual'!L26+IF(parametros_manuales!$H$23="Todos",'Plan mensual'!L30,0))+parametros_manuales!$G$23*('Plan mensual'!L27+IF(parametros_manuales!$H$23="Todos",'Plan mensual'!L31,0)))*parametros_manuales!$I$23*parametros_manuales!$J$23</f>
        <v>1758.460636122</v>
      </c>
      <c r="K62" s="14" t="n">
        <f aca="false">(parametros_manuales!$D$23*('Plan mensual'!M24+IF(parametros_manuales!$H$23="Todos",'Plan mensual'!M28,0))+parametros_manuales!$E$23*('Plan mensual'!M25+IF(parametros_manuales!$H$23="Todos",'Plan mensual'!M29,0))+parametros_manuales!$F$23*('Plan mensual'!M26+IF(parametros_manuales!$H$23="Todos",'Plan mensual'!M30,0))+parametros_manuales!$G$23*('Plan mensual'!M27+IF(parametros_manuales!$H$23="Todos",'Plan mensual'!M31,0)))*parametros_manuales!$I$23*parametros_manuales!$J$23</f>
        <v>1716.59191398</v>
      </c>
      <c r="L62" s="14" t="n">
        <f aca="false">(parametros_manuales!$D$23*('Plan mensual'!N24+IF(parametros_manuales!$H$23="Todos",'Plan mensual'!N28,0))+parametros_manuales!$E$23*('Plan mensual'!N25+IF(parametros_manuales!$H$23="Todos",'Plan mensual'!N29,0))+parametros_manuales!$F$23*('Plan mensual'!N26+IF(parametros_manuales!$H$23="Todos",'Plan mensual'!N30,0))+parametros_manuales!$G$23*('Plan mensual'!N27+IF(parametros_manuales!$H$23="Todos",'Plan mensual'!N31,0)))*parametros_manuales!$I$23*parametros_manuales!$J$23</f>
        <v>1674.723191838</v>
      </c>
      <c r="M62" s="14" t="n">
        <f aca="false">(parametros_manuales!$D$23*('Plan mensual'!O24+IF(parametros_manuales!$H$23="Todos",'Plan mensual'!O28,0))+parametros_manuales!$E$23*('Plan mensual'!O25+IF(parametros_manuales!$H$23="Todos",'Plan mensual'!O29,0))+parametros_manuales!$F$23*('Plan mensual'!O26+IF(parametros_manuales!$H$23="Todos",'Plan mensual'!O30,0))+parametros_manuales!$G$23*('Plan mensual'!O27+IF(parametros_manuales!$H$23="Todos",'Plan mensual'!O31,0)))*parametros_manuales!$I$23*parametros_manuales!$J$23</f>
        <v>2662.809618084</v>
      </c>
      <c r="N62" s="14" t="n">
        <f aca="false">SUM(B62:M62)</f>
        <v>22887.8921864</v>
      </c>
      <c r="O62" s="14" t="n">
        <f aca="false">MAX(B62:M62)</f>
        <v>2662.809618084</v>
      </c>
      <c r="P62" s="57" t="n">
        <f aca="false">O62/(parametros_manuales!$B$7)</f>
        <v>17.75206412056</v>
      </c>
      <c r="Q62" s="13" t="str">
        <f aca="false">IF(O62=0,"-",INDEX($B$57:$M$57,MATCH(O62,B62:M62,0)))</f>
        <v>Dic</v>
      </c>
    </row>
    <row r="63" customFormat="false" ht="14.25" hidden="false" customHeight="true" outlineLevel="0" collapsed="false">
      <c r="A63" s="13" t="str">
        <f aca="false">parametros_manuales!$B$24</f>
        <v>Numerado de cúpula</v>
      </c>
      <c r="B63" s="14" t="n">
        <f aca="false">(parametros_manuales!$D$24*('Plan mensual'!D24+IF(parametros_manuales!$H$24="Todos",'Plan mensual'!D28,0))+parametros_manuales!$E$24*('Plan mensual'!D25+IF(parametros_manuales!$H$24="Todos",'Plan mensual'!D29,0))+parametros_manuales!$F$24*('Plan mensual'!D26+IF(parametros_manuales!$H$24="Todos",'Plan mensual'!D30,0))+parametros_manuales!$G$24*('Plan mensual'!D27+IF(parametros_manuales!$H$24="Todos",'Plan mensual'!D31,0)))*parametros_manuales!$I$24*parametros_manuales!$J$24</f>
        <v>2579.0721738</v>
      </c>
      <c r="C63" s="14" t="n">
        <f aca="false">(parametros_manuales!$D$24*('Plan mensual'!E24+IF(parametros_manuales!$H$24="Todos",'Plan mensual'!E28,0))+parametros_manuales!$E$24*('Plan mensual'!E25+IF(parametros_manuales!$H$24="Todos",'Plan mensual'!E29,0))+parametros_manuales!$F$24*('Plan mensual'!E26+IF(parametros_manuales!$H$24="Todos",'Plan mensual'!E30,0))+parametros_manuales!$G$24*('Plan mensual'!E27+IF(parametros_manuales!$H$24="Todos",'Plan mensual'!E31,0)))*parametros_manuales!$I$24*parametros_manuales!$J$24</f>
        <v>1976.172852492</v>
      </c>
      <c r="D63" s="14" t="n">
        <f aca="false">(parametros_manuales!$D$24*('Plan mensual'!F24+IF(parametros_manuales!$H$24="Todos",'Plan mensual'!F28,0))+parametros_manuales!$E$24*('Plan mensual'!F25+IF(parametros_manuales!$H$24="Todos",'Plan mensual'!F29,0))+parametros_manuales!$F$24*('Plan mensual'!F26+IF(parametros_manuales!$H$24="Todos",'Plan mensual'!F30,0))+parametros_manuales!$G$24*('Plan mensual'!F27+IF(parametros_manuales!$H$24="Todos",'Plan mensual'!F31,0)))*parametros_manuales!$I$24*parametros_manuales!$J$24</f>
        <v>1872.900097054</v>
      </c>
      <c r="E63" s="14" t="n">
        <f aca="false">(parametros_manuales!$D$24*('Plan mensual'!G24+IF(parametros_manuales!$H$24="Todos",'Plan mensual'!G28,0))+parametros_manuales!$E$24*('Plan mensual'!G25+IF(parametros_manuales!$H$24="Todos",'Plan mensual'!G29,0))+parametros_manuales!$F$24*('Plan mensual'!G26+IF(parametros_manuales!$H$24="Todos",'Plan mensual'!G30,0))+parametros_manuales!$G$24*('Plan mensual'!G27+IF(parametros_manuales!$H$24="Todos",'Plan mensual'!G31,0)))*parametros_manuales!$I$24*parametros_manuales!$J$24</f>
        <v>1800.329358264</v>
      </c>
      <c r="F63" s="14" t="n">
        <f aca="false">(parametros_manuales!$D$24*('Plan mensual'!H24+IF(parametros_manuales!$H$24="Todos",'Plan mensual'!H28,0))+parametros_manuales!$E$24*('Plan mensual'!H25+IF(parametros_manuales!$H$24="Todos",'Plan mensual'!H29,0))+parametros_manuales!$F$24*('Plan mensual'!H26+IF(parametros_manuales!$H$24="Todos",'Plan mensual'!H30,0))+parametros_manuales!$G$24*('Plan mensual'!H27+IF(parametros_manuales!$H$24="Todos",'Plan mensual'!H31,0)))*parametros_manuales!$I$24*parametros_manuales!$J$24</f>
        <v>1685.889897332</v>
      </c>
      <c r="G63" s="14" t="n">
        <f aca="false">(parametros_manuales!$D$24*('Plan mensual'!I24+IF(parametros_manuales!$H$24="Todos",'Plan mensual'!I28,0))+parametros_manuales!$E$24*('Plan mensual'!I25+IF(parametros_manuales!$H$24="Todos",'Plan mensual'!I29,0))+parametros_manuales!$F$24*('Plan mensual'!I26+IF(parametros_manuales!$H$24="Todos",'Plan mensual'!I30,0))+parametros_manuales!$G$24*('Plan mensual'!I27+IF(parametros_manuales!$H$24="Todos",'Plan mensual'!I31,0)))*parametros_manuales!$I$24*parametros_manuales!$J$24</f>
        <v>1644.02117519</v>
      </c>
      <c r="H63" s="14" t="n">
        <f aca="false">(parametros_manuales!$D$24*('Plan mensual'!J24+IF(parametros_manuales!$H$24="Todos",'Plan mensual'!J28,0))+parametros_manuales!$E$24*('Plan mensual'!J25+IF(parametros_manuales!$H$24="Todos",'Plan mensual'!J29,0))+parametros_manuales!$F$24*('Plan mensual'!J26+IF(parametros_manuales!$H$24="Todos",'Plan mensual'!J30,0))+parametros_manuales!$G$24*('Plan mensual'!J27+IF(parametros_manuales!$H$24="Todos",'Plan mensual'!J31,0)))*parametros_manuales!$I$24*parametros_manuales!$J$24</f>
        <v>1758.460636122</v>
      </c>
      <c r="I63" s="14" t="n">
        <f aca="false">(parametros_manuales!$D$24*('Plan mensual'!K24+IF(parametros_manuales!$H$24="Todos",'Plan mensual'!K28,0))+parametros_manuales!$E$24*('Plan mensual'!K25+IF(parametros_manuales!$H$24="Todos",'Plan mensual'!K29,0))+parametros_manuales!$F$24*('Plan mensual'!K26+IF(parametros_manuales!$H$24="Todos",'Plan mensual'!K30,0))+parametros_manuales!$G$24*('Plan mensual'!K27+IF(parametros_manuales!$H$24="Todos",'Plan mensual'!K31,0)))*parametros_manuales!$I$24*parametros_manuales!$J$24</f>
        <v>1758.460636122</v>
      </c>
      <c r="J63" s="14" t="n">
        <f aca="false">(parametros_manuales!$D$24*('Plan mensual'!L24+IF(parametros_manuales!$H$24="Todos",'Plan mensual'!L28,0))+parametros_manuales!$E$24*('Plan mensual'!L25+IF(parametros_manuales!$H$24="Todos",'Plan mensual'!L29,0))+parametros_manuales!$F$24*('Plan mensual'!L26+IF(parametros_manuales!$H$24="Todos",'Plan mensual'!L30,0))+parametros_manuales!$G$24*('Plan mensual'!L27+IF(parametros_manuales!$H$24="Todos",'Plan mensual'!L31,0)))*parametros_manuales!$I$24*parametros_manuales!$J$24</f>
        <v>1758.460636122</v>
      </c>
      <c r="K63" s="14" t="n">
        <f aca="false">(parametros_manuales!$D$24*('Plan mensual'!M24+IF(parametros_manuales!$H$24="Todos",'Plan mensual'!M28,0))+parametros_manuales!$E$24*('Plan mensual'!M25+IF(parametros_manuales!$H$24="Todos",'Plan mensual'!M29,0))+parametros_manuales!$F$24*('Plan mensual'!M26+IF(parametros_manuales!$H$24="Todos",'Plan mensual'!M30,0))+parametros_manuales!$G$24*('Plan mensual'!M27+IF(parametros_manuales!$H$24="Todos",'Plan mensual'!M31,0)))*parametros_manuales!$I$24*parametros_manuales!$J$24</f>
        <v>1716.59191398</v>
      </c>
      <c r="L63" s="14" t="n">
        <f aca="false">(parametros_manuales!$D$24*('Plan mensual'!N24+IF(parametros_manuales!$H$24="Todos",'Plan mensual'!N28,0))+parametros_manuales!$E$24*('Plan mensual'!N25+IF(parametros_manuales!$H$24="Todos",'Plan mensual'!N29,0))+parametros_manuales!$F$24*('Plan mensual'!N26+IF(parametros_manuales!$H$24="Todos",'Plan mensual'!N30,0))+parametros_manuales!$G$24*('Plan mensual'!N27+IF(parametros_manuales!$H$24="Todos",'Plan mensual'!N31,0)))*parametros_manuales!$I$24*parametros_manuales!$J$24</f>
        <v>1674.723191838</v>
      </c>
      <c r="M63" s="14" t="n">
        <f aca="false">(parametros_manuales!$D$24*('Plan mensual'!O24+IF(parametros_manuales!$H$24="Todos",'Plan mensual'!O28,0))+parametros_manuales!$E$24*('Plan mensual'!O25+IF(parametros_manuales!$H$24="Todos",'Plan mensual'!O29,0))+parametros_manuales!$F$24*('Plan mensual'!O26+IF(parametros_manuales!$H$24="Todos",'Plan mensual'!O30,0))+parametros_manuales!$G$24*('Plan mensual'!O27+IF(parametros_manuales!$H$24="Todos",'Plan mensual'!O31,0)))*parametros_manuales!$I$24*parametros_manuales!$J$24</f>
        <v>2662.809618084</v>
      </c>
      <c r="N63" s="14" t="n">
        <f aca="false">SUM(B63:M63)</f>
        <v>22887.8921864</v>
      </c>
      <c r="O63" s="14" t="n">
        <f aca="false">MAX(B63:M63)</f>
        <v>2662.809618084</v>
      </c>
      <c r="P63" s="57" t="n">
        <f aca="false">O63/(parametros_manuales!$B$7)</f>
        <v>17.75206412056</v>
      </c>
      <c r="Q63" s="13" t="str">
        <f aca="false">IF(O63=0,"-",INDEX($B$57:$M$57,MATCH(O63,B63:M63,0)))</f>
        <v>Dic</v>
      </c>
    </row>
    <row r="64" customFormat="false" ht="14.25" hidden="false" customHeight="true" outlineLevel="0" collapsed="false">
      <c r="A64" s="13" t="str">
        <f aca="false">parametros_manuales!$B$25</f>
        <v>Soldadura del cuello a la cúpula</v>
      </c>
      <c r="B64" s="14" t="n">
        <f aca="false">(parametros_manuales!$D$25*('Plan mensual'!D24+IF(parametros_manuales!$H$25="Todos",'Plan mensual'!D28,0))+parametros_manuales!$E$25*('Plan mensual'!D25+IF(parametros_manuales!$H$25="Todos",'Plan mensual'!D29,0))+parametros_manuales!$F$25*('Plan mensual'!D26+IF(parametros_manuales!$H$25="Todos",'Plan mensual'!D30,0))+parametros_manuales!$G$25*('Plan mensual'!D27+IF(parametros_manuales!$H$25="Todos",'Plan mensual'!D31,0)))*parametros_manuales!$I$25*parametros_manuales!$J$25</f>
        <v>2579.0721738</v>
      </c>
      <c r="C64" s="14" t="n">
        <f aca="false">(parametros_manuales!$D$25*('Plan mensual'!E24+IF(parametros_manuales!$H$25="Todos",'Plan mensual'!E28,0))+parametros_manuales!$E$25*('Plan mensual'!E25+IF(parametros_manuales!$H$25="Todos",'Plan mensual'!E29,0))+parametros_manuales!$F$25*('Plan mensual'!E26+IF(parametros_manuales!$H$25="Todos",'Plan mensual'!E30,0))+parametros_manuales!$G$25*('Plan mensual'!E27+IF(parametros_manuales!$H$25="Todos",'Plan mensual'!E31,0)))*parametros_manuales!$I$25*parametros_manuales!$J$25</f>
        <v>1976.172852492</v>
      </c>
      <c r="D64" s="14" t="n">
        <f aca="false">(parametros_manuales!$D$25*('Plan mensual'!F24+IF(parametros_manuales!$H$25="Todos",'Plan mensual'!F28,0))+parametros_manuales!$E$25*('Plan mensual'!F25+IF(parametros_manuales!$H$25="Todos",'Plan mensual'!F29,0))+parametros_manuales!$F$25*('Plan mensual'!F26+IF(parametros_manuales!$H$25="Todos",'Plan mensual'!F30,0))+parametros_manuales!$G$25*('Plan mensual'!F27+IF(parametros_manuales!$H$25="Todos",'Plan mensual'!F31,0)))*parametros_manuales!$I$25*parametros_manuales!$J$25</f>
        <v>1872.900097054</v>
      </c>
      <c r="E64" s="14" t="n">
        <f aca="false">(parametros_manuales!$D$25*('Plan mensual'!G24+IF(parametros_manuales!$H$25="Todos",'Plan mensual'!G28,0))+parametros_manuales!$E$25*('Plan mensual'!G25+IF(parametros_manuales!$H$25="Todos",'Plan mensual'!G29,0))+parametros_manuales!$F$25*('Plan mensual'!G26+IF(parametros_manuales!$H$25="Todos",'Plan mensual'!G30,0))+parametros_manuales!$G$25*('Plan mensual'!G27+IF(parametros_manuales!$H$25="Todos",'Plan mensual'!G31,0)))*parametros_manuales!$I$25*parametros_manuales!$J$25</f>
        <v>1800.329358264</v>
      </c>
      <c r="F64" s="14" t="n">
        <f aca="false">(parametros_manuales!$D$25*('Plan mensual'!H24+IF(parametros_manuales!$H$25="Todos",'Plan mensual'!H28,0))+parametros_manuales!$E$25*('Plan mensual'!H25+IF(parametros_manuales!$H$25="Todos",'Plan mensual'!H29,0))+parametros_manuales!$F$25*('Plan mensual'!H26+IF(parametros_manuales!$H$25="Todos",'Plan mensual'!H30,0))+parametros_manuales!$G$25*('Plan mensual'!H27+IF(parametros_manuales!$H$25="Todos",'Plan mensual'!H31,0)))*parametros_manuales!$I$25*parametros_manuales!$J$25</f>
        <v>1685.889897332</v>
      </c>
      <c r="G64" s="14" t="n">
        <f aca="false">(parametros_manuales!$D$25*('Plan mensual'!I24+IF(parametros_manuales!$H$25="Todos",'Plan mensual'!I28,0))+parametros_manuales!$E$25*('Plan mensual'!I25+IF(parametros_manuales!$H$25="Todos",'Plan mensual'!I29,0))+parametros_manuales!$F$25*('Plan mensual'!I26+IF(parametros_manuales!$H$25="Todos",'Plan mensual'!I30,0))+parametros_manuales!$G$25*('Plan mensual'!I27+IF(parametros_manuales!$H$25="Todos",'Plan mensual'!I31,0)))*parametros_manuales!$I$25*parametros_manuales!$J$25</f>
        <v>1644.02117519</v>
      </c>
      <c r="H64" s="14" t="n">
        <f aca="false">(parametros_manuales!$D$25*('Plan mensual'!J24+IF(parametros_manuales!$H$25="Todos",'Plan mensual'!J28,0))+parametros_manuales!$E$25*('Plan mensual'!J25+IF(parametros_manuales!$H$25="Todos",'Plan mensual'!J29,0))+parametros_manuales!$F$25*('Plan mensual'!J26+IF(parametros_manuales!$H$25="Todos",'Plan mensual'!J30,0))+parametros_manuales!$G$25*('Plan mensual'!J27+IF(parametros_manuales!$H$25="Todos",'Plan mensual'!J31,0)))*parametros_manuales!$I$25*parametros_manuales!$J$25</f>
        <v>1758.460636122</v>
      </c>
      <c r="I64" s="14" t="n">
        <f aca="false">(parametros_manuales!$D$25*('Plan mensual'!K24+IF(parametros_manuales!$H$25="Todos",'Plan mensual'!K28,0))+parametros_manuales!$E$25*('Plan mensual'!K25+IF(parametros_manuales!$H$25="Todos",'Plan mensual'!K29,0))+parametros_manuales!$F$25*('Plan mensual'!K26+IF(parametros_manuales!$H$25="Todos",'Plan mensual'!K30,0))+parametros_manuales!$G$25*('Plan mensual'!K27+IF(parametros_manuales!$H$25="Todos",'Plan mensual'!K31,0)))*parametros_manuales!$I$25*parametros_manuales!$J$25</f>
        <v>1758.460636122</v>
      </c>
      <c r="J64" s="14" t="n">
        <f aca="false">(parametros_manuales!$D$25*('Plan mensual'!L24+IF(parametros_manuales!$H$25="Todos",'Plan mensual'!L28,0))+parametros_manuales!$E$25*('Plan mensual'!L25+IF(parametros_manuales!$H$25="Todos",'Plan mensual'!L29,0))+parametros_manuales!$F$25*('Plan mensual'!L26+IF(parametros_manuales!$H$25="Todos",'Plan mensual'!L30,0))+parametros_manuales!$G$25*('Plan mensual'!L27+IF(parametros_manuales!$H$25="Todos",'Plan mensual'!L31,0)))*parametros_manuales!$I$25*parametros_manuales!$J$25</f>
        <v>1758.460636122</v>
      </c>
      <c r="K64" s="14" t="n">
        <f aca="false">(parametros_manuales!$D$25*('Plan mensual'!M24+IF(parametros_manuales!$H$25="Todos",'Plan mensual'!M28,0))+parametros_manuales!$E$25*('Plan mensual'!M25+IF(parametros_manuales!$H$25="Todos",'Plan mensual'!M29,0))+parametros_manuales!$F$25*('Plan mensual'!M26+IF(parametros_manuales!$H$25="Todos",'Plan mensual'!M30,0))+parametros_manuales!$G$25*('Plan mensual'!M27+IF(parametros_manuales!$H$25="Todos",'Plan mensual'!M31,0)))*parametros_manuales!$I$25*parametros_manuales!$J$25</f>
        <v>1716.59191398</v>
      </c>
      <c r="L64" s="14" t="n">
        <f aca="false">(parametros_manuales!$D$25*('Plan mensual'!N24+IF(parametros_manuales!$H$25="Todos",'Plan mensual'!N28,0))+parametros_manuales!$E$25*('Plan mensual'!N25+IF(parametros_manuales!$H$25="Todos",'Plan mensual'!N29,0))+parametros_manuales!$F$25*('Plan mensual'!N26+IF(parametros_manuales!$H$25="Todos",'Plan mensual'!N30,0))+parametros_manuales!$G$25*('Plan mensual'!N27+IF(parametros_manuales!$H$25="Todos",'Plan mensual'!N31,0)))*parametros_manuales!$I$25*parametros_manuales!$J$25</f>
        <v>1674.723191838</v>
      </c>
      <c r="M64" s="14" t="n">
        <f aca="false">(parametros_manuales!$D$25*('Plan mensual'!O24+IF(parametros_manuales!$H$25="Todos",'Plan mensual'!O28,0))+parametros_manuales!$E$25*('Plan mensual'!O25+IF(parametros_manuales!$H$25="Todos",'Plan mensual'!O29,0))+parametros_manuales!$F$25*('Plan mensual'!O26+IF(parametros_manuales!$H$25="Todos",'Plan mensual'!O30,0))+parametros_manuales!$G$25*('Plan mensual'!O27+IF(parametros_manuales!$H$25="Todos",'Plan mensual'!O31,0)))*parametros_manuales!$I$25*parametros_manuales!$J$25</f>
        <v>2662.809618084</v>
      </c>
      <c r="N64" s="14" t="n">
        <f aca="false">SUM(B64:M64)</f>
        <v>22887.8921864</v>
      </c>
      <c r="O64" s="14" t="n">
        <f aca="false">MAX(B64:M64)</f>
        <v>2662.809618084</v>
      </c>
      <c r="P64" s="57" t="n">
        <f aca="false">O64/(parametros_manuales!$B$7)</f>
        <v>17.75206412056</v>
      </c>
      <c r="Q64" s="13" t="str">
        <f aca="false">IF(O64=0,"-",INDEX($B$57:$M$57,MATCH(O64,B64:M64,0)))</f>
        <v>Dic</v>
      </c>
    </row>
    <row r="65" customFormat="false" ht="14.25" hidden="false" customHeight="true" outlineLevel="0" collapsed="false">
      <c r="A65" s="13" t="str">
        <f aca="false">parametros_manuales!$B$26</f>
        <v>Cilindrado</v>
      </c>
      <c r="B65" s="14" t="n">
        <f aca="false">(parametros_manuales!$D$26*('Plan mensual'!D24+IF(parametros_manuales!$H$26="Todos",'Plan mensual'!D28,0))+parametros_manuales!$E$26*('Plan mensual'!D25+IF(parametros_manuales!$H$26="Todos",'Plan mensual'!D29,0))+parametros_manuales!$F$26*('Plan mensual'!D26+IF(parametros_manuales!$H$26="Todos",'Plan mensual'!D30,0))+parametros_manuales!$G$26*('Plan mensual'!D27+IF(parametros_manuales!$H$26="Todos",'Plan mensual'!D31,0)))*parametros_manuales!$I$26*parametros_manuales!$J$26</f>
        <v>2579.0721738</v>
      </c>
      <c r="C65" s="14" t="n">
        <f aca="false">(parametros_manuales!$D$26*('Plan mensual'!E24+IF(parametros_manuales!$H$26="Todos",'Plan mensual'!E28,0))+parametros_manuales!$E$26*('Plan mensual'!E25+IF(parametros_manuales!$H$26="Todos",'Plan mensual'!E29,0))+parametros_manuales!$F$26*('Plan mensual'!E26+IF(parametros_manuales!$H$26="Todos",'Plan mensual'!E30,0))+parametros_manuales!$G$26*('Plan mensual'!E27+IF(parametros_manuales!$H$26="Todos",'Plan mensual'!E31,0)))*parametros_manuales!$I$26*parametros_manuales!$J$26</f>
        <v>1976.172852492</v>
      </c>
      <c r="D65" s="14" t="n">
        <f aca="false">(parametros_manuales!$D$26*('Plan mensual'!F24+IF(parametros_manuales!$H$26="Todos",'Plan mensual'!F28,0))+parametros_manuales!$E$26*('Plan mensual'!F25+IF(parametros_manuales!$H$26="Todos",'Plan mensual'!F29,0))+parametros_manuales!$F$26*('Plan mensual'!F26+IF(parametros_manuales!$H$26="Todos",'Plan mensual'!F30,0))+parametros_manuales!$G$26*('Plan mensual'!F27+IF(parametros_manuales!$H$26="Todos",'Plan mensual'!F31,0)))*parametros_manuales!$I$26*parametros_manuales!$J$26</f>
        <v>1872.900097054</v>
      </c>
      <c r="E65" s="14" t="n">
        <f aca="false">(parametros_manuales!$D$26*('Plan mensual'!G24+IF(parametros_manuales!$H$26="Todos",'Plan mensual'!G28,0))+parametros_manuales!$E$26*('Plan mensual'!G25+IF(parametros_manuales!$H$26="Todos",'Plan mensual'!G29,0))+parametros_manuales!$F$26*('Plan mensual'!G26+IF(parametros_manuales!$H$26="Todos",'Plan mensual'!G30,0))+parametros_manuales!$G$26*('Plan mensual'!G27+IF(parametros_manuales!$H$26="Todos",'Plan mensual'!G31,0)))*parametros_manuales!$I$26*parametros_manuales!$J$26</f>
        <v>1800.329358264</v>
      </c>
      <c r="F65" s="14" t="n">
        <f aca="false">(parametros_manuales!$D$26*('Plan mensual'!H24+IF(parametros_manuales!$H$26="Todos",'Plan mensual'!H28,0))+parametros_manuales!$E$26*('Plan mensual'!H25+IF(parametros_manuales!$H$26="Todos",'Plan mensual'!H29,0))+parametros_manuales!$F$26*('Plan mensual'!H26+IF(parametros_manuales!$H$26="Todos",'Plan mensual'!H30,0))+parametros_manuales!$G$26*('Plan mensual'!H27+IF(parametros_manuales!$H$26="Todos",'Plan mensual'!H31,0)))*parametros_manuales!$I$26*parametros_manuales!$J$26</f>
        <v>1685.889897332</v>
      </c>
      <c r="G65" s="14" t="n">
        <f aca="false">(parametros_manuales!$D$26*('Plan mensual'!I24+IF(parametros_manuales!$H$26="Todos",'Plan mensual'!I28,0))+parametros_manuales!$E$26*('Plan mensual'!I25+IF(parametros_manuales!$H$26="Todos",'Plan mensual'!I29,0))+parametros_manuales!$F$26*('Plan mensual'!I26+IF(parametros_manuales!$H$26="Todos",'Plan mensual'!I30,0))+parametros_manuales!$G$26*('Plan mensual'!I27+IF(parametros_manuales!$H$26="Todos",'Plan mensual'!I31,0)))*parametros_manuales!$I$26*parametros_manuales!$J$26</f>
        <v>1644.02117519</v>
      </c>
      <c r="H65" s="14" t="n">
        <f aca="false">(parametros_manuales!$D$26*('Plan mensual'!J24+IF(parametros_manuales!$H$26="Todos",'Plan mensual'!J28,0))+parametros_manuales!$E$26*('Plan mensual'!J25+IF(parametros_manuales!$H$26="Todos",'Plan mensual'!J29,0))+parametros_manuales!$F$26*('Plan mensual'!J26+IF(parametros_manuales!$H$26="Todos",'Plan mensual'!J30,0))+parametros_manuales!$G$26*('Plan mensual'!J27+IF(parametros_manuales!$H$26="Todos",'Plan mensual'!J31,0)))*parametros_manuales!$I$26*parametros_manuales!$J$26</f>
        <v>1758.460636122</v>
      </c>
      <c r="I65" s="14" t="n">
        <f aca="false">(parametros_manuales!$D$26*('Plan mensual'!K24+IF(parametros_manuales!$H$26="Todos",'Plan mensual'!K28,0))+parametros_manuales!$E$26*('Plan mensual'!K25+IF(parametros_manuales!$H$26="Todos",'Plan mensual'!K29,0))+parametros_manuales!$F$26*('Plan mensual'!K26+IF(parametros_manuales!$H$26="Todos",'Plan mensual'!K30,0))+parametros_manuales!$G$26*('Plan mensual'!K27+IF(parametros_manuales!$H$26="Todos",'Plan mensual'!K31,0)))*parametros_manuales!$I$26*parametros_manuales!$J$26</f>
        <v>1758.460636122</v>
      </c>
      <c r="J65" s="14" t="n">
        <f aca="false">(parametros_manuales!$D$26*('Plan mensual'!L24+IF(parametros_manuales!$H$26="Todos",'Plan mensual'!L28,0))+parametros_manuales!$E$26*('Plan mensual'!L25+IF(parametros_manuales!$H$26="Todos",'Plan mensual'!L29,0))+parametros_manuales!$F$26*('Plan mensual'!L26+IF(parametros_manuales!$H$26="Todos",'Plan mensual'!L30,0))+parametros_manuales!$G$26*('Plan mensual'!L27+IF(parametros_manuales!$H$26="Todos",'Plan mensual'!L31,0)))*parametros_manuales!$I$26*parametros_manuales!$J$26</f>
        <v>1758.460636122</v>
      </c>
      <c r="K65" s="14" t="n">
        <f aca="false">(parametros_manuales!$D$26*('Plan mensual'!M24+IF(parametros_manuales!$H$26="Todos",'Plan mensual'!M28,0))+parametros_manuales!$E$26*('Plan mensual'!M25+IF(parametros_manuales!$H$26="Todos",'Plan mensual'!M29,0))+parametros_manuales!$F$26*('Plan mensual'!M26+IF(parametros_manuales!$H$26="Todos",'Plan mensual'!M30,0))+parametros_manuales!$G$26*('Plan mensual'!M27+IF(parametros_manuales!$H$26="Todos",'Plan mensual'!M31,0)))*parametros_manuales!$I$26*parametros_manuales!$J$26</f>
        <v>1716.59191398</v>
      </c>
      <c r="L65" s="14" t="n">
        <f aca="false">(parametros_manuales!$D$26*('Plan mensual'!N24+IF(parametros_manuales!$H$26="Todos",'Plan mensual'!N28,0))+parametros_manuales!$E$26*('Plan mensual'!N25+IF(parametros_manuales!$H$26="Todos",'Plan mensual'!N29,0))+parametros_manuales!$F$26*('Plan mensual'!N26+IF(parametros_manuales!$H$26="Todos",'Plan mensual'!N30,0))+parametros_manuales!$G$26*('Plan mensual'!N27+IF(parametros_manuales!$H$26="Todos",'Plan mensual'!N31,0)))*parametros_manuales!$I$26*parametros_manuales!$J$26</f>
        <v>1674.723191838</v>
      </c>
      <c r="M65" s="14" t="n">
        <f aca="false">(parametros_manuales!$D$26*('Plan mensual'!O24+IF(parametros_manuales!$H$26="Todos",'Plan mensual'!O28,0))+parametros_manuales!$E$26*('Plan mensual'!O25+IF(parametros_manuales!$H$26="Todos",'Plan mensual'!O29,0))+parametros_manuales!$F$26*('Plan mensual'!O26+IF(parametros_manuales!$H$26="Todos",'Plan mensual'!O30,0))+parametros_manuales!$G$26*('Plan mensual'!O27+IF(parametros_manuales!$H$26="Todos",'Plan mensual'!O31,0)))*parametros_manuales!$I$26*parametros_manuales!$J$26</f>
        <v>2662.809618084</v>
      </c>
      <c r="N65" s="14" t="n">
        <f aca="false">SUM(B65:M65)</f>
        <v>22887.8921864</v>
      </c>
      <c r="O65" s="14" t="n">
        <f aca="false">MAX(B65:M65)</f>
        <v>2662.809618084</v>
      </c>
      <c r="P65" s="57" t="n">
        <f aca="false">O65/(parametros_manuales!$B$7)</f>
        <v>17.75206412056</v>
      </c>
      <c r="Q65" s="13" t="str">
        <f aca="false">IF(O65=0,"-",INDEX($B$57:$M$57,MATCH(O65,B65:M65,0)))</f>
        <v>Dic</v>
      </c>
    </row>
    <row r="66" customFormat="false" ht="14.25" hidden="false" customHeight="true" outlineLevel="0" collapsed="false">
      <c r="A66" s="13" t="str">
        <f aca="false">parametros_manuales!$B$27</f>
        <v>Soldadura longitudinal — 2,5 a 10 kg</v>
      </c>
      <c r="B66" s="14" t="n">
        <f aca="false">(parametros_manuales!$D$27*('Plan mensual'!D24+IF(parametros_manuales!$H$27="Todos",'Plan mensual'!D28,0))+parametros_manuales!$E$27*('Plan mensual'!D25+IF(parametros_manuales!$H$27="Todos",'Plan mensual'!D29,0))+parametros_manuales!$F$27*('Plan mensual'!D26+IF(parametros_manuales!$H$27="Todos",'Plan mensual'!D30,0))+parametros_manuales!$G$27*('Plan mensual'!D27+IF(parametros_manuales!$H$27="Todos",'Plan mensual'!D31,0)))*parametros_manuales!$I$27*parametros_manuales!$J$27</f>
        <v>837.37444284</v>
      </c>
      <c r="C66" s="14" t="n">
        <f aca="false">(parametros_manuales!$D$27*('Plan mensual'!E24+IF(parametros_manuales!$H$27="Todos",'Plan mensual'!E28,0))+parametros_manuales!$E$27*('Plan mensual'!E25+IF(parametros_manuales!$H$27="Todos",'Plan mensual'!E29,0))+parametros_manuales!$F$27*('Plan mensual'!E26+IF(parametros_manuales!$H$27="Todos",'Plan mensual'!E30,0))+parametros_manuales!$G$27*('Plan mensual'!E27+IF(parametros_manuales!$H$27="Todos",'Plan mensual'!E31,0)))*parametros_manuales!$I$27*parametros_manuales!$J$27</f>
        <v>669.899554272</v>
      </c>
      <c r="D66" s="14" t="n">
        <f aca="false">(parametros_manuales!$D$27*('Plan mensual'!F24+IF(parametros_manuales!$H$27="Todos",'Plan mensual'!F28,0))+parametros_manuales!$E$27*('Plan mensual'!F25+IF(parametros_manuales!$H$27="Todos",'Plan mensual'!F29,0))+parametros_manuales!$F$27*('Plan mensual'!F26+IF(parametros_manuales!$H$27="Todos",'Plan mensual'!F30,0))+parametros_manuales!$G$27*('Plan mensual'!F27+IF(parametros_manuales!$H$27="Todos",'Plan mensual'!F31,0)))*parametros_manuales!$I$27*parametros_manuales!$J$27</f>
        <v>711.768276414</v>
      </c>
      <c r="E66" s="14" t="n">
        <f aca="false">(parametros_manuales!$D$27*('Plan mensual'!G24+IF(parametros_manuales!$H$27="Todos",'Plan mensual'!G28,0))+parametros_manuales!$E$27*('Plan mensual'!G25+IF(parametros_manuales!$H$27="Todos",'Plan mensual'!G29,0))+parametros_manuales!$F$27*('Plan mensual'!G26+IF(parametros_manuales!$H$27="Todos",'Plan mensual'!G30,0))+parametros_manuales!$G$27*('Plan mensual'!G27+IF(parametros_manuales!$H$27="Todos",'Plan mensual'!G31,0)))*parametros_manuales!$I$27*parametros_manuales!$J$27</f>
        <v>711.768276414</v>
      </c>
      <c r="F66" s="14" t="n">
        <f aca="false">(parametros_manuales!$D$27*('Plan mensual'!H24+IF(parametros_manuales!$H$27="Todos",'Plan mensual'!H28,0))+parametros_manuales!$E$27*('Plan mensual'!H25+IF(parametros_manuales!$H$27="Todos",'Plan mensual'!H29,0))+parametros_manuales!$F$27*('Plan mensual'!H26+IF(parametros_manuales!$H$27="Todos",'Plan mensual'!H30,0))+parametros_manuales!$G$27*('Plan mensual'!H27+IF(parametros_manuales!$H$27="Todos",'Plan mensual'!H31,0)))*parametros_manuales!$I$27*parametros_manuales!$J$27</f>
        <v>669.899554272</v>
      </c>
      <c r="G66" s="14" t="n">
        <f aca="false">(parametros_manuales!$D$27*('Plan mensual'!I24+IF(parametros_manuales!$H$27="Todos",'Plan mensual'!I28,0))+parametros_manuales!$E$27*('Plan mensual'!I25+IF(parametros_manuales!$H$27="Todos",'Plan mensual'!I29,0))+parametros_manuales!$F$27*('Plan mensual'!I26+IF(parametros_manuales!$H$27="Todos",'Plan mensual'!I30,0))+parametros_manuales!$G$27*('Plan mensual'!I27+IF(parametros_manuales!$H$27="Todos",'Plan mensual'!I31,0)))*parametros_manuales!$I$27*parametros_manuales!$J$27</f>
        <v>628.03083213</v>
      </c>
      <c r="H66" s="14" t="n">
        <f aca="false">(parametros_manuales!$D$27*('Plan mensual'!J24+IF(parametros_manuales!$H$27="Todos",'Plan mensual'!J28,0))+parametros_manuales!$E$27*('Plan mensual'!J25+IF(parametros_manuales!$H$27="Todos",'Plan mensual'!J29,0))+parametros_manuales!$F$27*('Plan mensual'!J26+IF(parametros_manuales!$H$27="Todos",'Plan mensual'!J30,0))+parametros_manuales!$G$27*('Plan mensual'!J27+IF(parametros_manuales!$H$27="Todos",'Plan mensual'!J31,0)))*parametros_manuales!$I$27*parametros_manuales!$J$27</f>
        <v>669.899554272</v>
      </c>
      <c r="I66" s="14" t="n">
        <f aca="false">(parametros_manuales!$D$27*('Plan mensual'!K24+IF(parametros_manuales!$H$27="Todos",'Plan mensual'!K28,0))+parametros_manuales!$E$27*('Plan mensual'!K25+IF(parametros_manuales!$H$27="Todos",'Plan mensual'!K29,0))+parametros_manuales!$F$27*('Plan mensual'!K26+IF(parametros_manuales!$H$27="Todos",'Plan mensual'!K30,0))+parametros_manuales!$G$27*('Plan mensual'!K27+IF(parametros_manuales!$H$27="Todos",'Plan mensual'!K31,0)))*parametros_manuales!$I$27*parametros_manuales!$J$27</f>
        <v>669.899554272</v>
      </c>
      <c r="J66" s="14" t="n">
        <f aca="false">(parametros_manuales!$D$27*('Plan mensual'!L24+IF(parametros_manuales!$H$27="Todos",'Plan mensual'!L28,0))+parametros_manuales!$E$27*('Plan mensual'!L25+IF(parametros_manuales!$H$27="Todos",'Plan mensual'!L29,0))+parametros_manuales!$F$27*('Plan mensual'!L26+IF(parametros_manuales!$H$27="Todos",'Plan mensual'!L30,0))+parametros_manuales!$G$27*('Plan mensual'!L27+IF(parametros_manuales!$H$27="Todos",'Plan mensual'!L31,0)))*parametros_manuales!$I$27*parametros_manuales!$J$27</f>
        <v>669.899554272</v>
      </c>
      <c r="K66" s="14" t="n">
        <f aca="false">(parametros_manuales!$D$27*('Plan mensual'!M24+IF(parametros_manuales!$H$27="Todos",'Plan mensual'!M28,0))+parametros_manuales!$E$27*('Plan mensual'!M25+IF(parametros_manuales!$H$27="Todos",'Plan mensual'!M29,0))+parametros_manuales!$F$27*('Plan mensual'!M26+IF(parametros_manuales!$H$27="Todos",'Plan mensual'!M30,0))+parametros_manuales!$G$27*('Plan mensual'!M27+IF(parametros_manuales!$H$27="Todos",'Plan mensual'!M31,0)))*parametros_manuales!$I$27*parametros_manuales!$J$27</f>
        <v>628.03083213</v>
      </c>
      <c r="L66" s="14" t="n">
        <f aca="false">(parametros_manuales!$D$27*('Plan mensual'!N24+IF(parametros_manuales!$H$27="Todos",'Plan mensual'!N28,0))+parametros_manuales!$E$27*('Plan mensual'!N25+IF(parametros_manuales!$H$27="Todos",'Plan mensual'!N29,0))+parametros_manuales!$F$27*('Plan mensual'!N26+IF(parametros_manuales!$H$27="Todos",'Plan mensual'!N30,0))+parametros_manuales!$G$27*('Plan mensual'!N27+IF(parametros_manuales!$H$27="Todos",'Plan mensual'!N31,0)))*parametros_manuales!$I$27*parametros_manuales!$J$27</f>
        <v>586.162109988</v>
      </c>
      <c r="M66" s="14" t="n">
        <f aca="false">(parametros_manuales!$D$27*('Plan mensual'!O24+IF(parametros_manuales!$H$27="Todos",'Plan mensual'!O28,0))+parametros_manuales!$E$27*('Plan mensual'!O25+IF(parametros_manuales!$H$27="Todos",'Plan mensual'!O29,0))+parametros_manuales!$F$27*('Plan mensual'!O26+IF(parametros_manuales!$H$27="Todos",'Plan mensual'!O30,0))+parametros_manuales!$G$27*('Plan mensual'!O27+IF(parametros_manuales!$H$27="Todos",'Plan mensual'!O31,0)))*parametros_manuales!$I$27*parametros_manuales!$J$27</f>
        <v>921.111887124</v>
      </c>
      <c r="N66" s="14" t="n">
        <f aca="false">SUM(B66:M66)</f>
        <v>8373.7444284</v>
      </c>
      <c r="O66" s="14" t="n">
        <f aca="false">MAX(B66:M66)</f>
        <v>921.111887124</v>
      </c>
      <c r="P66" s="57" t="n">
        <f aca="false">O66/(parametros_manuales!$B$7)</f>
        <v>6.14074591416</v>
      </c>
      <c r="Q66" s="13" t="str">
        <f aca="false">IF(O66=0,"-",INDEX($B$57:$M$57,MATCH(O66,B66:M66,0)))</f>
        <v>Dic</v>
      </c>
    </row>
    <row r="67" customFormat="false" ht="14.25" hidden="false" customHeight="true" outlineLevel="0" collapsed="false">
      <c r="A67" s="13" t="str">
        <f aca="false">parametros_manuales!$B$28</f>
        <v>Soldadura longitudinal TIG — 1 kg</v>
      </c>
      <c r="B67" s="14" t="n">
        <f aca="false">(parametros_manuales!$D$28*('Plan mensual'!D24+IF(parametros_manuales!$H$28="Todos",'Plan mensual'!D28,0))+parametros_manuales!$E$28*('Plan mensual'!D25+IF(parametros_manuales!$H$28="Todos",'Plan mensual'!D29,0))+parametros_manuales!$F$28*('Plan mensual'!D26+IF(parametros_manuales!$H$28="Todos",'Plan mensual'!D30,0))+parametros_manuales!$G$28*('Plan mensual'!D27+IF(parametros_manuales!$H$28="Todos",'Plan mensual'!D31,0)))*parametros_manuales!$I$28*parametros_manuales!$J$28</f>
        <v>1741.69773096</v>
      </c>
      <c r="C67" s="14" t="n">
        <f aca="false">(parametros_manuales!$D$28*('Plan mensual'!E24+IF(parametros_manuales!$H$28="Todos",'Plan mensual'!E28,0))+parametros_manuales!$E$28*('Plan mensual'!E25+IF(parametros_manuales!$H$28="Todos",'Plan mensual'!E29,0))+parametros_manuales!$F$28*('Plan mensual'!E26+IF(parametros_manuales!$H$28="Todos",'Plan mensual'!E30,0))+parametros_manuales!$G$28*('Plan mensual'!E27+IF(parametros_manuales!$H$28="Todos",'Plan mensual'!E31,0)))*parametros_manuales!$I$28*parametros_manuales!$J$28</f>
        <v>1306.27329822</v>
      </c>
      <c r="D67" s="14" t="n">
        <f aca="false">(parametros_manuales!$D$28*('Plan mensual'!F24+IF(parametros_manuales!$H$28="Todos",'Plan mensual'!F28,0))+parametros_manuales!$E$28*('Plan mensual'!F25+IF(parametros_manuales!$H$28="Todos",'Plan mensual'!F29,0))+parametros_manuales!$F$28*('Plan mensual'!F26+IF(parametros_manuales!$H$28="Todos",'Plan mensual'!F30,0))+parametros_manuales!$G$28*('Plan mensual'!F27+IF(parametros_manuales!$H$28="Todos",'Plan mensual'!F31,0)))*parametros_manuales!$I$28*parametros_manuales!$J$28</f>
        <v>1161.13182064</v>
      </c>
      <c r="E67" s="14" t="n">
        <f aca="false">(parametros_manuales!$D$28*('Plan mensual'!G24+IF(parametros_manuales!$H$28="Todos",'Plan mensual'!G28,0))+parametros_manuales!$E$28*('Plan mensual'!G25+IF(parametros_manuales!$H$28="Todos",'Plan mensual'!G29,0))+parametros_manuales!$F$28*('Plan mensual'!G26+IF(parametros_manuales!$H$28="Todos",'Plan mensual'!G30,0))+parametros_manuales!$G$28*('Plan mensual'!G27+IF(parametros_manuales!$H$28="Todos",'Plan mensual'!G31,0)))*parametros_manuales!$I$28*parametros_manuales!$J$28</f>
        <v>1088.56108185</v>
      </c>
      <c r="F67" s="14" t="n">
        <f aca="false">(parametros_manuales!$D$28*('Plan mensual'!H24+IF(parametros_manuales!$H$28="Todos",'Plan mensual'!H28,0))+parametros_manuales!$E$28*('Plan mensual'!H25+IF(parametros_manuales!$H$28="Todos",'Plan mensual'!H29,0))+parametros_manuales!$F$28*('Plan mensual'!H26+IF(parametros_manuales!$H$28="Todos",'Plan mensual'!H30,0))+parametros_manuales!$G$28*('Plan mensual'!H27+IF(parametros_manuales!$H$28="Todos",'Plan mensual'!H31,0)))*parametros_manuales!$I$28*parametros_manuales!$J$28</f>
        <v>1015.99034306</v>
      </c>
      <c r="G67" s="14" t="n">
        <f aca="false">(parametros_manuales!$D$28*('Plan mensual'!I24+IF(parametros_manuales!$H$28="Todos",'Plan mensual'!I28,0))+parametros_manuales!$E$28*('Plan mensual'!I25+IF(parametros_manuales!$H$28="Todos",'Plan mensual'!I29,0))+parametros_manuales!$F$28*('Plan mensual'!I26+IF(parametros_manuales!$H$28="Todos",'Plan mensual'!I30,0))+parametros_manuales!$G$28*('Plan mensual'!I27+IF(parametros_manuales!$H$28="Todos",'Plan mensual'!I31,0)))*parametros_manuales!$I$28*parametros_manuales!$J$28</f>
        <v>1015.99034306</v>
      </c>
      <c r="H67" s="14" t="n">
        <f aca="false">(parametros_manuales!$D$28*('Plan mensual'!J24+IF(parametros_manuales!$H$28="Todos",'Plan mensual'!J28,0))+parametros_manuales!$E$28*('Plan mensual'!J25+IF(parametros_manuales!$H$28="Todos",'Plan mensual'!J29,0))+parametros_manuales!$F$28*('Plan mensual'!J26+IF(parametros_manuales!$H$28="Todos",'Plan mensual'!J30,0))+parametros_manuales!$G$28*('Plan mensual'!J27+IF(parametros_manuales!$H$28="Todos",'Plan mensual'!J31,0)))*parametros_manuales!$I$28*parametros_manuales!$J$28</f>
        <v>1088.56108185</v>
      </c>
      <c r="I67" s="14" t="n">
        <f aca="false">(parametros_manuales!$D$28*('Plan mensual'!K24+IF(parametros_manuales!$H$28="Todos",'Plan mensual'!K28,0))+parametros_manuales!$E$28*('Plan mensual'!K25+IF(parametros_manuales!$H$28="Todos",'Plan mensual'!K29,0))+parametros_manuales!$F$28*('Plan mensual'!K26+IF(parametros_manuales!$H$28="Todos",'Plan mensual'!K30,0))+parametros_manuales!$G$28*('Plan mensual'!K27+IF(parametros_manuales!$H$28="Todos",'Plan mensual'!K31,0)))*parametros_manuales!$I$28*parametros_manuales!$J$28</f>
        <v>1088.56108185</v>
      </c>
      <c r="J67" s="14" t="n">
        <f aca="false">(parametros_manuales!$D$28*('Plan mensual'!L24+IF(parametros_manuales!$H$28="Todos",'Plan mensual'!L28,0))+parametros_manuales!$E$28*('Plan mensual'!L25+IF(parametros_manuales!$H$28="Todos",'Plan mensual'!L29,0))+parametros_manuales!$F$28*('Plan mensual'!L26+IF(parametros_manuales!$H$28="Todos",'Plan mensual'!L30,0))+parametros_manuales!$G$28*('Plan mensual'!L27+IF(parametros_manuales!$H$28="Todos",'Plan mensual'!L31,0)))*parametros_manuales!$I$28*parametros_manuales!$J$28</f>
        <v>1088.56108185</v>
      </c>
      <c r="K67" s="14" t="n">
        <f aca="false">(parametros_manuales!$D$28*('Plan mensual'!M24+IF(parametros_manuales!$H$28="Todos",'Plan mensual'!M28,0))+parametros_manuales!$E$28*('Plan mensual'!M25+IF(parametros_manuales!$H$28="Todos",'Plan mensual'!M29,0))+parametros_manuales!$F$28*('Plan mensual'!M26+IF(parametros_manuales!$H$28="Todos",'Plan mensual'!M30,0))+parametros_manuales!$G$28*('Plan mensual'!M27+IF(parametros_manuales!$H$28="Todos",'Plan mensual'!M31,0)))*parametros_manuales!$I$28*parametros_manuales!$J$28</f>
        <v>1088.56108185</v>
      </c>
      <c r="L67" s="14" t="n">
        <f aca="false">(parametros_manuales!$D$28*('Plan mensual'!N24+IF(parametros_manuales!$H$28="Todos",'Plan mensual'!N28,0))+parametros_manuales!$E$28*('Plan mensual'!N25+IF(parametros_manuales!$H$28="Todos",'Plan mensual'!N29,0))+parametros_manuales!$F$28*('Plan mensual'!N26+IF(parametros_manuales!$H$28="Todos",'Plan mensual'!N30,0))+parametros_manuales!$G$28*('Plan mensual'!N27+IF(parametros_manuales!$H$28="Todos",'Plan mensual'!N31,0)))*parametros_manuales!$I$28*parametros_manuales!$J$28</f>
        <v>1088.56108185</v>
      </c>
      <c r="M67" s="14" t="n">
        <f aca="false">(parametros_manuales!$D$28*('Plan mensual'!O24+IF(parametros_manuales!$H$28="Todos",'Plan mensual'!O28,0))+parametros_manuales!$E$28*('Plan mensual'!O25+IF(parametros_manuales!$H$28="Todos",'Plan mensual'!O29,0))+parametros_manuales!$F$28*('Plan mensual'!O26+IF(parametros_manuales!$H$28="Todos",'Plan mensual'!O30,0))+parametros_manuales!$G$28*('Plan mensual'!O27+IF(parametros_manuales!$H$28="Todos",'Plan mensual'!O31,0)))*parametros_manuales!$I$28*parametros_manuales!$J$28</f>
        <v>1741.69773096</v>
      </c>
      <c r="N67" s="14" t="n">
        <f aca="false">SUM(B67:M67)</f>
        <v>14514.147758</v>
      </c>
      <c r="O67" s="14" t="n">
        <f aca="false">MAX(B67:M67)</f>
        <v>1741.69773096</v>
      </c>
      <c r="P67" s="57" t="n">
        <f aca="false">O67/(parametros_manuales!$B$7)</f>
        <v>11.6113182064</v>
      </c>
      <c r="Q67" s="13" t="str">
        <f aca="false">IF(O67=0,"-",INDEX($B$57:$M$57,MATCH(O67,B67:M67,0)))</f>
        <v>Ene</v>
      </c>
    </row>
    <row r="68" customFormat="false" ht="14.25" hidden="false" customHeight="true" outlineLevel="0" collapsed="false">
      <c r="A68" s="13" t="str">
        <f aca="false">parametros_manuales!$B$29</f>
        <v>Encastre de fondo</v>
      </c>
      <c r="B68" s="14" t="n">
        <f aca="false">(parametros_manuales!$D$29*('Plan mensual'!D24+IF(parametros_manuales!$H$29="Todos",'Plan mensual'!D28,0))+parametros_manuales!$E$29*('Plan mensual'!D25+IF(parametros_manuales!$H$29="Todos",'Plan mensual'!D29,0))+parametros_manuales!$F$29*('Plan mensual'!D26+IF(parametros_manuales!$H$29="Todos",'Plan mensual'!D30,0))+parametros_manuales!$G$29*('Plan mensual'!D27+IF(parametros_manuales!$H$29="Todos",'Plan mensual'!D31,0)))*parametros_manuales!$I$29*parametros_manuales!$J$29</f>
        <v>2579.0721738</v>
      </c>
      <c r="C68" s="14" t="n">
        <f aca="false">(parametros_manuales!$D$29*('Plan mensual'!E24+IF(parametros_manuales!$H$29="Todos",'Plan mensual'!E28,0))+parametros_manuales!$E$29*('Plan mensual'!E25+IF(parametros_manuales!$H$29="Todos",'Plan mensual'!E29,0))+parametros_manuales!$F$29*('Plan mensual'!E26+IF(parametros_manuales!$H$29="Todos",'Plan mensual'!E30,0))+parametros_manuales!$G$29*('Plan mensual'!E27+IF(parametros_manuales!$H$29="Todos",'Plan mensual'!E31,0)))*parametros_manuales!$I$29*parametros_manuales!$J$29</f>
        <v>1976.172852492</v>
      </c>
      <c r="D68" s="14" t="n">
        <f aca="false">(parametros_manuales!$D$29*('Plan mensual'!F24+IF(parametros_manuales!$H$29="Todos",'Plan mensual'!F28,0))+parametros_manuales!$E$29*('Plan mensual'!F25+IF(parametros_manuales!$H$29="Todos",'Plan mensual'!F29,0))+parametros_manuales!$F$29*('Plan mensual'!F26+IF(parametros_manuales!$H$29="Todos",'Plan mensual'!F30,0))+parametros_manuales!$G$29*('Plan mensual'!F27+IF(parametros_manuales!$H$29="Todos",'Plan mensual'!F31,0)))*parametros_manuales!$I$29*parametros_manuales!$J$29</f>
        <v>1872.900097054</v>
      </c>
      <c r="E68" s="14" t="n">
        <f aca="false">(parametros_manuales!$D$29*('Plan mensual'!G24+IF(parametros_manuales!$H$29="Todos",'Plan mensual'!G28,0))+parametros_manuales!$E$29*('Plan mensual'!G25+IF(parametros_manuales!$H$29="Todos",'Plan mensual'!G29,0))+parametros_manuales!$F$29*('Plan mensual'!G26+IF(parametros_manuales!$H$29="Todos",'Plan mensual'!G30,0))+parametros_manuales!$G$29*('Plan mensual'!G27+IF(parametros_manuales!$H$29="Todos",'Plan mensual'!G31,0)))*parametros_manuales!$I$29*parametros_manuales!$J$29</f>
        <v>1800.329358264</v>
      </c>
      <c r="F68" s="14" t="n">
        <f aca="false">(parametros_manuales!$D$29*('Plan mensual'!H24+IF(parametros_manuales!$H$29="Todos",'Plan mensual'!H28,0))+parametros_manuales!$E$29*('Plan mensual'!H25+IF(parametros_manuales!$H$29="Todos",'Plan mensual'!H29,0))+parametros_manuales!$F$29*('Plan mensual'!H26+IF(parametros_manuales!$H$29="Todos",'Plan mensual'!H30,0))+parametros_manuales!$G$29*('Plan mensual'!H27+IF(parametros_manuales!$H$29="Todos",'Plan mensual'!H31,0)))*parametros_manuales!$I$29*parametros_manuales!$J$29</f>
        <v>1685.889897332</v>
      </c>
      <c r="G68" s="14" t="n">
        <f aca="false">(parametros_manuales!$D$29*('Plan mensual'!I24+IF(parametros_manuales!$H$29="Todos",'Plan mensual'!I28,0))+parametros_manuales!$E$29*('Plan mensual'!I25+IF(parametros_manuales!$H$29="Todos",'Plan mensual'!I29,0))+parametros_manuales!$F$29*('Plan mensual'!I26+IF(parametros_manuales!$H$29="Todos",'Plan mensual'!I30,0))+parametros_manuales!$G$29*('Plan mensual'!I27+IF(parametros_manuales!$H$29="Todos",'Plan mensual'!I31,0)))*parametros_manuales!$I$29*parametros_manuales!$J$29</f>
        <v>1644.02117519</v>
      </c>
      <c r="H68" s="14" t="n">
        <f aca="false">(parametros_manuales!$D$29*('Plan mensual'!J24+IF(parametros_manuales!$H$29="Todos",'Plan mensual'!J28,0))+parametros_manuales!$E$29*('Plan mensual'!J25+IF(parametros_manuales!$H$29="Todos",'Plan mensual'!J29,0))+parametros_manuales!$F$29*('Plan mensual'!J26+IF(parametros_manuales!$H$29="Todos",'Plan mensual'!J30,0))+parametros_manuales!$G$29*('Plan mensual'!J27+IF(parametros_manuales!$H$29="Todos",'Plan mensual'!J31,0)))*parametros_manuales!$I$29*parametros_manuales!$J$29</f>
        <v>1758.460636122</v>
      </c>
      <c r="I68" s="14" t="n">
        <f aca="false">(parametros_manuales!$D$29*('Plan mensual'!K24+IF(parametros_manuales!$H$29="Todos",'Plan mensual'!K28,0))+parametros_manuales!$E$29*('Plan mensual'!K25+IF(parametros_manuales!$H$29="Todos",'Plan mensual'!K29,0))+parametros_manuales!$F$29*('Plan mensual'!K26+IF(parametros_manuales!$H$29="Todos",'Plan mensual'!K30,0))+parametros_manuales!$G$29*('Plan mensual'!K27+IF(parametros_manuales!$H$29="Todos",'Plan mensual'!K31,0)))*parametros_manuales!$I$29*parametros_manuales!$J$29</f>
        <v>1758.460636122</v>
      </c>
      <c r="J68" s="14" t="n">
        <f aca="false">(parametros_manuales!$D$29*('Plan mensual'!L24+IF(parametros_manuales!$H$29="Todos",'Plan mensual'!L28,0))+parametros_manuales!$E$29*('Plan mensual'!L25+IF(parametros_manuales!$H$29="Todos",'Plan mensual'!L29,0))+parametros_manuales!$F$29*('Plan mensual'!L26+IF(parametros_manuales!$H$29="Todos",'Plan mensual'!L30,0))+parametros_manuales!$G$29*('Plan mensual'!L27+IF(parametros_manuales!$H$29="Todos",'Plan mensual'!L31,0)))*parametros_manuales!$I$29*parametros_manuales!$J$29</f>
        <v>1758.460636122</v>
      </c>
      <c r="K68" s="14" t="n">
        <f aca="false">(parametros_manuales!$D$29*('Plan mensual'!M24+IF(parametros_manuales!$H$29="Todos",'Plan mensual'!M28,0))+parametros_manuales!$E$29*('Plan mensual'!M25+IF(parametros_manuales!$H$29="Todos",'Plan mensual'!M29,0))+parametros_manuales!$F$29*('Plan mensual'!M26+IF(parametros_manuales!$H$29="Todos",'Plan mensual'!M30,0))+parametros_manuales!$G$29*('Plan mensual'!M27+IF(parametros_manuales!$H$29="Todos",'Plan mensual'!M31,0)))*parametros_manuales!$I$29*parametros_manuales!$J$29</f>
        <v>1716.59191398</v>
      </c>
      <c r="L68" s="14" t="n">
        <f aca="false">(parametros_manuales!$D$29*('Plan mensual'!N24+IF(parametros_manuales!$H$29="Todos",'Plan mensual'!N28,0))+parametros_manuales!$E$29*('Plan mensual'!N25+IF(parametros_manuales!$H$29="Todos",'Plan mensual'!N29,0))+parametros_manuales!$F$29*('Plan mensual'!N26+IF(parametros_manuales!$H$29="Todos",'Plan mensual'!N30,0))+parametros_manuales!$G$29*('Plan mensual'!N27+IF(parametros_manuales!$H$29="Todos",'Plan mensual'!N31,0)))*parametros_manuales!$I$29*parametros_manuales!$J$29</f>
        <v>1674.723191838</v>
      </c>
      <c r="M68" s="14" t="n">
        <f aca="false">(parametros_manuales!$D$29*('Plan mensual'!O24+IF(parametros_manuales!$H$29="Todos",'Plan mensual'!O28,0))+parametros_manuales!$E$29*('Plan mensual'!O25+IF(parametros_manuales!$H$29="Todos",'Plan mensual'!O29,0))+parametros_manuales!$F$29*('Plan mensual'!O26+IF(parametros_manuales!$H$29="Todos",'Plan mensual'!O30,0))+parametros_manuales!$G$29*('Plan mensual'!O27+IF(parametros_manuales!$H$29="Todos",'Plan mensual'!O31,0)))*parametros_manuales!$I$29*parametros_manuales!$J$29</f>
        <v>2662.809618084</v>
      </c>
      <c r="N68" s="14" t="n">
        <f aca="false">SUM(B68:M68)</f>
        <v>22887.8921864</v>
      </c>
      <c r="O68" s="14" t="n">
        <f aca="false">MAX(B68:M68)</f>
        <v>2662.809618084</v>
      </c>
      <c r="P68" s="57" t="n">
        <f aca="false">O68/(parametros_manuales!$B$7)</f>
        <v>17.75206412056</v>
      </c>
      <c r="Q68" s="13" t="str">
        <f aca="false">IF(O68=0,"-",INDEX($B$57:$M$57,MATCH(O68,B68:M68,0)))</f>
        <v>Dic</v>
      </c>
    </row>
    <row r="69" customFormat="false" ht="14.25" hidden="false" customHeight="true" outlineLevel="0" collapsed="false">
      <c r="A69" s="13" t="str">
        <f aca="false">parametros_manuales!$B$30</f>
        <v>Bordoneado</v>
      </c>
      <c r="B69" s="14" t="n">
        <f aca="false">(parametros_manuales!$D$30*('Plan mensual'!D24+IF(parametros_manuales!$H$30="Todos",'Plan mensual'!D28,0))+parametros_manuales!$E$30*('Plan mensual'!D25+IF(parametros_manuales!$H$30="Todos",'Plan mensual'!D29,0))+parametros_manuales!$F$30*('Plan mensual'!D26+IF(parametros_manuales!$H$30="Todos",'Plan mensual'!D30,0))+parametros_manuales!$G$30*('Plan mensual'!D27+IF(parametros_manuales!$H$30="Todos",'Plan mensual'!D31,0)))*parametros_manuales!$I$30*parametros_manuales!$J$30</f>
        <v>2579.0721738</v>
      </c>
      <c r="C69" s="14" t="n">
        <f aca="false">(parametros_manuales!$D$30*('Plan mensual'!E24+IF(parametros_manuales!$H$30="Todos",'Plan mensual'!E28,0))+parametros_manuales!$E$30*('Plan mensual'!E25+IF(parametros_manuales!$H$30="Todos",'Plan mensual'!E29,0))+parametros_manuales!$F$30*('Plan mensual'!E26+IF(parametros_manuales!$H$30="Todos",'Plan mensual'!E30,0))+parametros_manuales!$G$30*('Plan mensual'!E27+IF(parametros_manuales!$H$30="Todos",'Plan mensual'!E31,0)))*parametros_manuales!$I$30*parametros_manuales!$J$30</f>
        <v>1976.172852492</v>
      </c>
      <c r="D69" s="14" t="n">
        <f aca="false">(parametros_manuales!$D$30*('Plan mensual'!F24+IF(parametros_manuales!$H$30="Todos",'Plan mensual'!F28,0))+parametros_manuales!$E$30*('Plan mensual'!F25+IF(parametros_manuales!$H$30="Todos",'Plan mensual'!F29,0))+parametros_manuales!$F$30*('Plan mensual'!F26+IF(parametros_manuales!$H$30="Todos",'Plan mensual'!F30,0))+parametros_manuales!$G$30*('Plan mensual'!F27+IF(parametros_manuales!$H$30="Todos",'Plan mensual'!F31,0)))*parametros_manuales!$I$30*parametros_manuales!$J$30</f>
        <v>1872.900097054</v>
      </c>
      <c r="E69" s="14" t="n">
        <f aca="false">(parametros_manuales!$D$30*('Plan mensual'!G24+IF(parametros_manuales!$H$30="Todos",'Plan mensual'!G28,0))+parametros_manuales!$E$30*('Plan mensual'!G25+IF(parametros_manuales!$H$30="Todos",'Plan mensual'!G29,0))+parametros_manuales!$F$30*('Plan mensual'!G26+IF(parametros_manuales!$H$30="Todos",'Plan mensual'!G30,0))+parametros_manuales!$G$30*('Plan mensual'!G27+IF(parametros_manuales!$H$30="Todos",'Plan mensual'!G31,0)))*parametros_manuales!$I$30*parametros_manuales!$J$30</f>
        <v>1800.329358264</v>
      </c>
      <c r="F69" s="14" t="n">
        <f aca="false">(parametros_manuales!$D$30*('Plan mensual'!H24+IF(parametros_manuales!$H$30="Todos",'Plan mensual'!H28,0))+parametros_manuales!$E$30*('Plan mensual'!H25+IF(parametros_manuales!$H$30="Todos",'Plan mensual'!H29,0))+parametros_manuales!$F$30*('Plan mensual'!H26+IF(parametros_manuales!$H$30="Todos",'Plan mensual'!H30,0))+parametros_manuales!$G$30*('Plan mensual'!H27+IF(parametros_manuales!$H$30="Todos",'Plan mensual'!H31,0)))*parametros_manuales!$I$30*parametros_manuales!$J$30</f>
        <v>1685.889897332</v>
      </c>
      <c r="G69" s="14" t="n">
        <f aca="false">(parametros_manuales!$D$30*('Plan mensual'!I24+IF(parametros_manuales!$H$30="Todos",'Plan mensual'!I28,0))+parametros_manuales!$E$30*('Plan mensual'!I25+IF(parametros_manuales!$H$30="Todos",'Plan mensual'!I29,0))+parametros_manuales!$F$30*('Plan mensual'!I26+IF(parametros_manuales!$H$30="Todos",'Plan mensual'!I30,0))+parametros_manuales!$G$30*('Plan mensual'!I27+IF(parametros_manuales!$H$30="Todos",'Plan mensual'!I31,0)))*parametros_manuales!$I$30*parametros_manuales!$J$30</f>
        <v>1644.02117519</v>
      </c>
      <c r="H69" s="14" t="n">
        <f aca="false">(parametros_manuales!$D$30*('Plan mensual'!J24+IF(parametros_manuales!$H$30="Todos",'Plan mensual'!J28,0))+parametros_manuales!$E$30*('Plan mensual'!J25+IF(parametros_manuales!$H$30="Todos",'Plan mensual'!J29,0))+parametros_manuales!$F$30*('Plan mensual'!J26+IF(parametros_manuales!$H$30="Todos",'Plan mensual'!J30,0))+parametros_manuales!$G$30*('Plan mensual'!J27+IF(parametros_manuales!$H$30="Todos",'Plan mensual'!J31,0)))*parametros_manuales!$I$30*parametros_manuales!$J$30</f>
        <v>1758.460636122</v>
      </c>
      <c r="I69" s="14" t="n">
        <f aca="false">(parametros_manuales!$D$30*('Plan mensual'!K24+IF(parametros_manuales!$H$30="Todos",'Plan mensual'!K28,0))+parametros_manuales!$E$30*('Plan mensual'!K25+IF(parametros_manuales!$H$30="Todos",'Plan mensual'!K29,0))+parametros_manuales!$F$30*('Plan mensual'!K26+IF(parametros_manuales!$H$30="Todos",'Plan mensual'!K30,0))+parametros_manuales!$G$30*('Plan mensual'!K27+IF(parametros_manuales!$H$30="Todos",'Plan mensual'!K31,0)))*parametros_manuales!$I$30*parametros_manuales!$J$30</f>
        <v>1758.460636122</v>
      </c>
      <c r="J69" s="14" t="n">
        <f aca="false">(parametros_manuales!$D$30*('Plan mensual'!L24+IF(parametros_manuales!$H$30="Todos",'Plan mensual'!L28,0))+parametros_manuales!$E$30*('Plan mensual'!L25+IF(parametros_manuales!$H$30="Todos",'Plan mensual'!L29,0))+parametros_manuales!$F$30*('Plan mensual'!L26+IF(parametros_manuales!$H$30="Todos",'Plan mensual'!L30,0))+parametros_manuales!$G$30*('Plan mensual'!L27+IF(parametros_manuales!$H$30="Todos",'Plan mensual'!L31,0)))*parametros_manuales!$I$30*parametros_manuales!$J$30</f>
        <v>1758.460636122</v>
      </c>
      <c r="K69" s="14" t="n">
        <f aca="false">(parametros_manuales!$D$30*('Plan mensual'!M24+IF(parametros_manuales!$H$30="Todos",'Plan mensual'!M28,0))+parametros_manuales!$E$30*('Plan mensual'!M25+IF(parametros_manuales!$H$30="Todos",'Plan mensual'!M29,0))+parametros_manuales!$F$30*('Plan mensual'!M26+IF(parametros_manuales!$H$30="Todos",'Plan mensual'!M30,0))+parametros_manuales!$G$30*('Plan mensual'!M27+IF(parametros_manuales!$H$30="Todos",'Plan mensual'!M31,0)))*parametros_manuales!$I$30*parametros_manuales!$J$30</f>
        <v>1716.59191398</v>
      </c>
      <c r="L69" s="14" t="n">
        <f aca="false">(parametros_manuales!$D$30*('Plan mensual'!N24+IF(parametros_manuales!$H$30="Todos",'Plan mensual'!N28,0))+parametros_manuales!$E$30*('Plan mensual'!N25+IF(parametros_manuales!$H$30="Todos",'Plan mensual'!N29,0))+parametros_manuales!$F$30*('Plan mensual'!N26+IF(parametros_manuales!$H$30="Todos",'Plan mensual'!N30,0))+parametros_manuales!$G$30*('Plan mensual'!N27+IF(parametros_manuales!$H$30="Todos",'Plan mensual'!N31,0)))*parametros_manuales!$I$30*parametros_manuales!$J$30</f>
        <v>1674.723191838</v>
      </c>
      <c r="M69" s="14" t="n">
        <f aca="false">(parametros_manuales!$D$30*('Plan mensual'!O24+IF(parametros_manuales!$H$30="Todos",'Plan mensual'!O28,0))+parametros_manuales!$E$30*('Plan mensual'!O25+IF(parametros_manuales!$H$30="Todos",'Plan mensual'!O29,0))+parametros_manuales!$F$30*('Plan mensual'!O26+IF(parametros_manuales!$H$30="Todos",'Plan mensual'!O30,0))+parametros_manuales!$G$30*('Plan mensual'!O27+IF(parametros_manuales!$H$30="Todos",'Plan mensual'!O31,0)))*parametros_manuales!$I$30*parametros_manuales!$J$30</f>
        <v>2662.809618084</v>
      </c>
      <c r="N69" s="14" t="n">
        <f aca="false">SUM(B69:M69)</f>
        <v>22887.8921864</v>
      </c>
      <c r="O69" s="14" t="n">
        <f aca="false">MAX(B69:M69)</f>
        <v>2662.809618084</v>
      </c>
      <c r="P69" s="57" t="n">
        <f aca="false">O69/(parametros_manuales!$B$7)</f>
        <v>17.75206412056</v>
      </c>
      <c r="Q69" s="13" t="str">
        <f aca="false">IF(O69=0,"-",INDEX($B$57:$M$57,MATCH(O69,B69:M69,0)))</f>
        <v>Dic</v>
      </c>
    </row>
    <row r="70" customFormat="false" ht="14.25" hidden="false" customHeight="true" outlineLevel="0" collapsed="false">
      <c r="A70" s="13" t="str">
        <f aca="false">parametros_manuales!$B$31</f>
        <v>Soldadura circunferencial de cúpula y fondo</v>
      </c>
      <c r="B70" s="14" t="n">
        <f aca="false">(parametros_manuales!$D$31*('Plan mensual'!D24+IF(parametros_manuales!$H$31="Todos",'Plan mensual'!D28,0))+parametros_manuales!$E$31*('Plan mensual'!D25+IF(parametros_manuales!$H$31="Todos",'Plan mensual'!D29,0))+parametros_manuales!$F$31*('Plan mensual'!D26+IF(parametros_manuales!$H$31="Todos",'Plan mensual'!D30,0))+parametros_manuales!$G$31*('Plan mensual'!D27+IF(parametros_manuales!$H$31="Todos",'Plan mensual'!D31,0)))*parametros_manuales!$I$31*parametros_manuales!$J$31</f>
        <v>2579.0721738</v>
      </c>
      <c r="C70" s="14" t="n">
        <f aca="false">(parametros_manuales!$D$31*('Plan mensual'!E24+IF(parametros_manuales!$H$31="Todos",'Plan mensual'!E28,0))+parametros_manuales!$E$31*('Plan mensual'!E25+IF(parametros_manuales!$H$31="Todos",'Plan mensual'!E29,0))+parametros_manuales!$F$31*('Plan mensual'!E26+IF(parametros_manuales!$H$31="Todos",'Plan mensual'!E30,0))+parametros_manuales!$G$31*('Plan mensual'!E27+IF(parametros_manuales!$H$31="Todos",'Plan mensual'!E31,0)))*parametros_manuales!$I$31*parametros_manuales!$J$31</f>
        <v>1976.172852492</v>
      </c>
      <c r="D70" s="14" t="n">
        <f aca="false">(parametros_manuales!$D$31*('Plan mensual'!F24+IF(parametros_manuales!$H$31="Todos",'Plan mensual'!F28,0))+parametros_manuales!$E$31*('Plan mensual'!F25+IF(parametros_manuales!$H$31="Todos",'Plan mensual'!F29,0))+parametros_manuales!$F$31*('Plan mensual'!F26+IF(parametros_manuales!$H$31="Todos",'Plan mensual'!F30,0))+parametros_manuales!$G$31*('Plan mensual'!F27+IF(parametros_manuales!$H$31="Todos",'Plan mensual'!F31,0)))*parametros_manuales!$I$31*parametros_manuales!$J$31</f>
        <v>1872.900097054</v>
      </c>
      <c r="E70" s="14" t="n">
        <f aca="false">(parametros_manuales!$D$31*('Plan mensual'!G24+IF(parametros_manuales!$H$31="Todos",'Plan mensual'!G28,0))+parametros_manuales!$E$31*('Plan mensual'!G25+IF(parametros_manuales!$H$31="Todos",'Plan mensual'!G29,0))+parametros_manuales!$F$31*('Plan mensual'!G26+IF(parametros_manuales!$H$31="Todos",'Plan mensual'!G30,0))+parametros_manuales!$G$31*('Plan mensual'!G27+IF(parametros_manuales!$H$31="Todos",'Plan mensual'!G31,0)))*parametros_manuales!$I$31*parametros_manuales!$J$31</f>
        <v>1800.329358264</v>
      </c>
      <c r="F70" s="14" t="n">
        <f aca="false">(parametros_manuales!$D$31*('Plan mensual'!H24+IF(parametros_manuales!$H$31="Todos",'Plan mensual'!H28,0))+parametros_manuales!$E$31*('Plan mensual'!H25+IF(parametros_manuales!$H$31="Todos",'Plan mensual'!H29,0))+parametros_manuales!$F$31*('Plan mensual'!H26+IF(parametros_manuales!$H$31="Todos",'Plan mensual'!H30,0))+parametros_manuales!$G$31*('Plan mensual'!H27+IF(parametros_manuales!$H$31="Todos",'Plan mensual'!H31,0)))*parametros_manuales!$I$31*parametros_manuales!$J$31</f>
        <v>1685.889897332</v>
      </c>
      <c r="G70" s="14" t="n">
        <f aca="false">(parametros_manuales!$D$31*('Plan mensual'!I24+IF(parametros_manuales!$H$31="Todos",'Plan mensual'!I28,0))+parametros_manuales!$E$31*('Plan mensual'!I25+IF(parametros_manuales!$H$31="Todos",'Plan mensual'!I29,0))+parametros_manuales!$F$31*('Plan mensual'!I26+IF(parametros_manuales!$H$31="Todos",'Plan mensual'!I30,0))+parametros_manuales!$G$31*('Plan mensual'!I27+IF(parametros_manuales!$H$31="Todos",'Plan mensual'!I31,0)))*parametros_manuales!$I$31*parametros_manuales!$J$31</f>
        <v>1644.02117519</v>
      </c>
      <c r="H70" s="14" t="n">
        <f aca="false">(parametros_manuales!$D$31*('Plan mensual'!J24+IF(parametros_manuales!$H$31="Todos",'Plan mensual'!J28,0))+parametros_manuales!$E$31*('Plan mensual'!J25+IF(parametros_manuales!$H$31="Todos",'Plan mensual'!J29,0))+parametros_manuales!$F$31*('Plan mensual'!J26+IF(parametros_manuales!$H$31="Todos",'Plan mensual'!J30,0))+parametros_manuales!$G$31*('Plan mensual'!J27+IF(parametros_manuales!$H$31="Todos",'Plan mensual'!J31,0)))*parametros_manuales!$I$31*parametros_manuales!$J$31</f>
        <v>1758.460636122</v>
      </c>
      <c r="I70" s="14" t="n">
        <f aca="false">(parametros_manuales!$D$31*('Plan mensual'!K24+IF(parametros_manuales!$H$31="Todos",'Plan mensual'!K28,0))+parametros_manuales!$E$31*('Plan mensual'!K25+IF(parametros_manuales!$H$31="Todos",'Plan mensual'!K29,0))+parametros_manuales!$F$31*('Plan mensual'!K26+IF(parametros_manuales!$H$31="Todos",'Plan mensual'!K30,0))+parametros_manuales!$G$31*('Plan mensual'!K27+IF(parametros_manuales!$H$31="Todos",'Plan mensual'!K31,0)))*parametros_manuales!$I$31*parametros_manuales!$J$31</f>
        <v>1758.460636122</v>
      </c>
      <c r="J70" s="14" t="n">
        <f aca="false">(parametros_manuales!$D$31*('Plan mensual'!L24+IF(parametros_manuales!$H$31="Todos",'Plan mensual'!L28,0))+parametros_manuales!$E$31*('Plan mensual'!L25+IF(parametros_manuales!$H$31="Todos",'Plan mensual'!L29,0))+parametros_manuales!$F$31*('Plan mensual'!L26+IF(parametros_manuales!$H$31="Todos",'Plan mensual'!L30,0))+parametros_manuales!$G$31*('Plan mensual'!L27+IF(parametros_manuales!$H$31="Todos",'Plan mensual'!L31,0)))*parametros_manuales!$I$31*parametros_manuales!$J$31</f>
        <v>1758.460636122</v>
      </c>
      <c r="K70" s="14" t="n">
        <f aca="false">(parametros_manuales!$D$31*('Plan mensual'!M24+IF(parametros_manuales!$H$31="Todos",'Plan mensual'!M28,0))+parametros_manuales!$E$31*('Plan mensual'!M25+IF(parametros_manuales!$H$31="Todos",'Plan mensual'!M29,0))+parametros_manuales!$F$31*('Plan mensual'!M26+IF(parametros_manuales!$H$31="Todos",'Plan mensual'!M30,0))+parametros_manuales!$G$31*('Plan mensual'!M27+IF(parametros_manuales!$H$31="Todos",'Plan mensual'!M31,0)))*parametros_manuales!$I$31*parametros_manuales!$J$31</f>
        <v>1716.59191398</v>
      </c>
      <c r="L70" s="14" t="n">
        <f aca="false">(parametros_manuales!$D$31*('Plan mensual'!N24+IF(parametros_manuales!$H$31="Todos",'Plan mensual'!N28,0))+parametros_manuales!$E$31*('Plan mensual'!N25+IF(parametros_manuales!$H$31="Todos",'Plan mensual'!N29,0))+parametros_manuales!$F$31*('Plan mensual'!N26+IF(parametros_manuales!$H$31="Todos",'Plan mensual'!N30,0))+parametros_manuales!$G$31*('Plan mensual'!N27+IF(parametros_manuales!$H$31="Todos",'Plan mensual'!N31,0)))*parametros_manuales!$I$31*parametros_manuales!$J$31</f>
        <v>1674.723191838</v>
      </c>
      <c r="M70" s="14" t="n">
        <f aca="false">(parametros_manuales!$D$31*('Plan mensual'!O24+IF(parametros_manuales!$H$31="Todos",'Plan mensual'!O28,0))+parametros_manuales!$E$31*('Plan mensual'!O25+IF(parametros_manuales!$H$31="Todos",'Plan mensual'!O29,0))+parametros_manuales!$F$31*('Plan mensual'!O26+IF(parametros_manuales!$H$31="Todos",'Plan mensual'!O30,0))+parametros_manuales!$G$31*('Plan mensual'!O27+IF(parametros_manuales!$H$31="Todos",'Plan mensual'!O31,0)))*parametros_manuales!$I$31*parametros_manuales!$J$31</f>
        <v>2662.809618084</v>
      </c>
      <c r="N70" s="14" t="n">
        <f aca="false">SUM(B70:M70)</f>
        <v>22887.8921864</v>
      </c>
      <c r="O70" s="14" t="n">
        <f aca="false">MAX(B70:M70)</f>
        <v>2662.809618084</v>
      </c>
      <c r="P70" s="57" t="n">
        <f aca="false">O70/(parametros_manuales!$B$7)</f>
        <v>17.75206412056</v>
      </c>
      <c r="Q70" s="13" t="str">
        <f aca="false">IF(O70=0,"-",INDEX($B$57:$M$57,MATCH(O70,B70:M70,0)))</f>
        <v>Dic</v>
      </c>
    </row>
    <row r="71" customFormat="false" ht="14.25" hidden="false" customHeight="true" outlineLevel="0" collapsed="false">
      <c r="A71" s="13" t="str">
        <f aca="false">parametros_manuales!$B$32</f>
        <v>Control de calidad — Espesor</v>
      </c>
      <c r="B71" s="14" t="n">
        <f aca="false">(parametros_manuales!$D$32*('Plan mensual'!D24+IF(parametros_manuales!$H$32="Todos",'Plan mensual'!D28,0))+parametros_manuales!$E$32*('Plan mensual'!D25+IF(parametros_manuales!$H$32="Todos",'Plan mensual'!D29,0))+parametros_manuales!$F$32*('Plan mensual'!D26+IF(parametros_manuales!$H$32="Todos",'Plan mensual'!D30,0))+parametros_manuales!$G$32*('Plan mensual'!D27+IF(parametros_manuales!$H$32="Todos",'Plan mensual'!D31,0)))*parametros_manuales!$I$32*parametros_manuales!$J$32</f>
        <v>51.581443476</v>
      </c>
      <c r="C71" s="14" t="n">
        <f aca="false">(parametros_manuales!$D$32*('Plan mensual'!E24+IF(parametros_manuales!$H$32="Todos",'Plan mensual'!E28,0))+parametros_manuales!$E$32*('Plan mensual'!E25+IF(parametros_manuales!$H$32="Todos",'Plan mensual'!E29,0))+parametros_manuales!$F$32*('Plan mensual'!E26+IF(parametros_manuales!$H$32="Todos",'Plan mensual'!E30,0))+parametros_manuales!$G$32*('Plan mensual'!E27+IF(parametros_manuales!$H$32="Todos",'Plan mensual'!E31,0)))*parametros_manuales!$I$32*parametros_manuales!$J$32</f>
        <v>39.52345704984</v>
      </c>
      <c r="D71" s="14" t="n">
        <f aca="false">(parametros_manuales!$D$32*('Plan mensual'!F24+IF(parametros_manuales!$H$32="Todos",'Plan mensual'!F28,0))+parametros_manuales!$E$32*('Plan mensual'!F25+IF(parametros_manuales!$H$32="Todos",'Plan mensual'!F29,0))+parametros_manuales!$F$32*('Plan mensual'!F26+IF(parametros_manuales!$H$32="Todos",'Plan mensual'!F30,0))+parametros_manuales!$G$32*('Plan mensual'!F27+IF(parametros_manuales!$H$32="Todos",'Plan mensual'!F31,0)))*parametros_manuales!$I$32*parametros_manuales!$J$32</f>
        <v>37.45800194108</v>
      </c>
      <c r="E71" s="14" t="n">
        <f aca="false">(parametros_manuales!$D$32*('Plan mensual'!G24+IF(parametros_manuales!$H$32="Todos",'Plan mensual'!G28,0))+parametros_manuales!$E$32*('Plan mensual'!G25+IF(parametros_manuales!$H$32="Todos",'Plan mensual'!G29,0))+parametros_manuales!$F$32*('Plan mensual'!G26+IF(parametros_manuales!$H$32="Todos",'Plan mensual'!G30,0))+parametros_manuales!$G$32*('Plan mensual'!G27+IF(parametros_manuales!$H$32="Todos",'Plan mensual'!G31,0)))*parametros_manuales!$I$32*parametros_manuales!$J$32</f>
        <v>36.00658716528</v>
      </c>
      <c r="F71" s="14" t="n">
        <f aca="false">(parametros_manuales!$D$32*('Plan mensual'!H24+IF(parametros_manuales!$H$32="Todos",'Plan mensual'!H28,0))+parametros_manuales!$E$32*('Plan mensual'!H25+IF(parametros_manuales!$H$32="Todos",'Plan mensual'!H29,0))+parametros_manuales!$F$32*('Plan mensual'!H26+IF(parametros_manuales!$H$32="Todos",'Plan mensual'!H30,0))+parametros_manuales!$G$32*('Plan mensual'!H27+IF(parametros_manuales!$H$32="Todos",'Plan mensual'!H31,0)))*parametros_manuales!$I$32*parametros_manuales!$J$32</f>
        <v>33.71779794664</v>
      </c>
      <c r="G71" s="14" t="n">
        <f aca="false">(parametros_manuales!$D$32*('Plan mensual'!I24+IF(parametros_manuales!$H$32="Todos",'Plan mensual'!I28,0))+parametros_manuales!$E$32*('Plan mensual'!I25+IF(parametros_manuales!$H$32="Todos",'Plan mensual'!I29,0))+parametros_manuales!$F$32*('Plan mensual'!I26+IF(parametros_manuales!$H$32="Todos",'Plan mensual'!I30,0))+parametros_manuales!$G$32*('Plan mensual'!I27+IF(parametros_manuales!$H$32="Todos",'Plan mensual'!I31,0)))*parametros_manuales!$I$32*parametros_manuales!$J$32</f>
        <v>32.8804235038</v>
      </c>
      <c r="H71" s="14" t="n">
        <f aca="false">(parametros_manuales!$D$32*('Plan mensual'!J24+IF(parametros_manuales!$H$32="Todos",'Plan mensual'!J28,0))+parametros_manuales!$E$32*('Plan mensual'!J25+IF(parametros_manuales!$H$32="Todos",'Plan mensual'!J29,0))+parametros_manuales!$F$32*('Plan mensual'!J26+IF(parametros_manuales!$H$32="Todos",'Plan mensual'!J30,0))+parametros_manuales!$G$32*('Plan mensual'!J27+IF(parametros_manuales!$H$32="Todos",'Plan mensual'!J31,0)))*parametros_manuales!$I$32*parametros_manuales!$J$32</f>
        <v>35.16921272244</v>
      </c>
      <c r="I71" s="14" t="n">
        <f aca="false">(parametros_manuales!$D$32*('Plan mensual'!K24+IF(parametros_manuales!$H$32="Todos",'Plan mensual'!K28,0))+parametros_manuales!$E$32*('Plan mensual'!K25+IF(parametros_manuales!$H$32="Todos",'Plan mensual'!K29,0))+parametros_manuales!$F$32*('Plan mensual'!K26+IF(parametros_manuales!$H$32="Todos",'Plan mensual'!K30,0))+parametros_manuales!$G$32*('Plan mensual'!K27+IF(parametros_manuales!$H$32="Todos",'Plan mensual'!K31,0)))*parametros_manuales!$I$32*parametros_manuales!$J$32</f>
        <v>35.16921272244</v>
      </c>
      <c r="J71" s="14" t="n">
        <f aca="false">(parametros_manuales!$D$32*('Plan mensual'!L24+IF(parametros_manuales!$H$32="Todos",'Plan mensual'!L28,0))+parametros_manuales!$E$32*('Plan mensual'!L25+IF(parametros_manuales!$H$32="Todos",'Plan mensual'!L29,0))+parametros_manuales!$F$32*('Plan mensual'!L26+IF(parametros_manuales!$H$32="Todos",'Plan mensual'!L30,0))+parametros_manuales!$G$32*('Plan mensual'!L27+IF(parametros_manuales!$H$32="Todos",'Plan mensual'!L31,0)))*parametros_manuales!$I$32*parametros_manuales!$J$32</f>
        <v>35.16921272244</v>
      </c>
      <c r="K71" s="14" t="n">
        <f aca="false">(parametros_manuales!$D$32*('Plan mensual'!M24+IF(parametros_manuales!$H$32="Todos",'Plan mensual'!M28,0))+parametros_manuales!$E$32*('Plan mensual'!M25+IF(parametros_manuales!$H$32="Todos",'Plan mensual'!M29,0))+parametros_manuales!$F$32*('Plan mensual'!M26+IF(parametros_manuales!$H$32="Todos",'Plan mensual'!M30,0))+parametros_manuales!$G$32*('Plan mensual'!M27+IF(parametros_manuales!$H$32="Todos",'Plan mensual'!M31,0)))*parametros_manuales!$I$32*parametros_manuales!$J$32</f>
        <v>34.3318382796</v>
      </c>
      <c r="L71" s="14" t="n">
        <f aca="false">(parametros_manuales!$D$32*('Plan mensual'!N24+IF(parametros_manuales!$H$32="Todos",'Plan mensual'!N28,0))+parametros_manuales!$E$32*('Plan mensual'!N25+IF(parametros_manuales!$H$32="Todos",'Plan mensual'!N29,0))+parametros_manuales!$F$32*('Plan mensual'!N26+IF(parametros_manuales!$H$32="Todos",'Plan mensual'!N30,0))+parametros_manuales!$G$32*('Plan mensual'!N27+IF(parametros_manuales!$H$32="Todos",'Plan mensual'!N31,0)))*parametros_manuales!$I$32*parametros_manuales!$J$32</f>
        <v>33.49446383676</v>
      </c>
      <c r="M71" s="14" t="n">
        <f aca="false">(parametros_manuales!$D$32*('Plan mensual'!O24+IF(parametros_manuales!$H$32="Todos",'Plan mensual'!O28,0))+parametros_manuales!$E$32*('Plan mensual'!O25+IF(parametros_manuales!$H$32="Todos",'Plan mensual'!O29,0))+parametros_manuales!$F$32*('Plan mensual'!O26+IF(parametros_manuales!$H$32="Todos",'Plan mensual'!O30,0))+parametros_manuales!$G$32*('Plan mensual'!O27+IF(parametros_manuales!$H$32="Todos",'Plan mensual'!O31,0)))*parametros_manuales!$I$32*parametros_manuales!$J$32</f>
        <v>53.25619236168</v>
      </c>
      <c r="N71" s="14" t="n">
        <f aca="false">SUM(B71:M71)</f>
        <v>457.757843728</v>
      </c>
      <c r="O71" s="14" t="n">
        <f aca="false">MAX(B71:M71)</f>
        <v>53.25619236168</v>
      </c>
      <c r="P71" s="57" t="n">
        <f aca="false">O71/(parametros_manuales!$B$7)</f>
        <v>0.3550412824112</v>
      </c>
      <c r="Q71" s="13" t="str">
        <f aca="false">IF(O71=0,"-",INDEX($B$57:$M$57,MATCH(O71,B71:M71,0)))</f>
        <v>Dic</v>
      </c>
    </row>
    <row r="72" customFormat="false" ht="14.25" hidden="false" customHeight="true" outlineLevel="0" collapsed="false">
      <c r="A72" s="13" t="str">
        <f aca="false">parametros_manuales!$B$33</f>
        <v>Prueba hidráulica</v>
      </c>
      <c r="B72" s="14" t="n">
        <f aca="false">(parametros_manuales!$D$33*('Plan mensual'!D24+IF(parametros_manuales!$H$33="Todos",'Plan mensual'!D28,0))+parametros_manuales!$E$33*('Plan mensual'!D25+IF(parametros_manuales!$H$33="Todos",'Plan mensual'!D29,0))+parametros_manuales!$F$33*('Plan mensual'!D26+IF(parametros_manuales!$H$33="Todos",'Plan mensual'!D30,0))+parametros_manuales!$G$33*('Plan mensual'!D27+IF(parametros_manuales!$H$33="Todos",'Plan mensual'!D31,0)))*parametros_manuales!$I$33*parametros_manuales!$J$33</f>
        <v>2579.0721738</v>
      </c>
      <c r="C72" s="14" t="n">
        <f aca="false">(parametros_manuales!$D$33*('Plan mensual'!E24+IF(parametros_manuales!$H$33="Todos",'Plan mensual'!E28,0))+parametros_manuales!$E$33*('Plan mensual'!E25+IF(parametros_manuales!$H$33="Todos",'Plan mensual'!E29,0))+parametros_manuales!$F$33*('Plan mensual'!E26+IF(parametros_manuales!$H$33="Todos",'Plan mensual'!E30,0))+parametros_manuales!$G$33*('Plan mensual'!E27+IF(parametros_manuales!$H$33="Todos",'Plan mensual'!E31,0)))*parametros_manuales!$I$33*parametros_manuales!$J$33</f>
        <v>1976.172852492</v>
      </c>
      <c r="D72" s="14" t="n">
        <f aca="false">(parametros_manuales!$D$33*('Plan mensual'!F24+IF(parametros_manuales!$H$33="Todos",'Plan mensual'!F28,0))+parametros_manuales!$E$33*('Plan mensual'!F25+IF(parametros_manuales!$H$33="Todos",'Plan mensual'!F29,0))+parametros_manuales!$F$33*('Plan mensual'!F26+IF(parametros_manuales!$H$33="Todos",'Plan mensual'!F30,0))+parametros_manuales!$G$33*('Plan mensual'!F27+IF(parametros_manuales!$H$33="Todos",'Plan mensual'!F31,0)))*parametros_manuales!$I$33*parametros_manuales!$J$33</f>
        <v>1872.900097054</v>
      </c>
      <c r="E72" s="14" t="n">
        <f aca="false">(parametros_manuales!$D$33*('Plan mensual'!G24+IF(parametros_manuales!$H$33="Todos",'Plan mensual'!G28,0))+parametros_manuales!$E$33*('Plan mensual'!G25+IF(parametros_manuales!$H$33="Todos",'Plan mensual'!G29,0))+parametros_manuales!$F$33*('Plan mensual'!G26+IF(parametros_manuales!$H$33="Todos",'Plan mensual'!G30,0))+parametros_manuales!$G$33*('Plan mensual'!G27+IF(parametros_manuales!$H$33="Todos",'Plan mensual'!G31,0)))*parametros_manuales!$I$33*parametros_manuales!$J$33</f>
        <v>1800.329358264</v>
      </c>
      <c r="F72" s="14" t="n">
        <f aca="false">(parametros_manuales!$D$33*('Plan mensual'!H24+IF(parametros_manuales!$H$33="Todos",'Plan mensual'!H28,0))+parametros_manuales!$E$33*('Plan mensual'!H25+IF(parametros_manuales!$H$33="Todos",'Plan mensual'!H29,0))+parametros_manuales!$F$33*('Plan mensual'!H26+IF(parametros_manuales!$H$33="Todos",'Plan mensual'!H30,0))+parametros_manuales!$G$33*('Plan mensual'!H27+IF(parametros_manuales!$H$33="Todos",'Plan mensual'!H31,0)))*parametros_manuales!$I$33*parametros_manuales!$J$33</f>
        <v>1685.889897332</v>
      </c>
      <c r="G72" s="14" t="n">
        <f aca="false">(parametros_manuales!$D$33*('Plan mensual'!I24+IF(parametros_manuales!$H$33="Todos",'Plan mensual'!I28,0))+parametros_manuales!$E$33*('Plan mensual'!I25+IF(parametros_manuales!$H$33="Todos",'Plan mensual'!I29,0))+parametros_manuales!$F$33*('Plan mensual'!I26+IF(parametros_manuales!$H$33="Todos",'Plan mensual'!I30,0))+parametros_manuales!$G$33*('Plan mensual'!I27+IF(parametros_manuales!$H$33="Todos",'Plan mensual'!I31,0)))*parametros_manuales!$I$33*parametros_manuales!$J$33</f>
        <v>1644.02117519</v>
      </c>
      <c r="H72" s="14" t="n">
        <f aca="false">(parametros_manuales!$D$33*('Plan mensual'!J24+IF(parametros_manuales!$H$33="Todos",'Plan mensual'!J28,0))+parametros_manuales!$E$33*('Plan mensual'!J25+IF(parametros_manuales!$H$33="Todos",'Plan mensual'!J29,0))+parametros_manuales!$F$33*('Plan mensual'!J26+IF(parametros_manuales!$H$33="Todos",'Plan mensual'!J30,0))+parametros_manuales!$G$33*('Plan mensual'!J27+IF(parametros_manuales!$H$33="Todos",'Plan mensual'!J31,0)))*parametros_manuales!$I$33*parametros_manuales!$J$33</f>
        <v>1758.460636122</v>
      </c>
      <c r="I72" s="14" t="n">
        <f aca="false">(parametros_manuales!$D$33*('Plan mensual'!K24+IF(parametros_manuales!$H$33="Todos",'Plan mensual'!K28,0))+parametros_manuales!$E$33*('Plan mensual'!K25+IF(parametros_manuales!$H$33="Todos",'Plan mensual'!K29,0))+parametros_manuales!$F$33*('Plan mensual'!K26+IF(parametros_manuales!$H$33="Todos",'Plan mensual'!K30,0))+parametros_manuales!$G$33*('Plan mensual'!K27+IF(parametros_manuales!$H$33="Todos",'Plan mensual'!K31,0)))*parametros_manuales!$I$33*parametros_manuales!$J$33</f>
        <v>1758.460636122</v>
      </c>
      <c r="J72" s="14" t="n">
        <f aca="false">(parametros_manuales!$D$33*('Plan mensual'!L24+IF(parametros_manuales!$H$33="Todos",'Plan mensual'!L28,0))+parametros_manuales!$E$33*('Plan mensual'!L25+IF(parametros_manuales!$H$33="Todos",'Plan mensual'!L29,0))+parametros_manuales!$F$33*('Plan mensual'!L26+IF(parametros_manuales!$H$33="Todos",'Plan mensual'!L30,0))+parametros_manuales!$G$33*('Plan mensual'!L27+IF(parametros_manuales!$H$33="Todos",'Plan mensual'!L31,0)))*parametros_manuales!$I$33*parametros_manuales!$J$33</f>
        <v>1758.460636122</v>
      </c>
      <c r="K72" s="14" t="n">
        <f aca="false">(parametros_manuales!$D$33*('Plan mensual'!M24+IF(parametros_manuales!$H$33="Todos",'Plan mensual'!M28,0))+parametros_manuales!$E$33*('Plan mensual'!M25+IF(parametros_manuales!$H$33="Todos",'Plan mensual'!M29,0))+parametros_manuales!$F$33*('Plan mensual'!M26+IF(parametros_manuales!$H$33="Todos",'Plan mensual'!M30,0))+parametros_manuales!$G$33*('Plan mensual'!M27+IF(parametros_manuales!$H$33="Todos",'Plan mensual'!M31,0)))*parametros_manuales!$I$33*parametros_manuales!$J$33</f>
        <v>1716.59191398</v>
      </c>
      <c r="L72" s="14" t="n">
        <f aca="false">(parametros_manuales!$D$33*('Plan mensual'!N24+IF(parametros_manuales!$H$33="Todos",'Plan mensual'!N28,0))+parametros_manuales!$E$33*('Plan mensual'!N25+IF(parametros_manuales!$H$33="Todos",'Plan mensual'!N29,0))+parametros_manuales!$F$33*('Plan mensual'!N26+IF(parametros_manuales!$H$33="Todos",'Plan mensual'!N30,0))+parametros_manuales!$G$33*('Plan mensual'!N27+IF(parametros_manuales!$H$33="Todos",'Plan mensual'!N31,0)))*parametros_manuales!$I$33*parametros_manuales!$J$33</f>
        <v>1674.723191838</v>
      </c>
      <c r="M72" s="14" t="n">
        <f aca="false">(parametros_manuales!$D$33*('Plan mensual'!O24+IF(parametros_manuales!$H$33="Todos",'Plan mensual'!O28,0))+parametros_manuales!$E$33*('Plan mensual'!O25+IF(parametros_manuales!$H$33="Todos",'Plan mensual'!O29,0))+parametros_manuales!$F$33*('Plan mensual'!O26+IF(parametros_manuales!$H$33="Todos",'Plan mensual'!O30,0))+parametros_manuales!$G$33*('Plan mensual'!O27+IF(parametros_manuales!$H$33="Todos",'Plan mensual'!O31,0)))*parametros_manuales!$I$33*parametros_manuales!$J$33</f>
        <v>2662.809618084</v>
      </c>
      <c r="N72" s="14" t="n">
        <f aca="false">SUM(B72:M72)</f>
        <v>22887.8921864</v>
      </c>
      <c r="O72" s="14" t="n">
        <f aca="false">MAX(B72:M72)</f>
        <v>2662.809618084</v>
      </c>
      <c r="P72" s="57" t="n">
        <f aca="false">O72/(parametros_manuales!$B$7)</f>
        <v>17.75206412056</v>
      </c>
      <c r="Q72" s="13" t="str">
        <f aca="false">IF(O72=0,"-",INDEX($B$57:$M$57,MATCH(O72,B72:M72,0)))</f>
        <v>Dic</v>
      </c>
    </row>
    <row r="73" customFormat="false" ht="14.25" hidden="false" customHeight="true" outlineLevel="0" collapsed="false">
      <c r="A73" s="13" t="str">
        <f aca="false">parametros_manuales!$B$34</f>
        <v>Secado</v>
      </c>
      <c r="B73" s="14" t="n">
        <f aca="false">(parametros_manuales!$D$34*('Plan mensual'!D24+IF(parametros_manuales!$H$34="Todos",'Plan mensual'!D28,0))+parametros_manuales!$E$34*('Plan mensual'!D25+IF(parametros_manuales!$H$34="Todos",'Plan mensual'!D29,0))+parametros_manuales!$F$34*('Plan mensual'!D26+IF(parametros_manuales!$H$34="Todos",'Plan mensual'!D30,0))+parametros_manuales!$G$34*('Plan mensual'!D27+IF(parametros_manuales!$H$34="Todos",'Plan mensual'!D31,0)))*parametros_manuales!$I$34*parametros_manuales!$J$34</f>
        <v>2579.0721738</v>
      </c>
      <c r="C73" s="14" t="n">
        <f aca="false">(parametros_manuales!$D$34*('Plan mensual'!E24+IF(parametros_manuales!$H$34="Todos",'Plan mensual'!E28,0))+parametros_manuales!$E$34*('Plan mensual'!E25+IF(parametros_manuales!$H$34="Todos",'Plan mensual'!E29,0))+parametros_manuales!$F$34*('Plan mensual'!E26+IF(parametros_manuales!$H$34="Todos",'Plan mensual'!E30,0))+parametros_manuales!$G$34*('Plan mensual'!E27+IF(parametros_manuales!$H$34="Todos",'Plan mensual'!E31,0)))*parametros_manuales!$I$34*parametros_manuales!$J$34</f>
        <v>1976.172852492</v>
      </c>
      <c r="D73" s="14" t="n">
        <f aca="false">(parametros_manuales!$D$34*('Plan mensual'!F24+IF(parametros_manuales!$H$34="Todos",'Plan mensual'!F28,0))+parametros_manuales!$E$34*('Plan mensual'!F25+IF(parametros_manuales!$H$34="Todos",'Plan mensual'!F29,0))+parametros_manuales!$F$34*('Plan mensual'!F26+IF(parametros_manuales!$H$34="Todos",'Plan mensual'!F30,0))+parametros_manuales!$G$34*('Plan mensual'!F27+IF(parametros_manuales!$H$34="Todos",'Plan mensual'!F31,0)))*parametros_manuales!$I$34*parametros_manuales!$J$34</f>
        <v>1872.900097054</v>
      </c>
      <c r="E73" s="14" t="n">
        <f aca="false">(parametros_manuales!$D$34*('Plan mensual'!G24+IF(parametros_manuales!$H$34="Todos",'Plan mensual'!G28,0))+parametros_manuales!$E$34*('Plan mensual'!G25+IF(parametros_manuales!$H$34="Todos",'Plan mensual'!G29,0))+parametros_manuales!$F$34*('Plan mensual'!G26+IF(parametros_manuales!$H$34="Todos",'Plan mensual'!G30,0))+parametros_manuales!$G$34*('Plan mensual'!G27+IF(parametros_manuales!$H$34="Todos",'Plan mensual'!G31,0)))*parametros_manuales!$I$34*parametros_manuales!$J$34</f>
        <v>1800.329358264</v>
      </c>
      <c r="F73" s="14" t="n">
        <f aca="false">(parametros_manuales!$D$34*('Plan mensual'!H24+IF(parametros_manuales!$H$34="Todos",'Plan mensual'!H28,0))+parametros_manuales!$E$34*('Plan mensual'!H25+IF(parametros_manuales!$H$34="Todos",'Plan mensual'!H29,0))+parametros_manuales!$F$34*('Plan mensual'!H26+IF(parametros_manuales!$H$34="Todos",'Plan mensual'!H30,0))+parametros_manuales!$G$34*('Plan mensual'!H27+IF(parametros_manuales!$H$34="Todos",'Plan mensual'!H31,0)))*parametros_manuales!$I$34*parametros_manuales!$J$34</f>
        <v>1685.889897332</v>
      </c>
      <c r="G73" s="14" t="n">
        <f aca="false">(parametros_manuales!$D$34*('Plan mensual'!I24+IF(parametros_manuales!$H$34="Todos",'Plan mensual'!I28,0))+parametros_manuales!$E$34*('Plan mensual'!I25+IF(parametros_manuales!$H$34="Todos",'Plan mensual'!I29,0))+parametros_manuales!$F$34*('Plan mensual'!I26+IF(parametros_manuales!$H$34="Todos",'Plan mensual'!I30,0))+parametros_manuales!$G$34*('Plan mensual'!I27+IF(parametros_manuales!$H$34="Todos",'Plan mensual'!I31,0)))*parametros_manuales!$I$34*parametros_manuales!$J$34</f>
        <v>1644.02117519</v>
      </c>
      <c r="H73" s="14" t="n">
        <f aca="false">(parametros_manuales!$D$34*('Plan mensual'!J24+IF(parametros_manuales!$H$34="Todos",'Plan mensual'!J28,0))+parametros_manuales!$E$34*('Plan mensual'!J25+IF(parametros_manuales!$H$34="Todos",'Plan mensual'!J29,0))+parametros_manuales!$F$34*('Plan mensual'!J26+IF(parametros_manuales!$H$34="Todos",'Plan mensual'!J30,0))+parametros_manuales!$G$34*('Plan mensual'!J27+IF(parametros_manuales!$H$34="Todos",'Plan mensual'!J31,0)))*parametros_manuales!$I$34*parametros_manuales!$J$34</f>
        <v>1758.460636122</v>
      </c>
      <c r="I73" s="14" t="n">
        <f aca="false">(parametros_manuales!$D$34*('Plan mensual'!K24+IF(parametros_manuales!$H$34="Todos",'Plan mensual'!K28,0))+parametros_manuales!$E$34*('Plan mensual'!K25+IF(parametros_manuales!$H$34="Todos",'Plan mensual'!K29,0))+parametros_manuales!$F$34*('Plan mensual'!K26+IF(parametros_manuales!$H$34="Todos",'Plan mensual'!K30,0))+parametros_manuales!$G$34*('Plan mensual'!K27+IF(parametros_manuales!$H$34="Todos",'Plan mensual'!K31,0)))*parametros_manuales!$I$34*parametros_manuales!$J$34</f>
        <v>1758.460636122</v>
      </c>
      <c r="J73" s="14" t="n">
        <f aca="false">(parametros_manuales!$D$34*('Plan mensual'!L24+IF(parametros_manuales!$H$34="Todos",'Plan mensual'!L28,0))+parametros_manuales!$E$34*('Plan mensual'!L25+IF(parametros_manuales!$H$34="Todos",'Plan mensual'!L29,0))+parametros_manuales!$F$34*('Plan mensual'!L26+IF(parametros_manuales!$H$34="Todos",'Plan mensual'!L30,0))+parametros_manuales!$G$34*('Plan mensual'!L27+IF(parametros_manuales!$H$34="Todos",'Plan mensual'!L31,0)))*parametros_manuales!$I$34*parametros_manuales!$J$34</f>
        <v>1758.460636122</v>
      </c>
      <c r="K73" s="14" t="n">
        <f aca="false">(parametros_manuales!$D$34*('Plan mensual'!M24+IF(parametros_manuales!$H$34="Todos",'Plan mensual'!M28,0))+parametros_manuales!$E$34*('Plan mensual'!M25+IF(parametros_manuales!$H$34="Todos",'Plan mensual'!M29,0))+parametros_manuales!$F$34*('Plan mensual'!M26+IF(parametros_manuales!$H$34="Todos",'Plan mensual'!M30,0))+parametros_manuales!$G$34*('Plan mensual'!M27+IF(parametros_manuales!$H$34="Todos",'Plan mensual'!M31,0)))*parametros_manuales!$I$34*parametros_manuales!$J$34</f>
        <v>1716.59191398</v>
      </c>
      <c r="L73" s="14" t="n">
        <f aca="false">(parametros_manuales!$D$34*('Plan mensual'!N24+IF(parametros_manuales!$H$34="Todos",'Plan mensual'!N28,0))+parametros_manuales!$E$34*('Plan mensual'!N25+IF(parametros_manuales!$H$34="Todos",'Plan mensual'!N29,0))+parametros_manuales!$F$34*('Plan mensual'!N26+IF(parametros_manuales!$H$34="Todos",'Plan mensual'!N30,0))+parametros_manuales!$G$34*('Plan mensual'!N27+IF(parametros_manuales!$H$34="Todos",'Plan mensual'!N31,0)))*parametros_manuales!$I$34*parametros_manuales!$J$34</f>
        <v>1674.723191838</v>
      </c>
      <c r="M73" s="14" t="n">
        <f aca="false">(parametros_manuales!$D$34*('Plan mensual'!O24+IF(parametros_manuales!$H$34="Todos",'Plan mensual'!O28,0))+parametros_manuales!$E$34*('Plan mensual'!O25+IF(parametros_manuales!$H$34="Todos",'Plan mensual'!O29,0))+parametros_manuales!$F$34*('Plan mensual'!O26+IF(parametros_manuales!$H$34="Todos",'Plan mensual'!O30,0))+parametros_manuales!$G$34*('Plan mensual'!O27+IF(parametros_manuales!$H$34="Todos",'Plan mensual'!O31,0)))*parametros_manuales!$I$34*parametros_manuales!$J$34</f>
        <v>2662.809618084</v>
      </c>
      <c r="N73" s="14" t="n">
        <f aca="false">SUM(B73:M73)</f>
        <v>22887.8921864</v>
      </c>
      <c r="O73" s="14" t="n">
        <f aca="false">MAX(B73:M73)</f>
        <v>2662.809618084</v>
      </c>
      <c r="P73" s="57" t="n">
        <f aca="false">O73/(parametros_manuales!$B$7)</f>
        <v>17.75206412056</v>
      </c>
      <c r="Q73" s="13" t="str">
        <f aca="false">IF(O73=0,"-",INDEX($B$57:$M$57,MATCH(O73,B73:M73,0)))</f>
        <v>Dic</v>
      </c>
    </row>
    <row r="74" customFormat="false" ht="14.25" hidden="false" customHeight="true" outlineLevel="0" collapsed="false">
      <c r="A74" s="13" t="str">
        <f aca="false">parametros_manuales!$B$35</f>
        <v>Granallado</v>
      </c>
      <c r="B74" s="14" t="n">
        <f aca="false">(parametros_manuales!$D$35*('Plan mensual'!D24+IF(parametros_manuales!$H$35="Todos",'Plan mensual'!D28,0))+parametros_manuales!$E$35*('Plan mensual'!D25+IF(parametros_manuales!$H$35="Todos",'Plan mensual'!D29,0))+parametros_manuales!$F$35*('Plan mensual'!D26+IF(parametros_manuales!$H$35="Todos",'Plan mensual'!D30,0))+parametros_manuales!$G$35*('Plan mensual'!D27+IF(parametros_manuales!$H$35="Todos",'Plan mensual'!D31,0)))*parametros_manuales!$I$35*parametros_manuales!$J$35</f>
        <v>2579.0721738</v>
      </c>
      <c r="C74" s="14" t="n">
        <f aca="false">(parametros_manuales!$D$35*('Plan mensual'!E24+IF(parametros_manuales!$H$35="Todos",'Plan mensual'!E28,0))+parametros_manuales!$E$35*('Plan mensual'!E25+IF(parametros_manuales!$H$35="Todos",'Plan mensual'!E29,0))+parametros_manuales!$F$35*('Plan mensual'!E26+IF(parametros_manuales!$H$35="Todos",'Plan mensual'!E30,0))+parametros_manuales!$G$35*('Plan mensual'!E27+IF(parametros_manuales!$H$35="Todos",'Plan mensual'!E31,0)))*parametros_manuales!$I$35*parametros_manuales!$J$35</f>
        <v>1976.172852492</v>
      </c>
      <c r="D74" s="14" t="n">
        <f aca="false">(parametros_manuales!$D$35*('Plan mensual'!F24+IF(parametros_manuales!$H$35="Todos",'Plan mensual'!F28,0))+parametros_manuales!$E$35*('Plan mensual'!F25+IF(parametros_manuales!$H$35="Todos",'Plan mensual'!F29,0))+parametros_manuales!$F$35*('Plan mensual'!F26+IF(parametros_manuales!$H$35="Todos",'Plan mensual'!F30,0))+parametros_manuales!$G$35*('Plan mensual'!F27+IF(parametros_manuales!$H$35="Todos",'Plan mensual'!F31,0)))*parametros_manuales!$I$35*parametros_manuales!$J$35</f>
        <v>1872.900097054</v>
      </c>
      <c r="E74" s="14" t="n">
        <f aca="false">(parametros_manuales!$D$35*('Plan mensual'!G24+IF(parametros_manuales!$H$35="Todos",'Plan mensual'!G28,0))+parametros_manuales!$E$35*('Plan mensual'!G25+IF(parametros_manuales!$H$35="Todos",'Plan mensual'!G29,0))+parametros_manuales!$F$35*('Plan mensual'!G26+IF(parametros_manuales!$H$35="Todos",'Plan mensual'!G30,0))+parametros_manuales!$G$35*('Plan mensual'!G27+IF(parametros_manuales!$H$35="Todos",'Plan mensual'!G31,0)))*parametros_manuales!$I$35*parametros_manuales!$J$35</f>
        <v>1800.329358264</v>
      </c>
      <c r="F74" s="14" t="n">
        <f aca="false">(parametros_manuales!$D$35*('Plan mensual'!H24+IF(parametros_manuales!$H$35="Todos",'Plan mensual'!H28,0))+parametros_manuales!$E$35*('Plan mensual'!H25+IF(parametros_manuales!$H$35="Todos",'Plan mensual'!H29,0))+parametros_manuales!$F$35*('Plan mensual'!H26+IF(parametros_manuales!$H$35="Todos",'Plan mensual'!H30,0))+parametros_manuales!$G$35*('Plan mensual'!H27+IF(parametros_manuales!$H$35="Todos",'Plan mensual'!H31,0)))*parametros_manuales!$I$35*parametros_manuales!$J$35</f>
        <v>1685.889897332</v>
      </c>
      <c r="G74" s="14" t="n">
        <f aca="false">(parametros_manuales!$D$35*('Plan mensual'!I24+IF(parametros_manuales!$H$35="Todos",'Plan mensual'!I28,0))+parametros_manuales!$E$35*('Plan mensual'!I25+IF(parametros_manuales!$H$35="Todos",'Plan mensual'!I29,0))+parametros_manuales!$F$35*('Plan mensual'!I26+IF(parametros_manuales!$H$35="Todos",'Plan mensual'!I30,0))+parametros_manuales!$G$35*('Plan mensual'!I27+IF(parametros_manuales!$H$35="Todos",'Plan mensual'!I31,0)))*parametros_manuales!$I$35*parametros_manuales!$J$35</f>
        <v>1644.02117519</v>
      </c>
      <c r="H74" s="14" t="n">
        <f aca="false">(parametros_manuales!$D$35*('Plan mensual'!J24+IF(parametros_manuales!$H$35="Todos",'Plan mensual'!J28,0))+parametros_manuales!$E$35*('Plan mensual'!J25+IF(parametros_manuales!$H$35="Todos",'Plan mensual'!J29,0))+parametros_manuales!$F$35*('Plan mensual'!J26+IF(parametros_manuales!$H$35="Todos",'Plan mensual'!J30,0))+parametros_manuales!$G$35*('Plan mensual'!J27+IF(parametros_manuales!$H$35="Todos",'Plan mensual'!J31,0)))*parametros_manuales!$I$35*parametros_manuales!$J$35</f>
        <v>1758.460636122</v>
      </c>
      <c r="I74" s="14" t="n">
        <f aca="false">(parametros_manuales!$D$35*('Plan mensual'!K24+IF(parametros_manuales!$H$35="Todos",'Plan mensual'!K28,0))+parametros_manuales!$E$35*('Plan mensual'!K25+IF(parametros_manuales!$H$35="Todos",'Plan mensual'!K29,0))+parametros_manuales!$F$35*('Plan mensual'!K26+IF(parametros_manuales!$H$35="Todos",'Plan mensual'!K30,0))+parametros_manuales!$G$35*('Plan mensual'!K27+IF(parametros_manuales!$H$35="Todos",'Plan mensual'!K31,0)))*parametros_manuales!$I$35*parametros_manuales!$J$35</f>
        <v>1758.460636122</v>
      </c>
      <c r="J74" s="14" t="n">
        <f aca="false">(parametros_manuales!$D$35*('Plan mensual'!L24+IF(parametros_manuales!$H$35="Todos",'Plan mensual'!L28,0))+parametros_manuales!$E$35*('Plan mensual'!L25+IF(parametros_manuales!$H$35="Todos",'Plan mensual'!L29,0))+parametros_manuales!$F$35*('Plan mensual'!L26+IF(parametros_manuales!$H$35="Todos",'Plan mensual'!L30,0))+parametros_manuales!$G$35*('Plan mensual'!L27+IF(parametros_manuales!$H$35="Todos",'Plan mensual'!L31,0)))*parametros_manuales!$I$35*parametros_manuales!$J$35</f>
        <v>1758.460636122</v>
      </c>
      <c r="K74" s="14" t="n">
        <f aca="false">(parametros_manuales!$D$35*('Plan mensual'!M24+IF(parametros_manuales!$H$35="Todos",'Plan mensual'!M28,0))+parametros_manuales!$E$35*('Plan mensual'!M25+IF(parametros_manuales!$H$35="Todos",'Plan mensual'!M29,0))+parametros_manuales!$F$35*('Plan mensual'!M26+IF(parametros_manuales!$H$35="Todos",'Plan mensual'!M30,0))+parametros_manuales!$G$35*('Plan mensual'!M27+IF(parametros_manuales!$H$35="Todos",'Plan mensual'!M31,0)))*parametros_manuales!$I$35*parametros_manuales!$J$35</f>
        <v>1716.59191398</v>
      </c>
      <c r="L74" s="14" t="n">
        <f aca="false">(parametros_manuales!$D$35*('Plan mensual'!N24+IF(parametros_manuales!$H$35="Todos",'Plan mensual'!N28,0))+parametros_manuales!$E$35*('Plan mensual'!N25+IF(parametros_manuales!$H$35="Todos",'Plan mensual'!N29,0))+parametros_manuales!$F$35*('Plan mensual'!N26+IF(parametros_manuales!$H$35="Todos",'Plan mensual'!N30,0))+parametros_manuales!$G$35*('Plan mensual'!N27+IF(parametros_manuales!$H$35="Todos",'Plan mensual'!N31,0)))*parametros_manuales!$I$35*parametros_manuales!$J$35</f>
        <v>1674.723191838</v>
      </c>
      <c r="M74" s="14" t="n">
        <f aca="false">(parametros_manuales!$D$35*('Plan mensual'!O24+IF(parametros_manuales!$H$35="Todos",'Plan mensual'!O28,0))+parametros_manuales!$E$35*('Plan mensual'!O25+IF(parametros_manuales!$H$35="Todos",'Plan mensual'!O29,0))+parametros_manuales!$F$35*('Plan mensual'!O26+IF(parametros_manuales!$H$35="Todos",'Plan mensual'!O30,0))+parametros_manuales!$G$35*('Plan mensual'!O27+IF(parametros_manuales!$H$35="Todos",'Plan mensual'!O31,0)))*parametros_manuales!$I$35*parametros_manuales!$J$35</f>
        <v>2662.809618084</v>
      </c>
      <c r="N74" s="14" t="n">
        <f aca="false">SUM(B74:M74)</f>
        <v>22887.8921864</v>
      </c>
      <c r="O74" s="14" t="n">
        <f aca="false">MAX(B74:M74)</f>
        <v>2662.809618084</v>
      </c>
      <c r="P74" s="57" t="n">
        <f aca="false">O74/(parametros_manuales!$B$7)</f>
        <v>17.75206412056</v>
      </c>
      <c r="Q74" s="13" t="str">
        <f aca="false">IF(O74=0,"-",INDEX($B$57:$M$57,MATCH(O74,B74:M74,0)))</f>
        <v>Dic</v>
      </c>
    </row>
    <row r="75" customFormat="false" ht="14.25" hidden="false" customHeight="true" outlineLevel="0" collapsed="false">
      <c r="A75" s="13" t="str">
        <f aca="false">parametros_manuales!$B$36</f>
        <v>Detección de defectos</v>
      </c>
      <c r="B75" s="14" t="n">
        <f aca="false">(parametros_manuales!$D$36*('Plan mensual'!D24+IF(parametros_manuales!$H$36="Todos",'Plan mensual'!D28,0))+parametros_manuales!$E$36*('Plan mensual'!D25+IF(parametros_manuales!$H$36="Todos",'Plan mensual'!D29,0))+parametros_manuales!$F$36*('Plan mensual'!D26+IF(parametros_manuales!$H$36="Todos",'Plan mensual'!D30,0))+parametros_manuales!$G$36*('Plan mensual'!D27+IF(parametros_manuales!$H$36="Todos",'Plan mensual'!D31,0)))*parametros_manuales!$I$36*parametros_manuales!$J$36</f>
        <v>2579.0721738</v>
      </c>
      <c r="C75" s="14" t="n">
        <f aca="false">(parametros_manuales!$D$36*('Plan mensual'!E24+IF(parametros_manuales!$H$36="Todos",'Plan mensual'!E28,0))+parametros_manuales!$E$36*('Plan mensual'!E25+IF(parametros_manuales!$H$36="Todos",'Plan mensual'!E29,0))+parametros_manuales!$F$36*('Plan mensual'!E26+IF(parametros_manuales!$H$36="Todos",'Plan mensual'!E30,0))+parametros_manuales!$G$36*('Plan mensual'!E27+IF(parametros_manuales!$H$36="Todos",'Plan mensual'!E31,0)))*parametros_manuales!$I$36*parametros_manuales!$J$36</f>
        <v>1976.172852492</v>
      </c>
      <c r="D75" s="14" t="n">
        <f aca="false">(parametros_manuales!$D$36*('Plan mensual'!F24+IF(parametros_manuales!$H$36="Todos",'Plan mensual'!F28,0))+parametros_manuales!$E$36*('Plan mensual'!F25+IF(parametros_manuales!$H$36="Todos",'Plan mensual'!F29,0))+parametros_manuales!$F$36*('Plan mensual'!F26+IF(parametros_manuales!$H$36="Todos",'Plan mensual'!F30,0))+parametros_manuales!$G$36*('Plan mensual'!F27+IF(parametros_manuales!$H$36="Todos",'Plan mensual'!F31,0)))*parametros_manuales!$I$36*parametros_manuales!$J$36</f>
        <v>1872.900097054</v>
      </c>
      <c r="E75" s="14" t="n">
        <f aca="false">(parametros_manuales!$D$36*('Plan mensual'!G24+IF(parametros_manuales!$H$36="Todos",'Plan mensual'!G28,0))+parametros_manuales!$E$36*('Plan mensual'!G25+IF(parametros_manuales!$H$36="Todos",'Plan mensual'!G29,0))+parametros_manuales!$F$36*('Plan mensual'!G26+IF(parametros_manuales!$H$36="Todos",'Plan mensual'!G30,0))+parametros_manuales!$G$36*('Plan mensual'!G27+IF(parametros_manuales!$H$36="Todos",'Plan mensual'!G31,0)))*parametros_manuales!$I$36*parametros_manuales!$J$36</f>
        <v>1800.329358264</v>
      </c>
      <c r="F75" s="14" t="n">
        <f aca="false">(parametros_manuales!$D$36*('Plan mensual'!H24+IF(parametros_manuales!$H$36="Todos",'Plan mensual'!H28,0))+parametros_manuales!$E$36*('Plan mensual'!H25+IF(parametros_manuales!$H$36="Todos",'Plan mensual'!H29,0))+parametros_manuales!$F$36*('Plan mensual'!H26+IF(parametros_manuales!$H$36="Todos",'Plan mensual'!H30,0))+parametros_manuales!$G$36*('Plan mensual'!H27+IF(parametros_manuales!$H$36="Todos",'Plan mensual'!H31,0)))*parametros_manuales!$I$36*parametros_manuales!$J$36</f>
        <v>1685.889897332</v>
      </c>
      <c r="G75" s="14" t="n">
        <f aca="false">(parametros_manuales!$D$36*('Plan mensual'!I24+IF(parametros_manuales!$H$36="Todos",'Plan mensual'!I28,0))+parametros_manuales!$E$36*('Plan mensual'!I25+IF(parametros_manuales!$H$36="Todos",'Plan mensual'!I29,0))+parametros_manuales!$F$36*('Plan mensual'!I26+IF(parametros_manuales!$H$36="Todos",'Plan mensual'!I30,0))+parametros_manuales!$G$36*('Plan mensual'!I27+IF(parametros_manuales!$H$36="Todos",'Plan mensual'!I31,0)))*parametros_manuales!$I$36*parametros_manuales!$J$36</f>
        <v>1644.02117519</v>
      </c>
      <c r="H75" s="14" t="n">
        <f aca="false">(parametros_manuales!$D$36*('Plan mensual'!J24+IF(parametros_manuales!$H$36="Todos",'Plan mensual'!J28,0))+parametros_manuales!$E$36*('Plan mensual'!J25+IF(parametros_manuales!$H$36="Todos",'Plan mensual'!J29,0))+parametros_manuales!$F$36*('Plan mensual'!J26+IF(parametros_manuales!$H$36="Todos",'Plan mensual'!J30,0))+parametros_manuales!$G$36*('Plan mensual'!J27+IF(parametros_manuales!$H$36="Todos",'Plan mensual'!J31,0)))*parametros_manuales!$I$36*parametros_manuales!$J$36</f>
        <v>1758.460636122</v>
      </c>
      <c r="I75" s="14" t="n">
        <f aca="false">(parametros_manuales!$D$36*('Plan mensual'!K24+IF(parametros_manuales!$H$36="Todos",'Plan mensual'!K28,0))+parametros_manuales!$E$36*('Plan mensual'!K25+IF(parametros_manuales!$H$36="Todos",'Plan mensual'!K29,0))+parametros_manuales!$F$36*('Plan mensual'!K26+IF(parametros_manuales!$H$36="Todos",'Plan mensual'!K30,0))+parametros_manuales!$G$36*('Plan mensual'!K27+IF(parametros_manuales!$H$36="Todos",'Plan mensual'!K31,0)))*parametros_manuales!$I$36*parametros_manuales!$J$36</f>
        <v>1758.460636122</v>
      </c>
      <c r="J75" s="14" t="n">
        <f aca="false">(parametros_manuales!$D$36*('Plan mensual'!L24+IF(parametros_manuales!$H$36="Todos",'Plan mensual'!L28,0))+parametros_manuales!$E$36*('Plan mensual'!L25+IF(parametros_manuales!$H$36="Todos",'Plan mensual'!L29,0))+parametros_manuales!$F$36*('Plan mensual'!L26+IF(parametros_manuales!$H$36="Todos",'Plan mensual'!L30,0))+parametros_manuales!$G$36*('Plan mensual'!L27+IF(parametros_manuales!$H$36="Todos",'Plan mensual'!L31,0)))*parametros_manuales!$I$36*parametros_manuales!$J$36</f>
        <v>1758.460636122</v>
      </c>
      <c r="K75" s="14" t="n">
        <f aca="false">(parametros_manuales!$D$36*('Plan mensual'!M24+IF(parametros_manuales!$H$36="Todos",'Plan mensual'!M28,0))+parametros_manuales!$E$36*('Plan mensual'!M25+IF(parametros_manuales!$H$36="Todos",'Plan mensual'!M29,0))+parametros_manuales!$F$36*('Plan mensual'!M26+IF(parametros_manuales!$H$36="Todos",'Plan mensual'!M30,0))+parametros_manuales!$G$36*('Plan mensual'!M27+IF(parametros_manuales!$H$36="Todos",'Plan mensual'!M31,0)))*parametros_manuales!$I$36*parametros_manuales!$J$36</f>
        <v>1716.59191398</v>
      </c>
      <c r="L75" s="14" t="n">
        <f aca="false">(parametros_manuales!$D$36*('Plan mensual'!N24+IF(parametros_manuales!$H$36="Todos",'Plan mensual'!N28,0))+parametros_manuales!$E$36*('Plan mensual'!N25+IF(parametros_manuales!$H$36="Todos",'Plan mensual'!N29,0))+parametros_manuales!$F$36*('Plan mensual'!N26+IF(parametros_manuales!$H$36="Todos",'Plan mensual'!N30,0))+parametros_manuales!$G$36*('Plan mensual'!N27+IF(parametros_manuales!$H$36="Todos",'Plan mensual'!N31,0)))*parametros_manuales!$I$36*parametros_manuales!$J$36</f>
        <v>1674.723191838</v>
      </c>
      <c r="M75" s="14" t="n">
        <f aca="false">(parametros_manuales!$D$36*('Plan mensual'!O24+IF(parametros_manuales!$H$36="Todos",'Plan mensual'!O28,0))+parametros_manuales!$E$36*('Plan mensual'!O25+IF(parametros_manuales!$H$36="Todos",'Plan mensual'!O29,0))+parametros_manuales!$F$36*('Plan mensual'!O26+IF(parametros_manuales!$H$36="Todos",'Plan mensual'!O30,0))+parametros_manuales!$G$36*('Plan mensual'!O27+IF(parametros_manuales!$H$36="Todos",'Plan mensual'!O31,0)))*parametros_manuales!$I$36*parametros_manuales!$J$36</f>
        <v>2662.809618084</v>
      </c>
      <c r="N75" s="14" t="n">
        <f aca="false">SUM(B75:M75)</f>
        <v>22887.8921864</v>
      </c>
      <c r="O75" s="14" t="n">
        <f aca="false">MAX(B75:M75)</f>
        <v>2662.809618084</v>
      </c>
      <c r="P75" s="57" t="n">
        <f aca="false">O75/(parametros_manuales!$B$7)</f>
        <v>17.75206412056</v>
      </c>
      <c r="Q75" s="13" t="str">
        <f aca="false">IF(O75=0,"-",INDEX($B$57:$M$57,MATCH(O75,B75:M75,0)))</f>
        <v>Dic</v>
      </c>
    </row>
    <row r="76" customFormat="false" ht="14.25" hidden="false" customHeight="true" outlineLevel="0" collapsed="false">
      <c r="A76" s="13" t="str">
        <f aca="false">parametros_manuales!$B$37</f>
        <v>Corrección de defectos</v>
      </c>
      <c r="B76" s="14" t="n">
        <f aca="false">(parametros_manuales!$D$37*('Plan mensual'!D24+IF(parametros_manuales!$H$37="Todos",'Plan mensual'!D28,0))+parametros_manuales!$E$37*('Plan mensual'!D25+IF(parametros_manuales!$H$37="Todos",'Plan mensual'!D29,0))+parametros_manuales!$F$37*('Plan mensual'!D26+IF(parametros_manuales!$H$37="Todos",'Plan mensual'!D30,0))+parametros_manuales!$G$37*('Plan mensual'!D27+IF(parametros_manuales!$H$37="Todos",'Plan mensual'!D31,0)))*parametros_manuales!$I$37*parametros_manuales!$J$37</f>
        <v>128.95360869</v>
      </c>
      <c r="C76" s="14" t="n">
        <f aca="false">(parametros_manuales!$D$37*('Plan mensual'!E24+IF(parametros_manuales!$H$37="Todos",'Plan mensual'!E28,0))+parametros_manuales!$E$37*('Plan mensual'!E25+IF(parametros_manuales!$H$37="Todos",'Plan mensual'!E29,0))+parametros_manuales!$F$37*('Plan mensual'!E26+IF(parametros_manuales!$H$37="Todos",'Plan mensual'!E30,0))+parametros_manuales!$G$37*('Plan mensual'!E27+IF(parametros_manuales!$H$37="Todos",'Plan mensual'!E31,0)))*parametros_manuales!$I$37*parametros_manuales!$J$37</f>
        <v>98.8086426246</v>
      </c>
      <c r="D76" s="14" t="n">
        <f aca="false">(parametros_manuales!$D$37*('Plan mensual'!F24+IF(parametros_manuales!$H$37="Todos",'Plan mensual'!F28,0))+parametros_manuales!$E$37*('Plan mensual'!F25+IF(parametros_manuales!$H$37="Todos",'Plan mensual'!F29,0))+parametros_manuales!$F$37*('Plan mensual'!F26+IF(parametros_manuales!$H$37="Todos",'Plan mensual'!F30,0))+parametros_manuales!$G$37*('Plan mensual'!F27+IF(parametros_manuales!$H$37="Todos",'Plan mensual'!F31,0)))*parametros_manuales!$I$37*parametros_manuales!$J$37</f>
        <v>93.6450048527</v>
      </c>
      <c r="E76" s="14" t="n">
        <f aca="false">(parametros_manuales!$D$37*('Plan mensual'!G24+IF(parametros_manuales!$H$37="Todos",'Plan mensual'!G28,0))+parametros_manuales!$E$37*('Plan mensual'!G25+IF(parametros_manuales!$H$37="Todos",'Plan mensual'!G29,0))+parametros_manuales!$F$37*('Plan mensual'!G26+IF(parametros_manuales!$H$37="Todos",'Plan mensual'!G30,0))+parametros_manuales!$G$37*('Plan mensual'!G27+IF(parametros_manuales!$H$37="Todos",'Plan mensual'!G31,0)))*parametros_manuales!$I$37*parametros_manuales!$J$37</f>
        <v>90.0164679132</v>
      </c>
      <c r="F76" s="14" t="n">
        <f aca="false">(parametros_manuales!$D$37*('Plan mensual'!H24+IF(parametros_manuales!$H$37="Todos",'Plan mensual'!H28,0))+parametros_manuales!$E$37*('Plan mensual'!H25+IF(parametros_manuales!$H$37="Todos",'Plan mensual'!H29,0))+parametros_manuales!$F$37*('Plan mensual'!H26+IF(parametros_manuales!$H$37="Todos",'Plan mensual'!H30,0))+parametros_manuales!$G$37*('Plan mensual'!H27+IF(parametros_manuales!$H$37="Todos",'Plan mensual'!H31,0)))*parametros_manuales!$I$37*parametros_manuales!$J$37</f>
        <v>84.2944948666</v>
      </c>
      <c r="G76" s="14" t="n">
        <f aca="false">(parametros_manuales!$D$37*('Plan mensual'!I24+IF(parametros_manuales!$H$37="Todos",'Plan mensual'!I28,0))+parametros_manuales!$E$37*('Plan mensual'!I25+IF(parametros_manuales!$H$37="Todos",'Plan mensual'!I29,0))+parametros_manuales!$F$37*('Plan mensual'!I26+IF(parametros_manuales!$H$37="Todos",'Plan mensual'!I30,0))+parametros_manuales!$G$37*('Plan mensual'!I27+IF(parametros_manuales!$H$37="Todos",'Plan mensual'!I31,0)))*parametros_manuales!$I$37*parametros_manuales!$J$37</f>
        <v>82.2010587595</v>
      </c>
      <c r="H76" s="14" t="n">
        <f aca="false">(parametros_manuales!$D$37*('Plan mensual'!J24+IF(parametros_manuales!$H$37="Todos",'Plan mensual'!J28,0))+parametros_manuales!$E$37*('Plan mensual'!J25+IF(parametros_manuales!$H$37="Todos",'Plan mensual'!J29,0))+parametros_manuales!$F$37*('Plan mensual'!J26+IF(parametros_manuales!$H$37="Todos",'Plan mensual'!J30,0))+parametros_manuales!$G$37*('Plan mensual'!J27+IF(parametros_manuales!$H$37="Todos",'Plan mensual'!J31,0)))*parametros_manuales!$I$37*parametros_manuales!$J$37</f>
        <v>87.9230318061</v>
      </c>
      <c r="I76" s="14" t="n">
        <f aca="false">(parametros_manuales!$D$37*('Plan mensual'!K24+IF(parametros_manuales!$H$37="Todos",'Plan mensual'!K28,0))+parametros_manuales!$E$37*('Plan mensual'!K25+IF(parametros_manuales!$H$37="Todos",'Plan mensual'!K29,0))+parametros_manuales!$F$37*('Plan mensual'!K26+IF(parametros_manuales!$H$37="Todos",'Plan mensual'!K30,0))+parametros_manuales!$G$37*('Plan mensual'!K27+IF(parametros_manuales!$H$37="Todos",'Plan mensual'!K31,0)))*parametros_manuales!$I$37*parametros_manuales!$J$37</f>
        <v>87.9230318061</v>
      </c>
      <c r="J76" s="14" t="n">
        <f aca="false">(parametros_manuales!$D$37*('Plan mensual'!L24+IF(parametros_manuales!$H$37="Todos",'Plan mensual'!L28,0))+parametros_manuales!$E$37*('Plan mensual'!L25+IF(parametros_manuales!$H$37="Todos",'Plan mensual'!L29,0))+parametros_manuales!$F$37*('Plan mensual'!L26+IF(parametros_manuales!$H$37="Todos",'Plan mensual'!L30,0))+parametros_manuales!$G$37*('Plan mensual'!L27+IF(parametros_manuales!$H$37="Todos",'Plan mensual'!L31,0)))*parametros_manuales!$I$37*parametros_manuales!$J$37</f>
        <v>87.9230318061</v>
      </c>
      <c r="K76" s="14" t="n">
        <f aca="false">(parametros_manuales!$D$37*('Plan mensual'!M24+IF(parametros_manuales!$H$37="Todos",'Plan mensual'!M28,0))+parametros_manuales!$E$37*('Plan mensual'!M25+IF(parametros_manuales!$H$37="Todos",'Plan mensual'!M29,0))+parametros_manuales!$F$37*('Plan mensual'!M26+IF(parametros_manuales!$H$37="Todos",'Plan mensual'!M30,0))+parametros_manuales!$G$37*('Plan mensual'!M27+IF(parametros_manuales!$H$37="Todos",'Plan mensual'!M31,0)))*parametros_manuales!$I$37*parametros_manuales!$J$37</f>
        <v>85.829595699</v>
      </c>
      <c r="L76" s="14" t="n">
        <f aca="false">(parametros_manuales!$D$37*('Plan mensual'!N24+IF(parametros_manuales!$H$37="Todos",'Plan mensual'!N28,0))+parametros_manuales!$E$37*('Plan mensual'!N25+IF(parametros_manuales!$H$37="Todos",'Plan mensual'!N29,0))+parametros_manuales!$F$37*('Plan mensual'!N26+IF(parametros_manuales!$H$37="Todos",'Plan mensual'!N30,0))+parametros_manuales!$G$37*('Plan mensual'!N27+IF(parametros_manuales!$H$37="Todos",'Plan mensual'!N31,0)))*parametros_manuales!$I$37*parametros_manuales!$J$37</f>
        <v>83.7361595919</v>
      </c>
      <c r="M76" s="14" t="n">
        <f aca="false">(parametros_manuales!$D$37*('Plan mensual'!O24+IF(parametros_manuales!$H$37="Todos",'Plan mensual'!O28,0))+parametros_manuales!$E$37*('Plan mensual'!O25+IF(parametros_manuales!$H$37="Todos",'Plan mensual'!O29,0))+parametros_manuales!$F$37*('Plan mensual'!O26+IF(parametros_manuales!$H$37="Todos",'Plan mensual'!O30,0))+parametros_manuales!$G$37*('Plan mensual'!O27+IF(parametros_manuales!$H$37="Todos",'Plan mensual'!O31,0)))*parametros_manuales!$I$37*parametros_manuales!$J$37</f>
        <v>133.1404809042</v>
      </c>
      <c r="N76" s="14" t="n">
        <f aca="false">SUM(B76:M76)</f>
        <v>1144.39460932</v>
      </c>
      <c r="O76" s="14" t="n">
        <f aca="false">MAX(B76:M76)</f>
        <v>133.1404809042</v>
      </c>
      <c r="P76" s="57" t="n">
        <f aca="false">O76/(parametros_manuales!$B$7)</f>
        <v>0.887603206028</v>
      </c>
      <c r="Q76" s="13" t="str">
        <f aca="false">IF(O76=0,"-",INDEX($B$57:$M$57,MATCH(O76,B76:M76,0)))</f>
        <v>Dic</v>
      </c>
    </row>
    <row r="77" customFormat="false" ht="14.25" hidden="false" customHeight="true" outlineLevel="0" collapsed="false">
      <c r="A77" s="13" t="str">
        <f aca="false">parametros_manuales!$B$38</f>
        <v>Pintura en polvo + horno</v>
      </c>
      <c r="B77" s="14" t="n">
        <f aca="false">(parametros_manuales!$D$38*('Plan mensual'!D24+IF(parametros_manuales!$H$38="Todos",'Plan mensual'!D28,0))+parametros_manuales!$E$38*('Plan mensual'!D25+IF(parametros_manuales!$H$38="Todos",'Plan mensual'!D29,0))+parametros_manuales!$F$38*('Plan mensual'!D26+IF(parametros_manuales!$H$38="Todos",'Plan mensual'!D30,0))+parametros_manuales!$G$38*('Plan mensual'!D27+IF(parametros_manuales!$H$38="Todos",'Plan mensual'!D31,0)))*parametros_manuales!$I$38*parametros_manuales!$J$38</f>
        <v>2579.0721738</v>
      </c>
      <c r="C77" s="14" t="n">
        <f aca="false">(parametros_manuales!$D$38*('Plan mensual'!E24+IF(parametros_manuales!$H$38="Todos",'Plan mensual'!E28,0))+parametros_manuales!$E$38*('Plan mensual'!E25+IF(parametros_manuales!$H$38="Todos",'Plan mensual'!E29,0))+parametros_manuales!$F$38*('Plan mensual'!E26+IF(parametros_manuales!$H$38="Todos",'Plan mensual'!E30,0))+parametros_manuales!$G$38*('Plan mensual'!E27+IF(parametros_manuales!$H$38="Todos",'Plan mensual'!E31,0)))*parametros_manuales!$I$38*parametros_manuales!$J$38</f>
        <v>1976.172852492</v>
      </c>
      <c r="D77" s="14" t="n">
        <f aca="false">(parametros_manuales!$D$38*('Plan mensual'!F24+IF(parametros_manuales!$H$38="Todos",'Plan mensual'!F28,0))+parametros_manuales!$E$38*('Plan mensual'!F25+IF(parametros_manuales!$H$38="Todos",'Plan mensual'!F29,0))+parametros_manuales!$F$38*('Plan mensual'!F26+IF(parametros_manuales!$H$38="Todos",'Plan mensual'!F30,0))+parametros_manuales!$G$38*('Plan mensual'!F27+IF(parametros_manuales!$H$38="Todos",'Plan mensual'!F31,0)))*parametros_manuales!$I$38*parametros_manuales!$J$38</f>
        <v>1872.900097054</v>
      </c>
      <c r="E77" s="14" t="n">
        <f aca="false">(parametros_manuales!$D$38*('Plan mensual'!G24+IF(parametros_manuales!$H$38="Todos",'Plan mensual'!G28,0))+parametros_manuales!$E$38*('Plan mensual'!G25+IF(parametros_manuales!$H$38="Todos",'Plan mensual'!G29,0))+parametros_manuales!$F$38*('Plan mensual'!G26+IF(parametros_manuales!$H$38="Todos",'Plan mensual'!G30,0))+parametros_manuales!$G$38*('Plan mensual'!G27+IF(parametros_manuales!$H$38="Todos",'Plan mensual'!G31,0)))*parametros_manuales!$I$38*parametros_manuales!$J$38</f>
        <v>1800.329358264</v>
      </c>
      <c r="F77" s="14" t="n">
        <f aca="false">(parametros_manuales!$D$38*('Plan mensual'!H24+IF(parametros_manuales!$H$38="Todos",'Plan mensual'!H28,0))+parametros_manuales!$E$38*('Plan mensual'!H25+IF(parametros_manuales!$H$38="Todos",'Plan mensual'!H29,0))+parametros_manuales!$F$38*('Plan mensual'!H26+IF(parametros_manuales!$H$38="Todos",'Plan mensual'!H30,0))+parametros_manuales!$G$38*('Plan mensual'!H27+IF(parametros_manuales!$H$38="Todos",'Plan mensual'!H31,0)))*parametros_manuales!$I$38*parametros_manuales!$J$38</f>
        <v>1685.889897332</v>
      </c>
      <c r="G77" s="14" t="n">
        <f aca="false">(parametros_manuales!$D$38*('Plan mensual'!I24+IF(parametros_manuales!$H$38="Todos",'Plan mensual'!I28,0))+parametros_manuales!$E$38*('Plan mensual'!I25+IF(parametros_manuales!$H$38="Todos",'Plan mensual'!I29,0))+parametros_manuales!$F$38*('Plan mensual'!I26+IF(parametros_manuales!$H$38="Todos",'Plan mensual'!I30,0))+parametros_manuales!$G$38*('Plan mensual'!I27+IF(parametros_manuales!$H$38="Todos",'Plan mensual'!I31,0)))*parametros_manuales!$I$38*parametros_manuales!$J$38</f>
        <v>1644.02117519</v>
      </c>
      <c r="H77" s="14" t="n">
        <f aca="false">(parametros_manuales!$D$38*('Plan mensual'!J24+IF(parametros_manuales!$H$38="Todos",'Plan mensual'!J28,0))+parametros_manuales!$E$38*('Plan mensual'!J25+IF(parametros_manuales!$H$38="Todos",'Plan mensual'!J29,0))+parametros_manuales!$F$38*('Plan mensual'!J26+IF(parametros_manuales!$H$38="Todos",'Plan mensual'!J30,0))+parametros_manuales!$G$38*('Plan mensual'!J27+IF(parametros_manuales!$H$38="Todos",'Plan mensual'!J31,0)))*parametros_manuales!$I$38*parametros_manuales!$J$38</f>
        <v>1758.460636122</v>
      </c>
      <c r="I77" s="14" t="n">
        <f aca="false">(parametros_manuales!$D$38*('Plan mensual'!K24+IF(parametros_manuales!$H$38="Todos",'Plan mensual'!K28,0))+parametros_manuales!$E$38*('Plan mensual'!K25+IF(parametros_manuales!$H$38="Todos",'Plan mensual'!K29,0))+parametros_manuales!$F$38*('Plan mensual'!K26+IF(parametros_manuales!$H$38="Todos",'Plan mensual'!K30,0))+parametros_manuales!$G$38*('Plan mensual'!K27+IF(parametros_manuales!$H$38="Todos",'Plan mensual'!K31,0)))*parametros_manuales!$I$38*parametros_manuales!$J$38</f>
        <v>1758.460636122</v>
      </c>
      <c r="J77" s="14" t="n">
        <f aca="false">(parametros_manuales!$D$38*('Plan mensual'!L24+IF(parametros_manuales!$H$38="Todos",'Plan mensual'!L28,0))+parametros_manuales!$E$38*('Plan mensual'!L25+IF(parametros_manuales!$H$38="Todos",'Plan mensual'!L29,0))+parametros_manuales!$F$38*('Plan mensual'!L26+IF(parametros_manuales!$H$38="Todos",'Plan mensual'!L30,0))+parametros_manuales!$G$38*('Plan mensual'!L27+IF(parametros_manuales!$H$38="Todos",'Plan mensual'!L31,0)))*parametros_manuales!$I$38*parametros_manuales!$J$38</f>
        <v>1758.460636122</v>
      </c>
      <c r="K77" s="14" t="n">
        <f aca="false">(parametros_manuales!$D$38*('Plan mensual'!M24+IF(parametros_manuales!$H$38="Todos",'Plan mensual'!M28,0))+parametros_manuales!$E$38*('Plan mensual'!M25+IF(parametros_manuales!$H$38="Todos",'Plan mensual'!M29,0))+parametros_manuales!$F$38*('Plan mensual'!M26+IF(parametros_manuales!$H$38="Todos",'Plan mensual'!M30,0))+parametros_manuales!$G$38*('Plan mensual'!M27+IF(parametros_manuales!$H$38="Todos",'Plan mensual'!M31,0)))*parametros_manuales!$I$38*parametros_manuales!$J$38</f>
        <v>1716.59191398</v>
      </c>
      <c r="L77" s="14" t="n">
        <f aca="false">(parametros_manuales!$D$38*('Plan mensual'!N24+IF(parametros_manuales!$H$38="Todos",'Plan mensual'!N28,0))+parametros_manuales!$E$38*('Plan mensual'!N25+IF(parametros_manuales!$H$38="Todos",'Plan mensual'!N29,0))+parametros_manuales!$F$38*('Plan mensual'!N26+IF(parametros_manuales!$H$38="Todos",'Plan mensual'!N30,0))+parametros_manuales!$G$38*('Plan mensual'!N27+IF(parametros_manuales!$H$38="Todos",'Plan mensual'!N31,0)))*parametros_manuales!$I$38*parametros_manuales!$J$38</f>
        <v>1674.723191838</v>
      </c>
      <c r="M77" s="14" t="n">
        <f aca="false">(parametros_manuales!$D$38*('Plan mensual'!O24+IF(parametros_manuales!$H$38="Todos",'Plan mensual'!O28,0))+parametros_manuales!$E$38*('Plan mensual'!O25+IF(parametros_manuales!$H$38="Todos",'Plan mensual'!O29,0))+parametros_manuales!$F$38*('Plan mensual'!O26+IF(parametros_manuales!$H$38="Todos",'Plan mensual'!O30,0))+parametros_manuales!$G$38*('Plan mensual'!O27+IF(parametros_manuales!$H$38="Todos",'Plan mensual'!O31,0)))*parametros_manuales!$I$38*parametros_manuales!$J$38</f>
        <v>2662.809618084</v>
      </c>
      <c r="N77" s="14" t="n">
        <f aca="false">SUM(B77:M77)</f>
        <v>22887.8921864</v>
      </c>
      <c r="O77" s="14" t="n">
        <f aca="false">MAX(B77:M77)</f>
        <v>2662.809618084</v>
      </c>
      <c r="P77" s="57" t="n">
        <f aca="false">O77/(parametros_manuales!$B$7)</f>
        <v>17.75206412056</v>
      </c>
      <c r="Q77" s="13" t="str">
        <f aca="false">IF(O77=0,"-",INDEX($B$57:$M$57,MATCH(O77,B77:M77,0)))</f>
        <v>Dic</v>
      </c>
    </row>
    <row r="78" customFormat="false" ht="14.25" hidden="false" customHeight="true" outlineLevel="0" collapsed="false">
      <c r="A78" s="13" t="str">
        <f aca="false">parametros_manuales!$B$39</f>
        <v>Carga de polvo</v>
      </c>
      <c r="B78" s="14" t="n">
        <f aca="false">(parametros_manuales!$D$39*('Plan mensual'!D24+IF(parametros_manuales!$H$39="Todos",'Plan mensual'!D28,0))+parametros_manuales!$E$39*('Plan mensual'!D25+IF(parametros_manuales!$H$39="Todos",'Plan mensual'!D29,0))+parametros_manuales!$F$39*('Plan mensual'!D26+IF(parametros_manuales!$H$39="Todos",'Plan mensual'!D30,0))+parametros_manuales!$G$39*('Plan mensual'!D27+IF(parametros_manuales!$H$39="Todos",'Plan mensual'!D31,0)))*parametros_manuales!$I$39*parametros_manuales!$J$39</f>
        <v>1461.4161738</v>
      </c>
      <c r="C78" s="14" t="n">
        <f aca="false">(parametros_manuales!$D$39*('Plan mensual'!E24+IF(parametros_manuales!$H$39="Todos",'Plan mensual'!E28,0))+parametros_manuales!$E$39*('Plan mensual'!E25+IF(parametros_manuales!$H$39="Todos",'Plan mensual'!E29,0))+parametros_manuales!$F$39*('Plan mensual'!E26+IF(parametros_manuales!$H$39="Todos",'Plan mensual'!E30,0))+parametros_manuales!$G$39*('Plan mensual'!E27+IF(parametros_manuales!$H$39="Todos",'Plan mensual'!E31,0)))*parametros_manuales!$I$39*parametros_manuales!$J$39</f>
        <v>1128.022452492</v>
      </c>
      <c r="D78" s="14" t="n">
        <f aca="false">(parametros_manuales!$D$39*('Plan mensual'!F24+IF(parametros_manuales!$H$39="Todos",'Plan mensual'!F28,0))+parametros_manuales!$E$39*('Plan mensual'!F25+IF(parametros_manuales!$H$39="Todos",'Plan mensual'!F29,0))+parametros_manuales!$F$39*('Plan mensual'!F26+IF(parametros_manuales!$H$39="Todos",'Plan mensual'!F30,0))+parametros_manuales!$G$39*('Plan mensual'!F27+IF(parametros_manuales!$H$39="Todos",'Plan mensual'!F31,0)))*parametros_manuales!$I$39*parametros_manuales!$J$39</f>
        <v>1091.465297054</v>
      </c>
      <c r="E78" s="14" t="n">
        <f aca="false">(parametros_manuales!$D$39*('Plan mensual'!G24+IF(parametros_manuales!$H$39="Todos",'Plan mensual'!G28,0))+parametros_manuales!$E$39*('Plan mensual'!G25+IF(parametros_manuales!$H$39="Todos",'Plan mensual'!G29,0))+parametros_manuales!$F$39*('Plan mensual'!G26+IF(parametros_manuales!$H$39="Todos",'Plan mensual'!G30,0))+parametros_manuales!$G$39*('Plan mensual'!G27+IF(parametros_manuales!$H$39="Todos",'Plan mensual'!G31,0)))*parametros_manuales!$I$39*parametros_manuales!$J$39</f>
        <v>1057.206558264</v>
      </c>
      <c r="F78" s="14" t="n">
        <f aca="false">(parametros_manuales!$D$39*('Plan mensual'!H24+IF(parametros_manuales!$H$39="Todos",'Plan mensual'!H28,0))+parametros_manuales!$E$39*('Plan mensual'!H25+IF(parametros_manuales!$H$39="Todos",'Plan mensual'!H29,0))+parametros_manuales!$F$39*('Plan mensual'!H26+IF(parametros_manuales!$H$39="Todos",'Plan mensual'!H30,0))+parametros_manuales!$G$39*('Plan mensual'!H27+IF(parametros_manuales!$H$39="Todos",'Plan mensual'!H31,0)))*parametros_manuales!$I$39*parametros_manuales!$J$39</f>
        <v>990.987497332</v>
      </c>
      <c r="G78" s="14" t="n">
        <f aca="false">(parametros_manuales!$D$39*('Plan mensual'!I24+IF(parametros_manuales!$H$39="Todos",'Plan mensual'!I28,0))+parametros_manuales!$E$39*('Plan mensual'!I25+IF(parametros_manuales!$H$39="Todos",'Plan mensual'!I29,0))+parametros_manuales!$F$39*('Plan mensual'!I26+IF(parametros_manuales!$H$39="Todos",'Plan mensual'!I30,0))+parametros_manuales!$G$39*('Plan mensual'!I27+IF(parametros_manuales!$H$39="Todos",'Plan mensual'!I31,0)))*parametros_manuales!$I$39*parametros_manuales!$J$39</f>
        <v>959.02717519</v>
      </c>
      <c r="H78" s="14" t="n">
        <f aca="false">(parametros_manuales!$D$39*('Plan mensual'!J24+IF(parametros_manuales!$H$39="Todos",'Plan mensual'!J28,0))+parametros_manuales!$E$39*('Plan mensual'!J25+IF(parametros_manuales!$H$39="Todos",'Plan mensual'!J29,0))+parametros_manuales!$F$39*('Plan mensual'!J26+IF(parametros_manuales!$H$39="Todos",'Plan mensual'!J30,0))+parametros_manuales!$G$39*('Plan mensual'!J27+IF(parametros_manuales!$H$39="Todos",'Plan mensual'!J31,0)))*parametros_manuales!$I$39*parametros_manuales!$J$39</f>
        <v>1025.246236122</v>
      </c>
      <c r="I78" s="14" t="n">
        <f aca="false">(parametros_manuales!$D$39*('Plan mensual'!K24+IF(parametros_manuales!$H$39="Todos",'Plan mensual'!K28,0))+parametros_manuales!$E$39*('Plan mensual'!K25+IF(parametros_manuales!$H$39="Todos",'Plan mensual'!K29,0))+parametros_manuales!$F$39*('Plan mensual'!K26+IF(parametros_manuales!$H$39="Todos",'Plan mensual'!K30,0))+parametros_manuales!$G$39*('Plan mensual'!K27+IF(parametros_manuales!$H$39="Todos",'Plan mensual'!K31,0)))*parametros_manuales!$I$39*parametros_manuales!$J$39</f>
        <v>1025.246236122</v>
      </c>
      <c r="J78" s="14" t="n">
        <f aca="false">(parametros_manuales!$D$39*('Plan mensual'!L24+IF(parametros_manuales!$H$39="Todos",'Plan mensual'!L28,0))+parametros_manuales!$E$39*('Plan mensual'!L25+IF(parametros_manuales!$H$39="Todos",'Plan mensual'!L29,0))+parametros_manuales!$F$39*('Plan mensual'!L26+IF(parametros_manuales!$H$39="Todos",'Plan mensual'!L30,0))+parametros_manuales!$G$39*('Plan mensual'!L27+IF(parametros_manuales!$H$39="Todos",'Plan mensual'!L31,0)))*parametros_manuales!$I$39*parametros_manuales!$J$39</f>
        <v>1025.246236122</v>
      </c>
      <c r="K78" s="14" t="n">
        <f aca="false">(parametros_manuales!$D$39*('Plan mensual'!M24+IF(parametros_manuales!$H$39="Todos",'Plan mensual'!M28,0))+parametros_manuales!$E$39*('Plan mensual'!M25+IF(parametros_manuales!$H$39="Todos",'Plan mensual'!M29,0))+parametros_manuales!$F$39*('Plan mensual'!M26+IF(parametros_manuales!$H$39="Todos",'Plan mensual'!M30,0))+parametros_manuales!$G$39*('Plan mensual'!M27+IF(parametros_manuales!$H$39="Todos",'Plan mensual'!M31,0)))*parametros_manuales!$I$39*parametros_manuales!$J$39</f>
        <v>993.28591398</v>
      </c>
      <c r="L78" s="14" t="n">
        <f aca="false">(parametros_manuales!$D$39*('Plan mensual'!N24+IF(parametros_manuales!$H$39="Todos",'Plan mensual'!N28,0))+parametros_manuales!$E$39*('Plan mensual'!N25+IF(parametros_manuales!$H$39="Todos",'Plan mensual'!N29,0))+parametros_manuales!$F$39*('Plan mensual'!N26+IF(parametros_manuales!$H$39="Todos",'Plan mensual'!N30,0))+parametros_manuales!$G$39*('Plan mensual'!N27+IF(parametros_manuales!$H$39="Todos",'Plan mensual'!N31,0)))*parametros_manuales!$I$39*parametros_manuales!$J$39</f>
        <v>961.325591838</v>
      </c>
      <c r="M78" s="14" t="n">
        <f aca="false">(parametros_manuales!$D$39*('Plan mensual'!O24+IF(parametros_manuales!$H$39="Todos",'Plan mensual'!O28,0))+parametros_manuales!$E$39*('Plan mensual'!O25+IF(parametros_manuales!$H$39="Todos",'Plan mensual'!O29,0))+parametros_manuales!$F$39*('Plan mensual'!O26+IF(parametros_manuales!$H$39="Todos",'Plan mensual'!O30,0))+parametros_manuales!$G$39*('Plan mensual'!O27+IF(parametros_manuales!$H$39="Todos",'Plan mensual'!O31,0)))*parametros_manuales!$I$39*parametros_manuales!$J$39</f>
        <v>1525.336818084</v>
      </c>
      <c r="N78" s="14" t="n">
        <f aca="false">SUM(B78:M78)</f>
        <v>13243.8121864</v>
      </c>
      <c r="O78" s="14" t="n">
        <f aca="false">MAX(B78:M78)</f>
        <v>1525.336818084</v>
      </c>
      <c r="P78" s="57" t="n">
        <f aca="false">O78/(parametros_manuales!$B$7)</f>
        <v>10.16891212056</v>
      </c>
      <c r="Q78" s="13" t="str">
        <f aca="false">IF(O78=0,"-",INDEX($B$57:$M$57,MATCH(O78,B78:M78,0)))</f>
        <v>Dic</v>
      </c>
    </row>
    <row r="79" customFormat="false" ht="14.25" hidden="false" customHeight="true" outlineLevel="0" collapsed="false">
      <c r="A79" s="13" t="str">
        <f aca="false">parametros_manuales!$B$40</f>
        <v>Ensamblaje</v>
      </c>
      <c r="B79" s="14" t="n">
        <f aca="false">(parametros_manuales!$D$40*('Plan mensual'!D24+IF(parametros_manuales!$H$40="Todos",'Plan mensual'!D28,0))+parametros_manuales!$E$40*('Plan mensual'!D25+IF(parametros_manuales!$H$40="Todos",'Plan mensual'!D29,0))+parametros_manuales!$F$40*('Plan mensual'!D26+IF(parametros_manuales!$H$40="Todos",'Plan mensual'!D30,0))+parametros_manuales!$G$40*('Plan mensual'!D27+IF(parametros_manuales!$H$40="Todos",'Plan mensual'!D31,0)))*parametros_manuales!$I$40*parametros_manuales!$J$40</f>
        <v>1461.4161738</v>
      </c>
      <c r="C79" s="14" t="n">
        <f aca="false">(parametros_manuales!$D$40*('Plan mensual'!E24+IF(parametros_manuales!$H$40="Todos",'Plan mensual'!E28,0))+parametros_manuales!$E$40*('Plan mensual'!E25+IF(parametros_manuales!$H$40="Todos",'Plan mensual'!E29,0))+parametros_manuales!$F$40*('Plan mensual'!E26+IF(parametros_manuales!$H$40="Todos",'Plan mensual'!E30,0))+parametros_manuales!$G$40*('Plan mensual'!E27+IF(parametros_manuales!$H$40="Todos",'Plan mensual'!E31,0)))*parametros_manuales!$I$40*parametros_manuales!$J$40</f>
        <v>1128.022452492</v>
      </c>
      <c r="D79" s="14" t="n">
        <f aca="false">(parametros_manuales!$D$40*('Plan mensual'!F24+IF(parametros_manuales!$H$40="Todos",'Plan mensual'!F28,0))+parametros_manuales!$E$40*('Plan mensual'!F25+IF(parametros_manuales!$H$40="Todos",'Plan mensual'!F29,0))+parametros_manuales!$F$40*('Plan mensual'!F26+IF(parametros_manuales!$H$40="Todos",'Plan mensual'!F30,0))+parametros_manuales!$G$40*('Plan mensual'!F27+IF(parametros_manuales!$H$40="Todos",'Plan mensual'!F31,0)))*parametros_manuales!$I$40*parametros_manuales!$J$40</f>
        <v>1091.465297054</v>
      </c>
      <c r="E79" s="14" t="n">
        <f aca="false">(parametros_manuales!$D$40*('Plan mensual'!G24+IF(parametros_manuales!$H$40="Todos",'Plan mensual'!G28,0))+parametros_manuales!$E$40*('Plan mensual'!G25+IF(parametros_manuales!$H$40="Todos",'Plan mensual'!G29,0))+parametros_manuales!$F$40*('Plan mensual'!G26+IF(parametros_manuales!$H$40="Todos",'Plan mensual'!G30,0))+parametros_manuales!$G$40*('Plan mensual'!G27+IF(parametros_manuales!$H$40="Todos",'Plan mensual'!G31,0)))*parametros_manuales!$I$40*parametros_manuales!$J$40</f>
        <v>1057.206558264</v>
      </c>
      <c r="F79" s="14" t="n">
        <f aca="false">(parametros_manuales!$D$40*('Plan mensual'!H24+IF(parametros_manuales!$H$40="Todos",'Plan mensual'!H28,0))+parametros_manuales!$E$40*('Plan mensual'!H25+IF(parametros_manuales!$H$40="Todos",'Plan mensual'!H29,0))+parametros_manuales!$F$40*('Plan mensual'!H26+IF(parametros_manuales!$H$40="Todos",'Plan mensual'!H30,0))+parametros_manuales!$G$40*('Plan mensual'!H27+IF(parametros_manuales!$H$40="Todos",'Plan mensual'!H31,0)))*parametros_manuales!$I$40*parametros_manuales!$J$40</f>
        <v>990.987497332</v>
      </c>
      <c r="G79" s="14" t="n">
        <f aca="false">(parametros_manuales!$D$40*('Plan mensual'!I24+IF(parametros_manuales!$H$40="Todos",'Plan mensual'!I28,0))+parametros_manuales!$E$40*('Plan mensual'!I25+IF(parametros_manuales!$H$40="Todos",'Plan mensual'!I29,0))+parametros_manuales!$F$40*('Plan mensual'!I26+IF(parametros_manuales!$H$40="Todos",'Plan mensual'!I30,0))+parametros_manuales!$G$40*('Plan mensual'!I27+IF(parametros_manuales!$H$40="Todos",'Plan mensual'!I31,0)))*parametros_manuales!$I$40*parametros_manuales!$J$40</f>
        <v>959.02717519</v>
      </c>
      <c r="H79" s="14" t="n">
        <f aca="false">(parametros_manuales!$D$40*('Plan mensual'!J24+IF(parametros_manuales!$H$40="Todos",'Plan mensual'!J28,0))+parametros_manuales!$E$40*('Plan mensual'!J25+IF(parametros_manuales!$H$40="Todos",'Plan mensual'!J29,0))+parametros_manuales!$F$40*('Plan mensual'!J26+IF(parametros_manuales!$H$40="Todos",'Plan mensual'!J30,0))+parametros_manuales!$G$40*('Plan mensual'!J27+IF(parametros_manuales!$H$40="Todos",'Plan mensual'!J31,0)))*parametros_manuales!$I$40*parametros_manuales!$J$40</f>
        <v>1025.246236122</v>
      </c>
      <c r="I79" s="14" t="n">
        <f aca="false">(parametros_manuales!$D$40*('Plan mensual'!K24+IF(parametros_manuales!$H$40="Todos",'Plan mensual'!K28,0))+parametros_manuales!$E$40*('Plan mensual'!K25+IF(parametros_manuales!$H$40="Todos",'Plan mensual'!K29,0))+parametros_manuales!$F$40*('Plan mensual'!K26+IF(parametros_manuales!$H$40="Todos",'Plan mensual'!K30,0))+parametros_manuales!$G$40*('Plan mensual'!K27+IF(parametros_manuales!$H$40="Todos",'Plan mensual'!K31,0)))*parametros_manuales!$I$40*parametros_manuales!$J$40</f>
        <v>1025.246236122</v>
      </c>
      <c r="J79" s="14" t="n">
        <f aca="false">(parametros_manuales!$D$40*('Plan mensual'!L24+IF(parametros_manuales!$H$40="Todos",'Plan mensual'!L28,0))+parametros_manuales!$E$40*('Plan mensual'!L25+IF(parametros_manuales!$H$40="Todos",'Plan mensual'!L29,0))+parametros_manuales!$F$40*('Plan mensual'!L26+IF(parametros_manuales!$H$40="Todos",'Plan mensual'!L30,0))+parametros_manuales!$G$40*('Plan mensual'!L27+IF(parametros_manuales!$H$40="Todos",'Plan mensual'!L31,0)))*parametros_manuales!$I$40*parametros_manuales!$J$40</f>
        <v>1025.246236122</v>
      </c>
      <c r="K79" s="14" t="n">
        <f aca="false">(parametros_manuales!$D$40*('Plan mensual'!M24+IF(parametros_manuales!$H$40="Todos",'Plan mensual'!M28,0))+parametros_manuales!$E$40*('Plan mensual'!M25+IF(parametros_manuales!$H$40="Todos",'Plan mensual'!M29,0))+parametros_manuales!$F$40*('Plan mensual'!M26+IF(parametros_manuales!$H$40="Todos",'Plan mensual'!M30,0))+parametros_manuales!$G$40*('Plan mensual'!M27+IF(parametros_manuales!$H$40="Todos",'Plan mensual'!M31,0)))*parametros_manuales!$I$40*parametros_manuales!$J$40</f>
        <v>993.28591398</v>
      </c>
      <c r="L79" s="14" t="n">
        <f aca="false">(parametros_manuales!$D$40*('Plan mensual'!N24+IF(parametros_manuales!$H$40="Todos",'Plan mensual'!N28,0))+parametros_manuales!$E$40*('Plan mensual'!N25+IF(parametros_manuales!$H$40="Todos",'Plan mensual'!N29,0))+parametros_manuales!$F$40*('Plan mensual'!N26+IF(parametros_manuales!$H$40="Todos",'Plan mensual'!N30,0))+parametros_manuales!$G$40*('Plan mensual'!N27+IF(parametros_manuales!$H$40="Todos",'Plan mensual'!N31,0)))*parametros_manuales!$I$40*parametros_manuales!$J$40</f>
        <v>961.325591838</v>
      </c>
      <c r="M79" s="14" t="n">
        <f aca="false">(parametros_manuales!$D$40*('Plan mensual'!O24+IF(parametros_manuales!$H$40="Todos",'Plan mensual'!O28,0))+parametros_manuales!$E$40*('Plan mensual'!O25+IF(parametros_manuales!$H$40="Todos",'Plan mensual'!O29,0))+parametros_manuales!$F$40*('Plan mensual'!O26+IF(parametros_manuales!$H$40="Todos",'Plan mensual'!O30,0))+parametros_manuales!$G$40*('Plan mensual'!O27+IF(parametros_manuales!$H$40="Todos",'Plan mensual'!O31,0)))*parametros_manuales!$I$40*parametros_manuales!$J$40</f>
        <v>1525.336818084</v>
      </c>
      <c r="N79" s="14" t="n">
        <f aca="false">SUM(B79:M79)</f>
        <v>13243.8121864</v>
      </c>
      <c r="O79" s="14" t="n">
        <f aca="false">MAX(B79:M79)</f>
        <v>1525.336818084</v>
      </c>
      <c r="P79" s="57" t="n">
        <f aca="false">O79/(parametros_manuales!$B$7)</f>
        <v>10.16891212056</v>
      </c>
      <c r="Q79" s="13" t="str">
        <f aca="false">IF(O79=0,"-",INDEX($B$57:$M$57,MATCH(O79,B79:M79,0)))</f>
        <v>Dic</v>
      </c>
    </row>
    <row r="80" customFormat="false" ht="14.25" hidden="false" customHeight="true" outlineLevel="0" collapsed="false">
      <c r="A80" s="13" t="str">
        <f aca="false">parametros_manuales!$B$41</f>
        <v>Presurización</v>
      </c>
      <c r="B80" s="14" t="n">
        <f aca="false">(parametros_manuales!$D$41*('Plan mensual'!D24+IF(parametros_manuales!$H$41="Todos",'Plan mensual'!D28,0))+parametros_manuales!$E$41*('Plan mensual'!D25+IF(parametros_manuales!$H$41="Todos",'Plan mensual'!D29,0))+parametros_manuales!$F$41*('Plan mensual'!D26+IF(parametros_manuales!$H$41="Todos",'Plan mensual'!D30,0))+parametros_manuales!$G$41*('Plan mensual'!D27+IF(parametros_manuales!$H$41="Todos",'Plan mensual'!D31,0)))*parametros_manuales!$I$41*parametros_manuales!$J$41</f>
        <v>1461.4161738</v>
      </c>
      <c r="C80" s="14" t="n">
        <f aca="false">(parametros_manuales!$D$41*('Plan mensual'!E24+IF(parametros_manuales!$H$41="Todos",'Plan mensual'!E28,0))+parametros_manuales!$E$41*('Plan mensual'!E25+IF(parametros_manuales!$H$41="Todos",'Plan mensual'!E29,0))+parametros_manuales!$F$41*('Plan mensual'!E26+IF(parametros_manuales!$H$41="Todos",'Plan mensual'!E30,0))+parametros_manuales!$G$41*('Plan mensual'!E27+IF(parametros_manuales!$H$41="Todos",'Plan mensual'!E31,0)))*parametros_manuales!$I$41*parametros_manuales!$J$41</f>
        <v>1128.022452492</v>
      </c>
      <c r="D80" s="14" t="n">
        <f aca="false">(parametros_manuales!$D$41*('Plan mensual'!F24+IF(parametros_manuales!$H$41="Todos",'Plan mensual'!F28,0))+parametros_manuales!$E$41*('Plan mensual'!F25+IF(parametros_manuales!$H$41="Todos",'Plan mensual'!F29,0))+parametros_manuales!$F$41*('Plan mensual'!F26+IF(parametros_manuales!$H$41="Todos",'Plan mensual'!F30,0))+parametros_manuales!$G$41*('Plan mensual'!F27+IF(parametros_manuales!$H$41="Todos",'Plan mensual'!F31,0)))*parametros_manuales!$I$41*parametros_manuales!$J$41</f>
        <v>1091.465297054</v>
      </c>
      <c r="E80" s="14" t="n">
        <f aca="false">(parametros_manuales!$D$41*('Plan mensual'!G24+IF(parametros_manuales!$H$41="Todos",'Plan mensual'!G28,0))+parametros_manuales!$E$41*('Plan mensual'!G25+IF(parametros_manuales!$H$41="Todos",'Plan mensual'!G29,0))+parametros_manuales!$F$41*('Plan mensual'!G26+IF(parametros_manuales!$H$41="Todos",'Plan mensual'!G30,0))+parametros_manuales!$G$41*('Plan mensual'!G27+IF(parametros_manuales!$H$41="Todos",'Plan mensual'!G31,0)))*parametros_manuales!$I$41*parametros_manuales!$J$41</f>
        <v>1057.206558264</v>
      </c>
      <c r="F80" s="14" t="n">
        <f aca="false">(parametros_manuales!$D$41*('Plan mensual'!H24+IF(parametros_manuales!$H$41="Todos",'Plan mensual'!H28,0))+parametros_manuales!$E$41*('Plan mensual'!H25+IF(parametros_manuales!$H$41="Todos",'Plan mensual'!H29,0))+parametros_manuales!$F$41*('Plan mensual'!H26+IF(parametros_manuales!$H$41="Todos",'Plan mensual'!H30,0))+parametros_manuales!$G$41*('Plan mensual'!H27+IF(parametros_manuales!$H$41="Todos",'Plan mensual'!H31,0)))*parametros_manuales!$I$41*parametros_manuales!$J$41</f>
        <v>990.987497332</v>
      </c>
      <c r="G80" s="14" t="n">
        <f aca="false">(parametros_manuales!$D$41*('Plan mensual'!I24+IF(parametros_manuales!$H$41="Todos",'Plan mensual'!I28,0))+parametros_manuales!$E$41*('Plan mensual'!I25+IF(parametros_manuales!$H$41="Todos",'Plan mensual'!I29,0))+parametros_manuales!$F$41*('Plan mensual'!I26+IF(parametros_manuales!$H$41="Todos",'Plan mensual'!I30,0))+parametros_manuales!$G$41*('Plan mensual'!I27+IF(parametros_manuales!$H$41="Todos",'Plan mensual'!I31,0)))*parametros_manuales!$I$41*parametros_manuales!$J$41</f>
        <v>959.02717519</v>
      </c>
      <c r="H80" s="14" t="n">
        <f aca="false">(parametros_manuales!$D$41*('Plan mensual'!J24+IF(parametros_manuales!$H$41="Todos",'Plan mensual'!J28,0))+parametros_manuales!$E$41*('Plan mensual'!J25+IF(parametros_manuales!$H$41="Todos",'Plan mensual'!J29,0))+parametros_manuales!$F$41*('Plan mensual'!J26+IF(parametros_manuales!$H$41="Todos",'Plan mensual'!J30,0))+parametros_manuales!$G$41*('Plan mensual'!J27+IF(parametros_manuales!$H$41="Todos",'Plan mensual'!J31,0)))*parametros_manuales!$I$41*parametros_manuales!$J$41</f>
        <v>1025.246236122</v>
      </c>
      <c r="I80" s="14" t="n">
        <f aca="false">(parametros_manuales!$D$41*('Plan mensual'!K24+IF(parametros_manuales!$H$41="Todos",'Plan mensual'!K28,0))+parametros_manuales!$E$41*('Plan mensual'!K25+IF(parametros_manuales!$H$41="Todos",'Plan mensual'!K29,0))+parametros_manuales!$F$41*('Plan mensual'!K26+IF(parametros_manuales!$H$41="Todos",'Plan mensual'!K30,0))+parametros_manuales!$G$41*('Plan mensual'!K27+IF(parametros_manuales!$H$41="Todos",'Plan mensual'!K31,0)))*parametros_manuales!$I$41*parametros_manuales!$J$41</f>
        <v>1025.246236122</v>
      </c>
      <c r="J80" s="14" t="n">
        <f aca="false">(parametros_manuales!$D$41*('Plan mensual'!L24+IF(parametros_manuales!$H$41="Todos",'Plan mensual'!L28,0))+parametros_manuales!$E$41*('Plan mensual'!L25+IF(parametros_manuales!$H$41="Todos",'Plan mensual'!L29,0))+parametros_manuales!$F$41*('Plan mensual'!L26+IF(parametros_manuales!$H$41="Todos",'Plan mensual'!L30,0))+parametros_manuales!$G$41*('Plan mensual'!L27+IF(parametros_manuales!$H$41="Todos",'Plan mensual'!L31,0)))*parametros_manuales!$I$41*parametros_manuales!$J$41</f>
        <v>1025.246236122</v>
      </c>
      <c r="K80" s="14" t="n">
        <f aca="false">(parametros_manuales!$D$41*('Plan mensual'!M24+IF(parametros_manuales!$H$41="Todos",'Plan mensual'!M28,0))+parametros_manuales!$E$41*('Plan mensual'!M25+IF(parametros_manuales!$H$41="Todos",'Plan mensual'!M29,0))+parametros_manuales!$F$41*('Plan mensual'!M26+IF(parametros_manuales!$H$41="Todos",'Plan mensual'!M30,0))+parametros_manuales!$G$41*('Plan mensual'!M27+IF(parametros_manuales!$H$41="Todos",'Plan mensual'!M31,0)))*parametros_manuales!$I$41*parametros_manuales!$J$41</f>
        <v>993.28591398</v>
      </c>
      <c r="L80" s="14" t="n">
        <f aca="false">(parametros_manuales!$D$41*('Plan mensual'!N24+IF(parametros_manuales!$H$41="Todos",'Plan mensual'!N28,0))+parametros_manuales!$E$41*('Plan mensual'!N25+IF(parametros_manuales!$H$41="Todos",'Plan mensual'!N29,0))+parametros_manuales!$F$41*('Plan mensual'!N26+IF(parametros_manuales!$H$41="Todos",'Plan mensual'!N30,0))+parametros_manuales!$G$41*('Plan mensual'!N27+IF(parametros_manuales!$H$41="Todos",'Plan mensual'!N31,0)))*parametros_manuales!$I$41*parametros_manuales!$J$41</f>
        <v>961.325591838</v>
      </c>
      <c r="M80" s="14" t="n">
        <f aca="false">(parametros_manuales!$D$41*('Plan mensual'!O24+IF(parametros_manuales!$H$41="Todos",'Plan mensual'!O28,0))+parametros_manuales!$E$41*('Plan mensual'!O25+IF(parametros_manuales!$H$41="Todos",'Plan mensual'!O29,0))+parametros_manuales!$F$41*('Plan mensual'!O26+IF(parametros_manuales!$H$41="Todos",'Plan mensual'!O30,0))+parametros_manuales!$G$41*('Plan mensual'!O27+IF(parametros_manuales!$H$41="Todos",'Plan mensual'!O31,0)))*parametros_manuales!$I$41*parametros_manuales!$J$41</f>
        <v>1525.336818084</v>
      </c>
      <c r="N80" s="14" t="n">
        <f aca="false">SUM(B80:M80)</f>
        <v>13243.8121864</v>
      </c>
      <c r="O80" s="14" t="n">
        <f aca="false">MAX(B80:M80)</f>
        <v>1525.336818084</v>
      </c>
      <c r="P80" s="57" t="n">
        <f aca="false">O80/(parametros_manuales!$B$7)</f>
        <v>10.16891212056</v>
      </c>
      <c r="Q80" s="13" t="str">
        <f aca="false">IF(O80=0,"-",INDEX($B$57:$M$57,MATCH(O80,B80:M80,0)))</f>
        <v>Dic</v>
      </c>
    </row>
    <row r="81" customFormat="false" ht="14.25" hidden="false" customHeight="true" outlineLevel="0" collapsed="false">
      <c r="A81" s="13" t="str">
        <f aca="false">parametros_manuales!$B$42</f>
        <v>Control de calidad — Ensayo de pérdidas</v>
      </c>
      <c r="B81" s="14" t="n">
        <f aca="false">(parametros_manuales!$D$42*('Plan mensual'!D24+IF(parametros_manuales!$H$42="Todos",'Plan mensual'!D28,0))+parametros_manuales!$E$42*('Plan mensual'!D25+IF(parametros_manuales!$H$42="Todos",'Plan mensual'!D29,0))+parametros_manuales!$F$42*('Plan mensual'!D26+IF(parametros_manuales!$H$42="Todos",'Plan mensual'!D30,0))+parametros_manuales!$G$42*('Plan mensual'!D27+IF(parametros_manuales!$H$42="Todos",'Plan mensual'!D31,0)))*parametros_manuales!$I$42*parametros_manuales!$J$42</f>
        <v>1461.4161738</v>
      </c>
      <c r="C81" s="14" t="n">
        <f aca="false">(parametros_manuales!$D$42*('Plan mensual'!E24+IF(parametros_manuales!$H$42="Todos",'Plan mensual'!E28,0))+parametros_manuales!$E$42*('Plan mensual'!E25+IF(parametros_manuales!$H$42="Todos",'Plan mensual'!E29,0))+parametros_manuales!$F$42*('Plan mensual'!E26+IF(parametros_manuales!$H$42="Todos",'Plan mensual'!E30,0))+parametros_manuales!$G$42*('Plan mensual'!E27+IF(parametros_manuales!$H$42="Todos",'Plan mensual'!E31,0)))*parametros_manuales!$I$42*parametros_manuales!$J$42</f>
        <v>1128.022452492</v>
      </c>
      <c r="D81" s="14" t="n">
        <f aca="false">(parametros_manuales!$D$42*('Plan mensual'!F24+IF(parametros_manuales!$H$42="Todos",'Plan mensual'!F28,0))+parametros_manuales!$E$42*('Plan mensual'!F25+IF(parametros_manuales!$H$42="Todos",'Plan mensual'!F29,0))+parametros_manuales!$F$42*('Plan mensual'!F26+IF(parametros_manuales!$H$42="Todos",'Plan mensual'!F30,0))+parametros_manuales!$G$42*('Plan mensual'!F27+IF(parametros_manuales!$H$42="Todos",'Plan mensual'!F31,0)))*parametros_manuales!$I$42*parametros_manuales!$J$42</f>
        <v>1091.465297054</v>
      </c>
      <c r="E81" s="14" t="n">
        <f aca="false">(parametros_manuales!$D$42*('Plan mensual'!G24+IF(parametros_manuales!$H$42="Todos",'Plan mensual'!G28,0))+parametros_manuales!$E$42*('Plan mensual'!G25+IF(parametros_manuales!$H$42="Todos",'Plan mensual'!G29,0))+parametros_manuales!$F$42*('Plan mensual'!G26+IF(parametros_manuales!$H$42="Todos",'Plan mensual'!G30,0))+parametros_manuales!$G$42*('Plan mensual'!G27+IF(parametros_manuales!$H$42="Todos",'Plan mensual'!G31,0)))*parametros_manuales!$I$42*parametros_manuales!$J$42</f>
        <v>1057.206558264</v>
      </c>
      <c r="F81" s="14" t="n">
        <f aca="false">(parametros_manuales!$D$42*('Plan mensual'!H24+IF(parametros_manuales!$H$42="Todos",'Plan mensual'!H28,0))+parametros_manuales!$E$42*('Plan mensual'!H25+IF(parametros_manuales!$H$42="Todos",'Plan mensual'!H29,0))+parametros_manuales!$F$42*('Plan mensual'!H26+IF(parametros_manuales!$H$42="Todos",'Plan mensual'!H30,0))+parametros_manuales!$G$42*('Plan mensual'!H27+IF(parametros_manuales!$H$42="Todos",'Plan mensual'!H31,0)))*parametros_manuales!$I$42*parametros_manuales!$J$42</f>
        <v>990.987497332</v>
      </c>
      <c r="G81" s="14" t="n">
        <f aca="false">(parametros_manuales!$D$42*('Plan mensual'!I24+IF(parametros_manuales!$H$42="Todos",'Plan mensual'!I28,0))+parametros_manuales!$E$42*('Plan mensual'!I25+IF(parametros_manuales!$H$42="Todos",'Plan mensual'!I29,0))+parametros_manuales!$F$42*('Plan mensual'!I26+IF(parametros_manuales!$H$42="Todos",'Plan mensual'!I30,0))+parametros_manuales!$G$42*('Plan mensual'!I27+IF(parametros_manuales!$H$42="Todos",'Plan mensual'!I31,0)))*parametros_manuales!$I$42*parametros_manuales!$J$42</f>
        <v>959.02717519</v>
      </c>
      <c r="H81" s="14" t="n">
        <f aca="false">(parametros_manuales!$D$42*('Plan mensual'!J24+IF(parametros_manuales!$H$42="Todos",'Plan mensual'!J28,0))+parametros_manuales!$E$42*('Plan mensual'!J25+IF(parametros_manuales!$H$42="Todos",'Plan mensual'!J29,0))+parametros_manuales!$F$42*('Plan mensual'!J26+IF(parametros_manuales!$H$42="Todos",'Plan mensual'!J30,0))+parametros_manuales!$G$42*('Plan mensual'!J27+IF(parametros_manuales!$H$42="Todos",'Plan mensual'!J31,0)))*parametros_manuales!$I$42*parametros_manuales!$J$42</f>
        <v>1025.246236122</v>
      </c>
      <c r="I81" s="14" t="n">
        <f aca="false">(parametros_manuales!$D$42*('Plan mensual'!K24+IF(parametros_manuales!$H$42="Todos",'Plan mensual'!K28,0))+parametros_manuales!$E$42*('Plan mensual'!K25+IF(parametros_manuales!$H$42="Todos",'Plan mensual'!K29,0))+parametros_manuales!$F$42*('Plan mensual'!K26+IF(parametros_manuales!$H$42="Todos",'Plan mensual'!K30,0))+parametros_manuales!$G$42*('Plan mensual'!K27+IF(parametros_manuales!$H$42="Todos",'Plan mensual'!K31,0)))*parametros_manuales!$I$42*parametros_manuales!$J$42</f>
        <v>1025.246236122</v>
      </c>
      <c r="J81" s="14" t="n">
        <f aca="false">(parametros_manuales!$D$42*('Plan mensual'!L24+IF(parametros_manuales!$H$42="Todos",'Plan mensual'!L28,0))+parametros_manuales!$E$42*('Plan mensual'!L25+IF(parametros_manuales!$H$42="Todos",'Plan mensual'!L29,0))+parametros_manuales!$F$42*('Plan mensual'!L26+IF(parametros_manuales!$H$42="Todos",'Plan mensual'!L30,0))+parametros_manuales!$G$42*('Plan mensual'!L27+IF(parametros_manuales!$H$42="Todos",'Plan mensual'!L31,0)))*parametros_manuales!$I$42*parametros_manuales!$J$42</f>
        <v>1025.246236122</v>
      </c>
      <c r="K81" s="14" t="n">
        <f aca="false">(parametros_manuales!$D$42*('Plan mensual'!M24+IF(parametros_manuales!$H$42="Todos",'Plan mensual'!M28,0))+parametros_manuales!$E$42*('Plan mensual'!M25+IF(parametros_manuales!$H$42="Todos",'Plan mensual'!M29,0))+parametros_manuales!$F$42*('Plan mensual'!M26+IF(parametros_manuales!$H$42="Todos",'Plan mensual'!M30,0))+parametros_manuales!$G$42*('Plan mensual'!M27+IF(parametros_manuales!$H$42="Todos",'Plan mensual'!M31,0)))*parametros_manuales!$I$42*parametros_manuales!$J$42</f>
        <v>993.28591398</v>
      </c>
      <c r="L81" s="14" t="n">
        <f aca="false">(parametros_manuales!$D$42*('Plan mensual'!N24+IF(parametros_manuales!$H$42="Todos",'Plan mensual'!N28,0))+parametros_manuales!$E$42*('Plan mensual'!N25+IF(parametros_manuales!$H$42="Todos",'Plan mensual'!N29,0))+parametros_manuales!$F$42*('Plan mensual'!N26+IF(parametros_manuales!$H$42="Todos",'Plan mensual'!N30,0))+parametros_manuales!$G$42*('Plan mensual'!N27+IF(parametros_manuales!$H$42="Todos",'Plan mensual'!N31,0)))*parametros_manuales!$I$42*parametros_manuales!$J$42</f>
        <v>961.325591838</v>
      </c>
      <c r="M81" s="14" t="n">
        <f aca="false">(parametros_manuales!$D$42*('Plan mensual'!O24+IF(parametros_manuales!$H$42="Todos",'Plan mensual'!O28,0))+parametros_manuales!$E$42*('Plan mensual'!O25+IF(parametros_manuales!$H$42="Todos",'Plan mensual'!O29,0))+parametros_manuales!$F$42*('Plan mensual'!O26+IF(parametros_manuales!$H$42="Todos",'Plan mensual'!O30,0))+parametros_manuales!$G$42*('Plan mensual'!O27+IF(parametros_manuales!$H$42="Todos",'Plan mensual'!O31,0)))*parametros_manuales!$I$42*parametros_manuales!$J$42</f>
        <v>1525.336818084</v>
      </c>
      <c r="N81" s="14" t="n">
        <f aca="false">SUM(B81:M81)</f>
        <v>13243.8121864</v>
      </c>
      <c r="O81" s="14" t="n">
        <f aca="false">MAX(B81:M81)</f>
        <v>1525.336818084</v>
      </c>
      <c r="P81" s="57" t="n">
        <f aca="false">O81/(parametros_manuales!$B$7)</f>
        <v>10.16891212056</v>
      </c>
      <c r="Q81" s="13" t="str">
        <f aca="false">IF(O81=0,"-",INDEX($B$57:$M$57,MATCH(O81,B81:M81,0)))</f>
        <v>Dic</v>
      </c>
    </row>
    <row r="82" customFormat="false" ht="14.25" hidden="false" customHeight="true" outlineLevel="0" collapsed="false">
      <c r="A82" s="13" t="str">
        <f aca="false">parametros_manuales!$B$43</f>
        <v>Etiquetado</v>
      </c>
      <c r="B82" s="14" t="n">
        <f aca="false">(parametros_manuales!$D$43*('Plan mensual'!D24+IF(parametros_manuales!$H$43="Todos",'Plan mensual'!D28,0))+parametros_manuales!$E$43*('Plan mensual'!D25+IF(parametros_manuales!$H$43="Todos",'Plan mensual'!D29,0))+parametros_manuales!$F$43*('Plan mensual'!D26+IF(parametros_manuales!$H$43="Todos",'Plan mensual'!D30,0))+parametros_manuales!$G$43*('Plan mensual'!D27+IF(parametros_manuales!$H$43="Todos",'Plan mensual'!D31,0)))*parametros_manuales!$I$43*parametros_manuales!$J$43</f>
        <v>1461.4161738</v>
      </c>
      <c r="C82" s="14" t="n">
        <f aca="false">(parametros_manuales!$D$43*('Plan mensual'!E24+IF(parametros_manuales!$H$43="Todos",'Plan mensual'!E28,0))+parametros_manuales!$E$43*('Plan mensual'!E25+IF(parametros_manuales!$H$43="Todos",'Plan mensual'!E29,0))+parametros_manuales!$F$43*('Plan mensual'!E26+IF(parametros_manuales!$H$43="Todos",'Plan mensual'!E30,0))+parametros_manuales!$G$43*('Plan mensual'!E27+IF(parametros_manuales!$H$43="Todos",'Plan mensual'!E31,0)))*parametros_manuales!$I$43*parametros_manuales!$J$43</f>
        <v>1128.022452492</v>
      </c>
      <c r="D82" s="14" t="n">
        <f aca="false">(parametros_manuales!$D$43*('Plan mensual'!F24+IF(parametros_manuales!$H$43="Todos",'Plan mensual'!F28,0))+parametros_manuales!$E$43*('Plan mensual'!F25+IF(parametros_manuales!$H$43="Todos",'Plan mensual'!F29,0))+parametros_manuales!$F$43*('Plan mensual'!F26+IF(parametros_manuales!$H$43="Todos",'Plan mensual'!F30,0))+parametros_manuales!$G$43*('Plan mensual'!F27+IF(parametros_manuales!$H$43="Todos",'Plan mensual'!F31,0)))*parametros_manuales!$I$43*parametros_manuales!$J$43</f>
        <v>1091.465297054</v>
      </c>
      <c r="E82" s="14" t="n">
        <f aca="false">(parametros_manuales!$D$43*('Plan mensual'!G24+IF(parametros_manuales!$H$43="Todos",'Plan mensual'!G28,0))+parametros_manuales!$E$43*('Plan mensual'!G25+IF(parametros_manuales!$H$43="Todos",'Plan mensual'!G29,0))+parametros_manuales!$F$43*('Plan mensual'!G26+IF(parametros_manuales!$H$43="Todos",'Plan mensual'!G30,0))+parametros_manuales!$G$43*('Plan mensual'!G27+IF(parametros_manuales!$H$43="Todos",'Plan mensual'!G31,0)))*parametros_manuales!$I$43*parametros_manuales!$J$43</f>
        <v>1057.206558264</v>
      </c>
      <c r="F82" s="14" t="n">
        <f aca="false">(parametros_manuales!$D$43*('Plan mensual'!H24+IF(parametros_manuales!$H$43="Todos",'Plan mensual'!H28,0))+parametros_manuales!$E$43*('Plan mensual'!H25+IF(parametros_manuales!$H$43="Todos",'Plan mensual'!H29,0))+parametros_manuales!$F$43*('Plan mensual'!H26+IF(parametros_manuales!$H$43="Todos",'Plan mensual'!H30,0))+parametros_manuales!$G$43*('Plan mensual'!H27+IF(parametros_manuales!$H$43="Todos",'Plan mensual'!H31,0)))*parametros_manuales!$I$43*parametros_manuales!$J$43</f>
        <v>990.987497332</v>
      </c>
      <c r="G82" s="14" t="n">
        <f aca="false">(parametros_manuales!$D$43*('Plan mensual'!I24+IF(parametros_manuales!$H$43="Todos",'Plan mensual'!I28,0))+parametros_manuales!$E$43*('Plan mensual'!I25+IF(parametros_manuales!$H$43="Todos",'Plan mensual'!I29,0))+parametros_manuales!$F$43*('Plan mensual'!I26+IF(parametros_manuales!$H$43="Todos",'Plan mensual'!I30,0))+parametros_manuales!$G$43*('Plan mensual'!I27+IF(parametros_manuales!$H$43="Todos",'Plan mensual'!I31,0)))*parametros_manuales!$I$43*parametros_manuales!$J$43</f>
        <v>959.02717519</v>
      </c>
      <c r="H82" s="14" t="n">
        <f aca="false">(parametros_manuales!$D$43*('Plan mensual'!J24+IF(parametros_manuales!$H$43="Todos",'Plan mensual'!J28,0))+parametros_manuales!$E$43*('Plan mensual'!J25+IF(parametros_manuales!$H$43="Todos",'Plan mensual'!J29,0))+parametros_manuales!$F$43*('Plan mensual'!J26+IF(parametros_manuales!$H$43="Todos",'Plan mensual'!J30,0))+parametros_manuales!$G$43*('Plan mensual'!J27+IF(parametros_manuales!$H$43="Todos",'Plan mensual'!J31,0)))*parametros_manuales!$I$43*parametros_manuales!$J$43</f>
        <v>1025.246236122</v>
      </c>
      <c r="I82" s="14" t="n">
        <f aca="false">(parametros_manuales!$D$43*('Plan mensual'!K24+IF(parametros_manuales!$H$43="Todos",'Plan mensual'!K28,0))+parametros_manuales!$E$43*('Plan mensual'!K25+IF(parametros_manuales!$H$43="Todos",'Plan mensual'!K29,0))+parametros_manuales!$F$43*('Plan mensual'!K26+IF(parametros_manuales!$H$43="Todos",'Plan mensual'!K30,0))+parametros_manuales!$G$43*('Plan mensual'!K27+IF(parametros_manuales!$H$43="Todos",'Plan mensual'!K31,0)))*parametros_manuales!$I$43*parametros_manuales!$J$43</f>
        <v>1025.246236122</v>
      </c>
      <c r="J82" s="14" t="n">
        <f aca="false">(parametros_manuales!$D$43*('Plan mensual'!L24+IF(parametros_manuales!$H$43="Todos",'Plan mensual'!L28,0))+parametros_manuales!$E$43*('Plan mensual'!L25+IF(parametros_manuales!$H$43="Todos",'Plan mensual'!L29,0))+parametros_manuales!$F$43*('Plan mensual'!L26+IF(parametros_manuales!$H$43="Todos",'Plan mensual'!L30,0))+parametros_manuales!$G$43*('Plan mensual'!L27+IF(parametros_manuales!$H$43="Todos",'Plan mensual'!L31,0)))*parametros_manuales!$I$43*parametros_manuales!$J$43</f>
        <v>1025.246236122</v>
      </c>
      <c r="K82" s="14" t="n">
        <f aca="false">(parametros_manuales!$D$43*('Plan mensual'!M24+IF(parametros_manuales!$H$43="Todos",'Plan mensual'!M28,0))+parametros_manuales!$E$43*('Plan mensual'!M25+IF(parametros_manuales!$H$43="Todos",'Plan mensual'!M29,0))+parametros_manuales!$F$43*('Plan mensual'!M26+IF(parametros_manuales!$H$43="Todos",'Plan mensual'!M30,0))+parametros_manuales!$G$43*('Plan mensual'!M27+IF(parametros_manuales!$H$43="Todos",'Plan mensual'!M31,0)))*parametros_manuales!$I$43*parametros_manuales!$J$43</f>
        <v>993.28591398</v>
      </c>
      <c r="L82" s="14" t="n">
        <f aca="false">(parametros_manuales!$D$43*('Plan mensual'!N24+IF(parametros_manuales!$H$43="Todos",'Plan mensual'!N28,0))+parametros_manuales!$E$43*('Plan mensual'!N25+IF(parametros_manuales!$H$43="Todos",'Plan mensual'!N29,0))+parametros_manuales!$F$43*('Plan mensual'!N26+IF(parametros_manuales!$H$43="Todos",'Plan mensual'!N30,0))+parametros_manuales!$G$43*('Plan mensual'!N27+IF(parametros_manuales!$H$43="Todos",'Plan mensual'!N31,0)))*parametros_manuales!$I$43*parametros_manuales!$J$43</f>
        <v>961.325591838</v>
      </c>
      <c r="M82" s="14" t="n">
        <f aca="false">(parametros_manuales!$D$43*('Plan mensual'!O24+IF(parametros_manuales!$H$43="Todos",'Plan mensual'!O28,0))+parametros_manuales!$E$43*('Plan mensual'!O25+IF(parametros_manuales!$H$43="Todos",'Plan mensual'!O29,0))+parametros_manuales!$F$43*('Plan mensual'!O26+IF(parametros_manuales!$H$43="Todos",'Plan mensual'!O30,0))+parametros_manuales!$G$43*('Plan mensual'!O27+IF(parametros_manuales!$H$43="Todos",'Plan mensual'!O31,0)))*parametros_manuales!$I$43*parametros_manuales!$J$43</f>
        <v>1525.336818084</v>
      </c>
      <c r="N82" s="14" t="n">
        <f aca="false">SUM(B82:M82)</f>
        <v>13243.8121864</v>
      </c>
      <c r="O82" s="14" t="n">
        <f aca="false">MAX(B82:M82)</f>
        <v>1525.336818084</v>
      </c>
      <c r="P82" s="57" t="n">
        <f aca="false">O82/(parametros_manuales!$B$7)</f>
        <v>10.16891212056</v>
      </c>
      <c r="Q82" s="13" t="str">
        <f aca="false">IF(O82=0,"-",INDEX($B$57:$M$57,MATCH(O82,B82:M82,0)))</f>
        <v>Dic</v>
      </c>
    </row>
    <row r="83" customFormat="false" ht="14.25" hidden="false" customHeight="true" outlineLevel="0" collapsed="false">
      <c r="A83" s="13" t="str">
        <f aca="false">parametros_manuales!$B$44</f>
        <v>Embalaje y paletizado</v>
      </c>
      <c r="B83" s="14" t="n">
        <f aca="false">(parametros_manuales!$D$44*('Plan mensual'!D24+IF(parametros_manuales!$H$44="Todos",'Plan mensual'!D28,0))+parametros_manuales!$E$44*('Plan mensual'!D25+IF(parametros_manuales!$H$44="Todos",'Plan mensual'!D29,0))+parametros_manuales!$F$44*('Plan mensual'!D26+IF(parametros_manuales!$H$44="Todos",'Plan mensual'!D30,0))+parametros_manuales!$G$44*('Plan mensual'!D27+IF(parametros_manuales!$H$44="Todos",'Plan mensual'!D31,0)))*parametros_manuales!$I$44*parametros_manuales!$J$44</f>
        <v>2579.0721738</v>
      </c>
      <c r="C83" s="14" t="n">
        <f aca="false">(parametros_manuales!$D$44*('Plan mensual'!E24+IF(parametros_manuales!$H$44="Todos",'Plan mensual'!E28,0))+parametros_manuales!$E$44*('Plan mensual'!E25+IF(parametros_manuales!$H$44="Todos",'Plan mensual'!E29,0))+parametros_manuales!$F$44*('Plan mensual'!E26+IF(parametros_manuales!$H$44="Todos",'Plan mensual'!E30,0))+parametros_manuales!$G$44*('Plan mensual'!E27+IF(parametros_manuales!$H$44="Todos",'Plan mensual'!E31,0)))*parametros_manuales!$I$44*parametros_manuales!$J$44</f>
        <v>1976.172852492</v>
      </c>
      <c r="D83" s="14" t="n">
        <f aca="false">(parametros_manuales!$D$44*('Plan mensual'!F24+IF(parametros_manuales!$H$44="Todos",'Plan mensual'!F28,0))+parametros_manuales!$E$44*('Plan mensual'!F25+IF(parametros_manuales!$H$44="Todos",'Plan mensual'!F29,0))+parametros_manuales!$F$44*('Plan mensual'!F26+IF(parametros_manuales!$H$44="Todos",'Plan mensual'!F30,0))+parametros_manuales!$G$44*('Plan mensual'!F27+IF(parametros_manuales!$H$44="Todos",'Plan mensual'!F31,0)))*parametros_manuales!$I$44*parametros_manuales!$J$44</f>
        <v>1872.900097054</v>
      </c>
      <c r="E83" s="14" t="n">
        <f aca="false">(parametros_manuales!$D$44*('Plan mensual'!G24+IF(parametros_manuales!$H$44="Todos",'Plan mensual'!G28,0))+parametros_manuales!$E$44*('Plan mensual'!G25+IF(parametros_manuales!$H$44="Todos",'Plan mensual'!G29,0))+parametros_manuales!$F$44*('Plan mensual'!G26+IF(parametros_manuales!$H$44="Todos",'Plan mensual'!G30,0))+parametros_manuales!$G$44*('Plan mensual'!G27+IF(parametros_manuales!$H$44="Todos",'Plan mensual'!G31,0)))*parametros_manuales!$I$44*parametros_manuales!$J$44</f>
        <v>1800.329358264</v>
      </c>
      <c r="F83" s="14" t="n">
        <f aca="false">(parametros_manuales!$D$44*('Plan mensual'!H24+IF(parametros_manuales!$H$44="Todos",'Plan mensual'!H28,0))+parametros_manuales!$E$44*('Plan mensual'!H25+IF(parametros_manuales!$H$44="Todos",'Plan mensual'!H29,0))+parametros_manuales!$F$44*('Plan mensual'!H26+IF(parametros_manuales!$H$44="Todos",'Plan mensual'!H30,0))+parametros_manuales!$G$44*('Plan mensual'!H27+IF(parametros_manuales!$H$44="Todos",'Plan mensual'!H31,0)))*parametros_manuales!$I$44*parametros_manuales!$J$44</f>
        <v>1685.889897332</v>
      </c>
      <c r="G83" s="14" t="n">
        <f aca="false">(parametros_manuales!$D$44*('Plan mensual'!I24+IF(parametros_manuales!$H$44="Todos",'Plan mensual'!I28,0))+parametros_manuales!$E$44*('Plan mensual'!I25+IF(parametros_manuales!$H$44="Todos",'Plan mensual'!I29,0))+parametros_manuales!$F$44*('Plan mensual'!I26+IF(parametros_manuales!$H$44="Todos",'Plan mensual'!I30,0))+parametros_manuales!$G$44*('Plan mensual'!I27+IF(parametros_manuales!$H$44="Todos",'Plan mensual'!I31,0)))*parametros_manuales!$I$44*parametros_manuales!$J$44</f>
        <v>1644.02117519</v>
      </c>
      <c r="H83" s="14" t="n">
        <f aca="false">(parametros_manuales!$D$44*('Plan mensual'!J24+IF(parametros_manuales!$H$44="Todos",'Plan mensual'!J28,0))+parametros_manuales!$E$44*('Plan mensual'!J25+IF(parametros_manuales!$H$44="Todos",'Plan mensual'!J29,0))+parametros_manuales!$F$44*('Plan mensual'!J26+IF(parametros_manuales!$H$44="Todos",'Plan mensual'!J30,0))+parametros_manuales!$G$44*('Plan mensual'!J27+IF(parametros_manuales!$H$44="Todos",'Plan mensual'!J31,0)))*parametros_manuales!$I$44*parametros_manuales!$J$44</f>
        <v>1758.460636122</v>
      </c>
      <c r="I83" s="14" t="n">
        <f aca="false">(parametros_manuales!$D$44*('Plan mensual'!K24+IF(parametros_manuales!$H$44="Todos",'Plan mensual'!K28,0))+parametros_manuales!$E$44*('Plan mensual'!K25+IF(parametros_manuales!$H$44="Todos",'Plan mensual'!K29,0))+parametros_manuales!$F$44*('Plan mensual'!K26+IF(parametros_manuales!$H$44="Todos",'Plan mensual'!K30,0))+parametros_manuales!$G$44*('Plan mensual'!K27+IF(parametros_manuales!$H$44="Todos",'Plan mensual'!K31,0)))*parametros_manuales!$I$44*parametros_manuales!$J$44</f>
        <v>1758.460636122</v>
      </c>
      <c r="J83" s="14" t="n">
        <f aca="false">(parametros_manuales!$D$44*('Plan mensual'!L24+IF(parametros_manuales!$H$44="Todos",'Plan mensual'!L28,0))+parametros_manuales!$E$44*('Plan mensual'!L25+IF(parametros_manuales!$H$44="Todos",'Plan mensual'!L29,0))+parametros_manuales!$F$44*('Plan mensual'!L26+IF(parametros_manuales!$H$44="Todos",'Plan mensual'!L30,0))+parametros_manuales!$G$44*('Plan mensual'!L27+IF(parametros_manuales!$H$44="Todos",'Plan mensual'!L31,0)))*parametros_manuales!$I$44*parametros_manuales!$J$44</f>
        <v>1758.460636122</v>
      </c>
      <c r="K83" s="14" t="n">
        <f aca="false">(parametros_manuales!$D$44*('Plan mensual'!M24+IF(parametros_manuales!$H$44="Todos",'Plan mensual'!M28,0))+parametros_manuales!$E$44*('Plan mensual'!M25+IF(parametros_manuales!$H$44="Todos",'Plan mensual'!M29,0))+parametros_manuales!$F$44*('Plan mensual'!M26+IF(parametros_manuales!$H$44="Todos",'Plan mensual'!M30,0))+parametros_manuales!$G$44*('Plan mensual'!M27+IF(parametros_manuales!$H$44="Todos",'Plan mensual'!M31,0)))*parametros_manuales!$I$44*parametros_manuales!$J$44</f>
        <v>1716.59191398</v>
      </c>
      <c r="L83" s="14" t="n">
        <f aca="false">(parametros_manuales!$D$44*('Plan mensual'!N24+IF(parametros_manuales!$H$44="Todos",'Plan mensual'!N28,0))+parametros_manuales!$E$44*('Plan mensual'!N25+IF(parametros_manuales!$H$44="Todos",'Plan mensual'!N29,0))+parametros_manuales!$F$44*('Plan mensual'!N26+IF(parametros_manuales!$H$44="Todos",'Plan mensual'!N30,0))+parametros_manuales!$G$44*('Plan mensual'!N27+IF(parametros_manuales!$H$44="Todos",'Plan mensual'!N31,0)))*parametros_manuales!$I$44*parametros_manuales!$J$44</f>
        <v>1674.723191838</v>
      </c>
      <c r="M83" s="14" t="n">
        <f aca="false">(parametros_manuales!$D$44*('Plan mensual'!O24+IF(parametros_manuales!$H$44="Todos",'Plan mensual'!O28,0))+parametros_manuales!$E$44*('Plan mensual'!O25+IF(parametros_manuales!$H$44="Todos",'Plan mensual'!O29,0))+parametros_manuales!$F$44*('Plan mensual'!O26+IF(parametros_manuales!$H$44="Todos",'Plan mensual'!O30,0))+parametros_manuales!$G$44*('Plan mensual'!O27+IF(parametros_manuales!$H$44="Todos",'Plan mensual'!O31,0)))*parametros_manuales!$I$44*parametros_manuales!$J$44</f>
        <v>2662.809618084</v>
      </c>
      <c r="N83" s="14" t="n">
        <f aca="false">SUM(B83:M83)</f>
        <v>22887.8921864</v>
      </c>
      <c r="O83" s="14" t="n">
        <f aca="false">MAX(B83:M83)</f>
        <v>2662.809618084</v>
      </c>
      <c r="P83" s="57" t="n">
        <f aca="false">O83/(parametros_manuales!$B$7)</f>
        <v>17.75206412056</v>
      </c>
      <c r="Q83" s="13" t="str">
        <f aca="false">IF(O83=0,"-",INDEX($B$57:$M$57,MATCH(O83,B83:M83,0)))</f>
        <v>Dic</v>
      </c>
    </row>
    <row r="84" customFormat="false" ht="14.25" hidden="false" customHeight="true" outlineLevel="0" collapsed="false"/>
    <row r="85" customFormat="false" ht="14.25" hidden="false" customHeight="true" outlineLevel="0" collapsed="false">
      <c r="A85" s="12" t="s">
        <v>271</v>
      </c>
      <c r="B85" s="12" t="s">
        <v>37</v>
      </c>
      <c r="C85" s="12" t="s">
        <v>38</v>
      </c>
      <c r="D85" s="12" t="s">
        <v>39</v>
      </c>
      <c r="E85" s="12" t="s">
        <v>40</v>
      </c>
      <c r="F85" s="12" t="s">
        <v>41</v>
      </c>
      <c r="G85" s="12" t="s">
        <v>42</v>
      </c>
      <c r="H85" s="12" t="s">
        <v>43</v>
      </c>
      <c r="I85" s="12" t="s">
        <v>44</v>
      </c>
      <c r="J85" s="12" t="s">
        <v>45</v>
      </c>
      <c r="K85" s="12" t="s">
        <v>46</v>
      </c>
      <c r="L85" s="12" t="s">
        <v>47</v>
      </c>
      <c r="M85" s="12" t="s">
        <v>48</v>
      </c>
      <c r="N85" s="12" t="s">
        <v>261</v>
      </c>
      <c r="O85" s="12" t="s">
        <v>266</v>
      </c>
      <c r="P85" s="12" t="s">
        <v>267</v>
      </c>
      <c r="Q85" s="12" t="s">
        <v>268</v>
      </c>
    </row>
    <row r="86" customFormat="false" ht="14.25" hidden="false" customHeight="true" outlineLevel="0" collapsed="false">
      <c r="A86" s="13" t="str">
        <f aca="false">parametros_manuales!$B$19</f>
        <v>Recepción de materia prima</v>
      </c>
      <c r="B86" s="14" t="n">
        <f aca="false">(parametros_manuales!$D$19*('Plan mensual'!D35+IF(parametros_manuales!$H$19="Todos",'Plan mensual'!D39,0))+parametros_manuales!$E$19*('Plan mensual'!D36+IF(parametros_manuales!$H$19="Todos",'Plan mensual'!D40,0))+parametros_manuales!$F$19*('Plan mensual'!D37+IF(parametros_manuales!$H$19="Todos",'Plan mensual'!D41,0))+parametros_manuales!$G$19*('Plan mensual'!D38+IF(parametros_manuales!$H$19="Todos",'Plan mensual'!D42,0)))*parametros_manuales!$I$19*parametros_manuales!$J$19</f>
        <v>5766.73366399</v>
      </c>
      <c r="C86" s="14" t="n">
        <f aca="false">(parametros_manuales!$D$19*('Plan mensual'!E35+IF(parametros_manuales!$H$19="Todos",'Plan mensual'!E39,0))+parametros_manuales!$E$19*('Plan mensual'!E36+IF(parametros_manuales!$H$19="Todos",'Plan mensual'!E40,0))+parametros_manuales!$F$19*('Plan mensual'!E37+IF(parametros_manuales!$H$19="Todos",'Plan mensual'!E41,0))+parametros_manuales!$G$19*('Plan mensual'!E38+IF(parametros_manuales!$H$19="Todos",'Plan mensual'!E42,0)))*parametros_manuales!$I$19*parametros_manuales!$J$19</f>
        <v>4402.415317898</v>
      </c>
      <c r="D86" s="14" t="n">
        <f aca="false">(parametros_manuales!$D$19*('Plan mensual'!F35+IF(parametros_manuales!$H$19="Todos",'Plan mensual'!F39,0))+parametros_manuales!$E$19*('Plan mensual'!F36+IF(parametros_manuales!$H$19="Todos",'Plan mensual'!F40,0))+parametros_manuales!$F$19*('Plan mensual'!F37+IF(parametros_manuales!$H$19="Todos",'Plan mensual'!F41,0))+parametros_manuales!$G$19*('Plan mensual'!F38+IF(parametros_manuales!$H$19="Todos",'Plan mensual'!F42,0)))*parametros_manuales!$I$19*parametros_manuales!$J$19</f>
        <v>4128.1610323135</v>
      </c>
      <c r="E86" s="14" t="n">
        <f aca="false">(parametros_manuales!$D$19*('Plan mensual'!G35+IF(parametros_manuales!$H$19="Todos",'Plan mensual'!G39,0))+parametros_manuales!$E$19*('Plan mensual'!G36+IF(parametros_manuales!$H$19="Todos",'Plan mensual'!G40,0))+parametros_manuales!$F$19*('Plan mensual'!G37+IF(parametros_manuales!$H$19="Todos",'Plan mensual'!G41,0))+parametros_manuales!$G$19*('Plan mensual'!G38+IF(parametros_manuales!$H$19="Todos",'Plan mensual'!G42,0)))*parametros_manuales!$I$19*parametros_manuales!$J$19</f>
        <v>3952.3513545685</v>
      </c>
      <c r="F86" s="14" t="n">
        <f aca="false">(parametros_manuales!$D$19*('Plan mensual'!H35+IF(parametros_manuales!$H$19="Todos",'Plan mensual'!H39,0))+parametros_manuales!$E$19*('Plan mensual'!H36+IF(parametros_manuales!$H$19="Todos",'Plan mensual'!H40,0))+parametros_manuales!$F$19*('Plan mensual'!H37+IF(parametros_manuales!$H$19="Todos",'Plan mensual'!H41,0))+parametros_manuales!$G$19*('Plan mensual'!H38+IF(parametros_manuales!$H$19="Todos",'Plan mensual'!H42,0)))*parametros_manuales!$I$19*parametros_manuales!$J$19</f>
        <v>3699.176606918</v>
      </c>
      <c r="G86" s="14" t="n">
        <f aca="false">(parametros_manuales!$D$19*('Plan mensual'!I35+IF(parametros_manuales!$H$19="Todos",'Plan mensual'!I39,0))+parametros_manuales!$E$19*('Plan mensual'!I36+IF(parametros_manuales!$H$19="Todos",'Plan mensual'!I40,0))+parametros_manuales!$F$19*('Plan mensual'!I37+IF(parametros_manuales!$H$19="Todos",'Plan mensual'!I41,0))+parametros_manuales!$G$19*('Plan mensual'!I38+IF(parametros_manuales!$H$19="Todos",'Plan mensual'!I42,0)))*parametros_manuales!$I$19*parametros_manuales!$J$19</f>
        <v>3621.8115370125</v>
      </c>
      <c r="H86" s="14" t="n">
        <f aca="false">(parametros_manuales!$D$19*('Plan mensual'!J35+IF(parametros_manuales!$H$19="Todos",'Plan mensual'!J39,0))+parametros_manuales!$E$19*('Plan mensual'!J36+IF(parametros_manuales!$H$19="Todos",'Plan mensual'!J40,0))+parametros_manuales!$F$19*('Plan mensual'!J37+IF(parametros_manuales!$H$19="Todos",'Plan mensual'!J41,0))+parametros_manuales!$G$19*('Plan mensual'!J38+IF(parametros_manuales!$H$19="Todos",'Plan mensual'!J42,0)))*parametros_manuales!$I$19*parametros_manuales!$J$19</f>
        <v>3874.986284663</v>
      </c>
      <c r="I86" s="14" t="n">
        <f aca="false">(parametros_manuales!$D$19*('Plan mensual'!K35+IF(parametros_manuales!$H$19="Todos",'Plan mensual'!K39,0))+parametros_manuales!$E$19*('Plan mensual'!K36+IF(parametros_manuales!$H$19="Todos",'Plan mensual'!K40,0))+parametros_manuales!$F$19*('Plan mensual'!K37+IF(parametros_manuales!$H$19="Todos",'Plan mensual'!K41,0))+parametros_manuales!$G$19*('Plan mensual'!K38+IF(parametros_manuales!$H$19="Todos",'Plan mensual'!K42,0)))*parametros_manuales!$I$19*parametros_manuales!$J$19</f>
        <v>3874.986284663</v>
      </c>
      <c r="J86" s="14" t="n">
        <f aca="false">(parametros_manuales!$D$19*('Plan mensual'!L35+IF(parametros_manuales!$H$19="Todos",'Plan mensual'!L39,0))+parametros_manuales!$E$19*('Plan mensual'!L36+IF(parametros_manuales!$H$19="Todos",'Plan mensual'!L40,0))+parametros_manuales!$F$19*('Plan mensual'!L37+IF(parametros_manuales!$H$19="Todos",'Plan mensual'!L41,0))+parametros_manuales!$G$19*('Plan mensual'!L38+IF(parametros_manuales!$H$19="Todos",'Plan mensual'!L42,0)))*parametros_manuales!$I$19*parametros_manuales!$J$19</f>
        <v>3874.986284663</v>
      </c>
      <c r="K86" s="14" t="n">
        <f aca="false">(parametros_manuales!$D$19*('Plan mensual'!M35+IF(parametros_manuales!$H$19="Todos",'Plan mensual'!M39,0))+parametros_manuales!$E$19*('Plan mensual'!M36+IF(parametros_manuales!$H$19="Todos",'Plan mensual'!M40,0))+parametros_manuales!$F$19*('Plan mensual'!M37+IF(parametros_manuales!$H$19="Todos",'Plan mensual'!M41,0))+parametros_manuales!$G$19*('Plan mensual'!M38+IF(parametros_manuales!$H$19="Todos",'Plan mensual'!M42,0)))*parametros_manuales!$I$19*parametros_manuales!$J$19</f>
        <v>3797.6212147575</v>
      </c>
      <c r="L86" s="14" t="n">
        <f aca="false">(parametros_manuales!$D$19*('Plan mensual'!N35+IF(parametros_manuales!$H$19="Todos",'Plan mensual'!N39,0))+parametros_manuales!$E$19*('Plan mensual'!N36+IF(parametros_manuales!$H$19="Todos",'Plan mensual'!N40,0))+parametros_manuales!$F$19*('Plan mensual'!N37+IF(parametros_manuales!$H$19="Todos",'Plan mensual'!N41,0))+parametros_manuales!$G$19*('Plan mensual'!N38+IF(parametros_manuales!$H$19="Todos",'Plan mensual'!N42,0)))*parametros_manuales!$I$19*parametros_manuales!$J$19</f>
        <v>3720.256144852</v>
      </c>
      <c r="M86" s="14" t="n">
        <f aca="false">(parametros_manuales!$D$19*('Plan mensual'!O35+IF(parametros_manuales!$H$19="Todos",'Plan mensual'!O39,0))+parametros_manuales!$E$19*('Plan mensual'!O36+IF(parametros_manuales!$H$19="Todos",'Plan mensual'!O40,0))+parametros_manuales!$F$19*('Plan mensual'!O37+IF(parametros_manuales!$H$19="Todos",'Plan mensual'!O41,0))+parametros_manuales!$G$19*('Plan mensual'!O38+IF(parametros_manuales!$H$19="Todos",'Plan mensual'!O42,0)))*parametros_manuales!$I$19*parametros_manuales!$J$19</f>
        <v>5921.463803801</v>
      </c>
      <c r="N86" s="14" t="n">
        <f aca="false">SUM(B86:M86)</f>
        <v>50634.9495301</v>
      </c>
      <c r="O86" s="14" t="n">
        <f aca="false">MAX(B86:M86)</f>
        <v>5921.463803801</v>
      </c>
      <c r="P86" s="57" t="n">
        <f aca="false">O86/(parametros_manuales!$B$7)</f>
        <v>39.4764253586733</v>
      </c>
      <c r="Q86" s="13" t="str">
        <f aca="false">IF(O86=0,"-",INDEX($B$85:$M$85,MATCH(O86,B86:M86,0)))</f>
        <v>Dic</v>
      </c>
    </row>
    <row r="87" customFormat="false" ht="14.25" hidden="false" customHeight="true" outlineLevel="0" collapsed="false">
      <c r="A87" s="13" t="str">
        <f aca="false">parametros_manuales!$B$20</f>
        <v>Corte de chapa — 1.er corte en franjas (guillotina 1, manuales + carros)</v>
      </c>
      <c r="B87" s="14" t="n">
        <f aca="false">(parametros_manuales!$D$20*('Plan mensual'!D35+IF(parametros_manuales!$H$20="Todos",'Plan mensual'!D39,0))+parametros_manuales!$E$20*('Plan mensual'!D36+IF(parametros_manuales!$H$20="Todos",'Plan mensual'!D40,0))+parametros_manuales!$F$20*('Plan mensual'!D37+IF(parametros_manuales!$H$20="Todos",'Plan mensual'!D41,0))+parametros_manuales!$G$20*('Plan mensual'!D38+IF(parametros_manuales!$H$20="Todos",'Plan mensual'!D42,0)))*parametros_manuales!$I$20*parametros_manuales!$J$20+parametros_manuales!$B$151</f>
        <v>6146.33215433961</v>
      </c>
      <c r="C87" s="14" t="n">
        <f aca="false">(parametros_manuales!$D$20*('Plan mensual'!E35+IF(parametros_manuales!$H$20="Todos",'Plan mensual'!E39,0))+parametros_manuales!$E$20*('Plan mensual'!E36+IF(parametros_manuales!$H$20="Todos",'Plan mensual'!E40,0))+parametros_manuales!$F$20*('Plan mensual'!E37+IF(parametros_manuales!$H$20="Todos",'Plan mensual'!E41,0))+parametros_manuales!$G$20*('Plan mensual'!E38+IF(parametros_manuales!$H$20="Todos",'Plan mensual'!E42,0)))*parametros_manuales!$I$20*parametros_manuales!$J$20+parametros_manuales!$C$151</f>
        <v>4737.35516232413</v>
      </c>
      <c r="D87" s="14" t="n">
        <f aca="false">(parametros_manuales!$D$20*('Plan mensual'!F35+IF(parametros_manuales!$H$20="Todos",'Plan mensual'!F39,0))+parametros_manuales!$E$20*('Plan mensual'!F36+IF(parametros_manuales!$H$20="Todos",'Plan mensual'!F40,0))+parametros_manuales!$F$20*('Plan mensual'!F37+IF(parametros_manuales!$H$20="Todos",'Plan mensual'!F41,0))+parametros_manuales!$G$20*('Plan mensual'!F38+IF(parametros_manuales!$H$20="Todos",'Plan mensual'!F42,0)))*parametros_manuales!$I$20*parametros_manuales!$J$20+parametros_manuales!$D$151</f>
        <v>4530.08884562485</v>
      </c>
      <c r="E87" s="14" t="n">
        <f aca="false">(parametros_manuales!$D$20*('Plan mensual'!G35+IF(parametros_manuales!$H$20="Todos",'Plan mensual'!G39,0))+parametros_manuales!$E$20*('Plan mensual'!G36+IF(parametros_manuales!$H$20="Todos",'Plan mensual'!G40,0))+parametros_manuales!$F$20*('Plan mensual'!G37+IF(parametros_manuales!$H$20="Todos",'Plan mensual'!G41,0))+parametros_manuales!$G$20*('Plan mensual'!G38+IF(parametros_manuales!$H$20="Todos",'Plan mensual'!G42,0)))*parametros_manuales!$I$20*parametros_manuales!$J$20+parametros_manuales!$E$151</f>
        <v>4354.27916787985</v>
      </c>
      <c r="F87" s="14" t="n">
        <f aca="false">(parametros_manuales!$D$20*('Plan mensual'!H35+IF(parametros_manuales!$H$20="Todos",'Plan mensual'!H39,0))+parametros_manuales!$E$20*('Plan mensual'!H36+IF(parametros_manuales!$H$20="Todos",'Plan mensual'!H40,0))+parametros_manuales!$F$20*('Plan mensual'!H37+IF(parametros_manuales!$H$20="Todos",'Plan mensual'!H41,0))+parametros_manuales!$G$20*('Plan mensual'!H38+IF(parametros_manuales!$H$20="Todos",'Plan mensual'!H42,0)))*parametros_manuales!$I$20*parametros_manuales!$J$20+parametros_manuales!$F$151</f>
        <v>4101.10442022935</v>
      </c>
      <c r="G87" s="14" t="n">
        <f aca="false">(parametros_manuales!$D$20*('Plan mensual'!I35+IF(parametros_manuales!$H$20="Todos",'Plan mensual'!I39,0))+parametros_manuales!$E$20*('Plan mensual'!I36+IF(parametros_manuales!$H$20="Todos",'Plan mensual'!I40,0))+parametros_manuales!$F$20*('Plan mensual'!I37+IF(parametros_manuales!$H$20="Todos",'Plan mensual'!I41,0))+parametros_manuales!$G$20*('Plan mensual'!I38+IF(parametros_manuales!$H$20="Todos",'Plan mensual'!I42,0)))*parametros_manuales!$I$20*parametros_manuales!$J$20+parametros_manuales!$G$151</f>
        <v>3979.08070440037</v>
      </c>
      <c r="H87" s="14" t="n">
        <f aca="false">(parametros_manuales!$D$20*('Plan mensual'!J35+IF(parametros_manuales!$H$20="Todos",'Plan mensual'!J39,0))+parametros_manuales!$E$20*('Plan mensual'!J36+IF(parametros_manuales!$H$20="Todos",'Plan mensual'!J40,0))+parametros_manuales!$F$20*('Plan mensual'!J37+IF(parametros_manuales!$H$20="Todos",'Plan mensual'!J41,0))+parametros_manuales!$G$20*('Plan mensual'!J38+IF(parametros_manuales!$H$20="Todos",'Plan mensual'!J42,0)))*parametros_manuales!$I$20*parametros_manuales!$J$20+parametros_manuales!$H$151</f>
        <v>4276.91409797435</v>
      </c>
      <c r="I87" s="14" t="n">
        <f aca="false">(parametros_manuales!$D$20*('Plan mensual'!K35+IF(parametros_manuales!$H$20="Todos",'Plan mensual'!K39,0))+parametros_manuales!$E$20*('Plan mensual'!K36+IF(parametros_manuales!$H$20="Todos",'Plan mensual'!K40,0))+parametros_manuales!$F$20*('Plan mensual'!K37+IF(parametros_manuales!$H$20="Todos",'Plan mensual'!K41,0))+parametros_manuales!$G$20*('Plan mensual'!K38+IF(parametros_manuales!$H$20="Todos",'Plan mensual'!K42,0)))*parametros_manuales!$I$20*parametros_manuales!$J$20+parametros_manuales!$I$151</f>
        <v>4276.91409797435</v>
      </c>
      <c r="J87" s="14" t="n">
        <f aca="false">(parametros_manuales!$D$20*('Plan mensual'!L35+IF(parametros_manuales!$H$20="Todos",'Plan mensual'!L39,0))+parametros_manuales!$E$20*('Plan mensual'!L36+IF(parametros_manuales!$H$20="Todos",'Plan mensual'!L40,0))+parametros_manuales!$F$20*('Plan mensual'!L37+IF(parametros_manuales!$H$20="Todos",'Plan mensual'!L41,0))+parametros_manuales!$G$20*('Plan mensual'!L38+IF(parametros_manuales!$H$20="Todos",'Plan mensual'!L42,0)))*parametros_manuales!$I$20*parametros_manuales!$J$20+parametros_manuales!$J$151</f>
        <v>4254.58477501261</v>
      </c>
      <c r="K87" s="14" t="n">
        <f aca="false">(parametros_manuales!$D$20*('Plan mensual'!M35+IF(parametros_manuales!$H$20="Todos",'Plan mensual'!M39,0))+parametros_manuales!$E$20*('Plan mensual'!M36+IF(parametros_manuales!$H$20="Todos",'Plan mensual'!M40,0))+parametros_manuales!$F$20*('Plan mensual'!M37+IF(parametros_manuales!$H$20="Todos",'Plan mensual'!M41,0))+parametros_manuales!$G$20*('Plan mensual'!M38+IF(parametros_manuales!$H$20="Todos",'Plan mensual'!M42,0)))*parametros_manuales!$I$20*parametros_manuales!$J$20+parametros_manuales!$K$151</f>
        <v>4132.56105918363</v>
      </c>
      <c r="L87" s="14" t="n">
        <f aca="false">(parametros_manuales!$D$20*('Plan mensual'!N35+IF(parametros_manuales!$H$20="Todos",'Plan mensual'!N39,0))+parametros_manuales!$E$20*('Plan mensual'!N36+IF(parametros_manuales!$H$20="Todos",'Plan mensual'!N40,0))+parametros_manuales!$F$20*('Plan mensual'!N37+IF(parametros_manuales!$H$20="Todos",'Plan mensual'!N41,0))+parametros_manuales!$G$20*('Plan mensual'!N38+IF(parametros_manuales!$H$20="Todos",'Plan mensual'!N42,0)))*parametros_manuales!$I$20*parametros_manuales!$J$20+parametros_manuales!$L$151</f>
        <v>4032.86666631639</v>
      </c>
      <c r="M87" s="14" t="n">
        <f aca="false">(parametros_manuales!$D$20*('Plan mensual'!O35+IF(parametros_manuales!$H$20="Todos",'Plan mensual'!O39,0))+parametros_manuales!$E$20*('Plan mensual'!O36+IF(parametros_manuales!$H$20="Todos",'Plan mensual'!O40,0))+parametros_manuales!$F$20*('Plan mensual'!O37+IF(parametros_manuales!$H$20="Todos",'Plan mensual'!O41,0))+parametros_manuales!$G$20*('Plan mensual'!O38+IF(parametros_manuales!$H$20="Todos",'Plan mensual'!O42,0)))*parametros_manuales!$I$20*parametros_manuales!$J$20+parametros_manuales!$M$151</f>
        <v>6278.73297118887</v>
      </c>
      <c r="N87" s="14" t="n">
        <f aca="false">SUM(B87:M87)</f>
        <v>55100.8141224484</v>
      </c>
      <c r="O87" s="14" t="n">
        <f aca="false">MAX(B87:M87)</f>
        <v>6278.73297118887</v>
      </c>
      <c r="P87" s="57" t="n">
        <f aca="false">O87/(parametros_manuales!$B$7)</f>
        <v>41.8582198079258</v>
      </c>
      <c r="Q87" s="13" t="str">
        <f aca="false">IF(O87=0,"-",INDEX($B$85:$M$85,MATCH(O87,B87:M87,0)))</f>
        <v>Dic</v>
      </c>
    </row>
    <row r="88" customFormat="false" ht="14.25" hidden="false" customHeight="true" outlineLevel="0" collapsed="false">
      <c r="A88" s="13" t="str">
        <f aca="false">parametros_manuales!$B$21</f>
        <v>Corte de chapa — 2.º corte en piezas (guillotina 2, manuales + carros)</v>
      </c>
      <c r="B88" s="14" t="n">
        <f aca="false">(parametros_manuales!$D$21*('Plan mensual'!D35+IF(parametros_manuales!$H$21="Todos",'Plan mensual'!D39,0))+parametros_manuales!$E$21*('Plan mensual'!D36+IF(parametros_manuales!$H$21="Todos",'Plan mensual'!D40,0))+parametros_manuales!$F$21*('Plan mensual'!D37+IF(parametros_manuales!$H$21="Todos",'Plan mensual'!D41,0))+parametros_manuales!$G$21*('Plan mensual'!D38+IF(parametros_manuales!$H$21="Todos",'Plan mensual'!D42,0)))*parametros_manuales!$I$21*parametros_manuales!$J$21+parametros_manuales!$B$163</f>
        <v>6259.74619868623</v>
      </c>
      <c r="C88" s="14" t="n">
        <f aca="false">(parametros_manuales!$D$21*('Plan mensual'!E35+IF(parametros_manuales!$H$21="Todos",'Plan mensual'!E39,0))+parametros_manuales!$E$21*('Plan mensual'!E36+IF(parametros_manuales!$H$21="Todos",'Plan mensual'!E40,0))+parametros_manuales!$F$21*('Plan mensual'!E37+IF(parametros_manuales!$H$21="Todos",'Plan mensual'!E41,0))+parametros_manuales!$G$21*('Plan mensual'!E38+IF(parametros_manuales!$H$21="Todos",'Plan mensual'!E42,0)))*parametros_manuales!$I$21*parametros_manuales!$J$21+parametros_manuales!$C$163</f>
        <v>4837.42637792408</v>
      </c>
      <c r="D88" s="14" t="n">
        <f aca="false">(parametros_manuales!$D$21*('Plan mensual'!F35+IF(parametros_manuales!$H$21="Todos",'Plan mensual'!F39,0))+parametros_manuales!$E$21*('Plan mensual'!F36+IF(parametros_manuales!$H$21="Todos",'Plan mensual'!F40,0))+parametros_manuales!$F$21*('Plan mensual'!F37+IF(parametros_manuales!$H$21="Todos",'Plan mensual'!F41,0))+parametros_manuales!$G$21*('Plan mensual'!F38+IF(parametros_manuales!$H$21="Todos",'Plan mensual'!F42,0)))*parametros_manuales!$I$21*parametros_manuales!$J$21+parametros_manuales!$D$163</f>
        <v>4650.1743043448</v>
      </c>
      <c r="E88" s="14" t="n">
        <f aca="false">(parametros_manuales!$D$21*('Plan mensual'!G35+IF(parametros_manuales!$H$21="Todos",'Plan mensual'!G39,0))+parametros_manuales!$E$21*('Plan mensual'!G36+IF(parametros_manuales!$H$21="Todos",'Plan mensual'!G40,0))+parametros_manuales!$F$21*('Plan mensual'!G37+IF(parametros_manuales!$H$21="Todos",'Plan mensual'!G41,0))+parametros_manuales!$G$21*('Plan mensual'!G38+IF(parametros_manuales!$H$21="Todos",'Plan mensual'!G42,0)))*parametros_manuales!$I$21*parametros_manuales!$J$21+parametros_manuales!$E$163</f>
        <v>4474.3646265998</v>
      </c>
      <c r="F88" s="14" t="n">
        <f aca="false">(parametros_manuales!$D$21*('Plan mensual'!H35+IF(parametros_manuales!$H$21="Todos",'Plan mensual'!H39,0))+parametros_manuales!$E$21*('Plan mensual'!H36+IF(parametros_manuales!$H$21="Todos",'Plan mensual'!H40,0))+parametros_manuales!$F$21*('Plan mensual'!H37+IF(parametros_manuales!$H$21="Todos",'Plan mensual'!H41,0))+parametros_manuales!$G$21*('Plan mensual'!H38+IF(parametros_manuales!$H$21="Todos",'Plan mensual'!H42,0)))*parametros_manuales!$I$21*parametros_manuales!$J$21+parametros_manuales!$F$163</f>
        <v>4221.1898789493</v>
      </c>
      <c r="G88" s="14" t="n">
        <f aca="false">(parametros_manuales!$D$21*('Plan mensual'!I35+IF(parametros_manuales!$H$21="Todos",'Plan mensual'!I39,0))+parametros_manuales!$E$21*('Plan mensual'!I36+IF(parametros_manuales!$H$21="Todos",'Plan mensual'!I40,0))+parametros_manuales!$F$21*('Plan mensual'!I37+IF(parametros_manuales!$H$21="Todos",'Plan mensual'!I41,0))+parametros_manuales!$G$21*('Plan mensual'!I38+IF(parametros_manuales!$H$21="Todos",'Plan mensual'!I42,0)))*parametros_manuales!$I$21*parametros_manuales!$J$21+parametros_manuales!$G$163</f>
        <v>4085.82333437366</v>
      </c>
      <c r="H88" s="14" t="n">
        <f aca="false">(parametros_manuales!$D$21*('Plan mensual'!J35+IF(parametros_manuales!$H$21="Todos",'Plan mensual'!J39,0))+parametros_manuales!$E$21*('Plan mensual'!J36+IF(parametros_manuales!$H$21="Todos",'Plan mensual'!J40,0))+parametros_manuales!$F$21*('Plan mensual'!J37+IF(parametros_manuales!$H$21="Todos",'Plan mensual'!J41,0))+parametros_manuales!$G$21*('Plan mensual'!J38+IF(parametros_manuales!$H$21="Todos",'Plan mensual'!J42,0)))*parametros_manuales!$I$21*parametros_manuales!$J$21+parametros_manuales!$H$163</f>
        <v>4396.9995566943</v>
      </c>
      <c r="I88" s="14" t="n">
        <f aca="false">(parametros_manuales!$D$21*('Plan mensual'!K35+IF(parametros_manuales!$H$21="Todos",'Plan mensual'!K39,0))+parametros_manuales!$E$21*('Plan mensual'!K36+IF(parametros_manuales!$H$21="Todos",'Plan mensual'!K40,0))+parametros_manuales!$F$21*('Plan mensual'!K37+IF(parametros_manuales!$H$21="Todos",'Plan mensual'!K41,0))+parametros_manuales!$G$21*('Plan mensual'!K38+IF(parametros_manuales!$H$21="Todos",'Plan mensual'!K42,0)))*parametros_manuales!$I$21*parametros_manuales!$J$21+parametros_manuales!$I$163</f>
        <v>4396.9995566943</v>
      </c>
      <c r="J88" s="14" t="n">
        <f aca="false">(parametros_manuales!$D$21*('Plan mensual'!L35+IF(parametros_manuales!$H$21="Todos",'Plan mensual'!L39,0))+parametros_manuales!$E$21*('Plan mensual'!L36+IF(parametros_manuales!$H$21="Todos",'Plan mensual'!L40,0))+parametros_manuales!$F$21*('Plan mensual'!L37+IF(parametros_manuales!$H$21="Todos",'Plan mensual'!L41,0))+parametros_manuales!$G$21*('Plan mensual'!L38+IF(parametros_manuales!$H$21="Todos",'Plan mensual'!L42,0)))*parametros_manuales!$I$21*parametros_manuales!$J$21+parametros_manuales!$J$163</f>
        <v>4367.99881935923</v>
      </c>
      <c r="K88" s="14" t="n">
        <f aca="false">(parametros_manuales!$D$21*('Plan mensual'!M35+IF(parametros_manuales!$H$21="Todos",'Plan mensual'!M39,0))+parametros_manuales!$E$21*('Plan mensual'!M36+IF(parametros_manuales!$H$21="Todos",'Plan mensual'!M40,0))+parametros_manuales!$F$21*('Plan mensual'!M37+IF(parametros_manuales!$H$21="Todos",'Plan mensual'!M41,0))+parametros_manuales!$G$21*('Plan mensual'!M38+IF(parametros_manuales!$H$21="Todos",'Plan mensual'!M42,0)))*parametros_manuales!$I$21*parametros_manuales!$J$21+parametros_manuales!$K$163</f>
        <v>4232.63227478358</v>
      </c>
      <c r="L88" s="14" t="n">
        <f aca="false">(parametros_manuales!$D$21*('Plan mensual'!N35+IF(parametros_manuales!$H$21="Todos",'Plan mensual'!N39,0))+parametros_manuales!$E$21*('Plan mensual'!N36+IF(parametros_manuales!$H$21="Todos",'Plan mensual'!N40,0))+parametros_manuales!$F$21*('Plan mensual'!N37+IF(parametros_manuales!$H$21="Todos",'Plan mensual'!N41,0))+parametros_manuales!$G$21*('Plan mensual'!N38+IF(parametros_manuales!$H$21="Todos",'Plan mensual'!N42,0)))*parametros_manuales!$I$21*parametros_manuales!$J$21+parametros_manuales!$L$163</f>
        <v>4126.26646754301</v>
      </c>
      <c r="M88" s="14" t="n">
        <f aca="false">(parametros_manuales!$D$21*('Plan mensual'!O35+IF(parametros_manuales!$H$21="Todos",'Plan mensual'!O39,0))+parametros_manuales!$E$21*('Plan mensual'!O36+IF(parametros_manuales!$H$21="Todos",'Plan mensual'!O40,0))+parametros_manuales!$F$21*('Plan mensual'!O37+IF(parametros_manuales!$H$21="Todos",'Plan mensual'!O41,0))+parametros_manuales!$G$21*('Plan mensual'!O38+IF(parametros_manuales!$H$21="Todos",'Plan mensual'!O42,0)))*parametros_manuales!$I$21*parametros_manuales!$J$21+parametros_manuales!$M$163</f>
        <v>6385.47560116215</v>
      </c>
      <c r="N88" s="14" t="n">
        <f aca="false">SUM(B88:M88)</f>
        <v>56435.0969971144</v>
      </c>
      <c r="O88" s="14" t="n">
        <f aca="false">MAX(B88:M88)</f>
        <v>6385.47560116215</v>
      </c>
      <c r="P88" s="57" t="n">
        <f aca="false">O88/(parametros_manuales!$B$7)</f>
        <v>42.569837341081</v>
      </c>
      <c r="Q88" s="13" t="str">
        <f aca="false">IF(O88=0,"-",INDEX($B$85:$M$85,MATCH(O88,B88:M88,0)))</f>
        <v>Dic</v>
      </c>
    </row>
    <row r="89" customFormat="false" ht="14.25" hidden="false" customHeight="true" outlineLevel="0" collapsed="false">
      <c r="A89" s="13" t="str">
        <f aca="false">parametros_manuales!$B$22</f>
        <v>Corte de disco y embutido (cúpula y fondo)</v>
      </c>
      <c r="B89" s="14" t="n">
        <f aca="false">(parametros_manuales!$D$22*('Plan mensual'!D35+IF(parametros_manuales!$H$22="Todos",'Plan mensual'!D39,0))+parametros_manuales!$E$22*('Plan mensual'!D36+IF(parametros_manuales!$H$22="Todos",'Plan mensual'!D40,0))+parametros_manuales!$F$22*('Plan mensual'!D37+IF(parametros_manuales!$H$22="Todos",'Plan mensual'!D41,0))+parametros_manuales!$G$22*('Plan mensual'!D38+IF(parametros_manuales!$H$22="Todos",'Plan mensual'!D42,0)))*parametros_manuales!$I$22*parametros_manuales!$J$22</f>
        <v>11533.46732798</v>
      </c>
      <c r="C89" s="14" t="n">
        <f aca="false">(parametros_manuales!$D$22*('Plan mensual'!E35+IF(parametros_manuales!$H$22="Todos",'Plan mensual'!E39,0))+parametros_manuales!$E$22*('Plan mensual'!E36+IF(parametros_manuales!$H$22="Todos",'Plan mensual'!E40,0))+parametros_manuales!$F$22*('Plan mensual'!E37+IF(parametros_manuales!$H$22="Todos",'Plan mensual'!E41,0))+parametros_manuales!$G$22*('Plan mensual'!E38+IF(parametros_manuales!$H$22="Todos",'Plan mensual'!E42,0)))*parametros_manuales!$I$22*parametros_manuales!$J$22</f>
        <v>8804.830635796</v>
      </c>
      <c r="D89" s="14" t="n">
        <f aca="false">(parametros_manuales!$D$22*('Plan mensual'!F35+IF(parametros_manuales!$H$22="Todos",'Plan mensual'!F39,0))+parametros_manuales!$E$22*('Plan mensual'!F36+IF(parametros_manuales!$H$22="Todos",'Plan mensual'!F40,0))+parametros_manuales!$F$22*('Plan mensual'!F37+IF(parametros_manuales!$H$22="Todos",'Plan mensual'!F41,0))+parametros_manuales!$G$22*('Plan mensual'!F38+IF(parametros_manuales!$H$22="Todos",'Plan mensual'!F42,0)))*parametros_manuales!$I$22*parametros_manuales!$J$22</f>
        <v>8256.322064627</v>
      </c>
      <c r="E89" s="14" t="n">
        <f aca="false">(parametros_manuales!$D$22*('Plan mensual'!G35+IF(parametros_manuales!$H$22="Todos",'Plan mensual'!G39,0))+parametros_manuales!$E$22*('Plan mensual'!G36+IF(parametros_manuales!$H$22="Todos",'Plan mensual'!G40,0))+parametros_manuales!$F$22*('Plan mensual'!G37+IF(parametros_manuales!$H$22="Todos",'Plan mensual'!G41,0))+parametros_manuales!$G$22*('Plan mensual'!G38+IF(parametros_manuales!$H$22="Todos",'Plan mensual'!G42,0)))*parametros_manuales!$I$22*parametros_manuales!$J$22</f>
        <v>7904.702709137</v>
      </c>
      <c r="F89" s="14" t="n">
        <f aca="false">(parametros_manuales!$D$22*('Plan mensual'!H35+IF(parametros_manuales!$H$22="Todos",'Plan mensual'!H39,0))+parametros_manuales!$E$22*('Plan mensual'!H36+IF(parametros_manuales!$H$22="Todos",'Plan mensual'!H40,0))+parametros_manuales!$F$22*('Plan mensual'!H37+IF(parametros_manuales!$H$22="Todos",'Plan mensual'!H41,0))+parametros_manuales!$G$22*('Plan mensual'!H38+IF(parametros_manuales!$H$22="Todos",'Plan mensual'!H42,0)))*parametros_manuales!$I$22*parametros_manuales!$J$22</f>
        <v>7398.353213836</v>
      </c>
      <c r="G89" s="14" t="n">
        <f aca="false">(parametros_manuales!$D$22*('Plan mensual'!I35+IF(parametros_manuales!$H$22="Todos",'Plan mensual'!I39,0))+parametros_manuales!$E$22*('Plan mensual'!I36+IF(parametros_manuales!$H$22="Todos",'Plan mensual'!I40,0))+parametros_manuales!$F$22*('Plan mensual'!I37+IF(parametros_manuales!$H$22="Todos",'Plan mensual'!I41,0))+parametros_manuales!$G$22*('Plan mensual'!I38+IF(parametros_manuales!$H$22="Todos",'Plan mensual'!I42,0)))*parametros_manuales!$I$22*parametros_manuales!$J$22</f>
        <v>7243.623074025</v>
      </c>
      <c r="H89" s="14" t="n">
        <f aca="false">(parametros_manuales!$D$22*('Plan mensual'!J35+IF(parametros_manuales!$H$22="Todos",'Plan mensual'!J39,0))+parametros_manuales!$E$22*('Plan mensual'!J36+IF(parametros_manuales!$H$22="Todos",'Plan mensual'!J40,0))+parametros_manuales!$F$22*('Plan mensual'!J37+IF(parametros_manuales!$H$22="Todos",'Plan mensual'!J41,0))+parametros_manuales!$G$22*('Plan mensual'!J38+IF(parametros_manuales!$H$22="Todos",'Plan mensual'!J42,0)))*parametros_manuales!$I$22*parametros_manuales!$J$22</f>
        <v>7749.972569326</v>
      </c>
      <c r="I89" s="14" t="n">
        <f aca="false">(parametros_manuales!$D$22*('Plan mensual'!K35+IF(parametros_manuales!$H$22="Todos",'Plan mensual'!K39,0))+parametros_manuales!$E$22*('Plan mensual'!K36+IF(parametros_manuales!$H$22="Todos",'Plan mensual'!K40,0))+parametros_manuales!$F$22*('Plan mensual'!K37+IF(parametros_manuales!$H$22="Todos",'Plan mensual'!K41,0))+parametros_manuales!$G$22*('Plan mensual'!K38+IF(parametros_manuales!$H$22="Todos",'Plan mensual'!K42,0)))*parametros_manuales!$I$22*parametros_manuales!$J$22</f>
        <v>7749.972569326</v>
      </c>
      <c r="J89" s="14" t="n">
        <f aca="false">(parametros_manuales!$D$22*('Plan mensual'!L35+IF(parametros_manuales!$H$22="Todos",'Plan mensual'!L39,0))+parametros_manuales!$E$22*('Plan mensual'!L36+IF(parametros_manuales!$H$22="Todos",'Plan mensual'!L40,0))+parametros_manuales!$F$22*('Plan mensual'!L37+IF(parametros_manuales!$H$22="Todos",'Plan mensual'!L41,0))+parametros_manuales!$G$22*('Plan mensual'!L38+IF(parametros_manuales!$H$22="Todos",'Plan mensual'!L42,0)))*parametros_manuales!$I$22*parametros_manuales!$J$22</f>
        <v>7749.972569326</v>
      </c>
      <c r="K89" s="14" t="n">
        <f aca="false">(parametros_manuales!$D$22*('Plan mensual'!M35+IF(parametros_manuales!$H$22="Todos",'Plan mensual'!M39,0))+parametros_manuales!$E$22*('Plan mensual'!M36+IF(parametros_manuales!$H$22="Todos",'Plan mensual'!M40,0))+parametros_manuales!$F$22*('Plan mensual'!M37+IF(parametros_manuales!$H$22="Todos",'Plan mensual'!M41,0))+parametros_manuales!$G$22*('Plan mensual'!M38+IF(parametros_manuales!$H$22="Todos",'Plan mensual'!M42,0)))*parametros_manuales!$I$22*parametros_manuales!$J$22</f>
        <v>7595.242429515</v>
      </c>
      <c r="L89" s="14" t="n">
        <f aca="false">(parametros_manuales!$D$22*('Plan mensual'!N35+IF(parametros_manuales!$H$22="Todos",'Plan mensual'!N39,0))+parametros_manuales!$E$22*('Plan mensual'!N36+IF(parametros_manuales!$H$22="Todos",'Plan mensual'!N40,0))+parametros_manuales!$F$22*('Plan mensual'!N37+IF(parametros_manuales!$H$22="Todos",'Plan mensual'!N41,0))+parametros_manuales!$G$22*('Plan mensual'!N38+IF(parametros_manuales!$H$22="Todos",'Plan mensual'!N42,0)))*parametros_manuales!$I$22*parametros_manuales!$J$22</f>
        <v>7440.512289704</v>
      </c>
      <c r="M89" s="14" t="n">
        <f aca="false">(parametros_manuales!$D$22*('Plan mensual'!O35+IF(parametros_manuales!$H$22="Todos",'Plan mensual'!O39,0))+parametros_manuales!$E$22*('Plan mensual'!O36+IF(parametros_manuales!$H$22="Todos",'Plan mensual'!O40,0))+parametros_manuales!$F$22*('Plan mensual'!O37+IF(parametros_manuales!$H$22="Todos",'Plan mensual'!O41,0))+parametros_manuales!$G$22*('Plan mensual'!O38+IF(parametros_manuales!$H$22="Todos",'Plan mensual'!O42,0)))*parametros_manuales!$I$22*parametros_manuales!$J$22</f>
        <v>11842.927607602</v>
      </c>
      <c r="N89" s="14" t="n">
        <f aca="false">SUM(B89:M89)</f>
        <v>101269.8990602</v>
      </c>
      <c r="O89" s="14" t="n">
        <f aca="false">MAX(B89:M89)</f>
        <v>11842.927607602</v>
      </c>
      <c r="P89" s="57" t="n">
        <f aca="false">O89/(parametros_manuales!$B$7)</f>
        <v>78.9528507173467</v>
      </c>
      <c r="Q89" s="13" t="str">
        <f aca="false">IF(O89=0,"-",INDEX($B$85:$M$85,MATCH(O89,B89:M89,0)))</f>
        <v>Dic</v>
      </c>
    </row>
    <row r="90" customFormat="false" ht="14.25" hidden="false" customHeight="true" outlineLevel="0" collapsed="false">
      <c r="A90" s="13" t="str">
        <f aca="false">parametros_manuales!$B$23</f>
        <v>Preparación de cuello</v>
      </c>
      <c r="B90" s="14" t="n">
        <f aca="false">(parametros_manuales!$D$23*('Plan mensual'!D35+IF(parametros_manuales!$H$23="Todos",'Plan mensual'!D39,0))+parametros_manuales!$E$23*('Plan mensual'!D36+IF(parametros_manuales!$H$23="Todos",'Plan mensual'!D40,0))+parametros_manuales!$F$23*('Plan mensual'!D37+IF(parametros_manuales!$H$23="Todos",'Plan mensual'!D41,0))+parametros_manuales!$G$23*('Plan mensual'!D38+IF(parametros_manuales!$H$23="Todos",'Plan mensual'!D42,0)))*parametros_manuales!$I$23*parametros_manuales!$J$23</f>
        <v>5766.73366399</v>
      </c>
      <c r="C90" s="14" t="n">
        <f aca="false">(parametros_manuales!$D$23*('Plan mensual'!E35+IF(parametros_manuales!$H$23="Todos",'Plan mensual'!E39,0))+parametros_manuales!$E$23*('Plan mensual'!E36+IF(parametros_manuales!$H$23="Todos",'Plan mensual'!E40,0))+parametros_manuales!$F$23*('Plan mensual'!E37+IF(parametros_manuales!$H$23="Todos",'Plan mensual'!E41,0))+parametros_manuales!$G$23*('Plan mensual'!E38+IF(parametros_manuales!$H$23="Todos",'Plan mensual'!E42,0)))*parametros_manuales!$I$23*parametros_manuales!$J$23</f>
        <v>4402.415317898</v>
      </c>
      <c r="D90" s="14" t="n">
        <f aca="false">(parametros_manuales!$D$23*('Plan mensual'!F35+IF(parametros_manuales!$H$23="Todos",'Plan mensual'!F39,0))+parametros_manuales!$E$23*('Plan mensual'!F36+IF(parametros_manuales!$H$23="Todos",'Plan mensual'!F40,0))+parametros_manuales!$F$23*('Plan mensual'!F37+IF(parametros_manuales!$H$23="Todos",'Plan mensual'!F41,0))+parametros_manuales!$G$23*('Plan mensual'!F38+IF(parametros_manuales!$H$23="Todos",'Plan mensual'!F42,0)))*parametros_manuales!$I$23*parametros_manuales!$J$23</f>
        <v>4128.1610323135</v>
      </c>
      <c r="E90" s="14" t="n">
        <f aca="false">(parametros_manuales!$D$23*('Plan mensual'!G35+IF(parametros_manuales!$H$23="Todos",'Plan mensual'!G39,0))+parametros_manuales!$E$23*('Plan mensual'!G36+IF(parametros_manuales!$H$23="Todos",'Plan mensual'!G40,0))+parametros_manuales!$F$23*('Plan mensual'!G37+IF(parametros_manuales!$H$23="Todos",'Plan mensual'!G41,0))+parametros_manuales!$G$23*('Plan mensual'!G38+IF(parametros_manuales!$H$23="Todos",'Plan mensual'!G42,0)))*parametros_manuales!$I$23*parametros_manuales!$J$23</f>
        <v>3952.3513545685</v>
      </c>
      <c r="F90" s="14" t="n">
        <f aca="false">(parametros_manuales!$D$23*('Plan mensual'!H35+IF(parametros_manuales!$H$23="Todos",'Plan mensual'!H39,0))+parametros_manuales!$E$23*('Plan mensual'!H36+IF(parametros_manuales!$H$23="Todos",'Plan mensual'!H40,0))+parametros_manuales!$F$23*('Plan mensual'!H37+IF(parametros_manuales!$H$23="Todos",'Plan mensual'!H41,0))+parametros_manuales!$G$23*('Plan mensual'!H38+IF(parametros_manuales!$H$23="Todos",'Plan mensual'!H42,0)))*parametros_manuales!$I$23*parametros_manuales!$J$23</f>
        <v>3699.176606918</v>
      </c>
      <c r="G90" s="14" t="n">
        <f aca="false">(parametros_manuales!$D$23*('Plan mensual'!I35+IF(parametros_manuales!$H$23="Todos",'Plan mensual'!I39,0))+parametros_manuales!$E$23*('Plan mensual'!I36+IF(parametros_manuales!$H$23="Todos",'Plan mensual'!I40,0))+parametros_manuales!$F$23*('Plan mensual'!I37+IF(parametros_manuales!$H$23="Todos",'Plan mensual'!I41,0))+parametros_manuales!$G$23*('Plan mensual'!I38+IF(parametros_manuales!$H$23="Todos",'Plan mensual'!I42,0)))*parametros_manuales!$I$23*parametros_manuales!$J$23</f>
        <v>3621.8115370125</v>
      </c>
      <c r="H90" s="14" t="n">
        <f aca="false">(parametros_manuales!$D$23*('Plan mensual'!J35+IF(parametros_manuales!$H$23="Todos",'Plan mensual'!J39,0))+parametros_manuales!$E$23*('Plan mensual'!J36+IF(parametros_manuales!$H$23="Todos",'Plan mensual'!J40,0))+parametros_manuales!$F$23*('Plan mensual'!J37+IF(parametros_manuales!$H$23="Todos",'Plan mensual'!J41,0))+parametros_manuales!$G$23*('Plan mensual'!J38+IF(parametros_manuales!$H$23="Todos",'Plan mensual'!J42,0)))*parametros_manuales!$I$23*parametros_manuales!$J$23</f>
        <v>3874.986284663</v>
      </c>
      <c r="I90" s="14" t="n">
        <f aca="false">(parametros_manuales!$D$23*('Plan mensual'!K35+IF(parametros_manuales!$H$23="Todos",'Plan mensual'!K39,0))+parametros_manuales!$E$23*('Plan mensual'!K36+IF(parametros_manuales!$H$23="Todos",'Plan mensual'!K40,0))+parametros_manuales!$F$23*('Plan mensual'!K37+IF(parametros_manuales!$H$23="Todos",'Plan mensual'!K41,0))+parametros_manuales!$G$23*('Plan mensual'!K38+IF(parametros_manuales!$H$23="Todos",'Plan mensual'!K42,0)))*parametros_manuales!$I$23*parametros_manuales!$J$23</f>
        <v>3874.986284663</v>
      </c>
      <c r="J90" s="14" t="n">
        <f aca="false">(parametros_manuales!$D$23*('Plan mensual'!L35+IF(parametros_manuales!$H$23="Todos",'Plan mensual'!L39,0))+parametros_manuales!$E$23*('Plan mensual'!L36+IF(parametros_manuales!$H$23="Todos",'Plan mensual'!L40,0))+parametros_manuales!$F$23*('Plan mensual'!L37+IF(parametros_manuales!$H$23="Todos",'Plan mensual'!L41,0))+parametros_manuales!$G$23*('Plan mensual'!L38+IF(parametros_manuales!$H$23="Todos",'Plan mensual'!L42,0)))*parametros_manuales!$I$23*parametros_manuales!$J$23</f>
        <v>3874.986284663</v>
      </c>
      <c r="K90" s="14" t="n">
        <f aca="false">(parametros_manuales!$D$23*('Plan mensual'!M35+IF(parametros_manuales!$H$23="Todos",'Plan mensual'!M39,0))+parametros_manuales!$E$23*('Plan mensual'!M36+IF(parametros_manuales!$H$23="Todos",'Plan mensual'!M40,0))+parametros_manuales!$F$23*('Plan mensual'!M37+IF(parametros_manuales!$H$23="Todos",'Plan mensual'!M41,0))+parametros_manuales!$G$23*('Plan mensual'!M38+IF(parametros_manuales!$H$23="Todos",'Plan mensual'!M42,0)))*parametros_manuales!$I$23*parametros_manuales!$J$23</f>
        <v>3797.6212147575</v>
      </c>
      <c r="L90" s="14" t="n">
        <f aca="false">(parametros_manuales!$D$23*('Plan mensual'!N35+IF(parametros_manuales!$H$23="Todos",'Plan mensual'!N39,0))+parametros_manuales!$E$23*('Plan mensual'!N36+IF(parametros_manuales!$H$23="Todos",'Plan mensual'!N40,0))+parametros_manuales!$F$23*('Plan mensual'!N37+IF(parametros_manuales!$H$23="Todos",'Plan mensual'!N41,0))+parametros_manuales!$G$23*('Plan mensual'!N38+IF(parametros_manuales!$H$23="Todos",'Plan mensual'!N42,0)))*parametros_manuales!$I$23*parametros_manuales!$J$23</f>
        <v>3720.256144852</v>
      </c>
      <c r="M90" s="14" t="n">
        <f aca="false">(parametros_manuales!$D$23*('Plan mensual'!O35+IF(parametros_manuales!$H$23="Todos",'Plan mensual'!O39,0))+parametros_manuales!$E$23*('Plan mensual'!O36+IF(parametros_manuales!$H$23="Todos",'Plan mensual'!O40,0))+parametros_manuales!$F$23*('Plan mensual'!O37+IF(parametros_manuales!$H$23="Todos",'Plan mensual'!O41,0))+parametros_manuales!$G$23*('Plan mensual'!O38+IF(parametros_manuales!$H$23="Todos",'Plan mensual'!O42,0)))*parametros_manuales!$I$23*parametros_manuales!$J$23</f>
        <v>5921.463803801</v>
      </c>
      <c r="N90" s="14" t="n">
        <f aca="false">SUM(B90:M90)</f>
        <v>50634.9495301</v>
      </c>
      <c r="O90" s="14" t="n">
        <f aca="false">MAX(B90:M90)</f>
        <v>5921.463803801</v>
      </c>
      <c r="P90" s="57" t="n">
        <f aca="false">O90/(parametros_manuales!$B$7)</f>
        <v>39.4764253586733</v>
      </c>
      <c r="Q90" s="13" t="str">
        <f aca="false">IF(O90=0,"-",INDEX($B$85:$M$85,MATCH(O90,B90:M90,0)))</f>
        <v>Dic</v>
      </c>
    </row>
    <row r="91" customFormat="false" ht="14.25" hidden="false" customHeight="true" outlineLevel="0" collapsed="false">
      <c r="A91" s="13" t="str">
        <f aca="false">parametros_manuales!$B$24</f>
        <v>Numerado de cúpula</v>
      </c>
      <c r="B91" s="14" t="n">
        <f aca="false">(parametros_manuales!$D$24*('Plan mensual'!D35+IF(parametros_manuales!$H$24="Todos",'Plan mensual'!D39,0))+parametros_manuales!$E$24*('Plan mensual'!D36+IF(parametros_manuales!$H$24="Todos",'Plan mensual'!D40,0))+parametros_manuales!$F$24*('Plan mensual'!D37+IF(parametros_manuales!$H$24="Todos",'Plan mensual'!D41,0))+parametros_manuales!$G$24*('Plan mensual'!D38+IF(parametros_manuales!$H$24="Todos",'Plan mensual'!D42,0)))*parametros_manuales!$I$24*parametros_manuales!$J$24</f>
        <v>5766.73366399</v>
      </c>
      <c r="C91" s="14" t="n">
        <f aca="false">(parametros_manuales!$D$24*('Plan mensual'!E35+IF(parametros_manuales!$H$24="Todos",'Plan mensual'!E39,0))+parametros_manuales!$E$24*('Plan mensual'!E36+IF(parametros_manuales!$H$24="Todos",'Plan mensual'!E40,0))+parametros_manuales!$F$24*('Plan mensual'!E37+IF(parametros_manuales!$H$24="Todos",'Plan mensual'!E41,0))+parametros_manuales!$G$24*('Plan mensual'!E38+IF(parametros_manuales!$H$24="Todos",'Plan mensual'!E42,0)))*parametros_manuales!$I$24*parametros_manuales!$J$24</f>
        <v>4402.415317898</v>
      </c>
      <c r="D91" s="14" t="n">
        <f aca="false">(parametros_manuales!$D$24*('Plan mensual'!F35+IF(parametros_manuales!$H$24="Todos",'Plan mensual'!F39,0))+parametros_manuales!$E$24*('Plan mensual'!F36+IF(parametros_manuales!$H$24="Todos",'Plan mensual'!F40,0))+parametros_manuales!$F$24*('Plan mensual'!F37+IF(parametros_manuales!$H$24="Todos",'Plan mensual'!F41,0))+parametros_manuales!$G$24*('Plan mensual'!F38+IF(parametros_manuales!$H$24="Todos",'Plan mensual'!F42,0)))*parametros_manuales!$I$24*parametros_manuales!$J$24</f>
        <v>4128.1610323135</v>
      </c>
      <c r="E91" s="14" t="n">
        <f aca="false">(parametros_manuales!$D$24*('Plan mensual'!G35+IF(parametros_manuales!$H$24="Todos",'Plan mensual'!G39,0))+parametros_manuales!$E$24*('Plan mensual'!G36+IF(parametros_manuales!$H$24="Todos",'Plan mensual'!G40,0))+parametros_manuales!$F$24*('Plan mensual'!G37+IF(parametros_manuales!$H$24="Todos",'Plan mensual'!G41,0))+parametros_manuales!$G$24*('Plan mensual'!G38+IF(parametros_manuales!$H$24="Todos",'Plan mensual'!G42,0)))*parametros_manuales!$I$24*parametros_manuales!$J$24</f>
        <v>3952.3513545685</v>
      </c>
      <c r="F91" s="14" t="n">
        <f aca="false">(parametros_manuales!$D$24*('Plan mensual'!H35+IF(parametros_manuales!$H$24="Todos",'Plan mensual'!H39,0))+parametros_manuales!$E$24*('Plan mensual'!H36+IF(parametros_manuales!$H$24="Todos",'Plan mensual'!H40,0))+parametros_manuales!$F$24*('Plan mensual'!H37+IF(parametros_manuales!$H$24="Todos",'Plan mensual'!H41,0))+parametros_manuales!$G$24*('Plan mensual'!H38+IF(parametros_manuales!$H$24="Todos",'Plan mensual'!H42,0)))*parametros_manuales!$I$24*parametros_manuales!$J$24</f>
        <v>3699.176606918</v>
      </c>
      <c r="G91" s="14" t="n">
        <f aca="false">(parametros_manuales!$D$24*('Plan mensual'!I35+IF(parametros_manuales!$H$24="Todos",'Plan mensual'!I39,0))+parametros_manuales!$E$24*('Plan mensual'!I36+IF(parametros_manuales!$H$24="Todos",'Plan mensual'!I40,0))+parametros_manuales!$F$24*('Plan mensual'!I37+IF(parametros_manuales!$H$24="Todos",'Plan mensual'!I41,0))+parametros_manuales!$G$24*('Plan mensual'!I38+IF(parametros_manuales!$H$24="Todos",'Plan mensual'!I42,0)))*parametros_manuales!$I$24*parametros_manuales!$J$24</f>
        <v>3621.8115370125</v>
      </c>
      <c r="H91" s="14" t="n">
        <f aca="false">(parametros_manuales!$D$24*('Plan mensual'!J35+IF(parametros_manuales!$H$24="Todos",'Plan mensual'!J39,0))+parametros_manuales!$E$24*('Plan mensual'!J36+IF(parametros_manuales!$H$24="Todos",'Plan mensual'!J40,0))+parametros_manuales!$F$24*('Plan mensual'!J37+IF(parametros_manuales!$H$24="Todos",'Plan mensual'!J41,0))+parametros_manuales!$G$24*('Plan mensual'!J38+IF(parametros_manuales!$H$24="Todos",'Plan mensual'!J42,0)))*parametros_manuales!$I$24*parametros_manuales!$J$24</f>
        <v>3874.986284663</v>
      </c>
      <c r="I91" s="14" t="n">
        <f aca="false">(parametros_manuales!$D$24*('Plan mensual'!K35+IF(parametros_manuales!$H$24="Todos",'Plan mensual'!K39,0))+parametros_manuales!$E$24*('Plan mensual'!K36+IF(parametros_manuales!$H$24="Todos",'Plan mensual'!K40,0))+parametros_manuales!$F$24*('Plan mensual'!K37+IF(parametros_manuales!$H$24="Todos",'Plan mensual'!K41,0))+parametros_manuales!$G$24*('Plan mensual'!K38+IF(parametros_manuales!$H$24="Todos",'Plan mensual'!K42,0)))*parametros_manuales!$I$24*parametros_manuales!$J$24</f>
        <v>3874.986284663</v>
      </c>
      <c r="J91" s="14" t="n">
        <f aca="false">(parametros_manuales!$D$24*('Plan mensual'!L35+IF(parametros_manuales!$H$24="Todos",'Plan mensual'!L39,0))+parametros_manuales!$E$24*('Plan mensual'!L36+IF(parametros_manuales!$H$24="Todos",'Plan mensual'!L40,0))+parametros_manuales!$F$24*('Plan mensual'!L37+IF(parametros_manuales!$H$24="Todos",'Plan mensual'!L41,0))+parametros_manuales!$G$24*('Plan mensual'!L38+IF(parametros_manuales!$H$24="Todos",'Plan mensual'!L42,0)))*parametros_manuales!$I$24*parametros_manuales!$J$24</f>
        <v>3874.986284663</v>
      </c>
      <c r="K91" s="14" t="n">
        <f aca="false">(parametros_manuales!$D$24*('Plan mensual'!M35+IF(parametros_manuales!$H$24="Todos",'Plan mensual'!M39,0))+parametros_manuales!$E$24*('Plan mensual'!M36+IF(parametros_manuales!$H$24="Todos",'Plan mensual'!M40,0))+parametros_manuales!$F$24*('Plan mensual'!M37+IF(parametros_manuales!$H$24="Todos",'Plan mensual'!M41,0))+parametros_manuales!$G$24*('Plan mensual'!M38+IF(parametros_manuales!$H$24="Todos",'Plan mensual'!M42,0)))*parametros_manuales!$I$24*parametros_manuales!$J$24</f>
        <v>3797.6212147575</v>
      </c>
      <c r="L91" s="14" t="n">
        <f aca="false">(parametros_manuales!$D$24*('Plan mensual'!N35+IF(parametros_manuales!$H$24="Todos",'Plan mensual'!N39,0))+parametros_manuales!$E$24*('Plan mensual'!N36+IF(parametros_manuales!$H$24="Todos",'Plan mensual'!N40,0))+parametros_manuales!$F$24*('Plan mensual'!N37+IF(parametros_manuales!$H$24="Todos",'Plan mensual'!N41,0))+parametros_manuales!$G$24*('Plan mensual'!N38+IF(parametros_manuales!$H$24="Todos",'Plan mensual'!N42,0)))*parametros_manuales!$I$24*parametros_manuales!$J$24</f>
        <v>3720.256144852</v>
      </c>
      <c r="M91" s="14" t="n">
        <f aca="false">(parametros_manuales!$D$24*('Plan mensual'!O35+IF(parametros_manuales!$H$24="Todos",'Plan mensual'!O39,0))+parametros_manuales!$E$24*('Plan mensual'!O36+IF(parametros_manuales!$H$24="Todos",'Plan mensual'!O40,0))+parametros_manuales!$F$24*('Plan mensual'!O37+IF(parametros_manuales!$H$24="Todos",'Plan mensual'!O41,0))+parametros_manuales!$G$24*('Plan mensual'!O38+IF(parametros_manuales!$H$24="Todos",'Plan mensual'!O42,0)))*parametros_manuales!$I$24*parametros_manuales!$J$24</f>
        <v>5921.463803801</v>
      </c>
      <c r="N91" s="14" t="n">
        <f aca="false">SUM(B91:M91)</f>
        <v>50634.9495301</v>
      </c>
      <c r="O91" s="14" t="n">
        <f aca="false">MAX(B91:M91)</f>
        <v>5921.463803801</v>
      </c>
      <c r="P91" s="57" t="n">
        <f aca="false">O91/(parametros_manuales!$B$7)</f>
        <v>39.4764253586733</v>
      </c>
      <c r="Q91" s="13" t="str">
        <f aca="false">IF(O91=0,"-",INDEX($B$85:$M$85,MATCH(O91,B91:M91,0)))</f>
        <v>Dic</v>
      </c>
    </row>
    <row r="92" customFormat="false" ht="14.25" hidden="false" customHeight="true" outlineLevel="0" collapsed="false">
      <c r="A92" s="13" t="str">
        <f aca="false">parametros_manuales!$B$25</f>
        <v>Soldadura del cuello a la cúpula</v>
      </c>
      <c r="B92" s="14" t="n">
        <f aca="false">(parametros_manuales!$D$25*('Plan mensual'!D35+IF(parametros_manuales!$H$25="Todos",'Plan mensual'!D39,0))+parametros_manuales!$E$25*('Plan mensual'!D36+IF(parametros_manuales!$H$25="Todos",'Plan mensual'!D40,0))+parametros_manuales!$F$25*('Plan mensual'!D37+IF(parametros_manuales!$H$25="Todos",'Plan mensual'!D41,0))+parametros_manuales!$G$25*('Plan mensual'!D38+IF(parametros_manuales!$H$25="Todos",'Plan mensual'!D42,0)))*parametros_manuales!$I$25*parametros_manuales!$J$25</f>
        <v>5766.73366399</v>
      </c>
      <c r="C92" s="14" t="n">
        <f aca="false">(parametros_manuales!$D$25*('Plan mensual'!E35+IF(parametros_manuales!$H$25="Todos",'Plan mensual'!E39,0))+parametros_manuales!$E$25*('Plan mensual'!E36+IF(parametros_manuales!$H$25="Todos",'Plan mensual'!E40,0))+parametros_manuales!$F$25*('Plan mensual'!E37+IF(parametros_manuales!$H$25="Todos",'Plan mensual'!E41,0))+parametros_manuales!$G$25*('Plan mensual'!E38+IF(parametros_manuales!$H$25="Todos",'Plan mensual'!E42,0)))*parametros_manuales!$I$25*parametros_manuales!$J$25</f>
        <v>4402.415317898</v>
      </c>
      <c r="D92" s="14" t="n">
        <f aca="false">(parametros_manuales!$D$25*('Plan mensual'!F35+IF(parametros_manuales!$H$25="Todos",'Plan mensual'!F39,0))+parametros_manuales!$E$25*('Plan mensual'!F36+IF(parametros_manuales!$H$25="Todos",'Plan mensual'!F40,0))+parametros_manuales!$F$25*('Plan mensual'!F37+IF(parametros_manuales!$H$25="Todos",'Plan mensual'!F41,0))+parametros_manuales!$G$25*('Plan mensual'!F38+IF(parametros_manuales!$H$25="Todos",'Plan mensual'!F42,0)))*parametros_manuales!$I$25*parametros_manuales!$J$25</f>
        <v>4128.1610323135</v>
      </c>
      <c r="E92" s="14" t="n">
        <f aca="false">(parametros_manuales!$D$25*('Plan mensual'!G35+IF(parametros_manuales!$H$25="Todos",'Plan mensual'!G39,0))+parametros_manuales!$E$25*('Plan mensual'!G36+IF(parametros_manuales!$H$25="Todos",'Plan mensual'!G40,0))+parametros_manuales!$F$25*('Plan mensual'!G37+IF(parametros_manuales!$H$25="Todos",'Plan mensual'!G41,0))+parametros_manuales!$G$25*('Plan mensual'!G38+IF(parametros_manuales!$H$25="Todos",'Plan mensual'!G42,0)))*parametros_manuales!$I$25*parametros_manuales!$J$25</f>
        <v>3952.3513545685</v>
      </c>
      <c r="F92" s="14" t="n">
        <f aca="false">(parametros_manuales!$D$25*('Plan mensual'!H35+IF(parametros_manuales!$H$25="Todos",'Plan mensual'!H39,0))+parametros_manuales!$E$25*('Plan mensual'!H36+IF(parametros_manuales!$H$25="Todos",'Plan mensual'!H40,0))+parametros_manuales!$F$25*('Plan mensual'!H37+IF(parametros_manuales!$H$25="Todos",'Plan mensual'!H41,0))+parametros_manuales!$G$25*('Plan mensual'!H38+IF(parametros_manuales!$H$25="Todos",'Plan mensual'!H42,0)))*parametros_manuales!$I$25*parametros_manuales!$J$25</f>
        <v>3699.176606918</v>
      </c>
      <c r="G92" s="14" t="n">
        <f aca="false">(parametros_manuales!$D$25*('Plan mensual'!I35+IF(parametros_manuales!$H$25="Todos",'Plan mensual'!I39,0))+parametros_manuales!$E$25*('Plan mensual'!I36+IF(parametros_manuales!$H$25="Todos",'Plan mensual'!I40,0))+parametros_manuales!$F$25*('Plan mensual'!I37+IF(parametros_manuales!$H$25="Todos",'Plan mensual'!I41,0))+parametros_manuales!$G$25*('Plan mensual'!I38+IF(parametros_manuales!$H$25="Todos",'Plan mensual'!I42,0)))*parametros_manuales!$I$25*parametros_manuales!$J$25</f>
        <v>3621.8115370125</v>
      </c>
      <c r="H92" s="14" t="n">
        <f aca="false">(parametros_manuales!$D$25*('Plan mensual'!J35+IF(parametros_manuales!$H$25="Todos",'Plan mensual'!J39,0))+parametros_manuales!$E$25*('Plan mensual'!J36+IF(parametros_manuales!$H$25="Todos",'Plan mensual'!J40,0))+parametros_manuales!$F$25*('Plan mensual'!J37+IF(parametros_manuales!$H$25="Todos",'Plan mensual'!J41,0))+parametros_manuales!$G$25*('Plan mensual'!J38+IF(parametros_manuales!$H$25="Todos",'Plan mensual'!J42,0)))*parametros_manuales!$I$25*parametros_manuales!$J$25</f>
        <v>3874.986284663</v>
      </c>
      <c r="I92" s="14" t="n">
        <f aca="false">(parametros_manuales!$D$25*('Plan mensual'!K35+IF(parametros_manuales!$H$25="Todos",'Plan mensual'!K39,0))+parametros_manuales!$E$25*('Plan mensual'!K36+IF(parametros_manuales!$H$25="Todos",'Plan mensual'!K40,0))+parametros_manuales!$F$25*('Plan mensual'!K37+IF(parametros_manuales!$H$25="Todos",'Plan mensual'!K41,0))+parametros_manuales!$G$25*('Plan mensual'!K38+IF(parametros_manuales!$H$25="Todos",'Plan mensual'!K42,0)))*parametros_manuales!$I$25*parametros_manuales!$J$25</f>
        <v>3874.986284663</v>
      </c>
      <c r="J92" s="14" t="n">
        <f aca="false">(parametros_manuales!$D$25*('Plan mensual'!L35+IF(parametros_manuales!$H$25="Todos",'Plan mensual'!L39,0))+parametros_manuales!$E$25*('Plan mensual'!L36+IF(parametros_manuales!$H$25="Todos",'Plan mensual'!L40,0))+parametros_manuales!$F$25*('Plan mensual'!L37+IF(parametros_manuales!$H$25="Todos",'Plan mensual'!L41,0))+parametros_manuales!$G$25*('Plan mensual'!L38+IF(parametros_manuales!$H$25="Todos",'Plan mensual'!L42,0)))*parametros_manuales!$I$25*parametros_manuales!$J$25</f>
        <v>3874.986284663</v>
      </c>
      <c r="K92" s="14" t="n">
        <f aca="false">(parametros_manuales!$D$25*('Plan mensual'!M35+IF(parametros_manuales!$H$25="Todos",'Plan mensual'!M39,0))+parametros_manuales!$E$25*('Plan mensual'!M36+IF(parametros_manuales!$H$25="Todos",'Plan mensual'!M40,0))+parametros_manuales!$F$25*('Plan mensual'!M37+IF(parametros_manuales!$H$25="Todos",'Plan mensual'!M41,0))+parametros_manuales!$G$25*('Plan mensual'!M38+IF(parametros_manuales!$H$25="Todos",'Plan mensual'!M42,0)))*parametros_manuales!$I$25*parametros_manuales!$J$25</f>
        <v>3797.6212147575</v>
      </c>
      <c r="L92" s="14" t="n">
        <f aca="false">(parametros_manuales!$D$25*('Plan mensual'!N35+IF(parametros_manuales!$H$25="Todos",'Plan mensual'!N39,0))+parametros_manuales!$E$25*('Plan mensual'!N36+IF(parametros_manuales!$H$25="Todos",'Plan mensual'!N40,0))+parametros_manuales!$F$25*('Plan mensual'!N37+IF(parametros_manuales!$H$25="Todos",'Plan mensual'!N41,0))+parametros_manuales!$G$25*('Plan mensual'!N38+IF(parametros_manuales!$H$25="Todos",'Plan mensual'!N42,0)))*parametros_manuales!$I$25*parametros_manuales!$J$25</f>
        <v>3720.256144852</v>
      </c>
      <c r="M92" s="14" t="n">
        <f aca="false">(parametros_manuales!$D$25*('Plan mensual'!O35+IF(parametros_manuales!$H$25="Todos",'Plan mensual'!O39,0))+parametros_manuales!$E$25*('Plan mensual'!O36+IF(parametros_manuales!$H$25="Todos",'Plan mensual'!O40,0))+parametros_manuales!$F$25*('Plan mensual'!O37+IF(parametros_manuales!$H$25="Todos",'Plan mensual'!O41,0))+parametros_manuales!$G$25*('Plan mensual'!O38+IF(parametros_manuales!$H$25="Todos",'Plan mensual'!O42,0)))*parametros_manuales!$I$25*parametros_manuales!$J$25</f>
        <v>5921.463803801</v>
      </c>
      <c r="N92" s="14" t="n">
        <f aca="false">SUM(B92:M92)</f>
        <v>50634.9495301</v>
      </c>
      <c r="O92" s="14" t="n">
        <f aca="false">MAX(B92:M92)</f>
        <v>5921.463803801</v>
      </c>
      <c r="P92" s="57" t="n">
        <f aca="false">O92/(parametros_manuales!$B$7)</f>
        <v>39.4764253586733</v>
      </c>
      <c r="Q92" s="13" t="str">
        <f aca="false">IF(O92=0,"-",INDEX($B$85:$M$85,MATCH(O92,B92:M92,0)))</f>
        <v>Dic</v>
      </c>
    </row>
    <row r="93" customFormat="false" ht="14.25" hidden="false" customHeight="true" outlineLevel="0" collapsed="false">
      <c r="A93" s="13" t="str">
        <f aca="false">parametros_manuales!$B$26</f>
        <v>Cilindrado</v>
      </c>
      <c r="B93" s="14" t="n">
        <f aca="false">(parametros_manuales!$D$26*('Plan mensual'!D35+IF(parametros_manuales!$H$26="Todos",'Plan mensual'!D39,0))+parametros_manuales!$E$26*('Plan mensual'!D36+IF(parametros_manuales!$H$26="Todos",'Plan mensual'!D40,0))+parametros_manuales!$F$26*('Plan mensual'!D37+IF(parametros_manuales!$H$26="Todos",'Plan mensual'!D41,0))+parametros_manuales!$G$26*('Plan mensual'!D38+IF(parametros_manuales!$H$26="Todos",'Plan mensual'!D42,0)))*parametros_manuales!$I$26*parametros_manuales!$J$26</f>
        <v>5766.73366399</v>
      </c>
      <c r="C93" s="14" t="n">
        <f aca="false">(parametros_manuales!$D$26*('Plan mensual'!E35+IF(parametros_manuales!$H$26="Todos",'Plan mensual'!E39,0))+parametros_manuales!$E$26*('Plan mensual'!E36+IF(parametros_manuales!$H$26="Todos",'Plan mensual'!E40,0))+parametros_manuales!$F$26*('Plan mensual'!E37+IF(parametros_manuales!$H$26="Todos",'Plan mensual'!E41,0))+parametros_manuales!$G$26*('Plan mensual'!E38+IF(parametros_manuales!$H$26="Todos",'Plan mensual'!E42,0)))*parametros_manuales!$I$26*parametros_manuales!$J$26</f>
        <v>4402.415317898</v>
      </c>
      <c r="D93" s="14" t="n">
        <f aca="false">(parametros_manuales!$D$26*('Plan mensual'!F35+IF(parametros_manuales!$H$26="Todos",'Plan mensual'!F39,0))+parametros_manuales!$E$26*('Plan mensual'!F36+IF(parametros_manuales!$H$26="Todos",'Plan mensual'!F40,0))+parametros_manuales!$F$26*('Plan mensual'!F37+IF(parametros_manuales!$H$26="Todos",'Plan mensual'!F41,0))+parametros_manuales!$G$26*('Plan mensual'!F38+IF(parametros_manuales!$H$26="Todos",'Plan mensual'!F42,0)))*parametros_manuales!$I$26*parametros_manuales!$J$26</f>
        <v>4128.1610323135</v>
      </c>
      <c r="E93" s="14" t="n">
        <f aca="false">(parametros_manuales!$D$26*('Plan mensual'!G35+IF(parametros_manuales!$H$26="Todos",'Plan mensual'!G39,0))+parametros_manuales!$E$26*('Plan mensual'!G36+IF(parametros_manuales!$H$26="Todos",'Plan mensual'!G40,0))+parametros_manuales!$F$26*('Plan mensual'!G37+IF(parametros_manuales!$H$26="Todos",'Plan mensual'!G41,0))+parametros_manuales!$G$26*('Plan mensual'!G38+IF(parametros_manuales!$H$26="Todos",'Plan mensual'!G42,0)))*parametros_manuales!$I$26*parametros_manuales!$J$26</f>
        <v>3952.3513545685</v>
      </c>
      <c r="F93" s="14" t="n">
        <f aca="false">(parametros_manuales!$D$26*('Plan mensual'!H35+IF(parametros_manuales!$H$26="Todos",'Plan mensual'!H39,0))+parametros_manuales!$E$26*('Plan mensual'!H36+IF(parametros_manuales!$H$26="Todos",'Plan mensual'!H40,0))+parametros_manuales!$F$26*('Plan mensual'!H37+IF(parametros_manuales!$H$26="Todos",'Plan mensual'!H41,0))+parametros_manuales!$G$26*('Plan mensual'!H38+IF(parametros_manuales!$H$26="Todos",'Plan mensual'!H42,0)))*parametros_manuales!$I$26*parametros_manuales!$J$26</f>
        <v>3699.176606918</v>
      </c>
      <c r="G93" s="14" t="n">
        <f aca="false">(parametros_manuales!$D$26*('Plan mensual'!I35+IF(parametros_manuales!$H$26="Todos",'Plan mensual'!I39,0))+parametros_manuales!$E$26*('Plan mensual'!I36+IF(parametros_manuales!$H$26="Todos",'Plan mensual'!I40,0))+parametros_manuales!$F$26*('Plan mensual'!I37+IF(parametros_manuales!$H$26="Todos",'Plan mensual'!I41,0))+parametros_manuales!$G$26*('Plan mensual'!I38+IF(parametros_manuales!$H$26="Todos",'Plan mensual'!I42,0)))*parametros_manuales!$I$26*parametros_manuales!$J$26</f>
        <v>3621.8115370125</v>
      </c>
      <c r="H93" s="14" t="n">
        <f aca="false">(parametros_manuales!$D$26*('Plan mensual'!J35+IF(parametros_manuales!$H$26="Todos",'Plan mensual'!J39,0))+parametros_manuales!$E$26*('Plan mensual'!J36+IF(parametros_manuales!$H$26="Todos",'Plan mensual'!J40,0))+parametros_manuales!$F$26*('Plan mensual'!J37+IF(parametros_manuales!$H$26="Todos",'Plan mensual'!J41,0))+parametros_manuales!$G$26*('Plan mensual'!J38+IF(parametros_manuales!$H$26="Todos",'Plan mensual'!J42,0)))*parametros_manuales!$I$26*parametros_manuales!$J$26</f>
        <v>3874.986284663</v>
      </c>
      <c r="I93" s="14" t="n">
        <f aca="false">(parametros_manuales!$D$26*('Plan mensual'!K35+IF(parametros_manuales!$H$26="Todos",'Plan mensual'!K39,0))+parametros_manuales!$E$26*('Plan mensual'!K36+IF(parametros_manuales!$H$26="Todos",'Plan mensual'!K40,0))+parametros_manuales!$F$26*('Plan mensual'!K37+IF(parametros_manuales!$H$26="Todos",'Plan mensual'!K41,0))+parametros_manuales!$G$26*('Plan mensual'!K38+IF(parametros_manuales!$H$26="Todos",'Plan mensual'!K42,0)))*parametros_manuales!$I$26*parametros_manuales!$J$26</f>
        <v>3874.986284663</v>
      </c>
      <c r="J93" s="14" t="n">
        <f aca="false">(parametros_manuales!$D$26*('Plan mensual'!L35+IF(parametros_manuales!$H$26="Todos",'Plan mensual'!L39,0))+parametros_manuales!$E$26*('Plan mensual'!L36+IF(parametros_manuales!$H$26="Todos",'Plan mensual'!L40,0))+parametros_manuales!$F$26*('Plan mensual'!L37+IF(parametros_manuales!$H$26="Todos",'Plan mensual'!L41,0))+parametros_manuales!$G$26*('Plan mensual'!L38+IF(parametros_manuales!$H$26="Todos",'Plan mensual'!L42,0)))*parametros_manuales!$I$26*parametros_manuales!$J$26</f>
        <v>3874.986284663</v>
      </c>
      <c r="K93" s="14" t="n">
        <f aca="false">(parametros_manuales!$D$26*('Plan mensual'!M35+IF(parametros_manuales!$H$26="Todos",'Plan mensual'!M39,0))+parametros_manuales!$E$26*('Plan mensual'!M36+IF(parametros_manuales!$H$26="Todos",'Plan mensual'!M40,0))+parametros_manuales!$F$26*('Plan mensual'!M37+IF(parametros_manuales!$H$26="Todos",'Plan mensual'!M41,0))+parametros_manuales!$G$26*('Plan mensual'!M38+IF(parametros_manuales!$H$26="Todos",'Plan mensual'!M42,0)))*parametros_manuales!$I$26*parametros_manuales!$J$26</f>
        <v>3797.6212147575</v>
      </c>
      <c r="L93" s="14" t="n">
        <f aca="false">(parametros_manuales!$D$26*('Plan mensual'!N35+IF(parametros_manuales!$H$26="Todos",'Plan mensual'!N39,0))+parametros_manuales!$E$26*('Plan mensual'!N36+IF(parametros_manuales!$H$26="Todos",'Plan mensual'!N40,0))+parametros_manuales!$F$26*('Plan mensual'!N37+IF(parametros_manuales!$H$26="Todos",'Plan mensual'!N41,0))+parametros_manuales!$G$26*('Plan mensual'!N38+IF(parametros_manuales!$H$26="Todos",'Plan mensual'!N42,0)))*parametros_manuales!$I$26*parametros_manuales!$J$26</f>
        <v>3720.256144852</v>
      </c>
      <c r="M93" s="14" t="n">
        <f aca="false">(parametros_manuales!$D$26*('Plan mensual'!O35+IF(parametros_manuales!$H$26="Todos",'Plan mensual'!O39,0))+parametros_manuales!$E$26*('Plan mensual'!O36+IF(parametros_manuales!$H$26="Todos",'Plan mensual'!O40,0))+parametros_manuales!$F$26*('Plan mensual'!O37+IF(parametros_manuales!$H$26="Todos",'Plan mensual'!O41,0))+parametros_manuales!$G$26*('Plan mensual'!O38+IF(parametros_manuales!$H$26="Todos",'Plan mensual'!O42,0)))*parametros_manuales!$I$26*parametros_manuales!$J$26</f>
        <v>5921.463803801</v>
      </c>
      <c r="N93" s="14" t="n">
        <f aca="false">SUM(B93:M93)</f>
        <v>50634.9495301</v>
      </c>
      <c r="O93" s="14" t="n">
        <f aca="false">MAX(B93:M93)</f>
        <v>5921.463803801</v>
      </c>
      <c r="P93" s="57" t="n">
        <f aca="false">O93/(parametros_manuales!$B$7)</f>
        <v>39.4764253586733</v>
      </c>
      <c r="Q93" s="13" t="str">
        <f aca="false">IF(O93=0,"-",INDEX($B$85:$M$85,MATCH(O93,B93:M93,0)))</f>
        <v>Dic</v>
      </c>
    </row>
    <row r="94" customFormat="false" ht="14.25" hidden="false" customHeight="true" outlineLevel="0" collapsed="false">
      <c r="A94" s="13" t="str">
        <f aca="false">parametros_manuales!$B$27</f>
        <v>Soldadura longitudinal — 2,5 a 10 kg</v>
      </c>
      <c r="B94" s="14" t="n">
        <f aca="false">(parametros_manuales!$D$27*('Plan mensual'!D35+IF(parametros_manuales!$H$27="Todos",'Plan mensual'!D39,0))+parametros_manuales!$E$27*('Plan mensual'!D36+IF(parametros_manuales!$H$27="Todos",'Plan mensual'!D40,0))+parametros_manuales!$F$27*('Plan mensual'!D37+IF(parametros_manuales!$H$27="Todos",'Plan mensual'!D41,0))+parametros_manuales!$G$27*('Plan mensual'!D38+IF(parametros_manuales!$H$27="Todos",'Plan mensual'!D42,0)))*parametros_manuales!$I$27*parametros_manuales!$J$27</f>
        <v>1547.30139811</v>
      </c>
      <c r="C94" s="14" t="n">
        <f aca="false">(parametros_manuales!$D$27*('Plan mensual'!E35+IF(parametros_manuales!$H$27="Todos",'Plan mensual'!E39,0))+parametros_manuales!$E$27*('Plan mensual'!E36+IF(parametros_manuales!$H$27="Todos",'Plan mensual'!E40,0))+parametros_manuales!$F$27*('Plan mensual'!E37+IF(parametros_manuales!$H$27="Todos",'Plan mensual'!E41,0))+parametros_manuales!$G$27*('Plan mensual'!E38+IF(parametros_manuales!$H$27="Todos",'Plan mensual'!E42,0)))*parametros_manuales!$I$27*parametros_manuales!$J$27</f>
        <v>1237.841118488</v>
      </c>
      <c r="D94" s="14" t="n">
        <f aca="false">(parametros_manuales!$D$27*('Plan mensual'!F35+IF(parametros_manuales!$H$27="Todos",'Plan mensual'!F39,0))+parametros_manuales!$E$27*('Plan mensual'!F36+IF(parametros_manuales!$H$27="Todos",'Plan mensual'!F40,0))+parametros_manuales!$F$27*('Plan mensual'!F37+IF(parametros_manuales!$H$27="Todos",'Plan mensual'!F41,0))+parametros_manuales!$G$27*('Plan mensual'!F38+IF(parametros_manuales!$H$27="Todos",'Plan mensual'!F42,0)))*parametros_manuales!$I$27*parametros_manuales!$J$27</f>
        <v>1315.2061883935</v>
      </c>
      <c r="E94" s="14" t="n">
        <f aca="false">(parametros_manuales!$D$27*('Plan mensual'!G35+IF(parametros_manuales!$H$27="Todos",'Plan mensual'!G39,0))+parametros_manuales!$E$27*('Plan mensual'!G36+IF(parametros_manuales!$H$27="Todos",'Plan mensual'!G40,0))+parametros_manuales!$F$27*('Plan mensual'!G37+IF(parametros_manuales!$H$27="Todos",'Plan mensual'!G41,0))+parametros_manuales!$G$27*('Plan mensual'!G38+IF(parametros_manuales!$H$27="Todos",'Plan mensual'!G42,0)))*parametros_manuales!$I$27*parametros_manuales!$J$27</f>
        <v>1315.2061883935</v>
      </c>
      <c r="F94" s="14" t="n">
        <f aca="false">(parametros_manuales!$D$27*('Plan mensual'!H35+IF(parametros_manuales!$H$27="Todos",'Plan mensual'!H39,0))+parametros_manuales!$E$27*('Plan mensual'!H36+IF(parametros_manuales!$H$27="Todos",'Plan mensual'!H40,0))+parametros_manuales!$F$27*('Plan mensual'!H37+IF(parametros_manuales!$H$27="Todos",'Plan mensual'!H41,0))+parametros_manuales!$G$27*('Plan mensual'!H38+IF(parametros_manuales!$H$27="Todos",'Plan mensual'!H42,0)))*parametros_manuales!$I$27*parametros_manuales!$J$27</f>
        <v>1237.841118488</v>
      </c>
      <c r="G94" s="14" t="n">
        <f aca="false">(parametros_manuales!$D$27*('Plan mensual'!I35+IF(parametros_manuales!$H$27="Todos",'Plan mensual'!I39,0))+parametros_manuales!$E$27*('Plan mensual'!I36+IF(parametros_manuales!$H$27="Todos",'Plan mensual'!I40,0))+parametros_manuales!$F$27*('Plan mensual'!I37+IF(parametros_manuales!$H$27="Todos",'Plan mensual'!I41,0))+parametros_manuales!$G$27*('Plan mensual'!I38+IF(parametros_manuales!$H$27="Todos",'Plan mensual'!I42,0)))*parametros_manuales!$I$27*parametros_manuales!$J$27</f>
        <v>1160.4760485825</v>
      </c>
      <c r="H94" s="14" t="n">
        <f aca="false">(parametros_manuales!$D$27*('Plan mensual'!J35+IF(parametros_manuales!$H$27="Todos",'Plan mensual'!J39,0))+parametros_manuales!$E$27*('Plan mensual'!J36+IF(parametros_manuales!$H$27="Todos",'Plan mensual'!J40,0))+parametros_manuales!$F$27*('Plan mensual'!J37+IF(parametros_manuales!$H$27="Todos",'Plan mensual'!J41,0))+parametros_manuales!$G$27*('Plan mensual'!J38+IF(parametros_manuales!$H$27="Todos",'Plan mensual'!J42,0)))*parametros_manuales!$I$27*parametros_manuales!$J$27</f>
        <v>1237.841118488</v>
      </c>
      <c r="I94" s="14" t="n">
        <f aca="false">(parametros_manuales!$D$27*('Plan mensual'!K35+IF(parametros_manuales!$H$27="Todos",'Plan mensual'!K39,0))+parametros_manuales!$E$27*('Plan mensual'!K36+IF(parametros_manuales!$H$27="Todos",'Plan mensual'!K40,0))+parametros_manuales!$F$27*('Plan mensual'!K37+IF(parametros_manuales!$H$27="Todos",'Plan mensual'!K41,0))+parametros_manuales!$G$27*('Plan mensual'!K38+IF(parametros_manuales!$H$27="Todos",'Plan mensual'!K42,0)))*parametros_manuales!$I$27*parametros_manuales!$J$27</f>
        <v>1237.841118488</v>
      </c>
      <c r="J94" s="14" t="n">
        <f aca="false">(parametros_manuales!$D$27*('Plan mensual'!L35+IF(parametros_manuales!$H$27="Todos",'Plan mensual'!L39,0))+parametros_manuales!$E$27*('Plan mensual'!L36+IF(parametros_manuales!$H$27="Todos",'Plan mensual'!L40,0))+parametros_manuales!$F$27*('Plan mensual'!L37+IF(parametros_manuales!$H$27="Todos",'Plan mensual'!L41,0))+parametros_manuales!$G$27*('Plan mensual'!L38+IF(parametros_manuales!$H$27="Todos",'Plan mensual'!L42,0)))*parametros_manuales!$I$27*parametros_manuales!$J$27</f>
        <v>1237.841118488</v>
      </c>
      <c r="K94" s="14" t="n">
        <f aca="false">(parametros_manuales!$D$27*('Plan mensual'!M35+IF(parametros_manuales!$H$27="Todos",'Plan mensual'!M39,0))+parametros_manuales!$E$27*('Plan mensual'!M36+IF(parametros_manuales!$H$27="Todos",'Plan mensual'!M40,0))+parametros_manuales!$F$27*('Plan mensual'!M37+IF(parametros_manuales!$H$27="Todos",'Plan mensual'!M41,0))+parametros_manuales!$G$27*('Plan mensual'!M38+IF(parametros_manuales!$H$27="Todos",'Plan mensual'!M42,0)))*parametros_manuales!$I$27*parametros_manuales!$J$27</f>
        <v>1160.4760485825</v>
      </c>
      <c r="L94" s="14" t="n">
        <f aca="false">(parametros_manuales!$D$27*('Plan mensual'!N35+IF(parametros_manuales!$H$27="Todos",'Plan mensual'!N39,0))+parametros_manuales!$E$27*('Plan mensual'!N36+IF(parametros_manuales!$H$27="Todos",'Plan mensual'!N40,0))+parametros_manuales!$F$27*('Plan mensual'!N37+IF(parametros_manuales!$H$27="Todos",'Plan mensual'!N41,0))+parametros_manuales!$G$27*('Plan mensual'!N38+IF(parametros_manuales!$H$27="Todos",'Plan mensual'!N42,0)))*parametros_manuales!$I$27*parametros_manuales!$J$27</f>
        <v>1083.110978677</v>
      </c>
      <c r="M94" s="14" t="n">
        <f aca="false">(parametros_manuales!$D$27*('Plan mensual'!O35+IF(parametros_manuales!$H$27="Todos",'Plan mensual'!O39,0))+parametros_manuales!$E$27*('Plan mensual'!O36+IF(parametros_manuales!$H$27="Todos",'Plan mensual'!O40,0))+parametros_manuales!$F$27*('Plan mensual'!O37+IF(parametros_manuales!$H$27="Todos",'Plan mensual'!O41,0))+parametros_manuales!$G$27*('Plan mensual'!O38+IF(parametros_manuales!$H$27="Todos",'Plan mensual'!O42,0)))*parametros_manuales!$I$27*parametros_manuales!$J$27</f>
        <v>1702.031537921</v>
      </c>
      <c r="N94" s="14" t="n">
        <f aca="false">SUM(B94:M94)</f>
        <v>15473.0139811</v>
      </c>
      <c r="O94" s="14" t="n">
        <f aca="false">MAX(B94:M94)</f>
        <v>1702.031537921</v>
      </c>
      <c r="P94" s="57" t="n">
        <f aca="false">O94/(parametros_manuales!$B$7)</f>
        <v>11.3468769194733</v>
      </c>
      <c r="Q94" s="13" t="str">
        <f aca="false">IF(O94=0,"-",INDEX($B$85:$M$85,MATCH(O94,B94:M94,0)))</f>
        <v>Dic</v>
      </c>
    </row>
    <row r="95" customFormat="false" ht="14.25" hidden="false" customHeight="true" outlineLevel="0" collapsed="false">
      <c r="A95" s="13" t="str">
        <f aca="false">parametros_manuales!$B$28</f>
        <v>Soldadura longitudinal TIG — 1 kg</v>
      </c>
      <c r="B95" s="14" t="n">
        <f aca="false">(parametros_manuales!$D$28*('Plan mensual'!D35+IF(parametros_manuales!$H$28="Todos",'Plan mensual'!D39,0))+parametros_manuales!$E$28*('Plan mensual'!D36+IF(parametros_manuales!$H$28="Todos",'Plan mensual'!D40,0))+parametros_manuales!$F$28*('Plan mensual'!D37+IF(parametros_manuales!$H$28="Todos",'Plan mensual'!D41,0))+parametros_manuales!$G$28*('Plan mensual'!D38+IF(parametros_manuales!$H$28="Todos",'Plan mensual'!D42,0)))*parametros_manuales!$I$28*parametros_manuales!$J$28</f>
        <v>4219.43226588</v>
      </c>
      <c r="C95" s="14" t="n">
        <f aca="false">(parametros_manuales!$D$28*('Plan mensual'!E35+IF(parametros_manuales!$H$28="Todos",'Plan mensual'!E39,0))+parametros_manuales!$E$28*('Plan mensual'!E36+IF(parametros_manuales!$H$28="Todos",'Plan mensual'!E40,0))+parametros_manuales!$F$28*('Plan mensual'!E37+IF(parametros_manuales!$H$28="Todos",'Plan mensual'!E41,0))+parametros_manuales!$G$28*('Plan mensual'!E38+IF(parametros_manuales!$H$28="Todos",'Plan mensual'!E42,0)))*parametros_manuales!$I$28*parametros_manuales!$J$28</f>
        <v>3164.57419941</v>
      </c>
      <c r="D95" s="14" t="n">
        <f aca="false">(parametros_manuales!$D$28*('Plan mensual'!F35+IF(parametros_manuales!$H$28="Todos",'Plan mensual'!F39,0))+parametros_manuales!$E$28*('Plan mensual'!F36+IF(parametros_manuales!$H$28="Todos",'Plan mensual'!F40,0))+parametros_manuales!$F$28*('Plan mensual'!F37+IF(parametros_manuales!$H$28="Todos",'Plan mensual'!F41,0))+parametros_manuales!$G$28*('Plan mensual'!F38+IF(parametros_manuales!$H$28="Todos",'Plan mensual'!F42,0)))*parametros_manuales!$I$28*parametros_manuales!$J$28</f>
        <v>2812.95484392</v>
      </c>
      <c r="E95" s="14" t="n">
        <f aca="false">(parametros_manuales!$D$28*('Plan mensual'!G35+IF(parametros_manuales!$H$28="Todos",'Plan mensual'!G39,0))+parametros_manuales!$E$28*('Plan mensual'!G36+IF(parametros_manuales!$H$28="Todos",'Plan mensual'!G40,0))+parametros_manuales!$F$28*('Plan mensual'!G37+IF(parametros_manuales!$H$28="Todos",'Plan mensual'!G41,0))+parametros_manuales!$G$28*('Plan mensual'!G38+IF(parametros_manuales!$H$28="Todos",'Plan mensual'!G42,0)))*parametros_manuales!$I$28*parametros_manuales!$J$28</f>
        <v>2637.145166175</v>
      </c>
      <c r="F95" s="14" t="n">
        <f aca="false">(parametros_manuales!$D$28*('Plan mensual'!H35+IF(parametros_manuales!$H$28="Todos",'Plan mensual'!H39,0))+parametros_manuales!$E$28*('Plan mensual'!H36+IF(parametros_manuales!$H$28="Todos",'Plan mensual'!H40,0))+parametros_manuales!$F$28*('Plan mensual'!H37+IF(parametros_manuales!$H$28="Todos",'Plan mensual'!H41,0))+parametros_manuales!$G$28*('Plan mensual'!H38+IF(parametros_manuales!$H$28="Todos",'Plan mensual'!H42,0)))*parametros_manuales!$I$28*parametros_manuales!$J$28</f>
        <v>2461.33548843</v>
      </c>
      <c r="G95" s="14" t="n">
        <f aca="false">(parametros_manuales!$D$28*('Plan mensual'!I35+IF(parametros_manuales!$H$28="Todos",'Plan mensual'!I39,0))+parametros_manuales!$E$28*('Plan mensual'!I36+IF(parametros_manuales!$H$28="Todos",'Plan mensual'!I40,0))+parametros_manuales!$F$28*('Plan mensual'!I37+IF(parametros_manuales!$H$28="Todos",'Plan mensual'!I41,0))+parametros_manuales!$G$28*('Plan mensual'!I38+IF(parametros_manuales!$H$28="Todos",'Plan mensual'!I42,0)))*parametros_manuales!$I$28*parametros_manuales!$J$28</f>
        <v>2461.33548843</v>
      </c>
      <c r="H95" s="14" t="n">
        <f aca="false">(parametros_manuales!$D$28*('Plan mensual'!J35+IF(parametros_manuales!$H$28="Todos",'Plan mensual'!J39,0))+parametros_manuales!$E$28*('Plan mensual'!J36+IF(parametros_manuales!$H$28="Todos",'Plan mensual'!J40,0))+parametros_manuales!$F$28*('Plan mensual'!J37+IF(parametros_manuales!$H$28="Todos",'Plan mensual'!J41,0))+parametros_manuales!$G$28*('Plan mensual'!J38+IF(parametros_manuales!$H$28="Todos",'Plan mensual'!J42,0)))*parametros_manuales!$I$28*parametros_manuales!$J$28</f>
        <v>2637.145166175</v>
      </c>
      <c r="I95" s="14" t="n">
        <f aca="false">(parametros_manuales!$D$28*('Plan mensual'!K35+IF(parametros_manuales!$H$28="Todos",'Plan mensual'!K39,0))+parametros_manuales!$E$28*('Plan mensual'!K36+IF(parametros_manuales!$H$28="Todos",'Plan mensual'!K40,0))+parametros_manuales!$F$28*('Plan mensual'!K37+IF(parametros_manuales!$H$28="Todos",'Plan mensual'!K41,0))+parametros_manuales!$G$28*('Plan mensual'!K38+IF(parametros_manuales!$H$28="Todos",'Plan mensual'!K42,0)))*parametros_manuales!$I$28*parametros_manuales!$J$28</f>
        <v>2637.145166175</v>
      </c>
      <c r="J95" s="14" t="n">
        <f aca="false">(parametros_manuales!$D$28*('Plan mensual'!L35+IF(parametros_manuales!$H$28="Todos",'Plan mensual'!L39,0))+parametros_manuales!$E$28*('Plan mensual'!L36+IF(parametros_manuales!$H$28="Todos",'Plan mensual'!L40,0))+parametros_manuales!$F$28*('Plan mensual'!L37+IF(parametros_manuales!$H$28="Todos",'Plan mensual'!L41,0))+parametros_manuales!$G$28*('Plan mensual'!L38+IF(parametros_manuales!$H$28="Todos",'Plan mensual'!L42,0)))*parametros_manuales!$I$28*parametros_manuales!$J$28</f>
        <v>2637.145166175</v>
      </c>
      <c r="K95" s="14" t="n">
        <f aca="false">(parametros_manuales!$D$28*('Plan mensual'!M35+IF(parametros_manuales!$H$28="Todos",'Plan mensual'!M39,0))+parametros_manuales!$E$28*('Plan mensual'!M36+IF(parametros_manuales!$H$28="Todos",'Plan mensual'!M40,0))+parametros_manuales!$F$28*('Plan mensual'!M37+IF(parametros_manuales!$H$28="Todos",'Plan mensual'!M41,0))+parametros_manuales!$G$28*('Plan mensual'!M38+IF(parametros_manuales!$H$28="Todos",'Plan mensual'!M42,0)))*parametros_manuales!$I$28*parametros_manuales!$J$28</f>
        <v>2637.145166175</v>
      </c>
      <c r="L95" s="14" t="n">
        <f aca="false">(parametros_manuales!$D$28*('Plan mensual'!N35+IF(parametros_manuales!$H$28="Todos",'Plan mensual'!N39,0))+parametros_manuales!$E$28*('Plan mensual'!N36+IF(parametros_manuales!$H$28="Todos",'Plan mensual'!N40,0))+parametros_manuales!$F$28*('Plan mensual'!N37+IF(parametros_manuales!$H$28="Todos",'Plan mensual'!N41,0))+parametros_manuales!$G$28*('Plan mensual'!N38+IF(parametros_manuales!$H$28="Todos",'Plan mensual'!N42,0)))*parametros_manuales!$I$28*parametros_manuales!$J$28</f>
        <v>2637.145166175</v>
      </c>
      <c r="M95" s="14" t="n">
        <f aca="false">(parametros_manuales!$D$28*('Plan mensual'!O35+IF(parametros_manuales!$H$28="Todos",'Plan mensual'!O39,0))+parametros_manuales!$E$28*('Plan mensual'!O36+IF(parametros_manuales!$H$28="Todos",'Plan mensual'!O40,0))+parametros_manuales!$F$28*('Plan mensual'!O37+IF(parametros_manuales!$H$28="Todos",'Plan mensual'!O41,0))+parametros_manuales!$G$28*('Plan mensual'!O38+IF(parametros_manuales!$H$28="Todos",'Plan mensual'!O42,0)))*parametros_manuales!$I$28*parametros_manuales!$J$28</f>
        <v>4219.43226588</v>
      </c>
      <c r="N95" s="14" t="n">
        <f aca="false">SUM(B95:M95)</f>
        <v>35161.935549</v>
      </c>
      <c r="O95" s="14" t="n">
        <f aca="false">MAX(B95:M95)</f>
        <v>4219.43226588</v>
      </c>
      <c r="P95" s="57" t="n">
        <f aca="false">O95/(parametros_manuales!$B$7)</f>
        <v>28.1295484392</v>
      </c>
      <c r="Q95" s="13" t="str">
        <f aca="false">IF(O95=0,"-",INDEX($B$85:$M$85,MATCH(O95,B95:M95,0)))</f>
        <v>Ene</v>
      </c>
    </row>
    <row r="96" customFormat="false" ht="14.25" hidden="false" customHeight="true" outlineLevel="0" collapsed="false">
      <c r="A96" s="13" t="str">
        <f aca="false">parametros_manuales!$B$29</f>
        <v>Encastre de fondo</v>
      </c>
      <c r="B96" s="14" t="n">
        <f aca="false">(parametros_manuales!$D$29*('Plan mensual'!D35+IF(parametros_manuales!$H$29="Todos",'Plan mensual'!D39,0))+parametros_manuales!$E$29*('Plan mensual'!D36+IF(parametros_manuales!$H$29="Todos",'Plan mensual'!D40,0))+parametros_manuales!$F$29*('Plan mensual'!D37+IF(parametros_manuales!$H$29="Todos",'Plan mensual'!D41,0))+parametros_manuales!$G$29*('Plan mensual'!D38+IF(parametros_manuales!$H$29="Todos",'Plan mensual'!D42,0)))*parametros_manuales!$I$29*parametros_manuales!$J$29</f>
        <v>5766.73366399</v>
      </c>
      <c r="C96" s="14" t="n">
        <f aca="false">(parametros_manuales!$D$29*('Plan mensual'!E35+IF(parametros_manuales!$H$29="Todos",'Plan mensual'!E39,0))+parametros_manuales!$E$29*('Plan mensual'!E36+IF(parametros_manuales!$H$29="Todos",'Plan mensual'!E40,0))+parametros_manuales!$F$29*('Plan mensual'!E37+IF(parametros_manuales!$H$29="Todos",'Plan mensual'!E41,0))+parametros_manuales!$G$29*('Plan mensual'!E38+IF(parametros_manuales!$H$29="Todos",'Plan mensual'!E42,0)))*parametros_manuales!$I$29*parametros_manuales!$J$29</f>
        <v>4402.415317898</v>
      </c>
      <c r="D96" s="14" t="n">
        <f aca="false">(parametros_manuales!$D$29*('Plan mensual'!F35+IF(parametros_manuales!$H$29="Todos",'Plan mensual'!F39,0))+parametros_manuales!$E$29*('Plan mensual'!F36+IF(parametros_manuales!$H$29="Todos",'Plan mensual'!F40,0))+parametros_manuales!$F$29*('Plan mensual'!F37+IF(parametros_manuales!$H$29="Todos",'Plan mensual'!F41,0))+parametros_manuales!$G$29*('Plan mensual'!F38+IF(parametros_manuales!$H$29="Todos",'Plan mensual'!F42,0)))*parametros_manuales!$I$29*parametros_manuales!$J$29</f>
        <v>4128.1610323135</v>
      </c>
      <c r="E96" s="14" t="n">
        <f aca="false">(parametros_manuales!$D$29*('Plan mensual'!G35+IF(parametros_manuales!$H$29="Todos",'Plan mensual'!G39,0))+parametros_manuales!$E$29*('Plan mensual'!G36+IF(parametros_manuales!$H$29="Todos",'Plan mensual'!G40,0))+parametros_manuales!$F$29*('Plan mensual'!G37+IF(parametros_manuales!$H$29="Todos",'Plan mensual'!G41,0))+parametros_manuales!$G$29*('Plan mensual'!G38+IF(parametros_manuales!$H$29="Todos",'Plan mensual'!G42,0)))*parametros_manuales!$I$29*parametros_manuales!$J$29</f>
        <v>3952.3513545685</v>
      </c>
      <c r="F96" s="14" t="n">
        <f aca="false">(parametros_manuales!$D$29*('Plan mensual'!H35+IF(parametros_manuales!$H$29="Todos",'Plan mensual'!H39,0))+parametros_manuales!$E$29*('Plan mensual'!H36+IF(parametros_manuales!$H$29="Todos",'Plan mensual'!H40,0))+parametros_manuales!$F$29*('Plan mensual'!H37+IF(parametros_manuales!$H$29="Todos",'Plan mensual'!H41,0))+parametros_manuales!$G$29*('Plan mensual'!H38+IF(parametros_manuales!$H$29="Todos",'Plan mensual'!H42,0)))*parametros_manuales!$I$29*parametros_manuales!$J$29</f>
        <v>3699.176606918</v>
      </c>
      <c r="G96" s="14" t="n">
        <f aca="false">(parametros_manuales!$D$29*('Plan mensual'!I35+IF(parametros_manuales!$H$29="Todos",'Plan mensual'!I39,0))+parametros_manuales!$E$29*('Plan mensual'!I36+IF(parametros_manuales!$H$29="Todos",'Plan mensual'!I40,0))+parametros_manuales!$F$29*('Plan mensual'!I37+IF(parametros_manuales!$H$29="Todos",'Plan mensual'!I41,0))+parametros_manuales!$G$29*('Plan mensual'!I38+IF(parametros_manuales!$H$29="Todos",'Plan mensual'!I42,0)))*parametros_manuales!$I$29*parametros_manuales!$J$29</f>
        <v>3621.8115370125</v>
      </c>
      <c r="H96" s="14" t="n">
        <f aca="false">(parametros_manuales!$D$29*('Plan mensual'!J35+IF(parametros_manuales!$H$29="Todos",'Plan mensual'!J39,0))+parametros_manuales!$E$29*('Plan mensual'!J36+IF(parametros_manuales!$H$29="Todos",'Plan mensual'!J40,0))+parametros_manuales!$F$29*('Plan mensual'!J37+IF(parametros_manuales!$H$29="Todos",'Plan mensual'!J41,0))+parametros_manuales!$G$29*('Plan mensual'!J38+IF(parametros_manuales!$H$29="Todos",'Plan mensual'!J42,0)))*parametros_manuales!$I$29*parametros_manuales!$J$29</f>
        <v>3874.986284663</v>
      </c>
      <c r="I96" s="14" t="n">
        <f aca="false">(parametros_manuales!$D$29*('Plan mensual'!K35+IF(parametros_manuales!$H$29="Todos",'Plan mensual'!K39,0))+parametros_manuales!$E$29*('Plan mensual'!K36+IF(parametros_manuales!$H$29="Todos",'Plan mensual'!K40,0))+parametros_manuales!$F$29*('Plan mensual'!K37+IF(parametros_manuales!$H$29="Todos",'Plan mensual'!K41,0))+parametros_manuales!$G$29*('Plan mensual'!K38+IF(parametros_manuales!$H$29="Todos",'Plan mensual'!K42,0)))*parametros_manuales!$I$29*parametros_manuales!$J$29</f>
        <v>3874.986284663</v>
      </c>
      <c r="J96" s="14" t="n">
        <f aca="false">(parametros_manuales!$D$29*('Plan mensual'!L35+IF(parametros_manuales!$H$29="Todos",'Plan mensual'!L39,0))+parametros_manuales!$E$29*('Plan mensual'!L36+IF(parametros_manuales!$H$29="Todos",'Plan mensual'!L40,0))+parametros_manuales!$F$29*('Plan mensual'!L37+IF(parametros_manuales!$H$29="Todos",'Plan mensual'!L41,0))+parametros_manuales!$G$29*('Plan mensual'!L38+IF(parametros_manuales!$H$29="Todos",'Plan mensual'!L42,0)))*parametros_manuales!$I$29*parametros_manuales!$J$29</f>
        <v>3874.986284663</v>
      </c>
      <c r="K96" s="14" t="n">
        <f aca="false">(parametros_manuales!$D$29*('Plan mensual'!M35+IF(parametros_manuales!$H$29="Todos",'Plan mensual'!M39,0))+parametros_manuales!$E$29*('Plan mensual'!M36+IF(parametros_manuales!$H$29="Todos",'Plan mensual'!M40,0))+parametros_manuales!$F$29*('Plan mensual'!M37+IF(parametros_manuales!$H$29="Todos",'Plan mensual'!M41,0))+parametros_manuales!$G$29*('Plan mensual'!M38+IF(parametros_manuales!$H$29="Todos",'Plan mensual'!M42,0)))*parametros_manuales!$I$29*parametros_manuales!$J$29</f>
        <v>3797.6212147575</v>
      </c>
      <c r="L96" s="14" t="n">
        <f aca="false">(parametros_manuales!$D$29*('Plan mensual'!N35+IF(parametros_manuales!$H$29="Todos",'Plan mensual'!N39,0))+parametros_manuales!$E$29*('Plan mensual'!N36+IF(parametros_manuales!$H$29="Todos",'Plan mensual'!N40,0))+parametros_manuales!$F$29*('Plan mensual'!N37+IF(parametros_manuales!$H$29="Todos",'Plan mensual'!N41,0))+parametros_manuales!$G$29*('Plan mensual'!N38+IF(parametros_manuales!$H$29="Todos",'Plan mensual'!N42,0)))*parametros_manuales!$I$29*parametros_manuales!$J$29</f>
        <v>3720.256144852</v>
      </c>
      <c r="M96" s="14" t="n">
        <f aca="false">(parametros_manuales!$D$29*('Plan mensual'!O35+IF(parametros_manuales!$H$29="Todos",'Plan mensual'!O39,0))+parametros_manuales!$E$29*('Plan mensual'!O36+IF(parametros_manuales!$H$29="Todos",'Plan mensual'!O40,0))+parametros_manuales!$F$29*('Plan mensual'!O37+IF(parametros_manuales!$H$29="Todos",'Plan mensual'!O41,0))+parametros_manuales!$G$29*('Plan mensual'!O38+IF(parametros_manuales!$H$29="Todos",'Plan mensual'!O42,0)))*parametros_manuales!$I$29*parametros_manuales!$J$29</f>
        <v>5921.463803801</v>
      </c>
      <c r="N96" s="14" t="n">
        <f aca="false">SUM(B96:M96)</f>
        <v>50634.9495301</v>
      </c>
      <c r="O96" s="14" t="n">
        <f aca="false">MAX(B96:M96)</f>
        <v>5921.463803801</v>
      </c>
      <c r="P96" s="57" t="n">
        <f aca="false">O96/(parametros_manuales!$B$7)</f>
        <v>39.4764253586733</v>
      </c>
      <c r="Q96" s="13" t="str">
        <f aca="false">IF(O96=0,"-",INDEX($B$85:$M$85,MATCH(O96,B96:M96,0)))</f>
        <v>Dic</v>
      </c>
    </row>
    <row r="97" customFormat="false" ht="14.25" hidden="false" customHeight="true" outlineLevel="0" collapsed="false">
      <c r="A97" s="13" t="str">
        <f aca="false">parametros_manuales!$B$30</f>
        <v>Bordoneado</v>
      </c>
      <c r="B97" s="14" t="n">
        <f aca="false">(parametros_manuales!$D$30*('Plan mensual'!D35+IF(parametros_manuales!$H$30="Todos",'Plan mensual'!D39,0))+parametros_manuales!$E$30*('Plan mensual'!D36+IF(parametros_manuales!$H$30="Todos",'Plan mensual'!D40,0))+parametros_manuales!$F$30*('Plan mensual'!D37+IF(parametros_manuales!$H$30="Todos",'Plan mensual'!D41,0))+parametros_manuales!$G$30*('Plan mensual'!D38+IF(parametros_manuales!$H$30="Todos",'Plan mensual'!D42,0)))*parametros_manuales!$I$30*parametros_manuales!$J$30</f>
        <v>5766.73366399</v>
      </c>
      <c r="C97" s="14" t="n">
        <f aca="false">(parametros_manuales!$D$30*('Plan mensual'!E35+IF(parametros_manuales!$H$30="Todos",'Plan mensual'!E39,0))+parametros_manuales!$E$30*('Plan mensual'!E36+IF(parametros_manuales!$H$30="Todos",'Plan mensual'!E40,0))+parametros_manuales!$F$30*('Plan mensual'!E37+IF(parametros_manuales!$H$30="Todos",'Plan mensual'!E41,0))+parametros_manuales!$G$30*('Plan mensual'!E38+IF(parametros_manuales!$H$30="Todos",'Plan mensual'!E42,0)))*parametros_manuales!$I$30*parametros_manuales!$J$30</f>
        <v>4402.415317898</v>
      </c>
      <c r="D97" s="14" t="n">
        <f aca="false">(parametros_manuales!$D$30*('Plan mensual'!F35+IF(parametros_manuales!$H$30="Todos",'Plan mensual'!F39,0))+parametros_manuales!$E$30*('Plan mensual'!F36+IF(parametros_manuales!$H$30="Todos",'Plan mensual'!F40,0))+parametros_manuales!$F$30*('Plan mensual'!F37+IF(parametros_manuales!$H$30="Todos",'Plan mensual'!F41,0))+parametros_manuales!$G$30*('Plan mensual'!F38+IF(parametros_manuales!$H$30="Todos",'Plan mensual'!F42,0)))*parametros_manuales!$I$30*parametros_manuales!$J$30</f>
        <v>4128.1610323135</v>
      </c>
      <c r="E97" s="14" t="n">
        <f aca="false">(parametros_manuales!$D$30*('Plan mensual'!G35+IF(parametros_manuales!$H$30="Todos",'Plan mensual'!G39,0))+parametros_manuales!$E$30*('Plan mensual'!G36+IF(parametros_manuales!$H$30="Todos",'Plan mensual'!G40,0))+parametros_manuales!$F$30*('Plan mensual'!G37+IF(parametros_manuales!$H$30="Todos",'Plan mensual'!G41,0))+parametros_manuales!$G$30*('Plan mensual'!G38+IF(parametros_manuales!$H$30="Todos",'Plan mensual'!G42,0)))*parametros_manuales!$I$30*parametros_manuales!$J$30</f>
        <v>3952.3513545685</v>
      </c>
      <c r="F97" s="14" t="n">
        <f aca="false">(parametros_manuales!$D$30*('Plan mensual'!H35+IF(parametros_manuales!$H$30="Todos",'Plan mensual'!H39,0))+parametros_manuales!$E$30*('Plan mensual'!H36+IF(parametros_manuales!$H$30="Todos",'Plan mensual'!H40,0))+parametros_manuales!$F$30*('Plan mensual'!H37+IF(parametros_manuales!$H$30="Todos",'Plan mensual'!H41,0))+parametros_manuales!$G$30*('Plan mensual'!H38+IF(parametros_manuales!$H$30="Todos",'Plan mensual'!H42,0)))*parametros_manuales!$I$30*parametros_manuales!$J$30</f>
        <v>3699.176606918</v>
      </c>
      <c r="G97" s="14" t="n">
        <f aca="false">(parametros_manuales!$D$30*('Plan mensual'!I35+IF(parametros_manuales!$H$30="Todos",'Plan mensual'!I39,0))+parametros_manuales!$E$30*('Plan mensual'!I36+IF(parametros_manuales!$H$30="Todos",'Plan mensual'!I40,0))+parametros_manuales!$F$30*('Plan mensual'!I37+IF(parametros_manuales!$H$30="Todos",'Plan mensual'!I41,0))+parametros_manuales!$G$30*('Plan mensual'!I38+IF(parametros_manuales!$H$30="Todos",'Plan mensual'!I42,0)))*parametros_manuales!$I$30*parametros_manuales!$J$30</f>
        <v>3621.8115370125</v>
      </c>
      <c r="H97" s="14" t="n">
        <f aca="false">(parametros_manuales!$D$30*('Plan mensual'!J35+IF(parametros_manuales!$H$30="Todos",'Plan mensual'!J39,0))+parametros_manuales!$E$30*('Plan mensual'!J36+IF(parametros_manuales!$H$30="Todos",'Plan mensual'!J40,0))+parametros_manuales!$F$30*('Plan mensual'!J37+IF(parametros_manuales!$H$30="Todos",'Plan mensual'!J41,0))+parametros_manuales!$G$30*('Plan mensual'!J38+IF(parametros_manuales!$H$30="Todos",'Plan mensual'!J42,0)))*parametros_manuales!$I$30*parametros_manuales!$J$30</f>
        <v>3874.986284663</v>
      </c>
      <c r="I97" s="14" t="n">
        <f aca="false">(parametros_manuales!$D$30*('Plan mensual'!K35+IF(parametros_manuales!$H$30="Todos",'Plan mensual'!K39,0))+parametros_manuales!$E$30*('Plan mensual'!K36+IF(parametros_manuales!$H$30="Todos",'Plan mensual'!K40,0))+parametros_manuales!$F$30*('Plan mensual'!K37+IF(parametros_manuales!$H$30="Todos",'Plan mensual'!K41,0))+parametros_manuales!$G$30*('Plan mensual'!K38+IF(parametros_manuales!$H$30="Todos",'Plan mensual'!K42,0)))*parametros_manuales!$I$30*parametros_manuales!$J$30</f>
        <v>3874.986284663</v>
      </c>
      <c r="J97" s="14" t="n">
        <f aca="false">(parametros_manuales!$D$30*('Plan mensual'!L35+IF(parametros_manuales!$H$30="Todos",'Plan mensual'!L39,0))+parametros_manuales!$E$30*('Plan mensual'!L36+IF(parametros_manuales!$H$30="Todos",'Plan mensual'!L40,0))+parametros_manuales!$F$30*('Plan mensual'!L37+IF(parametros_manuales!$H$30="Todos",'Plan mensual'!L41,0))+parametros_manuales!$G$30*('Plan mensual'!L38+IF(parametros_manuales!$H$30="Todos",'Plan mensual'!L42,0)))*parametros_manuales!$I$30*parametros_manuales!$J$30</f>
        <v>3874.986284663</v>
      </c>
      <c r="K97" s="14" t="n">
        <f aca="false">(parametros_manuales!$D$30*('Plan mensual'!M35+IF(parametros_manuales!$H$30="Todos",'Plan mensual'!M39,0))+parametros_manuales!$E$30*('Plan mensual'!M36+IF(parametros_manuales!$H$30="Todos",'Plan mensual'!M40,0))+parametros_manuales!$F$30*('Plan mensual'!M37+IF(parametros_manuales!$H$30="Todos",'Plan mensual'!M41,0))+parametros_manuales!$G$30*('Plan mensual'!M38+IF(parametros_manuales!$H$30="Todos",'Plan mensual'!M42,0)))*parametros_manuales!$I$30*parametros_manuales!$J$30</f>
        <v>3797.6212147575</v>
      </c>
      <c r="L97" s="14" t="n">
        <f aca="false">(parametros_manuales!$D$30*('Plan mensual'!N35+IF(parametros_manuales!$H$30="Todos",'Plan mensual'!N39,0))+parametros_manuales!$E$30*('Plan mensual'!N36+IF(parametros_manuales!$H$30="Todos",'Plan mensual'!N40,0))+parametros_manuales!$F$30*('Plan mensual'!N37+IF(parametros_manuales!$H$30="Todos",'Plan mensual'!N41,0))+parametros_manuales!$G$30*('Plan mensual'!N38+IF(parametros_manuales!$H$30="Todos",'Plan mensual'!N42,0)))*parametros_manuales!$I$30*parametros_manuales!$J$30</f>
        <v>3720.256144852</v>
      </c>
      <c r="M97" s="14" t="n">
        <f aca="false">(parametros_manuales!$D$30*('Plan mensual'!O35+IF(parametros_manuales!$H$30="Todos",'Plan mensual'!O39,0))+parametros_manuales!$E$30*('Plan mensual'!O36+IF(parametros_manuales!$H$30="Todos",'Plan mensual'!O40,0))+parametros_manuales!$F$30*('Plan mensual'!O37+IF(parametros_manuales!$H$30="Todos",'Plan mensual'!O41,0))+parametros_manuales!$G$30*('Plan mensual'!O38+IF(parametros_manuales!$H$30="Todos",'Plan mensual'!O42,0)))*parametros_manuales!$I$30*parametros_manuales!$J$30</f>
        <v>5921.463803801</v>
      </c>
      <c r="N97" s="14" t="n">
        <f aca="false">SUM(B97:M97)</f>
        <v>50634.9495301</v>
      </c>
      <c r="O97" s="14" t="n">
        <f aca="false">MAX(B97:M97)</f>
        <v>5921.463803801</v>
      </c>
      <c r="P97" s="57" t="n">
        <f aca="false">O97/(parametros_manuales!$B$7)</f>
        <v>39.4764253586733</v>
      </c>
      <c r="Q97" s="13" t="str">
        <f aca="false">IF(O97=0,"-",INDEX($B$85:$M$85,MATCH(O97,B97:M97,0)))</f>
        <v>Dic</v>
      </c>
    </row>
    <row r="98" customFormat="false" ht="14.25" hidden="false" customHeight="true" outlineLevel="0" collapsed="false">
      <c r="A98" s="13" t="str">
        <f aca="false">parametros_manuales!$B$31</f>
        <v>Soldadura circunferencial de cúpula y fondo</v>
      </c>
      <c r="B98" s="14" t="n">
        <f aca="false">(parametros_manuales!$D$31*('Plan mensual'!D35+IF(parametros_manuales!$H$31="Todos",'Plan mensual'!D39,0))+parametros_manuales!$E$31*('Plan mensual'!D36+IF(parametros_manuales!$H$31="Todos",'Plan mensual'!D40,0))+parametros_manuales!$F$31*('Plan mensual'!D37+IF(parametros_manuales!$H$31="Todos",'Plan mensual'!D41,0))+parametros_manuales!$G$31*('Plan mensual'!D38+IF(parametros_manuales!$H$31="Todos",'Plan mensual'!D42,0)))*parametros_manuales!$I$31*parametros_manuales!$J$31</f>
        <v>5766.73366399</v>
      </c>
      <c r="C98" s="14" t="n">
        <f aca="false">(parametros_manuales!$D$31*('Plan mensual'!E35+IF(parametros_manuales!$H$31="Todos",'Plan mensual'!E39,0))+parametros_manuales!$E$31*('Plan mensual'!E36+IF(parametros_manuales!$H$31="Todos",'Plan mensual'!E40,0))+parametros_manuales!$F$31*('Plan mensual'!E37+IF(parametros_manuales!$H$31="Todos",'Plan mensual'!E41,0))+parametros_manuales!$G$31*('Plan mensual'!E38+IF(parametros_manuales!$H$31="Todos",'Plan mensual'!E42,0)))*parametros_manuales!$I$31*parametros_manuales!$J$31</f>
        <v>4402.415317898</v>
      </c>
      <c r="D98" s="14" t="n">
        <f aca="false">(parametros_manuales!$D$31*('Plan mensual'!F35+IF(parametros_manuales!$H$31="Todos",'Plan mensual'!F39,0))+parametros_manuales!$E$31*('Plan mensual'!F36+IF(parametros_manuales!$H$31="Todos",'Plan mensual'!F40,0))+parametros_manuales!$F$31*('Plan mensual'!F37+IF(parametros_manuales!$H$31="Todos",'Plan mensual'!F41,0))+parametros_manuales!$G$31*('Plan mensual'!F38+IF(parametros_manuales!$H$31="Todos",'Plan mensual'!F42,0)))*parametros_manuales!$I$31*parametros_manuales!$J$31</f>
        <v>4128.1610323135</v>
      </c>
      <c r="E98" s="14" t="n">
        <f aca="false">(parametros_manuales!$D$31*('Plan mensual'!G35+IF(parametros_manuales!$H$31="Todos",'Plan mensual'!G39,0))+parametros_manuales!$E$31*('Plan mensual'!G36+IF(parametros_manuales!$H$31="Todos",'Plan mensual'!G40,0))+parametros_manuales!$F$31*('Plan mensual'!G37+IF(parametros_manuales!$H$31="Todos",'Plan mensual'!G41,0))+parametros_manuales!$G$31*('Plan mensual'!G38+IF(parametros_manuales!$H$31="Todos",'Plan mensual'!G42,0)))*parametros_manuales!$I$31*parametros_manuales!$J$31</f>
        <v>3952.3513545685</v>
      </c>
      <c r="F98" s="14" t="n">
        <f aca="false">(parametros_manuales!$D$31*('Plan mensual'!H35+IF(parametros_manuales!$H$31="Todos",'Plan mensual'!H39,0))+parametros_manuales!$E$31*('Plan mensual'!H36+IF(parametros_manuales!$H$31="Todos",'Plan mensual'!H40,0))+parametros_manuales!$F$31*('Plan mensual'!H37+IF(parametros_manuales!$H$31="Todos",'Plan mensual'!H41,0))+parametros_manuales!$G$31*('Plan mensual'!H38+IF(parametros_manuales!$H$31="Todos",'Plan mensual'!H42,0)))*parametros_manuales!$I$31*parametros_manuales!$J$31</f>
        <v>3699.176606918</v>
      </c>
      <c r="G98" s="14" t="n">
        <f aca="false">(parametros_manuales!$D$31*('Plan mensual'!I35+IF(parametros_manuales!$H$31="Todos",'Plan mensual'!I39,0))+parametros_manuales!$E$31*('Plan mensual'!I36+IF(parametros_manuales!$H$31="Todos",'Plan mensual'!I40,0))+parametros_manuales!$F$31*('Plan mensual'!I37+IF(parametros_manuales!$H$31="Todos",'Plan mensual'!I41,0))+parametros_manuales!$G$31*('Plan mensual'!I38+IF(parametros_manuales!$H$31="Todos",'Plan mensual'!I42,0)))*parametros_manuales!$I$31*parametros_manuales!$J$31</f>
        <v>3621.8115370125</v>
      </c>
      <c r="H98" s="14" t="n">
        <f aca="false">(parametros_manuales!$D$31*('Plan mensual'!J35+IF(parametros_manuales!$H$31="Todos",'Plan mensual'!J39,0))+parametros_manuales!$E$31*('Plan mensual'!J36+IF(parametros_manuales!$H$31="Todos",'Plan mensual'!J40,0))+parametros_manuales!$F$31*('Plan mensual'!J37+IF(parametros_manuales!$H$31="Todos",'Plan mensual'!J41,0))+parametros_manuales!$G$31*('Plan mensual'!J38+IF(parametros_manuales!$H$31="Todos",'Plan mensual'!J42,0)))*parametros_manuales!$I$31*parametros_manuales!$J$31</f>
        <v>3874.986284663</v>
      </c>
      <c r="I98" s="14" t="n">
        <f aca="false">(parametros_manuales!$D$31*('Plan mensual'!K35+IF(parametros_manuales!$H$31="Todos",'Plan mensual'!K39,0))+parametros_manuales!$E$31*('Plan mensual'!K36+IF(parametros_manuales!$H$31="Todos",'Plan mensual'!K40,0))+parametros_manuales!$F$31*('Plan mensual'!K37+IF(parametros_manuales!$H$31="Todos",'Plan mensual'!K41,0))+parametros_manuales!$G$31*('Plan mensual'!K38+IF(parametros_manuales!$H$31="Todos",'Plan mensual'!K42,0)))*parametros_manuales!$I$31*parametros_manuales!$J$31</f>
        <v>3874.986284663</v>
      </c>
      <c r="J98" s="14" t="n">
        <f aca="false">(parametros_manuales!$D$31*('Plan mensual'!L35+IF(parametros_manuales!$H$31="Todos",'Plan mensual'!L39,0))+parametros_manuales!$E$31*('Plan mensual'!L36+IF(parametros_manuales!$H$31="Todos",'Plan mensual'!L40,0))+parametros_manuales!$F$31*('Plan mensual'!L37+IF(parametros_manuales!$H$31="Todos",'Plan mensual'!L41,0))+parametros_manuales!$G$31*('Plan mensual'!L38+IF(parametros_manuales!$H$31="Todos",'Plan mensual'!L42,0)))*parametros_manuales!$I$31*parametros_manuales!$J$31</f>
        <v>3874.986284663</v>
      </c>
      <c r="K98" s="14" t="n">
        <f aca="false">(parametros_manuales!$D$31*('Plan mensual'!M35+IF(parametros_manuales!$H$31="Todos",'Plan mensual'!M39,0))+parametros_manuales!$E$31*('Plan mensual'!M36+IF(parametros_manuales!$H$31="Todos",'Plan mensual'!M40,0))+parametros_manuales!$F$31*('Plan mensual'!M37+IF(parametros_manuales!$H$31="Todos",'Plan mensual'!M41,0))+parametros_manuales!$G$31*('Plan mensual'!M38+IF(parametros_manuales!$H$31="Todos",'Plan mensual'!M42,0)))*parametros_manuales!$I$31*parametros_manuales!$J$31</f>
        <v>3797.6212147575</v>
      </c>
      <c r="L98" s="14" t="n">
        <f aca="false">(parametros_manuales!$D$31*('Plan mensual'!N35+IF(parametros_manuales!$H$31="Todos",'Plan mensual'!N39,0))+parametros_manuales!$E$31*('Plan mensual'!N36+IF(parametros_manuales!$H$31="Todos",'Plan mensual'!N40,0))+parametros_manuales!$F$31*('Plan mensual'!N37+IF(parametros_manuales!$H$31="Todos",'Plan mensual'!N41,0))+parametros_manuales!$G$31*('Plan mensual'!N38+IF(parametros_manuales!$H$31="Todos",'Plan mensual'!N42,0)))*parametros_manuales!$I$31*parametros_manuales!$J$31</f>
        <v>3720.256144852</v>
      </c>
      <c r="M98" s="14" t="n">
        <f aca="false">(parametros_manuales!$D$31*('Plan mensual'!O35+IF(parametros_manuales!$H$31="Todos",'Plan mensual'!O39,0))+parametros_manuales!$E$31*('Plan mensual'!O36+IF(parametros_manuales!$H$31="Todos",'Plan mensual'!O40,0))+parametros_manuales!$F$31*('Plan mensual'!O37+IF(parametros_manuales!$H$31="Todos",'Plan mensual'!O41,0))+parametros_manuales!$G$31*('Plan mensual'!O38+IF(parametros_manuales!$H$31="Todos",'Plan mensual'!O42,0)))*parametros_manuales!$I$31*parametros_manuales!$J$31</f>
        <v>5921.463803801</v>
      </c>
      <c r="N98" s="14" t="n">
        <f aca="false">SUM(B98:M98)</f>
        <v>50634.9495301</v>
      </c>
      <c r="O98" s="14" t="n">
        <f aca="false">MAX(B98:M98)</f>
        <v>5921.463803801</v>
      </c>
      <c r="P98" s="57" t="n">
        <f aca="false">O98/(parametros_manuales!$B$7)</f>
        <v>39.4764253586733</v>
      </c>
      <c r="Q98" s="13" t="str">
        <f aca="false">IF(O98=0,"-",INDEX($B$85:$M$85,MATCH(O98,B98:M98,0)))</f>
        <v>Dic</v>
      </c>
    </row>
    <row r="99" customFormat="false" ht="14.25" hidden="false" customHeight="true" outlineLevel="0" collapsed="false">
      <c r="A99" s="13" t="str">
        <f aca="false">parametros_manuales!$B$32</f>
        <v>Control de calidad — Espesor</v>
      </c>
      <c r="B99" s="14" t="n">
        <f aca="false">(parametros_manuales!$D$32*('Plan mensual'!D35+IF(parametros_manuales!$H$32="Todos",'Plan mensual'!D39,0))+parametros_manuales!$E$32*('Plan mensual'!D36+IF(parametros_manuales!$H$32="Todos",'Plan mensual'!D40,0))+parametros_manuales!$F$32*('Plan mensual'!D37+IF(parametros_manuales!$H$32="Todos",'Plan mensual'!D41,0))+parametros_manuales!$G$32*('Plan mensual'!D38+IF(parametros_manuales!$H$32="Todos",'Plan mensual'!D42,0)))*parametros_manuales!$I$32*parametros_manuales!$J$32</f>
        <v>115.3346732798</v>
      </c>
      <c r="C99" s="14" t="n">
        <f aca="false">(parametros_manuales!$D$32*('Plan mensual'!E35+IF(parametros_manuales!$H$32="Todos",'Plan mensual'!E39,0))+parametros_manuales!$E$32*('Plan mensual'!E36+IF(parametros_manuales!$H$32="Todos",'Plan mensual'!E40,0))+parametros_manuales!$F$32*('Plan mensual'!E37+IF(parametros_manuales!$H$32="Todos",'Plan mensual'!E41,0))+parametros_manuales!$G$32*('Plan mensual'!E38+IF(parametros_manuales!$H$32="Todos",'Plan mensual'!E42,0)))*parametros_manuales!$I$32*parametros_manuales!$J$32</f>
        <v>88.04830635796</v>
      </c>
      <c r="D99" s="14" t="n">
        <f aca="false">(parametros_manuales!$D$32*('Plan mensual'!F35+IF(parametros_manuales!$H$32="Todos",'Plan mensual'!F39,0))+parametros_manuales!$E$32*('Plan mensual'!F36+IF(parametros_manuales!$H$32="Todos",'Plan mensual'!F40,0))+parametros_manuales!$F$32*('Plan mensual'!F37+IF(parametros_manuales!$H$32="Todos",'Plan mensual'!F41,0))+parametros_manuales!$G$32*('Plan mensual'!F38+IF(parametros_manuales!$H$32="Todos",'Plan mensual'!F42,0)))*parametros_manuales!$I$32*parametros_manuales!$J$32</f>
        <v>82.56322064627</v>
      </c>
      <c r="E99" s="14" t="n">
        <f aca="false">(parametros_manuales!$D$32*('Plan mensual'!G35+IF(parametros_manuales!$H$32="Todos",'Plan mensual'!G39,0))+parametros_manuales!$E$32*('Plan mensual'!G36+IF(parametros_manuales!$H$32="Todos",'Plan mensual'!G40,0))+parametros_manuales!$F$32*('Plan mensual'!G37+IF(parametros_manuales!$H$32="Todos",'Plan mensual'!G41,0))+parametros_manuales!$G$32*('Plan mensual'!G38+IF(parametros_manuales!$H$32="Todos",'Plan mensual'!G42,0)))*parametros_manuales!$I$32*parametros_manuales!$J$32</f>
        <v>79.04702709137</v>
      </c>
      <c r="F99" s="14" t="n">
        <f aca="false">(parametros_manuales!$D$32*('Plan mensual'!H35+IF(parametros_manuales!$H$32="Todos",'Plan mensual'!H39,0))+parametros_manuales!$E$32*('Plan mensual'!H36+IF(parametros_manuales!$H$32="Todos",'Plan mensual'!H40,0))+parametros_manuales!$F$32*('Plan mensual'!H37+IF(parametros_manuales!$H$32="Todos",'Plan mensual'!H41,0))+parametros_manuales!$G$32*('Plan mensual'!H38+IF(parametros_manuales!$H$32="Todos",'Plan mensual'!H42,0)))*parametros_manuales!$I$32*parametros_manuales!$J$32</f>
        <v>73.98353213836</v>
      </c>
      <c r="G99" s="14" t="n">
        <f aca="false">(parametros_manuales!$D$32*('Plan mensual'!I35+IF(parametros_manuales!$H$32="Todos",'Plan mensual'!I39,0))+parametros_manuales!$E$32*('Plan mensual'!I36+IF(parametros_manuales!$H$32="Todos",'Plan mensual'!I40,0))+parametros_manuales!$F$32*('Plan mensual'!I37+IF(parametros_manuales!$H$32="Todos",'Plan mensual'!I41,0))+parametros_manuales!$G$32*('Plan mensual'!I38+IF(parametros_manuales!$H$32="Todos",'Plan mensual'!I42,0)))*parametros_manuales!$I$32*parametros_manuales!$J$32</f>
        <v>72.43623074025</v>
      </c>
      <c r="H99" s="14" t="n">
        <f aca="false">(parametros_manuales!$D$32*('Plan mensual'!J35+IF(parametros_manuales!$H$32="Todos",'Plan mensual'!J39,0))+parametros_manuales!$E$32*('Plan mensual'!J36+IF(parametros_manuales!$H$32="Todos",'Plan mensual'!J40,0))+parametros_manuales!$F$32*('Plan mensual'!J37+IF(parametros_manuales!$H$32="Todos",'Plan mensual'!J41,0))+parametros_manuales!$G$32*('Plan mensual'!J38+IF(parametros_manuales!$H$32="Todos",'Plan mensual'!J42,0)))*parametros_manuales!$I$32*parametros_manuales!$J$32</f>
        <v>77.49972569326</v>
      </c>
      <c r="I99" s="14" t="n">
        <f aca="false">(parametros_manuales!$D$32*('Plan mensual'!K35+IF(parametros_manuales!$H$32="Todos",'Plan mensual'!K39,0))+parametros_manuales!$E$32*('Plan mensual'!K36+IF(parametros_manuales!$H$32="Todos",'Plan mensual'!K40,0))+parametros_manuales!$F$32*('Plan mensual'!K37+IF(parametros_manuales!$H$32="Todos",'Plan mensual'!K41,0))+parametros_manuales!$G$32*('Plan mensual'!K38+IF(parametros_manuales!$H$32="Todos",'Plan mensual'!K42,0)))*parametros_manuales!$I$32*parametros_manuales!$J$32</f>
        <v>77.49972569326</v>
      </c>
      <c r="J99" s="14" t="n">
        <f aca="false">(parametros_manuales!$D$32*('Plan mensual'!L35+IF(parametros_manuales!$H$32="Todos",'Plan mensual'!L39,0))+parametros_manuales!$E$32*('Plan mensual'!L36+IF(parametros_manuales!$H$32="Todos",'Plan mensual'!L40,0))+parametros_manuales!$F$32*('Plan mensual'!L37+IF(parametros_manuales!$H$32="Todos",'Plan mensual'!L41,0))+parametros_manuales!$G$32*('Plan mensual'!L38+IF(parametros_manuales!$H$32="Todos",'Plan mensual'!L42,0)))*parametros_manuales!$I$32*parametros_manuales!$J$32</f>
        <v>77.49972569326</v>
      </c>
      <c r="K99" s="14" t="n">
        <f aca="false">(parametros_manuales!$D$32*('Plan mensual'!M35+IF(parametros_manuales!$H$32="Todos",'Plan mensual'!M39,0))+parametros_manuales!$E$32*('Plan mensual'!M36+IF(parametros_manuales!$H$32="Todos",'Plan mensual'!M40,0))+parametros_manuales!$F$32*('Plan mensual'!M37+IF(parametros_manuales!$H$32="Todos",'Plan mensual'!M41,0))+parametros_manuales!$G$32*('Plan mensual'!M38+IF(parametros_manuales!$H$32="Todos",'Plan mensual'!M42,0)))*parametros_manuales!$I$32*parametros_manuales!$J$32</f>
        <v>75.95242429515</v>
      </c>
      <c r="L99" s="14" t="n">
        <f aca="false">(parametros_manuales!$D$32*('Plan mensual'!N35+IF(parametros_manuales!$H$32="Todos",'Plan mensual'!N39,0))+parametros_manuales!$E$32*('Plan mensual'!N36+IF(parametros_manuales!$H$32="Todos",'Plan mensual'!N40,0))+parametros_manuales!$F$32*('Plan mensual'!N37+IF(parametros_manuales!$H$32="Todos",'Plan mensual'!N41,0))+parametros_manuales!$G$32*('Plan mensual'!N38+IF(parametros_manuales!$H$32="Todos",'Plan mensual'!N42,0)))*parametros_manuales!$I$32*parametros_manuales!$J$32</f>
        <v>74.40512289704</v>
      </c>
      <c r="M99" s="14" t="n">
        <f aca="false">(parametros_manuales!$D$32*('Plan mensual'!O35+IF(parametros_manuales!$H$32="Todos",'Plan mensual'!O39,0))+parametros_manuales!$E$32*('Plan mensual'!O36+IF(parametros_manuales!$H$32="Todos",'Plan mensual'!O40,0))+parametros_manuales!$F$32*('Plan mensual'!O37+IF(parametros_manuales!$H$32="Todos",'Plan mensual'!O41,0))+parametros_manuales!$G$32*('Plan mensual'!O38+IF(parametros_manuales!$H$32="Todos",'Plan mensual'!O42,0)))*parametros_manuales!$I$32*parametros_manuales!$J$32</f>
        <v>118.42927607602</v>
      </c>
      <c r="N99" s="14" t="n">
        <f aca="false">SUM(B99:M99)</f>
        <v>1012.698990602</v>
      </c>
      <c r="O99" s="14" t="n">
        <f aca="false">MAX(B99:M99)</f>
        <v>118.42927607602</v>
      </c>
      <c r="P99" s="57" t="n">
        <f aca="false">O99/(parametros_manuales!$B$7)</f>
        <v>0.789528507173467</v>
      </c>
      <c r="Q99" s="13" t="str">
        <f aca="false">IF(O99=0,"-",INDEX($B$85:$M$85,MATCH(O99,B99:M99,0)))</f>
        <v>Dic</v>
      </c>
    </row>
    <row r="100" customFormat="false" ht="14.25" hidden="false" customHeight="true" outlineLevel="0" collapsed="false">
      <c r="A100" s="13" t="str">
        <f aca="false">parametros_manuales!$B$33</f>
        <v>Prueba hidráulica</v>
      </c>
      <c r="B100" s="14" t="n">
        <f aca="false">(parametros_manuales!$D$33*('Plan mensual'!D35+IF(parametros_manuales!$H$33="Todos",'Plan mensual'!D39,0))+parametros_manuales!$E$33*('Plan mensual'!D36+IF(parametros_manuales!$H$33="Todos",'Plan mensual'!D40,0))+parametros_manuales!$F$33*('Plan mensual'!D37+IF(parametros_manuales!$H$33="Todos",'Plan mensual'!D41,0))+parametros_manuales!$G$33*('Plan mensual'!D38+IF(parametros_manuales!$H$33="Todos",'Plan mensual'!D42,0)))*parametros_manuales!$I$33*parametros_manuales!$J$33</f>
        <v>5766.73366399</v>
      </c>
      <c r="C100" s="14" t="n">
        <f aca="false">(parametros_manuales!$D$33*('Plan mensual'!E35+IF(parametros_manuales!$H$33="Todos",'Plan mensual'!E39,0))+parametros_manuales!$E$33*('Plan mensual'!E36+IF(parametros_manuales!$H$33="Todos",'Plan mensual'!E40,0))+parametros_manuales!$F$33*('Plan mensual'!E37+IF(parametros_manuales!$H$33="Todos",'Plan mensual'!E41,0))+parametros_manuales!$G$33*('Plan mensual'!E38+IF(parametros_manuales!$H$33="Todos",'Plan mensual'!E42,0)))*parametros_manuales!$I$33*parametros_manuales!$J$33</f>
        <v>4402.415317898</v>
      </c>
      <c r="D100" s="14" t="n">
        <f aca="false">(parametros_manuales!$D$33*('Plan mensual'!F35+IF(parametros_manuales!$H$33="Todos",'Plan mensual'!F39,0))+parametros_manuales!$E$33*('Plan mensual'!F36+IF(parametros_manuales!$H$33="Todos",'Plan mensual'!F40,0))+parametros_manuales!$F$33*('Plan mensual'!F37+IF(parametros_manuales!$H$33="Todos",'Plan mensual'!F41,0))+parametros_manuales!$G$33*('Plan mensual'!F38+IF(parametros_manuales!$H$33="Todos",'Plan mensual'!F42,0)))*parametros_manuales!$I$33*parametros_manuales!$J$33</f>
        <v>4128.1610323135</v>
      </c>
      <c r="E100" s="14" t="n">
        <f aca="false">(parametros_manuales!$D$33*('Plan mensual'!G35+IF(parametros_manuales!$H$33="Todos",'Plan mensual'!G39,0))+parametros_manuales!$E$33*('Plan mensual'!G36+IF(parametros_manuales!$H$33="Todos",'Plan mensual'!G40,0))+parametros_manuales!$F$33*('Plan mensual'!G37+IF(parametros_manuales!$H$33="Todos",'Plan mensual'!G41,0))+parametros_manuales!$G$33*('Plan mensual'!G38+IF(parametros_manuales!$H$33="Todos",'Plan mensual'!G42,0)))*parametros_manuales!$I$33*parametros_manuales!$J$33</f>
        <v>3952.3513545685</v>
      </c>
      <c r="F100" s="14" t="n">
        <f aca="false">(parametros_manuales!$D$33*('Plan mensual'!H35+IF(parametros_manuales!$H$33="Todos",'Plan mensual'!H39,0))+parametros_manuales!$E$33*('Plan mensual'!H36+IF(parametros_manuales!$H$33="Todos",'Plan mensual'!H40,0))+parametros_manuales!$F$33*('Plan mensual'!H37+IF(parametros_manuales!$H$33="Todos",'Plan mensual'!H41,0))+parametros_manuales!$G$33*('Plan mensual'!H38+IF(parametros_manuales!$H$33="Todos",'Plan mensual'!H42,0)))*parametros_manuales!$I$33*parametros_manuales!$J$33</f>
        <v>3699.176606918</v>
      </c>
      <c r="G100" s="14" t="n">
        <f aca="false">(parametros_manuales!$D$33*('Plan mensual'!I35+IF(parametros_manuales!$H$33="Todos",'Plan mensual'!I39,0))+parametros_manuales!$E$33*('Plan mensual'!I36+IF(parametros_manuales!$H$33="Todos",'Plan mensual'!I40,0))+parametros_manuales!$F$33*('Plan mensual'!I37+IF(parametros_manuales!$H$33="Todos",'Plan mensual'!I41,0))+parametros_manuales!$G$33*('Plan mensual'!I38+IF(parametros_manuales!$H$33="Todos",'Plan mensual'!I42,0)))*parametros_manuales!$I$33*parametros_manuales!$J$33</f>
        <v>3621.8115370125</v>
      </c>
      <c r="H100" s="14" t="n">
        <f aca="false">(parametros_manuales!$D$33*('Plan mensual'!J35+IF(parametros_manuales!$H$33="Todos",'Plan mensual'!J39,0))+parametros_manuales!$E$33*('Plan mensual'!J36+IF(parametros_manuales!$H$33="Todos",'Plan mensual'!J40,0))+parametros_manuales!$F$33*('Plan mensual'!J37+IF(parametros_manuales!$H$33="Todos",'Plan mensual'!J41,0))+parametros_manuales!$G$33*('Plan mensual'!J38+IF(parametros_manuales!$H$33="Todos",'Plan mensual'!J42,0)))*parametros_manuales!$I$33*parametros_manuales!$J$33</f>
        <v>3874.986284663</v>
      </c>
      <c r="I100" s="14" t="n">
        <f aca="false">(parametros_manuales!$D$33*('Plan mensual'!K35+IF(parametros_manuales!$H$33="Todos",'Plan mensual'!K39,0))+parametros_manuales!$E$33*('Plan mensual'!K36+IF(parametros_manuales!$H$33="Todos",'Plan mensual'!K40,0))+parametros_manuales!$F$33*('Plan mensual'!K37+IF(parametros_manuales!$H$33="Todos",'Plan mensual'!K41,0))+parametros_manuales!$G$33*('Plan mensual'!K38+IF(parametros_manuales!$H$33="Todos",'Plan mensual'!K42,0)))*parametros_manuales!$I$33*parametros_manuales!$J$33</f>
        <v>3874.986284663</v>
      </c>
      <c r="J100" s="14" t="n">
        <f aca="false">(parametros_manuales!$D$33*('Plan mensual'!L35+IF(parametros_manuales!$H$33="Todos",'Plan mensual'!L39,0))+parametros_manuales!$E$33*('Plan mensual'!L36+IF(parametros_manuales!$H$33="Todos",'Plan mensual'!L40,0))+parametros_manuales!$F$33*('Plan mensual'!L37+IF(parametros_manuales!$H$33="Todos",'Plan mensual'!L41,0))+parametros_manuales!$G$33*('Plan mensual'!L38+IF(parametros_manuales!$H$33="Todos",'Plan mensual'!L42,0)))*parametros_manuales!$I$33*parametros_manuales!$J$33</f>
        <v>3874.986284663</v>
      </c>
      <c r="K100" s="14" t="n">
        <f aca="false">(parametros_manuales!$D$33*('Plan mensual'!M35+IF(parametros_manuales!$H$33="Todos",'Plan mensual'!M39,0))+parametros_manuales!$E$33*('Plan mensual'!M36+IF(parametros_manuales!$H$33="Todos",'Plan mensual'!M40,0))+parametros_manuales!$F$33*('Plan mensual'!M37+IF(parametros_manuales!$H$33="Todos",'Plan mensual'!M41,0))+parametros_manuales!$G$33*('Plan mensual'!M38+IF(parametros_manuales!$H$33="Todos",'Plan mensual'!M42,0)))*parametros_manuales!$I$33*parametros_manuales!$J$33</f>
        <v>3797.6212147575</v>
      </c>
      <c r="L100" s="14" t="n">
        <f aca="false">(parametros_manuales!$D$33*('Plan mensual'!N35+IF(parametros_manuales!$H$33="Todos",'Plan mensual'!N39,0))+parametros_manuales!$E$33*('Plan mensual'!N36+IF(parametros_manuales!$H$33="Todos",'Plan mensual'!N40,0))+parametros_manuales!$F$33*('Plan mensual'!N37+IF(parametros_manuales!$H$33="Todos",'Plan mensual'!N41,0))+parametros_manuales!$G$33*('Plan mensual'!N38+IF(parametros_manuales!$H$33="Todos",'Plan mensual'!N42,0)))*parametros_manuales!$I$33*parametros_manuales!$J$33</f>
        <v>3720.256144852</v>
      </c>
      <c r="M100" s="14" t="n">
        <f aca="false">(parametros_manuales!$D$33*('Plan mensual'!O35+IF(parametros_manuales!$H$33="Todos",'Plan mensual'!O39,0))+parametros_manuales!$E$33*('Plan mensual'!O36+IF(parametros_manuales!$H$33="Todos",'Plan mensual'!O40,0))+parametros_manuales!$F$33*('Plan mensual'!O37+IF(parametros_manuales!$H$33="Todos",'Plan mensual'!O41,0))+parametros_manuales!$G$33*('Plan mensual'!O38+IF(parametros_manuales!$H$33="Todos",'Plan mensual'!O42,0)))*parametros_manuales!$I$33*parametros_manuales!$J$33</f>
        <v>5921.463803801</v>
      </c>
      <c r="N100" s="14" t="n">
        <f aca="false">SUM(B100:M100)</f>
        <v>50634.9495301</v>
      </c>
      <c r="O100" s="14" t="n">
        <f aca="false">MAX(B100:M100)</f>
        <v>5921.463803801</v>
      </c>
      <c r="P100" s="57" t="n">
        <f aca="false">O100/(parametros_manuales!$B$7)</f>
        <v>39.4764253586733</v>
      </c>
      <c r="Q100" s="13" t="str">
        <f aca="false">IF(O100=0,"-",INDEX($B$85:$M$85,MATCH(O100,B100:M100,0)))</f>
        <v>Dic</v>
      </c>
    </row>
    <row r="101" customFormat="false" ht="14.25" hidden="false" customHeight="true" outlineLevel="0" collapsed="false">
      <c r="A101" s="13" t="str">
        <f aca="false">parametros_manuales!$B$34</f>
        <v>Secado</v>
      </c>
      <c r="B101" s="14" t="n">
        <f aca="false">(parametros_manuales!$D$34*('Plan mensual'!D35+IF(parametros_manuales!$H$34="Todos",'Plan mensual'!D39,0))+parametros_manuales!$E$34*('Plan mensual'!D36+IF(parametros_manuales!$H$34="Todos",'Plan mensual'!D40,0))+parametros_manuales!$F$34*('Plan mensual'!D37+IF(parametros_manuales!$H$34="Todos",'Plan mensual'!D41,0))+parametros_manuales!$G$34*('Plan mensual'!D38+IF(parametros_manuales!$H$34="Todos",'Plan mensual'!D42,0)))*parametros_manuales!$I$34*parametros_manuales!$J$34</f>
        <v>5766.73366399</v>
      </c>
      <c r="C101" s="14" t="n">
        <f aca="false">(parametros_manuales!$D$34*('Plan mensual'!E35+IF(parametros_manuales!$H$34="Todos",'Plan mensual'!E39,0))+parametros_manuales!$E$34*('Plan mensual'!E36+IF(parametros_manuales!$H$34="Todos",'Plan mensual'!E40,0))+parametros_manuales!$F$34*('Plan mensual'!E37+IF(parametros_manuales!$H$34="Todos",'Plan mensual'!E41,0))+parametros_manuales!$G$34*('Plan mensual'!E38+IF(parametros_manuales!$H$34="Todos",'Plan mensual'!E42,0)))*parametros_manuales!$I$34*parametros_manuales!$J$34</f>
        <v>4402.415317898</v>
      </c>
      <c r="D101" s="14" t="n">
        <f aca="false">(parametros_manuales!$D$34*('Plan mensual'!F35+IF(parametros_manuales!$H$34="Todos",'Plan mensual'!F39,0))+parametros_manuales!$E$34*('Plan mensual'!F36+IF(parametros_manuales!$H$34="Todos",'Plan mensual'!F40,0))+parametros_manuales!$F$34*('Plan mensual'!F37+IF(parametros_manuales!$H$34="Todos",'Plan mensual'!F41,0))+parametros_manuales!$G$34*('Plan mensual'!F38+IF(parametros_manuales!$H$34="Todos",'Plan mensual'!F42,0)))*parametros_manuales!$I$34*parametros_manuales!$J$34</f>
        <v>4128.1610323135</v>
      </c>
      <c r="E101" s="14" t="n">
        <f aca="false">(parametros_manuales!$D$34*('Plan mensual'!G35+IF(parametros_manuales!$H$34="Todos",'Plan mensual'!G39,0))+parametros_manuales!$E$34*('Plan mensual'!G36+IF(parametros_manuales!$H$34="Todos",'Plan mensual'!G40,0))+parametros_manuales!$F$34*('Plan mensual'!G37+IF(parametros_manuales!$H$34="Todos",'Plan mensual'!G41,0))+parametros_manuales!$G$34*('Plan mensual'!G38+IF(parametros_manuales!$H$34="Todos",'Plan mensual'!G42,0)))*parametros_manuales!$I$34*parametros_manuales!$J$34</f>
        <v>3952.3513545685</v>
      </c>
      <c r="F101" s="14" t="n">
        <f aca="false">(parametros_manuales!$D$34*('Plan mensual'!H35+IF(parametros_manuales!$H$34="Todos",'Plan mensual'!H39,0))+parametros_manuales!$E$34*('Plan mensual'!H36+IF(parametros_manuales!$H$34="Todos",'Plan mensual'!H40,0))+parametros_manuales!$F$34*('Plan mensual'!H37+IF(parametros_manuales!$H$34="Todos",'Plan mensual'!H41,0))+parametros_manuales!$G$34*('Plan mensual'!H38+IF(parametros_manuales!$H$34="Todos",'Plan mensual'!H42,0)))*parametros_manuales!$I$34*parametros_manuales!$J$34</f>
        <v>3699.176606918</v>
      </c>
      <c r="G101" s="14" t="n">
        <f aca="false">(parametros_manuales!$D$34*('Plan mensual'!I35+IF(parametros_manuales!$H$34="Todos",'Plan mensual'!I39,0))+parametros_manuales!$E$34*('Plan mensual'!I36+IF(parametros_manuales!$H$34="Todos",'Plan mensual'!I40,0))+parametros_manuales!$F$34*('Plan mensual'!I37+IF(parametros_manuales!$H$34="Todos",'Plan mensual'!I41,0))+parametros_manuales!$G$34*('Plan mensual'!I38+IF(parametros_manuales!$H$34="Todos",'Plan mensual'!I42,0)))*parametros_manuales!$I$34*parametros_manuales!$J$34</f>
        <v>3621.8115370125</v>
      </c>
      <c r="H101" s="14" t="n">
        <f aca="false">(parametros_manuales!$D$34*('Plan mensual'!J35+IF(parametros_manuales!$H$34="Todos",'Plan mensual'!J39,0))+parametros_manuales!$E$34*('Plan mensual'!J36+IF(parametros_manuales!$H$34="Todos",'Plan mensual'!J40,0))+parametros_manuales!$F$34*('Plan mensual'!J37+IF(parametros_manuales!$H$34="Todos",'Plan mensual'!J41,0))+parametros_manuales!$G$34*('Plan mensual'!J38+IF(parametros_manuales!$H$34="Todos",'Plan mensual'!J42,0)))*parametros_manuales!$I$34*parametros_manuales!$J$34</f>
        <v>3874.986284663</v>
      </c>
      <c r="I101" s="14" t="n">
        <f aca="false">(parametros_manuales!$D$34*('Plan mensual'!K35+IF(parametros_manuales!$H$34="Todos",'Plan mensual'!K39,0))+parametros_manuales!$E$34*('Plan mensual'!K36+IF(parametros_manuales!$H$34="Todos",'Plan mensual'!K40,0))+parametros_manuales!$F$34*('Plan mensual'!K37+IF(parametros_manuales!$H$34="Todos",'Plan mensual'!K41,0))+parametros_manuales!$G$34*('Plan mensual'!K38+IF(parametros_manuales!$H$34="Todos",'Plan mensual'!K42,0)))*parametros_manuales!$I$34*parametros_manuales!$J$34</f>
        <v>3874.986284663</v>
      </c>
      <c r="J101" s="14" t="n">
        <f aca="false">(parametros_manuales!$D$34*('Plan mensual'!L35+IF(parametros_manuales!$H$34="Todos",'Plan mensual'!L39,0))+parametros_manuales!$E$34*('Plan mensual'!L36+IF(parametros_manuales!$H$34="Todos",'Plan mensual'!L40,0))+parametros_manuales!$F$34*('Plan mensual'!L37+IF(parametros_manuales!$H$34="Todos",'Plan mensual'!L41,0))+parametros_manuales!$G$34*('Plan mensual'!L38+IF(parametros_manuales!$H$34="Todos",'Plan mensual'!L42,0)))*parametros_manuales!$I$34*parametros_manuales!$J$34</f>
        <v>3874.986284663</v>
      </c>
      <c r="K101" s="14" t="n">
        <f aca="false">(parametros_manuales!$D$34*('Plan mensual'!M35+IF(parametros_manuales!$H$34="Todos",'Plan mensual'!M39,0))+parametros_manuales!$E$34*('Plan mensual'!M36+IF(parametros_manuales!$H$34="Todos",'Plan mensual'!M40,0))+parametros_manuales!$F$34*('Plan mensual'!M37+IF(parametros_manuales!$H$34="Todos",'Plan mensual'!M41,0))+parametros_manuales!$G$34*('Plan mensual'!M38+IF(parametros_manuales!$H$34="Todos",'Plan mensual'!M42,0)))*parametros_manuales!$I$34*parametros_manuales!$J$34</f>
        <v>3797.6212147575</v>
      </c>
      <c r="L101" s="14" t="n">
        <f aca="false">(parametros_manuales!$D$34*('Plan mensual'!N35+IF(parametros_manuales!$H$34="Todos",'Plan mensual'!N39,0))+parametros_manuales!$E$34*('Plan mensual'!N36+IF(parametros_manuales!$H$34="Todos",'Plan mensual'!N40,0))+parametros_manuales!$F$34*('Plan mensual'!N37+IF(parametros_manuales!$H$34="Todos",'Plan mensual'!N41,0))+parametros_manuales!$G$34*('Plan mensual'!N38+IF(parametros_manuales!$H$34="Todos",'Plan mensual'!N42,0)))*parametros_manuales!$I$34*parametros_manuales!$J$34</f>
        <v>3720.256144852</v>
      </c>
      <c r="M101" s="14" t="n">
        <f aca="false">(parametros_manuales!$D$34*('Plan mensual'!O35+IF(parametros_manuales!$H$34="Todos",'Plan mensual'!O39,0))+parametros_manuales!$E$34*('Plan mensual'!O36+IF(parametros_manuales!$H$34="Todos",'Plan mensual'!O40,0))+parametros_manuales!$F$34*('Plan mensual'!O37+IF(parametros_manuales!$H$34="Todos",'Plan mensual'!O41,0))+parametros_manuales!$G$34*('Plan mensual'!O38+IF(parametros_manuales!$H$34="Todos",'Plan mensual'!O42,0)))*parametros_manuales!$I$34*parametros_manuales!$J$34</f>
        <v>5921.463803801</v>
      </c>
      <c r="N101" s="14" t="n">
        <f aca="false">SUM(B101:M101)</f>
        <v>50634.9495301</v>
      </c>
      <c r="O101" s="14" t="n">
        <f aca="false">MAX(B101:M101)</f>
        <v>5921.463803801</v>
      </c>
      <c r="P101" s="57" t="n">
        <f aca="false">O101/(parametros_manuales!$B$7)</f>
        <v>39.4764253586733</v>
      </c>
      <c r="Q101" s="13" t="str">
        <f aca="false">IF(O101=0,"-",INDEX($B$85:$M$85,MATCH(O101,B101:M101,0)))</f>
        <v>Dic</v>
      </c>
    </row>
    <row r="102" customFormat="false" ht="14.25" hidden="false" customHeight="true" outlineLevel="0" collapsed="false">
      <c r="A102" s="13" t="str">
        <f aca="false">parametros_manuales!$B$35</f>
        <v>Granallado</v>
      </c>
      <c r="B102" s="14" t="n">
        <f aca="false">(parametros_manuales!$D$35*('Plan mensual'!D35+IF(parametros_manuales!$H$35="Todos",'Plan mensual'!D39,0))+parametros_manuales!$E$35*('Plan mensual'!D36+IF(parametros_manuales!$H$35="Todos",'Plan mensual'!D40,0))+parametros_manuales!$F$35*('Plan mensual'!D37+IF(parametros_manuales!$H$35="Todos",'Plan mensual'!D41,0))+parametros_manuales!$G$35*('Plan mensual'!D38+IF(parametros_manuales!$H$35="Todos",'Plan mensual'!D42,0)))*parametros_manuales!$I$35*parametros_manuales!$J$35</f>
        <v>5766.73366399</v>
      </c>
      <c r="C102" s="14" t="n">
        <f aca="false">(parametros_manuales!$D$35*('Plan mensual'!E35+IF(parametros_manuales!$H$35="Todos",'Plan mensual'!E39,0))+parametros_manuales!$E$35*('Plan mensual'!E36+IF(parametros_manuales!$H$35="Todos",'Plan mensual'!E40,0))+parametros_manuales!$F$35*('Plan mensual'!E37+IF(parametros_manuales!$H$35="Todos",'Plan mensual'!E41,0))+parametros_manuales!$G$35*('Plan mensual'!E38+IF(parametros_manuales!$H$35="Todos",'Plan mensual'!E42,0)))*parametros_manuales!$I$35*parametros_manuales!$J$35</f>
        <v>4402.415317898</v>
      </c>
      <c r="D102" s="14" t="n">
        <f aca="false">(parametros_manuales!$D$35*('Plan mensual'!F35+IF(parametros_manuales!$H$35="Todos",'Plan mensual'!F39,0))+parametros_manuales!$E$35*('Plan mensual'!F36+IF(parametros_manuales!$H$35="Todos",'Plan mensual'!F40,0))+parametros_manuales!$F$35*('Plan mensual'!F37+IF(parametros_manuales!$H$35="Todos",'Plan mensual'!F41,0))+parametros_manuales!$G$35*('Plan mensual'!F38+IF(parametros_manuales!$H$35="Todos",'Plan mensual'!F42,0)))*parametros_manuales!$I$35*parametros_manuales!$J$35</f>
        <v>4128.1610323135</v>
      </c>
      <c r="E102" s="14" t="n">
        <f aca="false">(parametros_manuales!$D$35*('Plan mensual'!G35+IF(parametros_manuales!$H$35="Todos",'Plan mensual'!G39,0))+parametros_manuales!$E$35*('Plan mensual'!G36+IF(parametros_manuales!$H$35="Todos",'Plan mensual'!G40,0))+parametros_manuales!$F$35*('Plan mensual'!G37+IF(parametros_manuales!$H$35="Todos",'Plan mensual'!G41,0))+parametros_manuales!$G$35*('Plan mensual'!G38+IF(parametros_manuales!$H$35="Todos",'Plan mensual'!G42,0)))*parametros_manuales!$I$35*parametros_manuales!$J$35</f>
        <v>3952.3513545685</v>
      </c>
      <c r="F102" s="14" t="n">
        <f aca="false">(parametros_manuales!$D$35*('Plan mensual'!H35+IF(parametros_manuales!$H$35="Todos",'Plan mensual'!H39,0))+parametros_manuales!$E$35*('Plan mensual'!H36+IF(parametros_manuales!$H$35="Todos",'Plan mensual'!H40,0))+parametros_manuales!$F$35*('Plan mensual'!H37+IF(parametros_manuales!$H$35="Todos",'Plan mensual'!H41,0))+parametros_manuales!$G$35*('Plan mensual'!H38+IF(parametros_manuales!$H$35="Todos",'Plan mensual'!H42,0)))*parametros_manuales!$I$35*parametros_manuales!$J$35</f>
        <v>3699.176606918</v>
      </c>
      <c r="G102" s="14" t="n">
        <f aca="false">(parametros_manuales!$D$35*('Plan mensual'!I35+IF(parametros_manuales!$H$35="Todos",'Plan mensual'!I39,0))+parametros_manuales!$E$35*('Plan mensual'!I36+IF(parametros_manuales!$H$35="Todos",'Plan mensual'!I40,0))+parametros_manuales!$F$35*('Plan mensual'!I37+IF(parametros_manuales!$H$35="Todos",'Plan mensual'!I41,0))+parametros_manuales!$G$35*('Plan mensual'!I38+IF(parametros_manuales!$H$35="Todos",'Plan mensual'!I42,0)))*parametros_manuales!$I$35*parametros_manuales!$J$35</f>
        <v>3621.8115370125</v>
      </c>
      <c r="H102" s="14" t="n">
        <f aca="false">(parametros_manuales!$D$35*('Plan mensual'!J35+IF(parametros_manuales!$H$35="Todos",'Plan mensual'!J39,0))+parametros_manuales!$E$35*('Plan mensual'!J36+IF(parametros_manuales!$H$35="Todos",'Plan mensual'!J40,0))+parametros_manuales!$F$35*('Plan mensual'!J37+IF(parametros_manuales!$H$35="Todos",'Plan mensual'!J41,0))+parametros_manuales!$G$35*('Plan mensual'!J38+IF(parametros_manuales!$H$35="Todos",'Plan mensual'!J42,0)))*parametros_manuales!$I$35*parametros_manuales!$J$35</f>
        <v>3874.986284663</v>
      </c>
      <c r="I102" s="14" t="n">
        <f aca="false">(parametros_manuales!$D$35*('Plan mensual'!K35+IF(parametros_manuales!$H$35="Todos",'Plan mensual'!K39,0))+parametros_manuales!$E$35*('Plan mensual'!K36+IF(parametros_manuales!$H$35="Todos",'Plan mensual'!K40,0))+parametros_manuales!$F$35*('Plan mensual'!K37+IF(parametros_manuales!$H$35="Todos",'Plan mensual'!K41,0))+parametros_manuales!$G$35*('Plan mensual'!K38+IF(parametros_manuales!$H$35="Todos",'Plan mensual'!K42,0)))*parametros_manuales!$I$35*parametros_manuales!$J$35</f>
        <v>3874.986284663</v>
      </c>
      <c r="J102" s="14" t="n">
        <f aca="false">(parametros_manuales!$D$35*('Plan mensual'!L35+IF(parametros_manuales!$H$35="Todos",'Plan mensual'!L39,0))+parametros_manuales!$E$35*('Plan mensual'!L36+IF(parametros_manuales!$H$35="Todos",'Plan mensual'!L40,0))+parametros_manuales!$F$35*('Plan mensual'!L37+IF(parametros_manuales!$H$35="Todos",'Plan mensual'!L41,0))+parametros_manuales!$G$35*('Plan mensual'!L38+IF(parametros_manuales!$H$35="Todos",'Plan mensual'!L42,0)))*parametros_manuales!$I$35*parametros_manuales!$J$35</f>
        <v>3874.986284663</v>
      </c>
      <c r="K102" s="14" t="n">
        <f aca="false">(parametros_manuales!$D$35*('Plan mensual'!M35+IF(parametros_manuales!$H$35="Todos",'Plan mensual'!M39,0))+parametros_manuales!$E$35*('Plan mensual'!M36+IF(parametros_manuales!$H$35="Todos",'Plan mensual'!M40,0))+parametros_manuales!$F$35*('Plan mensual'!M37+IF(parametros_manuales!$H$35="Todos",'Plan mensual'!M41,0))+parametros_manuales!$G$35*('Plan mensual'!M38+IF(parametros_manuales!$H$35="Todos",'Plan mensual'!M42,0)))*parametros_manuales!$I$35*parametros_manuales!$J$35</f>
        <v>3797.6212147575</v>
      </c>
      <c r="L102" s="14" t="n">
        <f aca="false">(parametros_manuales!$D$35*('Plan mensual'!N35+IF(parametros_manuales!$H$35="Todos",'Plan mensual'!N39,0))+parametros_manuales!$E$35*('Plan mensual'!N36+IF(parametros_manuales!$H$35="Todos",'Plan mensual'!N40,0))+parametros_manuales!$F$35*('Plan mensual'!N37+IF(parametros_manuales!$H$35="Todos",'Plan mensual'!N41,0))+parametros_manuales!$G$35*('Plan mensual'!N38+IF(parametros_manuales!$H$35="Todos",'Plan mensual'!N42,0)))*parametros_manuales!$I$35*parametros_manuales!$J$35</f>
        <v>3720.256144852</v>
      </c>
      <c r="M102" s="14" t="n">
        <f aca="false">(parametros_manuales!$D$35*('Plan mensual'!O35+IF(parametros_manuales!$H$35="Todos",'Plan mensual'!O39,0))+parametros_manuales!$E$35*('Plan mensual'!O36+IF(parametros_manuales!$H$35="Todos",'Plan mensual'!O40,0))+parametros_manuales!$F$35*('Plan mensual'!O37+IF(parametros_manuales!$H$35="Todos",'Plan mensual'!O41,0))+parametros_manuales!$G$35*('Plan mensual'!O38+IF(parametros_manuales!$H$35="Todos",'Plan mensual'!O42,0)))*parametros_manuales!$I$35*parametros_manuales!$J$35</f>
        <v>5921.463803801</v>
      </c>
      <c r="N102" s="14" t="n">
        <f aca="false">SUM(B102:M102)</f>
        <v>50634.9495301</v>
      </c>
      <c r="O102" s="14" t="n">
        <f aca="false">MAX(B102:M102)</f>
        <v>5921.463803801</v>
      </c>
      <c r="P102" s="57" t="n">
        <f aca="false">O102/(parametros_manuales!$B$7)</f>
        <v>39.4764253586733</v>
      </c>
      <c r="Q102" s="13" t="str">
        <f aca="false">IF(O102=0,"-",INDEX($B$85:$M$85,MATCH(O102,B102:M102,0)))</f>
        <v>Dic</v>
      </c>
    </row>
    <row r="103" customFormat="false" ht="14.25" hidden="false" customHeight="true" outlineLevel="0" collapsed="false">
      <c r="A103" s="13" t="str">
        <f aca="false">parametros_manuales!$B$36</f>
        <v>Detección de defectos</v>
      </c>
      <c r="B103" s="14" t="n">
        <f aca="false">(parametros_manuales!$D$36*('Plan mensual'!D35+IF(parametros_manuales!$H$36="Todos",'Plan mensual'!D39,0))+parametros_manuales!$E$36*('Plan mensual'!D36+IF(parametros_manuales!$H$36="Todos",'Plan mensual'!D40,0))+parametros_manuales!$F$36*('Plan mensual'!D37+IF(parametros_manuales!$H$36="Todos",'Plan mensual'!D41,0))+parametros_manuales!$G$36*('Plan mensual'!D38+IF(parametros_manuales!$H$36="Todos",'Plan mensual'!D42,0)))*parametros_manuales!$I$36*parametros_manuales!$J$36</f>
        <v>5766.73366399</v>
      </c>
      <c r="C103" s="14" t="n">
        <f aca="false">(parametros_manuales!$D$36*('Plan mensual'!E35+IF(parametros_manuales!$H$36="Todos",'Plan mensual'!E39,0))+parametros_manuales!$E$36*('Plan mensual'!E36+IF(parametros_manuales!$H$36="Todos",'Plan mensual'!E40,0))+parametros_manuales!$F$36*('Plan mensual'!E37+IF(parametros_manuales!$H$36="Todos",'Plan mensual'!E41,0))+parametros_manuales!$G$36*('Plan mensual'!E38+IF(parametros_manuales!$H$36="Todos",'Plan mensual'!E42,0)))*parametros_manuales!$I$36*parametros_manuales!$J$36</f>
        <v>4402.415317898</v>
      </c>
      <c r="D103" s="14" t="n">
        <f aca="false">(parametros_manuales!$D$36*('Plan mensual'!F35+IF(parametros_manuales!$H$36="Todos",'Plan mensual'!F39,0))+parametros_manuales!$E$36*('Plan mensual'!F36+IF(parametros_manuales!$H$36="Todos",'Plan mensual'!F40,0))+parametros_manuales!$F$36*('Plan mensual'!F37+IF(parametros_manuales!$H$36="Todos",'Plan mensual'!F41,0))+parametros_manuales!$G$36*('Plan mensual'!F38+IF(parametros_manuales!$H$36="Todos",'Plan mensual'!F42,0)))*parametros_manuales!$I$36*parametros_manuales!$J$36</f>
        <v>4128.1610323135</v>
      </c>
      <c r="E103" s="14" t="n">
        <f aca="false">(parametros_manuales!$D$36*('Plan mensual'!G35+IF(parametros_manuales!$H$36="Todos",'Plan mensual'!G39,0))+parametros_manuales!$E$36*('Plan mensual'!G36+IF(parametros_manuales!$H$36="Todos",'Plan mensual'!G40,0))+parametros_manuales!$F$36*('Plan mensual'!G37+IF(parametros_manuales!$H$36="Todos",'Plan mensual'!G41,0))+parametros_manuales!$G$36*('Plan mensual'!G38+IF(parametros_manuales!$H$36="Todos",'Plan mensual'!G42,0)))*parametros_manuales!$I$36*parametros_manuales!$J$36</f>
        <v>3952.3513545685</v>
      </c>
      <c r="F103" s="14" t="n">
        <f aca="false">(parametros_manuales!$D$36*('Plan mensual'!H35+IF(parametros_manuales!$H$36="Todos",'Plan mensual'!H39,0))+parametros_manuales!$E$36*('Plan mensual'!H36+IF(parametros_manuales!$H$36="Todos",'Plan mensual'!H40,0))+parametros_manuales!$F$36*('Plan mensual'!H37+IF(parametros_manuales!$H$36="Todos",'Plan mensual'!H41,0))+parametros_manuales!$G$36*('Plan mensual'!H38+IF(parametros_manuales!$H$36="Todos",'Plan mensual'!H42,0)))*parametros_manuales!$I$36*parametros_manuales!$J$36</f>
        <v>3699.176606918</v>
      </c>
      <c r="G103" s="14" t="n">
        <f aca="false">(parametros_manuales!$D$36*('Plan mensual'!I35+IF(parametros_manuales!$H$36="Todos",'Plan mensual'!I39,0))+parametros_manuales!$E$36*('Plan mensual'!I36+IF(parametros_manuales!$H$36="Todos",'Plan mensual'!I40,0))+parametros_manuales!$F$36*('Plan mensual'!I37+IF(parametros_manuales!$H$36="Todos",'Plan mensual'!I41,0))+parametros_manuales!$G$36*('Plan mensual'!I38+IF(parametros_manuales!$H$36="Todos",'Plan mensual'!I42,0)))*parametros_manuales!$I$36*parametros_manuales!$J$36</f>
        <v>3621.8115370125</v>
      </c>
      <c r="H103" s="14" t="n">
        <f aca="false">(parametros_manuales!$D$36*('Plan mensual'!J35+IF(parametros_manuales!$H$36="Todos",'Plan mensual'!J39,0))+parametros_manuales!$E$36*('Plan mensual'!J36+IF(parametros_manuales!$H$36="Todos",'Plan mensual'!J40,0))+parametros_manuales!$F$36*('Plan mensual'!J37+IF(parametros_manuales!$H$36="Todos",'Plan mensual'!J41,0))+parametros_manuales!$G$36*('Plan mensual'!J38+IF(parametros_manuales!$H$36="Todos",'Plan mensual'!J42,0)))*parametros_manuales!$I$36*parametros_manuales!$J$36</f>
        <v>3874.986284663</v>
      </c>
      <c r="I103" s="14" t="n">
        <f aca="false">(parametros_manuales!$D$36*('Plan mensual'!K35+IF(parametros_manuales!$H$36="Todos",'Plan mensual'!K39,0))+parametros_manuales!$E$36*('Plan mensual'!K36+IF(parametros_manuales!$H$36="Todos",'Plan mensual'!K40,0))+parametros_manuales!$F$36*('Plan mensual'!K37+IF(parametros_manuales!$H$36="Todos",'Plan mensual'!K41,0))+parametros_manuales!$G$36*('Plan mensual'!K38+IF(parametros_manuales!$H$36="Todos",'Plan mensual'!K42,0)))*parametros_manuales!$I$36*parametros_manuales!$J$36</f>
        <v>3874.986284663</v>
      </c>
      <c r="J103" s="14" t="n">
        <f aca="false">(parametros_manuales!$D$36*('Plan mensual'!L35+IF(parametros_manuales!$H$36="Todos",'Plan mensual'!L39,0))+parametros_manuales!$E$36*('Plan mensual'!L36+IF(parametros_manuales!$H$36="Todos",'Plan mensual'!L40,0))+parametros_manuales!$F$36*('Plan mensual'!L37+IF(parametros_manuales!$H$36="Todos",'Plan mensual'!L41,0))+parametros_manuales!$G$36*('Plan mensual'!L38+IF(parametros_manuales!$H$36="Todos",'Plan mensual'!L42,0)))*parametros_manuales!$I$36*parametros_manuales!$J$36</f>
        <v>3874.986284663</v>
      </c>
      <c r="K103" s="14" t="n">
        <f aca="false">(parametros_manuales!$D$36*('Plan mensual'!M35+IF(parametros_manuales!$H$36="Todos",'Plan mensual'!M39,0))+parametros_manuales!$E$36*('Plan mensual'!M36+IF(parametros_manuales!$H$36="Todos",'Plan mensual'!M40,0))+parametros_manuales!$F$36*('Plan mensual'!M37+IF(parametros_manuales!$H$36="Todos",'Plan mensual'!M41,0))+parametros_manuales!$G$36*('Plan mensual'!M38+IF(parametros_manuales!$H$36="Todos",'Plan mensual'!M42,0)))*parametros_manuales!$I$36*parametros_manuales!$J$36</f>
        <v>3797.6212147575</v>
      </c>
      <c r="L103" s="14" t="n">
        <f aca="false">(parametros_manuales!$D$36*('Plan mensual'!N35+IF(parametros_manuales!$H$36="Todos",'Plan mensual'!N39,0))+parametros_manuales!$E$36*('Plan mensual'!N36+IF(parametros_manuales!$H$36="Todos",'Plan mensual'!N40,0))+parametros_manuales!$F$36*('Plan mensual'!N37+IF(parametros_manuales!$H$36="Todos",'Plan mensual'!N41,0))+parametros_manuales!$G$36*('Plan mensual'!N38+IF(parametros_manuales!$H$36="Todos",'Plan mensual'!N42,0)))*parametros_manuales!$I$36*parametros_manuales!$J$36</f>
        <v>3720.256144852</v>
      </c>
      <c r="M103" s="14" t="n">
        <f aca="false">(parametros_manuales!$D$36*('Plan mensual'!O35+IF(parametros_manuales!$H$36="Todos",'Plan mensual'!O39,0))+parametros_manuales!$E$36*('Plan mensual'!O36+IF(parametros_manuales!$H$36="Todos",'Plan mensual'!O40,0))+parametros_manuales!$F$36*('Plan mensual'!O37+IF(parametros_manuales!$H$36="Todos",'Plan mensual'!O41,0))+parametros_manuales!$G$36*('Plan mensual'!O38+IF(parametros_manuales!$H$36="Todos",'Plan mensual'!O42,0)))*parametros_manuales!$I$36*parametros_manuales!$J$36</f>
        <v>5921.463803801</v>
      </c>
      <c r="N103" s="14" t="n">
        <f aca="false">SUM(B103:M103)</f>
        <v>50634.9495301</v>
      </c>
      <c r="O103" s="14" t="n">
        <f aca="false">MAX(B103:M103)</f>
        <v>5921.463803801</v>
      </c>
      <c r="P103" s="57" t="n">
        <f aca="false">O103/(parametros_manuales!$B$7)</f>
        <v>39.4764253586733</v>
      </c>
      <c r="Q103" s="13" t="str">
        <f aca="false">IF(O103=0,"-",INDEX($B$85:$M$85,MATCH(O103,B103:M103,0)))</f>
        <v>Dic</v>
      </c>
    </row>
    <row r="104" customFormat="false" ht="14.25" hidden="false" customHeight="true" outlineLevel="0" collapsed="false">
      <c r="A104" s="13" t="str">
        <f aca="false">parametros_manuales!$B$37</f>
        <v>Corrección de defectos</v>
      </c>
      <c r="B104" s="14" t="n">
        <f aca="false">(parametros_manuales!$D$37*('Plan mensual'!D35+IF(parametros_manuales!$H$37="Todos",'Plan mensual'!D39,0))+parametros_manuales!$E$37*('Plan mensual'!D36+IF(parametros_manuales!$H$37="Todos",'Plan mensual'!D40,0))+parametros_manuales!$F$37*('Plan mensual'!D37+IF(parametros_manuales!$H$37="Todos",'Plan mensual'!D41,0))+parametros_manuales!$G$37*('Plan mensual'!D38+IF(parametros_manuales!$H$37="Todos",'Plan mensual'!D42,0)))*parametros_manuales!$I$37*parametros_manuales!$J$37</f>
        <v>288.3366831995</v>
      </c>
      <c r="C104" s="14" t="n">
        <f aca="false">(parametros_manuales!$D$37*('Plan mensual'!E35+IF(parametros_manuales!$H$37="Todos",'Plan mensual'!E39,0))+parametros_manuales!$E$37*('Plan mensual'!E36+IF(parametros_manuales!$H$37="Todos",'Plan mensual'!E40,0))+parametros_manuales!$F$37*('Plan mensual'!E37+IF(parametros_manuales!$H$37="Todos",'Plan mensual'!E41,0))+parametros_manuales!$G$37*('Plan mensual'!E38+IF(parametros_manuales!$H$37="Todos",'Plan mensual'!E42,0)))*parametros_manuales!$I$37*parametros_manuales!$J$37</f>
        <v>220.1207658949</v>
      </c>
      <c r="D104" s="14" t="n">
        <f aca="false">(parametros_manuales!$D$37*('Plan mensual'!F35+IF(parametros_manuales!$H$37="Todos",'Plan mensual'!F39,0))+parametros_manuales!$E$37*('Plan mensual'!F36+IF(parametros_manuales!$H$37="Todos",'Plan mensual'!F40,0))+parametros_manuales!$F$37*('Plan mensual'!F37+IF(parametros_manuales!$H$37="Todos",'Plan mensual'!F41,0))+parametros_manuales!$G$37*('Plan mensual'!F38+IF(parametros_manuales!$H$37="Todos",'Plan mensual'!F42,0)))*parametros_manuales!$I$37*parametros_manuales!$J$37</f>
        <v>206.408051615675</v>
      </c>
      <c r="E104" s="14" t="n">
        <f aca="false">(parametros_manuales!$D$37*('Plan mensual'!G35+IF(parametros_manuales!$H$37="Todos",'Plan mensual'!G39,0))+parametros_manuales!$E$37*('Plan mensual'!G36+IF(parametros_manuales!$H$37="Todos",'Plan mensual'!G40,0))+parametros_manuales!$F$37*('Plan mensual'!G37+IF(parametros_manuales!$H$37="Todos",'Plan mensual'!G41,0))+parametros_manuales!$G$37*('Plan mensual'!G38+IF(parametros_manuales!$H$37="Todos",'Plan mensual'!G42,0)))*parametros_manuales!$I$37*parametros_manuales!$J$37</f>
        <v>197.617567728425</v>
      </c>
      <c r="F104" s="14" t="n">
        <f aca="false">(parametros_manuales!$D$37*('Plan mensual'!H35+IF(parametros_manuales!$H$37="Todos",'Plan mensual'!H39,0))+parametros_manuales!$E$37*('Plan mensual'!H36+IF(parametros_manuales!$H$37="Todos",'Plan mensual'!H40,0))+parametros_manuales!$F$37*('Plan mensual'!H37+IF(parametros_manuales!$H$37="Todos",'Plan mensual'!H41,0))+parametros_manuales!$G$37*('Plan mensual'!H38+IF(parametros_manuales!$H$37="Todos",'Plan mensual'!H42,0)))*parametros_manuales!$I$37*parametros_manuales!$J$37</f>
        <v>184.9588303459</v>
      </c>
      <c r="G104" s="14" t="n">
        <f aca="false">(parametros_manuales!$D$37*('Plan mensual'!I35+IF(parametros_manuales!$H$37="Todos",'Plan mensual'!I39,0))+parametros_manuales!$E$37*('Plan mensual'!I36+IF(parametros_manuales!$H$37="Todos",'Plan mensual'!I40,0))+parametros_manuales!$F$37*('Plan mensual'!I37+IF(parametros_manuales!$H$37="Todos",'Plan mensual'!I41,0))+parametros_manuales!$G$37*('Plan mensual'!I38+IF(parametros_manuales!$H$37="Todos",'Plan mensual'!I42,0)))*parametros_manuales!$I$37*parametros_manuales!$J$37</f>
        <v>181.090576850625</v>
      </c>
      <c r="H104" s="14" t="n">
        <f aca="false">(parametros_manuales!$D$37*('Plan mensual'!J35+IF(parametros_manuales!$H$37="Todos",'Plan mensual'!J39,0))+parametros_manuales!$E$37*('Plan mensual'!J36+IF(parametros_manuales!$H$37="Todos",'Plan mensual'!J40,0))+parametros_manuales!$F$37*('Plan mensual'!J37+IF(parametros_manuales!$H$37="Todos",'Plan mensual'!J41,0))+parametros_manuales!$G$37*('Plan mensual'!J38+IF(parametros_manuales!$H$37="Todos",'Plan mensual'!J42,0)))*parametros_manuales!$I$37*parametros_manuales!$J$37</f>
        <v>193.74931423315</v>
      </c>
      <c r="I104" s="14" t="n">
        <f aca="false">(parametros_manuales!$D$37*('Plan mensual'!K35+IF(parametros_manuales!$H$37="Todos",'Plan mensual'!K39,0))+parametros_manuales!$E$37*('Plan mensual'!K36+IF(parametros_manuales!$H$37="Todos",'Plan mensual'!K40,0))+parametros_manuales!$F$37*('Plan mensual'!K37+IF(parametros_manuales!$H$37="Todos",'Plan mensual'!K41,0))+parametros_manuales!$G$37*('Plan mensual'!K38+IF(parametros_manuales!$H$37="Todos",'Plan mensual'!K42,0)))*parametros_manuales!$I$37*parametros_manuales!$J$37</f>
        <v>193.74931423315</v>
      </c>
      <c r="J104" s="14" t="n">
        <f aca="false">(parametros_manuales!$D$37*('Plan mensual'!L35+IF(parametros_manuales!$H$37="Todos",'Plan mensual'!L39,0))+parametros_manuales!$E$37*('Plan mensual'!L36+IF(parametros_manuales!$H$37="Todos",'Plan mensual'!L40,0))+parametros_manuales!$F$37*('Plan mensual'!L37+IF(parametros_manuales!$H$37="Todos",'Plan mensual'!L41,0))+parametros_manuales!$G$37*('Plan mensual'!L38+IF(parametros_manuales!$H$37="Todos",'Plan mensual'!L42,0)))*parametros_manuales!$I$37*parametros_manuales!$J$37</f>
        <v>193.74931423315</v>
      </c>
      <c r="K104" s="14" t="n">
        <f aca="false">(parametros_manuales!$D$37*('Plan mensual'!M35+IF(parametros_manuales!$H$37="Todos",'Plan mensual'!M39,0))+parametros_manuales!$E$37*('Plan mensual'!M36+IF(parametros_manuales!$H$37="Todos",'Plan mensual'!M40,0))+parametros_manuales!$F$37*('Plan mensual'!M37+IF(parametros_manuales!$H$37="Todos",'Plan mensual'!M41,0))+parametros_manuales!$G$37*('Plan mensual'!M38+IF(parametros_manuales!$H$37="Todos",'Plan mensual'!M42,0)))*parametros_manuales!$I$37*parametros_manuales!$J$37</f>
        <v>189.881060737875</v>
      </c>
      <c r="L104" s="14" t="n">
        <f aca="false">(parametros_manuales!$D$37*('Plan mensual'!N35+IF(parametros_manuales!$H$37="Todos",'Plan mensual'!N39,0))+parametros_manuales!$E$37*('Plan mensual'!N36+IF(parametros_manuales!$H$37="Todos",'Plan mensual'!N40,0))+parametros_manuales!$F$37*('Plan mensual'!N37+IF(parametros_manuales!$H$37="Todos",'Plan mensual'!N41,0))+parametros_manuales!$G$37*('Plan mensual'!N38+IF(parametros_manuales!$H$37="Todos",'Plan mensual'!N42,0)))*parametros_manuales!$I$37*parametros_manuales!$J$37</f>
        <v>186.0128072426</v>
      </c>
      <c r="M104" s="14" t="n">
        <f aca="false">(parametros_manuales!$D$37*('Plan mensual'!O35+IF(parametros_manuales!$H$37="Todos",'Plan mensual'!O39,0))+parametros_manuales!$E$37*('Plan mensual'!O36+IF(parametros_manuales!$H$37="Todos",'Plan mensual'!O40,0))+parametros_manuales!$F$37*('Plan mensual'!O37+IF(parametros_manuales!$H$37="Todos",'Plan mensual'!O41,0))+parametros_manuales!$G$37*('Plan mensual'!O38+IF(parametros_manuales!$H$37="Todos",'Plan mensual'!O42,0)))*parametros_manuales!$I$37*parametros_manuales!$J$37</f>
        <v>296.07319019005</v>
      </c>
      <c r="N104" s="14" t="n">
        <f aca="false">SUM(B104:M104)</f>
        <v>2531.747476505</v>
      </c>
      <c r="O104" s="14" t="n">
        <f aca="false">MAX(B104:M104)</f>
        <v>296.07319019005</v>
      </c>
      <c r="P104" s="57" t="n">
        <f aca="false">O104/(parametros_manuales!$B$7)</f>
        <v>1.97382126793367</v>
      </c>
      <c r="Q104" s="13" t="str">
        <f aca="false">IF(O104=0,"-",INDEX($B$85:$M$85,MATCH(O104,B104:M104,0)))</f>
        <v>Dic</v>
      </c>
    </row>
    <row r="105" customFormat="false" ht="14.25" hidden="false" customHeight="true" outlineLevel="0" collapsed="false">
      <c r="A105" s="13" t="str">
        <f aca="false">parametros_manuales!$B$38</f>
        <v>Pintura en polvo + horno</v>
      </c>
      <c r="B105" s="14" t="n">
        <f aca="false">(parametros_manuales!$D$38*('Plan mensual'!D35+IF(parametros_manuales!$H$38="Todos",'Plan mensual'!D39,0))+parametros_manuales!$E$38*('Plan mensual'!D36+IF(parametros_manuales!$H$38="Todos",'Plan mensual'!D40,0))+parametros_manuales!$F$38*('Plan mensual'!D37+IF(parametros_manuales!$H$38="Todos",'Plan mensual'!D41,0))+parametros_manuales!$G$38*('Plan mensual'!D38+IF(parametros_manuales!$H$38="Todos",'Plan mensual'!D42,0)))*parametros_manuales!$I$38*parametros_manuales!$J$38</f>
        <v>5766.73366399</v>
      </c>
      <c r="C105" s="14" t="n">
        <f aca="false">(parametros_manuales!$D$38*('Plan mensual'!E35+IF(parametros_manuales!$H$38="Todos",'Plan mensual'!E39,0))+parametros_manuales!$E$38*('Plan mensual'!E36+IF(parametros_manuales!$H$38="Todos",'Plan mensual'!E40,0))+parametros_manuales!$F$38*('Plan mensual'!E37+IF(parametros_manuales!$H$38="Todos",'Plan mensual'!E41,0))+parametros_manuales!$G$38*('Plan mensual'!E38+IF(parametros_manuales!$H$38="Todos",'Plan mensual'!E42,0)))*parametros_manuales!$I$38*parametros_manuales!$J$38</f>
        <v>4402.415317898</v>
      </c>
      <c r="D105" s="14" t="n">
        <f aca="false">(parametros_manuales!$D$38*('Plan mensual'!F35+IF(parametros_manuales!$H$38="Todos",'Plan mensual'!F39,0))+parametros_manuales!$E$38*('Plan mensual'!F36+IF(parametros_manuales!$H$38="Todos",'Plan mensual'!F40,0))+parametros_manuales!$F$38*('Plan mensual'!F37+IF(parametros_manuales!$H$38="Todos",'Plan mensual'!F41,0))+parametros_manuales!$G$38*('Plan mensual'!F38+IF(parametros_manuales!$H$38="Todos",'Plan mensual'!F42,0)))*parametros_manuales!$I$38*parametros_manuales!$J$38</f>
        <v>4128.1610323135</v>
      </c>
      <c r="E105" s="14" t="n">
        <f aca="false">(parametros_manuales!$D$38*('Plan mensual'!G35+IF(parametros_manuales!$H$38="Todos",'Plan mensual'!G39,0))+parametros_manuales!$E$38*('Plan mensual'!G36+IF(parametros_manuales!$H$38="Todos",'Plan mensual'!G40,0))+parametros_manuales!$F$38*('Plan mensual'!G37+IF(parametros_manuales!$H$38="Todos",'Plan mensual'!G41,0))+parametros_manuales!$G$38*('Plan mensual'!G38+IF(parametros_manuales!$H$38="Todos",'Plan mensual'!G42,0)))*parametros_manuales!$I$38*parametros_manuales!$J$38</f>
        <v>3952.3513545685</v>
      </c>
      <c r="F105" s="14" t="n">
        <f aca="false">(parametros_manuales!$D$38*('Plan mensual'!H35+IF(parametros_manuales!$H$38="Todos",'Plan mensual'!H39,0))+parametros_manuales!$E$38*('Plan mensual'!H36+IF(parametros_manuales!$H$38="Todos",'Plan mensual'!H40,0))+parametros_manuales!$F$38*('Plan mensual'!H37+IF(parametros_manuales!$H$38="Todos",'Plan mensual'!H41,0))+parametros_manuales!$G$38*('Plan mensual'!H38+IF(parametros_manuales!$H$38="Todos",'Plan mensual'!H42,0)))*parametros_manuales!$I$38*parametros_manuales!$J$38</f>
        <v>3699.176606918</v>
      </c>
      <c r="G105" s="14" t="n">
        <f aca="false">(parametros_manuales!$D$38*('Plan mensual'!I35+IF(parametros_manuales!$H$38="Todos",'Plan mensual'!I39,0))+parametros_manuales!$E$38*('Plan mensual'!I36+IF(parametros_manuales!$H$38="Todos",'Plan mensual'!I40,0))+parametros_manuales!$F$38*('Plan mensual'!I37+IF(parametros_manuales!$H$38="Todos",'Plan mensual'!I41,0))+parametros_manuales!$G$38*('Plan mensual'!I38+IF(parametros_manuales!$H$38="Todos",'Plan mensual'!I42,0)))*parametros_manuales!$I$38*parametros_manuales!$J$38</f>
        <v>3621.8115370125</v>
      </c>
      <c r="H105" s="14" t="n">
        <f aca="false">(parametros_manuales!$D$38*('Plan mensual'!J35+IF(parametros_manuales!$H$38="Todos",'Plan mensual'!J39,0))+parametros_manuales!$E$38*('Plan mensual'!J36+IF(parametros_manuales!$H$38="Todos",'Plan mensual'!J40,0))+parametros_manuales!$F$38*('Plan mensual'!J37+IF(parametros_manuales!$H$38="Todos",'Plan mensual'!J41,0))+parametros_manuales!$G$38*('Plan mensual'!J38+IF(parametros_manuales!$H$38="Todos",'Plan mensual'!J42,0)))*parametros_manuales!$I$38*parametros_manuales!$J$38</f>
        <v>3874.986284663</v>
      </c>
      <c r="I105" s="14" t="n">
        <f aca="false">(parametros_manuales!$D$38*('Plan mensual'!K35+IF(parametros_manuales!$H$38="Todos",'Plan mensual'!K39,0))+parametros_manuales!$E$38*('Plan mensual'!K36+IF(parametros_manuales!$H$38="Todos",'Plan mensual'!K40,0))+parametros_manuales!$F$38*('Plan mensual'!K37+IF(parametros_manuales!$H$38="Todos",'Plan mensual'!K41,0))+parametros_manuales!$G$38*('Plan mensual'!K38+IF(parametros_manuales!$H$38="Todos",'Plan mensual'!K42,0)))*parametros_manuales!$I$38*parametros_manuales!$J$38</f>
        <v>3874.986284663</v>
      </c>
      <c r="J105" s="14" t="n">
        <f aca="false">(parametros_manuales!$D$38*('Plan mensual'!L35+IF(parametros_manuales!$H$38="Todos",'Plan mensual'!L39,0))+parametros_manuales!$E$38*('Plan mensual'!L36+IF(parametros_manuales!$H$38="Todos",'Plan mensual'!L40,0))+parametros_manuales!$F$38*('Plan mensual'!L37+IF(parametros_manuales!$H$38="Todos",'Plan mensual'!L41,0))+parametros_manuales!$G$38*('Plan mensual'!L38+IF(parametros_manuales!$H$38="Todos",'Plan mensual'!L42,0)))*parametros_manuales!$I$38*parametros_manuales!$J$38</f>
        <v>3874.986284663</v>
      </c>
      <c r="K105" s="14" t="n">
        <f aca="false">(parametros_manuales!$D$38*('Plan mensual'!M35+IF(parametros_manuales!$H$38="Todos",'Plan mensual'!M39,0))+parametros_manuales!$E$38*('Plan mensual'!M36+IF(parametros_manuales!$H$38="Todos",'Plan mensual'!M40,0))+parametros_manuales!$F$38*('Plan mensual'!M37+IF(parametros_manuales!$H$38="Todos",'Plan mensual'!M41,0))+parametros_manuales!$G$38*('Plan mensual'!M38+IF(parametros_manuales!$H$38="Todos",'Plan mensual'!M42,0)))*parametros_manuales!$I$38*parametros_manuales!$J$38</f>
        <v>3797.6212147575</v>
      </c>
      <c r="L105" s="14" t="n">
        <f aca="false">(parametros_manuales!$D$38*('Plan mensual'!N35+IF(parametros_manuales!$H$38="Todos",'Plan mensual'!N39,0))+parametros_manuales!$E$38*('Plan mensual'!N36+IF(parametros_manuales!$H$38="Todos",'Plan mensual'!N40,0))+parametros_manuales!$F$38*('Plan mensual'!N37+IF(parametros_manuales!$H$38="Todos",'Plan mensual'!N41,0))+parametros_manuales!$G$38*('Plan mensual'!N38+IF(parametros_manuales!$H$38="Todos",'Plan mensual'!N42,0)))*parametros_manuales!$I$38*parametros_manuales!$J$38</f>
        <v>3720.256144852</v>
      </c>
      <c r="M105" s="14" t="n">
        <f aca="false">(parametros_manuales!$D$38*('Plan mensual'!O35+IF(parametros_manuales!$H$38="Todos",'Plan mensual'!O39,0))+parametros_manuales!$E$38*('Plan mensual'!O36+IF(parametros_manuales!$H$38="Todos",'Plan mensual'!O40,0))+parametros_manuales!$F$38*('Plan mensual'!O37+IF(parametros_manuales!$H$38="Todos",'Plan mensual'!O41,0))+parametros_manuales!$G$38*('Plan mensual'!O38+IF(parametros_manuales!$H$38="Todos",'Plan mensual'!O42,0)))*parametros_manuales!$I$38*parametros_manuales!$J$38</f>
        <v>5921.463803801</v>
      </c>
      <c r="N105" s="14" t="n">
        <f aca="false">SUM(B105:M105)</f>
        <v>50634.9495301</v>
      </c>
      <c r="O105" s="14" t="n">
        <f aca="false">MAX(B105:M105)</f>
        <v>5921.463803801</v>
      </c>
      <c r="P105" s="57" t="n">
        <f aca="false">O105/(parametros_manuales!$B$7)</f>
        <v>39.4764253586733</v>
      </c>
      <c r="Q105" s="13" t="str">
        <f aca="false">IF(O105=0,"-",INDEX($B$85:$M$85,MATCH(O105,B105:M105,0)))</f>
        <v>Dic</v>
      </c>
    </row>
    <row r="106" customFormat="false" ht="14.25" hidden="false" customHeight="true" outlineLevel="0" collapsed="false">
      <c r="A106" s="13" t="str">
        <f aca="false">parametros_manuales!$B$39</f>
        <v>Carga de polvo</v>
      </c>
      <c r="B106" s="14" t="n">
        <f aca="false">(parametros_manuales!$D$39*('Plan mensual'!D35+IF(parametros_manuales!$H$39="Todos",'Plan mensual'!D39,0))+parametros_manuales!$E$39*('Plan mensual'!D36+IF(parametros_manuales!$H$39="Todos",'Plan mensual'!D40,0))+parametros_manuales!$F$39*('Plan mensual'!D37+IF(parametros_manuales!$H$39="Todos",'Plan mensual'!D41,0))+parametros_manuales!$G$39*('Plan mensual'!D38+IF(parametros_manuales!$H$39="Todos",'Plan mensual'!D42,0)))*parametros_manuales!$I$39*parametros_manuales!$J$39</f>
        <v>1893.84166399</v>
      </c>
      <c r="C106" s="14" t="n">
        <f aca="false">(parametros_manuales!$D$39*('Plan mensual'!E35+IF(parametros_manuales!$H$39="Todos",'Plan mensual'!E39,0))+parametros_manuales!$E$39*('Plan mensual'!E36+IF(parametros_manuales!$H$39="Todos",'Plan mensual'!E40,0))+parametros_manuales!$F$39*('Plan mensual'!E37+IF(parametros_manuales!$H$39="Todos",'Plan mensual'!E41,0))+parametros_manuales!$G$39*('Plan mensual'!E38+IF(parametros_manuales!$H$39="Todos",'Plan mensual'!E42,0)))*parametros_manuales!$I$39*parametros_manuales!$J$39</f>
        <v>1464.270517898</v>
      </c>
      <c r="D106" s="14" t="n">
        <f aca="false">(parametros_manuales!$D$39*('Plan mensual'!F35+IF(parametros_manuales!$H$39="Todos",'Plan mensual'!F39,0))+parametros_manuales!$E$39*('Plan mensual'!F36+IF(parametros_manuales!$H$39="Todos",'Plan mensual'!F40,0))+parametros_manuales!$F$39*('Plan mensual'!F37+IF(parametros_manuales!$H$39="Todos",'Plan mensual'!F41,0))+parametros_manuales!$G$39*('Plan mensual'!F38+IF(parametros_manuales!$H$39="Todos",'Plan mensual'!F42,0)))*parametros_manuales!$I$39*parametros_manuales!$J$39</f>
        <v>1423.4884323135</v>
      </c>
      <c r="E106" s="14" t="n">
        <f aca="false">(parametros_manuales!$D$39*('Plan mensual'!G35+IF(parametros_manuales!$H$39="Todos",'Plan mensual'!G39,0))+parametros_manuales!$E$39*('Plan mensual'!G36+IF(parametros_manuales!$H$39="Todos",'Plan mensual'!G40,0))+parametros_manuales!$F$39*('Plan mensual'!G37+IF(parametros_manuales!$H$39="Todos",'Plan mensual'!G41,0))+parametros_manuales!$G$39*('Plan mensual'!G38+IF(parametros_manuales!$H$39="Todos",'Plan mensual'!G42,0)))*parametros_manuales!$I$39*parametros_manuales!$J$39</f>
        <v>1381.1527545685</v>
      </c>
      <c r="F106" s="14" t="n">
        <f aca="false">(parametros_manuales!$D$39*('Plan mensual'!H35+IF(parametros_manuales!$H$39="Todos",'Plan mensual'!H39,0))+parametros_manuales!$E$39*('Plan mensual'!H36+IF(parametros_manuales!$H$39="Todos",'Plan mensual'!H40,0))+parametros_manuales!$F$39*('Plan mensual'!H37+IF(parametros_manuales!$H$39="Todos",'Plan mensual'!H41,0))+parametros_manuales!$G$39*('Plan mensual'!H38+IF(parametros_manuales!$H$39="Todos",'Plan mensual'!H42,0)))*parametros_manuales!$I$39*parametros_manuales!$J$39</f>
        <v>1294.927806918</v>
      </c>
      <c r="G106" s="14" t="n">
        <f aca="false">(parametros_manuales!$D$39*('Plan mensual'!I35+IF(parametros_manuales!$H$39="Todos",'Plan mensual'!I39,0))+parametros_manuales!$E$39*('Plan mensual'!I36+IF(parametros_manuales!$H$39="Todos",'Plan mensual'!I40,0))+parametros_manuales!$F$39*('Plan mensual'!I37+IF(parametros_manuales!$H$39="Todos",'Plan mensual'!I41,0))+parametros_manuales!$G$39*('Plan mensual'!I38+IF(parametros_manuales!$H$39="Todos",'Plan mensual'!I42,0)))*parametros_manuales!$I$39*parametros_manuales!$J$39</f>
        <v>1251.0385370125</v>
      </c>
      <c r="H106" s="14" t="n">
        <f aca="false">(parametros_manuales!$D$39*('Plan mensual'!J35+IF(parametros_manuales!$H$39="Todos",'Plan mensual'!J39,0))+parametros_manuales!$E$39*('Plan mensual'!J36+IF(parametros_manuales!$H$39="Todos",'Plan mensual'!J40,0))+parametros_manuales!$F$39*('Plan mensual'!J37+IF(parametros_manuales!$H$39="Todos",'Plan mensual'!J41,0))+parametros_manuales!$G$39*('Plan mensual'!J38+IF(parametros_manuales!$H$39="Todos",'Plan mensual'!J42,0)))*parametros_manuales!$I$39*parametros_manuales!$J$39</f>
        <v>1337.263484663</v>
      </c>
      <c r="I106" s="14" t="n">
        <f aca="false">(parametros_manuales!$D$39*('Plan mensual'!K35+IF(parametros_manuales!$H$39="Todos",'Plan mensual'!K39,0))+parametros_manuales!$E$39*('Plan mensual'!K36+IF(parametros_manuales!$H$39="Todos",'Plan mensual'!K40,0))+parametros_manuales!$F$39*('Plan mensual'!K37+IF(parametros_manuales!$H$39="Todos",'Plan mensual'!K41,0))+parametros_manuales!$G$39*('Plan mensual'!K38+IF(parametros_manuales!$H$39="Todos",'Plan mensual'!K42,0)))*parametros_manuales!$I$39*parametros_manuales!$J$39</f>
        <v>1337.263484663</v>
      </c>
      <c r="J106" s="14" t="n">
        <f aca="false">(parametros_manuales!$D$39*('Plan mensual'!L35+IF(parametros_manuales!$H$39="Todos",'Plan mensual'!L39,0))+parametros_manuales!$E$39*('Plan mensual'!L36+IF(parametros_manuales!$H$39="Todos",'Plan mensual'!L40,0))+parametros_manuales!$F$39*('Plan mensual'!L37+IF(parametros_manuales!$H$39="Todos",'Plan mensual'!L41,0))+parametros_manuales!$G$39*('Plan mensual'!L38+IF(parametros_manuales!$H$39="Todos",'Plan mensual'!L42,0)))*parametros_manuales!$I$39*parametros_manuales!$J$39</f>
        <v>1337.263484663</v>
      </c>
      <c r="K106" s="14" t="n">
        <f aca="false">(parametros_manuales!$D$39*('Plan mensual'!M35+IF(parametros_manuales!$H$39="Todos",'Plan mensual'!M39,0))+parametros_manuales!$E$39*('Plan mensual'!M36+IF(parametros_manuales!$H$39="Todos",'Plan mensual'!M40,0))+parametros_manuales!$F$39*('Plan mensual'!M37+IF(parametros_manuales!$H$39="Todos",'Plan mensual'!M41,0))+parametros_manuales!$G$39*('Plan mensual'!M38+IF(parametros_manuales!$H$39="Todos",'Plan mensual'!M42,0)))*parametros_manuales!$I$39*parametros_manuales!$J$39</f>
        <v>1293.3742147575</v>
      </c>
      <c r="L106" s="14" t="n">
        <f aca="false">(parametros_manuales!$D$39*('Plan mensual'!N35+IF(parametros_manuales!$H$39="Todos",'Plan mensual'!N39,0))+parametros_manuales!$E$39*('Plan mensual'!N36+IF(parametros_manuales!$H$39="Todos",'Plan mensual'!N40,0))+parametros_manuales!$F$39*('Plan mensual'!N37+IF(parametros_manuales!$H$39="Todos",'Plan mensual'!N41,0))+parametros_manuales!$G$39*('Plan mensual'!N38+IF(parametros_manuales!$H$39="Todos",'Plan mensual'!N42,0)))*parametros_manuales!$I$39*parametros_manuales!$J$39</f>
        <v>1249.484944852</v>
      </c>
      <c r="M106" s="14" t="n">
        <f aca="false">(parametros_manuales!$D$39*('Plan mensual'!O35+IF(parametros_manuales!$H$39="Todos",'Plan mensual'!O39,0))+parametros_manuales!$E$39*('Plan mensual'!O36+IF(parametros_manuales!$H$39="Todos",'Plan mensual'!O40,0))+parametros_manuales!$F$39*('Plan mensual'!O37+IF(parametros_manuales!$H$39="Todos",'Plan mensual'!O41,0))+parametros_manuales!$G$39*('Plan mensual'!O38+IF(parametros_manuales!$H$39="Todos",'Plan mensual'!O42,0)))*parametros_manuales!$I$39*parametros_manuales!$J$39</f>
        <v>1981.620203801</v>
      </c>
      <c r="N106" s="14" t="n">
        <f aca="false">SUM(B106:M106)</f>
        <v>17244.9895301</v>
      </c>
      <c r="O106" s="14" t="n">
        <f aca="false">MAX(B106:M106)</f>
        <v>1981.620203801</v>
      </c>
      <c r="P106" s="57" t="n">
        <f aca="false">O106/(parametros_manuales!$B$7)</f>
        <v>13.2108013586733</v>
      </c>
      <c r="Q106" s="13" t="str">
        <f aca="false">IF(O106=0,"-",INDEX($B$85:$M$85,MATCH(O106,B106:M106,0)))</f>
        <v>Dic</v>
      </c>
    </row>
    <row r="107" customFormat="false" ht="14.25" hidden="false" customHeight="true" outlineLevel="0" collapsed="false">
      <c r="A107" s="13" t="str">
        <f aca="false">parametros_manuales!$B$40</f>
        <v>Ensamblaje</v>
      </c>
      <c r="B107" s="14" t="n">
        <f aca="false">(parametros_manuales!$D$40*('Plan mensual'!D35+IF(parametros_manuales!$H$40="Todos",'Plan mensual'!D39,0))+parametros_manuales!$E$40*('Plan mensual'!D36+IF(parametros_manuales!$H$40="Todos",'Plan mensual'!D40,0))+parametros_manuales!$F$40*('Plan mensual'!D37+IF(parametros_manuales!$H$40="Todos",'Plan mensual'!D41,0))+parametros_manuales!$G$40*('Plan mensual'!D38+IF(parametros_manuales!$H$40="Todos",'Plan mensual'!D42,0)))*parametros_manuales!$I$40*parametros_manuales!$J$40</f>
        <v>1893.84166399</v>
      </c>
      <c r="C107" s="14" t="n">
        <f aca="false">(parametros_manuales!$D$40*('Plan mensual'!E35+IF(parametros_manuales!$H$40="Todos",'Plan mensual'!E39,0))+parametros_manuales!$E$40*('Plan mensual'!E36+IF(parametros_manuales!$H$40="Todos",'Plan mensual'!E40,0))+parametros_manuales!$F$40*('Plan mensual'!E37+IF(parametros_manuales!$H$40="Todos",'Plan mensual'!E41,0))+parametros_manuales!$G$40*('Plan mensual'!E38+IF(parametros_manuales!$H$40="Todos",'Plan mensual'!E42,0)))*parametros_manuales!$I$40*parametros_manuales!$J$40</f>
        <v>1464.270517898</v>
      </c>
      <c r="D107" s="14" t="n">
        <f aca="false">(parametros_manuales!$D$40*('Plan mensual'!F35+IF(parametros_manuales!$H$40="Todos",'Plan mensual'!F39,0))+parametros_manuales!$E$40*('Plan mensual'!F36+IF(parametros_manuales!$H$40="Todos",'Plan mensual'!F40,0))+parametros_manuales!$F$40*('Plan mensual'!F37+IF(parametros_manuales!$H$40="Todos",'Plan mensual'!F41,0))+parametros_manuales!$G$40*('Plan mensual'!F38+IF(parametros_manuales!$H$40="Todos",'Plan mensual'!F42,0)))*parametros_manuales!$I$40*parametros_manuales!$J$40</f>
        <v>1423.4884323135</v>
      </c>
      <c r="E107" s="14" t="n">
        <f aca="false">(parametros_manuales!$D$40*('Plan mensual'!G35+IF(parametros_manuales!$H$40="Todos",'Plan mensual'!G39,0))+parametros_manuales!$E$40*('Plan mensual'!G36+IF(parametros_manuales!$H$40="Todos",'Plan mensual'!G40,0))+parametros_manuales!$F$40*('Plan mensual'!G37+IF(parametros_manuales!$H$40="Todos",'Plan mensual'!G41,0))+parametros_manuales!$G$40*('Plan mensual'!G38+IF(parametros_manuales!$H$40="Todos",'Plan mensual'!G42,0)))*parametros_manuales!$I$40*parametros_manuales!$J$40</f>
        <v>1381.1527545685</v>
      </c>
      <c r="F107" s="14" t="n">
        <f aca="false">(parametros_manuales!$D$40*('Plan mensual'!H35+IF(parametros_manuales!$H$40="Todos",'Plan mensual'!H39,0))+parametros_manuales!$E$40*('Plan mensual'!H36+IF(parametros_manuales!$H$40="Todos",'Plan mensual'!H40,0))+parametros_manuales!$F$40*('Plan mensual'!H37+IF(parametros_manuales!$H$40="Todos",'Plan mensual'!H41,0))+parametros_manuales!$G$40*('Plan mensual'!H38+IF(parametros_manuales!$H$40="Todos",'Plan mensual'!H42,0)))*parametros_manuales!$I$40*parametros_manuales!$J$40</f>
        <v>1294.927806918</v>
      </c>
      <c r="G107" s="14" t="n">
        <f aca="false">(parametros_manuales!$D$40*('Plan mensual'!I35+IF(parametros_manuales!$H$40="Todos",'Plan mensual'!I39,0))+parametros_manuales!$E$40*('Plan mensual'!I36+IF(parametros_manuales!$H$40="Todos",'Plan mensual'!I40,0))+parametros_manuales!$F$40*('Plan mensual'!I37+IF(parametros_manuales!$H$40="Todos",'Plan mensual'!I41,0))+parametros_manuales!$G$40*('Plan mensual'!I38+IF(parametros_manuales!$H$40="Todos",'Plan mensual'!I42,0)))*parametros_manuales!$I$40*parametros_manuales!$J$40</f>
        <v>1251.0385370125</v>
      </c>
      <c r="H107" s="14" t="n">
        <f aca="false">(parametros_manuales!$D$40*('Plan mensual'!J35+IF(parametros_manuales!$H$40="Todos",'Plan mensual'!J39,0))+parametros_manuales!$E$40*('Plan mensual'!J36+IF(parametros_manuales!$H$40="Todos",'Plan mensual'!J40,0))+parametros_manuales!$F$40*('Plan mensual'!J37+IF(parametros_manuales!$H$40="Todos",'Plan mensual'!J41,0))+parametros_manuales!$G$40*('Plan mensual'!J38+IF(parametros_manuales!$H$40="Todos",'Plan mensual'!J42,0)))*parametros_manuales!$I$40*parametros_manuales!$J$40</f>
        <v>1337.263484663</v>
      </c>
      <c r="I107" s="14" t="n">
        <f aca="false">(parametros_manuales!$D$40*('Plan mensual'!K35+IF(parametros_manuales!$H$40="Todos",'Plan mensual'!K39,0))+parametros_manuales!$E$40*('Plan mensual'!K36+IF(parametros_manuales!$H$40="Todos",'Plan mensual'!K40,0))+parametros_manuales!$F$40*('Plan mensual'!K37+IF(parametros_manuales!$H$40="Todos",'Plan mensual'!K41,0))+parametros_manuales!$G$40*('Plan mensual'!K38+IF(parametros_manuales!$H$40="Todos",'Plan mensual'!K42,0)))*parametros_manuales!$I$40*parametros_manuales!$J$40</f>
        <v>1337.263484663</v>
      </c>
      <c r="J107" s="14" t="n">
        <f aca="false">(parametros_manuales!$D$40*('Plan mensual'!L35+IF(parametros_manuales!$H$40="Todos",'Plan mensual'!L39,0))+parametros_manuales!$E$40*('Plan mensual'!L36+IF(parametros_manuales!$H$40="Todos",'Plan mensual'!L40,0))+parametros_manuales!$F$40*('Plan mensual'!L37+IF(parametros_manuales!$H$40="Todos",'Plan mensual'!L41,0))+parametros_manuales!$G$40*('Plan mensual'!L38+IF(parametros_manuales!$H$40="Todos",'Plan mensual'!L42,0)))*parametros_manuales!$I$40*parametros_manuales!$J$40</f>
        <v>1337.263484663</v>
      </c>
      <c r="K107" s="14" t="n">
        <f aca="false">(parametros_manuales!$D$40*('Plan mensual'!M35+IF(parametros_manuales!$H$40="Todos",'Plan mensual'!M39,0))+parametros_manuales!$E$40*('Plan mensual'!M36+IF(parametros_manuales!$H$40="Todos",'Plan mensual'!M40,0))+parametros_manuales!$F$40*('Plan mensual'!M37+IF(parametros_manuales!$H$40="Todos",'Plan mensual'!M41,0))+parametros_manuales!$G$40*('Plan mensual'!M38+IF(parametros_manuales!$H$40="Todos",'Plan mensual'!M42,0)))*parametros_manuales!$I$40*parametros_manuales!$J$40</f>
        <v>1293.3742147575</v>
      </c>
      <c r="L107" s="14" t="n">
        <f aca="false">(parametros_manuales!$D$40*('Plan mensual'!N35+IF(parametros_manuales!$H$40="Todos",'Plan mensual'!N39,0))+parametros_manuales!$E$40*('Plan mensual'!N36+IF(parametros_manuales!$H$40="Todos",'Plan mensual'!N40,0))+parametros_manuales!$F$40*('Plan mensual'!N37+IF(parametros_manuales!$H$40="Todos",'Plan mensual'!N41,0))+parametros_manuales!$G$40*('Plan mensual'!N38+IF(parametros_manuales!$H$40="Todos",'Plan mensual'!N42,0)))*parametros_manuales!$I$40*parametros_manuales!$J$40</f>
        <v>1249.484944852</v>
      </c>
      <c r="M107" s="14" t="n">
        <f aca="false">(parametros_manuales!$D$40*('Plan mensual'!O35+IF(parametros_manuales!$H$40="Todos",'Plan mensual'!O39,0))+parametros_manuales!$E$40*('Plan mensual'!O36+IF(parametros_manuales!$H$40="Todos",'Plan mensual'!O40,0))+parametros_manuales!$F$40*('Plan mensual'!O37+IF(parametros_manuales!$H$40="Todos",'Plan mensual'!O41,0))+parametros_manuales!$G$40*('Plan mensual'!O38+IF(parametros_manuales!$H$40="Todos",'Plan mensual'!O42,0)))*parametros_manuales!$I$40*parametros_manuales!$J$40</f>
        <v>1981.620203801</v>
      </c>
      <c r="N107" s="14" t="n">
        <f aca="false">SUM(B107:M107)</f>
        <v>17244.9895301</v>
      </c>
      <c r="O107" s="14" t="n">
        <f aca="false">MAX(B107:M107)</f>
        <v>1981.620203801</v>
      </c>
      <c r="P107" s="57" t="n">
        <f aca="false">O107/(parametros_manuales!$B$7)</f>
        <v>13.2108013586733</v>
      </c>
      <c r="Q107" s="13" t="str">
        <f aca="false">IF(O107=0,"-",INDEX($B$85:$M$85,MATCH(O107,B107:M107,0)))</f>
        <v>Dic</v>
      </c>
    </row>
    <row r="108" customFormat="false" ht="14.25" hidden="false" customHeight="true" outlineLevel="0" collapsed="false">
      <c r="A108" s="13" t="str">
        <f aca="false">parametros_manuales!$B$41</f>
        <v>Presurización</v>
      </c>
      <c r="B108" s="14" t="n">
        <f aca="false">(parametros_manuales!$D$41*('Plan mensual'!D35+IF(parametros_manuales!$H$41="Todos",'Plan mensual'!D39,0))+parametros_manuales!$E$41*('Plan mensual'!D36+IF(parametros_manuales!$H$41="Todos",'Plan mensual'!D40,0))+parametros_manuales!$F$41*('Plan mensual'!D37+IF(parametros_manuales!$H$41="Todos",'Plan mensual'!D41,0))+parametros_manuales!$G$41*('Plan mensual'!D38+IF(parametros_manuales!$H$41="Todos",'Plan mensual'!D42,0)))*parametros_manuales!$I$41*parametros_manuales!$J$41</f>
        <v>1893.84166399</v>
      </c>
      <c r="C108" s="14" t="n">
        <f aca="false">(parametros_manuales!$D$41*('Plan mensual'!E35+IF(parametros_manuales!$H$41="Todos",'Plan mensual'!E39,0))+parametros_manuales!$E$41*('Plan mensual'!E36+IF(parametros_manuales!$H$41="Todos",'Plan mensual'!E40,0))+parametros_manuales!$F$41*('Plan mensual'!E37+IF(parametros_manuales!$H$41="Todos",'Plan mensual'!E41,0))+parametros_manuales!$G$41*('Plan mensual'!E38+IF(parametros_manuales!$H$41="Todos",'Plan mensual'!E42,0)))*parametros_manuales!$I$41*parametros_manuales!$J$41</f>
        <v>1464.270517898</v>
      </c>
      <c r="D108" s="14" t="n">
        <f aca="false">(parametros_manuales!$D$41*('Plan mensual'!F35+IF(parametros_manuales!$H$41="Todos",'Plan mensual'!F39,0))+parametros_manuales!$E$41*('Plan mensual'!F36+IF(parametros_manuales!$H$41="Todos",'Plan mensual'!F40,0))+parametros_manuales!$F$41*('Plan mensual'!F37+IF(parametros_manuales!$H$41="Todos",'Plan mensual'!F41,0))+parametros_manuales!$G$41*('Plan mensual'!F38+IF(parametros_manuales!$H$41="Todos",'Plan mensual'!F42,0)))*parametros_manuales!$I$41*parametros_manuales!$J$41</f>
        <v>1423.4884323135</v>
      </c>
      <c r="E108" s="14" t="n">
        <f aca="false">(parametros_manuales!$D$41*('Plan mensual'!G35+IF(parametros_manuales!$H$41="Todos",'Plan mensual'!G39,0))+parametros_manuales!$E$41*('Plan mensual'!G36+IF(parametros_manuales!$H$41="Todos",'Plan mensual'!G40,0))+parametros_manuales!$F$41*('Plan mensual'!G37+IF(parametros_manuales!$H$41="Todos",'Plan mensual'!G41,0))+parametros_manuales!$G$41*('Plan mensual'!G38+IF(parametros_manuales!$H$41="Todos",'Plan mensual'!G42,0)))*parametros_manuales!$I$41*parametros_manuales!$J$41</f>
        <v>1381.1527545685</v>
      </c>
      <c r="F108" s="14" t="n">
        <f aca="false">(parametros_manuales!$D$41*('Plan mensual'!H35+IF(parametros_manuales!$H$41="Todos",'Plan mensual'!H39,0))+parametros_manuales!$E$41*('Plan mensual'!H36+IF(parametros_manuales!$H$41="Todos",'Plan mensual'!H40,0))+parametros_manuales!$F$41*('Plan mensual'!H37+IF(parametros_manuales!$H$41="Todos",'Plan mensual'!H41,0))+parametros_manuales!$G$41*('Plan mensual'!H38+IF(parametros_manuales!$H$41="Todos",'Plan mensual'!H42,0)))*parametros_manuales!$I$41*parametros_manuales!$J$41</f>
        <v>1294.927806918</v>
      </c>
      <c r="G108" s="14" t="n">
        <f aca="false">(parametros_manuales!$D$41*('Plan mensual'!I35+IF(parametros_manuales!$H$41="Todos",'Plan mensual'!I39,0))+parametros_manuales!$E$41*('Plan mensual'!I36+IF(parametros_manuales!$H$41="Todos",'Plan mensual'!I40,0))+parametros_manuales!$F$41*('Plan mensual'!I37+IF(parametros_manuales!$H$41="Todos",'Plan mensual'!I41,0))+parametros_manuales!$G$41*('Plan mensual'!I38+IF(parametros_manuales!$H$41="Todos",'Plan mensual'!I42,0)))*parametros_manuales!$I$41*parametros_manuales!$J$41</f>
        <v>1251.0385370125</v>
      </c>
      <c r="H108" s="14" t="n">
        <f aca="false">(parametros_manuales!$D$41*('Plan mensual'!J35+IF(parametros_manuales!$H$41="Todos",'Plan mensual'!J39,0))+parametros_manuales!$E$41*('Plan mensual'!J36+IF(parametros_manuales!$H$41="Todos",'Plan mensual'!J40,0))+parametros_manuales!$F$41*('Plan mensual'!J37+IF(parametros_manuales!$H$41="Todos",'Plan mensual'!J41,0))+parametros_manuales!$G$41*('Plan mensual'!J38+IF(parametros_manuales!$H$41="Todos",'Plan mensual'!J42,0)))*parametros_manuales!$I$41*parametros_manuales!$J$41</f>
        <v>1337.263484663</v>
      </c>
      <c r="I108" s="14" t="n">
        <f aca="false">(parametros_manuales!$D$41*('Plan mensual'!K35+IF(parametros_manuales!$H$41="Todos",'Plan mensual'!K39,0))+parametros_manuales!$E$41*('Plan mensual'!K36+IF(parametros_manuales!$H$41="Todos",'Plan mensual'!K40,0))+parametros_manuales!$F$41*('Plan mensual'!K37+IF(parametros_manuales!$H$41="Todos",'Plan mensual'!K41,0))+parametros_manuales!$G$41*('Plan mensual'!K38+IF(parametros_manuales!$H$41="Todos",'Plan mensual'!K42,0)))*parametros_manuales!$I$41*parametros_manuales!$J$41</f>
        <v>1337.263484663</v>
      </c>
      <c r="J108" s="14" t="n">
        <f aca="false">(parametros_manuales!$D$41*('Plan mensual'!L35+IF(parametros_manuales!$H$41="Todos",'Plan mensual'!L39,0))+parametros_manuales!$E$41*('Plan mensual'!L36+IF(parametros_manuales!$H$41="Todos",'Plan mensual'!L40,0))+parametros_manuales!$F$41*('Plan mensual'!L37+IF(parametros_manuales!$H$41="Todos",'Plan mensual'!L41,0))+parametros_manuales!$G$41*('Plan mensual'!L38+IF(parametros_manuales!$H$41="Todos",'Plan mensual'!L42,0)))*parametros_manuales!$I$41*parametros_manuales!$J$41</f>
        <v>1337.263484663</v>
      </c>
      <c r="K108" s="14" t="n">
        <f aca="false">(parametros_manuales!$D$41*('Plan mensual'!M35+IF(parametros_manuales!$H$41="Todos",'Plan mensual'!M39,0))+parametros_manuales!$E$41*('Plan mensual'!M36+IF(parametros_manuales!$H$41="Todos",'Plan mensual'!M40,0))+parametros_manuales!$F$41*('Plan mensual'!M37+IF(parametros_manuales!$H$41="Todos",'Plan mensual'!M41,0))+parametros_manuales!$G$41*('Plan mensual'!M38+IF(parametros_manuales!$H$41="Todos",'Plan mensual'!M42,0)))*parametros_manuales!$I$41*parametros_manuales!$J$41</f>
        <v>1293.3742147575</v>
      </c>
      <c r="L108" s="14" t="n">
        <f aca="false">(parametros_manuales!$D$41*('Plan mensual'!N35+IF(parametros_manuales!$H$41="Todos",'Plan mensual'!N39,0))+parametros_manuales!$E$41*('Plan mensual'!N36+IF(parametros_manuales!$H$41="Todos",'Plan mensual'!N40,0))+parametros_manuales!$F$41*('Plan mensual'!N37+IF(parametros_manuales!$H$41="Todos",'Plan mensual'!N41,0))+parametros_manuales!$G$41*('Plan mensual'!N38+IF(parametros_manuales!$H$41="Todos",'Plan mensual'!N42,0)))*parametros_manuales!$I$41*parametros_manuales!$J$41</f>
        <v>1249.484944852</v>
      </c>
      <c r="M108" s="14" t="n">
        <f aca="false">(parametros_manuales!$D$41*('Plan mensual'!O35+IF(parametros_manuales!$H$41="Todos",'Plan mensual'!O39,0))+parametros_manuales!$E$41*('Plan mensual'!O36+IF(parametros_manuales!$H$41="Todos",'Plan mensual'!O40,0))+parametros_manuales!$F$41*('Plan mensual'!O37+IF(parametros_manuales!$H$41="Todos",'Plan mensual'!O41,0))+parametros_manuales!$G$41*('Plan mensual'!O38+IF(parametros_manuales!$H$41="Todos",'Plan mensual'!O42,0)))*parametros_manuales!$I$41*parametros_manuales!$J$41</f>
        <v>1981.620203801</v>
      </c>
      <c r="N108" s="14" t="n">
        <f aca="false">SUM(B108:M108)</f>
        <v>17244.9895301</v>
      </c>
      <c r="O108" s="14" t="n">
        <f aca="false">MAX(B108:M108)</f>
        <v>1981.620203801</v>
      </c>
      <c r="P108" s="57" t="n">
        <f aca="false">O108/(parametros_manuales!$B$7)</f>
        <v>13.2108013586733</v>
      </c>
      <c r="Q108" s="13" t="str">
        <f aca="false">IF(O108=0,"-",INDEX($B$85:$M$85,MATCH(O108,B108:M108,0)))</f>
        <v>Dic</v>
      </c>
    </row>
    <row r="109" customFormat="false" ht="14.25" hidden="false" customHeight="true" outlineLevel="0" collapsed="false">
      <c r="A109" s="13" t="str">
        <f aca="false">parametros_manuales!$B$42</f>
        <v>Control de calidad — Ensayo de pérdidas</v>
      </c>
      <c r="B109" s="14" t="n">
        <f aca="false">(parametros_manuales!$D$42*('Plan mensual'!D35+IF(parametros_manuales!$H$42="Todos",'Plan mensual'!D39,0))+parametros_manuales!$E$42*('Plan mensual'!D36+IF(parametros_manuales!$H$42="Todos",'Plan mensual'!D40,0))+parametros_manuales!$F$42*('Plan mensual'!D37+IF(parametros_manuales!$H$42="Todos",'Plan mensual'!D41,0))+parametros_manuales!$G$42*('Plan mensual'!D38+IF(parametros_manuales!$H$42="Todos",'Plan mensual'!D42,0)))*parametros_manuales!$I$42*parametros_manuales!$J$42</f>
        <v>1893.84166399</v>
      </c>
      <c r="C109" s="14" t="n">
        <f aca="false">(parametros_manuales!$D$42*('Plan mensual'!E35+IF(parametros_manuales!$H$42="Todos",'Plan mensual'!E39,0))+parametros_manuales!$E$42*('Plan mensual'!E36+IF(parametros_manuales!$H$42="Todos",'Plan mensual'!E40,0))+parametros_manuales!$F$42*('Plan mensual'!E37+IF(parametros_manuales!$H$42="Todos",'Plan mensual'!E41,0))+parametros_manuales!$G$42*('Plan mensual'!E38+IF(parametros_manuales!$H$42="Todos",'Plan mensual'!E42,0)))*parametros_manuales!$I$42*parametros_manuales!$J$42</f>
        <v>1464.270517898</v>
      </c>
      <c r="D109" s="14" t="n">
        <f aca="false">(parametros_manuales!$D$42*('Plan mensual'!F35+IF(parametros_manuales!$H$42="Todos",'Plan mensual'!F39,0))+parametros_manuales!$E$42*('Plan mensual'!F36+IF(parametros_manuales!$H$42="Todos",'Plan mensual'!F40,0))+parametros_manuales!$F$42*('Plan mensual'!F37+IF(parametros_manuales!$H$42="Todos",'Plan mensual'!F41,0))+parametros_manuales!$G$42*('Plan mensual'!F38+IF(parametros_manuales!$H$42="Todos",'Plan mensual'!F42,0)))*parametros_manuales!$I$42*parametros_manuales!$J$42</f>
        <v>1423.4884323135</v>
      </c>
      <c r="E109" s="14" t="n">
        <f aca="false">(parametros_manuales!$D$42*('Plan mensual'!G35+IF(parametros_manuales!$H$42="Todos",'Plan mensual'!G39,0))+parametros_manuales!$E$42*('Plan mensual'!G36+IF(parametros_manuales!$H$42="Todos",'Plan mensual'!G40,0))+parametros_manuales!$F$42*('Plan mensual'!G37+IF(parametros_manuales!$H$42="Todos",'Plan mensual'!G41,0))+parametros_manuales!$G$42*('Plan mensual'!G38+IF(parametros_manuales!$H$42="Todos",'Plan mensual'!G42,0)))*parametros_manuales!$I$42*parametros_manuales!$J$42</f>
        <v>1381.1527545685</v>
      </c>
      <c r="F109" s="14" t="n">
        <f aca="false">(parametros_manuales!$D$42*('Plan mensual'!H35+IF(parametros_manuales!$H$42="Todos",'Plan mensual'!H39,0))+parametros_manuales!$E$42*('Plan mensual'!H36+IF(parametros_manuales!$H$42="Todos",'Plan mensual'!H40,0))+parametros_manuales!$F$42*('Plan mensual'!H37+IF(parametros_manuales!$H$42="Todos",'Plan mensual'!H41,0))+parametros_manuales!$G$42*('Plan mensual'!H38+IF(parametros_manuales!$H$42="Todos",'Plan mensual'!H42,0)))*parametros_manuales!$I$42*parametros_manuales!$J$42</f>
        <v>1294.927806918</v>
      </c>
      <c r="G109" s="14" t="n">
        <f aca="false">(parametros_manuales!$D$42*('Plan mensual'!I35+IF(parametros_manuales!$H$42="Todos",'Plan mensual'!I39,0))+parametros_manuales!$E$42*('Plan mensual'!I36+IF(parametros_manuales!$H$42="Todos",'Plan mensual'!I40,0))+parametros_manuales!$F$42*('Plan mensual'!I37+IF(parametros_manuales!$H$42="Todos",'Plan mensual'!I41,0))+parametros_manuales!$G$42*('Plan mensual'!I38+IF(parametros_manuales!$H$42="Todos",'Plan mensual'!I42,0)))*parametros_manuales!$I$42*parametros_manuales!$J$42</f>
        <v>1251.0385370125</v>
      </c>
      <c r="H109" s="14" t="n">
        <f aca="false">(parametros_manuales!$D$42*('Plan mensual'!J35+IF(parametros_manuales!$H$42="Todos",'Plan mensual'!J39,0))+parametros_manuales!$E$42*('Plan mensual'!J36+IF(parametros_manuales!$H$42="Todos",'Plan mensual'!J40,0))+parametros_manuales!$F$42*('Plan mensual'!J37+IF(parametros_manuales!$H$42="Todos",'Plan mensual'!J41,0))+parametros_manuales!$G$42*('Plan mensual'!J38+IF(parametros_manuales!$H$42="Todos",'Plan mensual'!J42,0)))*parametros_manuales!$I$42*parametros_manuales!$J$42</f>
        <v>1337.263484663</v>
      </c>
      <c r="I109" s="14" t="n">
        <f aca="false">(parametros_manuales!$D$42*('Plan mensual'!K35+IF(parametros_manuales!$H$42="Todos",'Plan mensual'!K39,0))+parametros_manuales!$E$42*('Plan mensual'!K36+IF(parametros_manuales!$H$42="Todos",'Plan mensual'!K40,0))+parametros_manuales!$F$42*('Plan mensual'!K37+IF(parametros_manuales!$H$42="Todos",'Plan mensual'!K41,0))+parametros_manuales!$G$42*('Plan mensual'!K38+IF(parametros_manuales!$H$42="Todos",'Plan mensual'!K42,0)))*parametros_manuales!$I$42*parametros_manuales!$J$42</f>
        <v>1337.263484663</v>
      </c>
      <c r="J109" s="14" t="n">
        <f aca="false">(parametros_manuales!$D$42*('Plan mensual'!L35+IF(parametros_manuales!$H$42="Todos",'Plan mensual'!L39,0))+parametros_manuales!$E$42*('Plan mensual'!L36+IF(parametros_manuales!$H$42="Todos",'Plan mensual'!L40,0))+parametros_manuales!$F$42*('Plan mensual'!L37+IF(parametros_manuales!$H$42="Todos",'Plan mensual'!L41,0))+parametros_manuales!$G$42*('Plan mensual'!L38+IF(parametros_manuales!$H$42="Todos",'Plan mensual'!L42,0)))*parametros_manuales!$I$42*parametros_manuales!$J$42</f>
        <v>1337.263484663</v>
      </c>
      <c r="K109" s="14" t="n">
        <f aca="false">(parametros_manuales!$D$42*('Plan mensual'!M35+IF(parametros_manuales!$H$42="Todos",'Plan mensual'!M39,0))+parametros_manuales!$E$42*('Plan mensual'!M36+IF(parametros_manuales!$H$42="Todos",'Plan mensual'!M40,0))+parametros_manuales!$F$42*('Plan mensual'!M37+IF(parametros_manuales!$H$42="Todos",'Plan mensual'!M41,0))+parametros_manuales!$G$42*('Plan mensual'!M38+IF(parametros_manuales!$H$42="Todos",'Plan mensual'!M42,0)))*parametros_manuales!$I$42*parametros_manuales!$J$42</f>
        <v>1293.3742147575</v>
      </c>
      <c r="L109" s="14" t="n">
        <f aca="false">(parametros_manuales!$D$42*('Plan mensual'!N35+IF(parametros_manuales!$H$42="Todos",'Plan mensual'!N39,0))+parametros_manuales!$E$42*('Plan mensual'!N36+IF(parametros_manuales!$H$42="Todos",'Plan mensual'!N40,0))+parametros_manuales!$F$42*('Plan mensual'!N37+IF(parametros_manuales!$H$42="Todos",'Plan mensual'!N41,0))+parametros_manuales!$G$42*('Plan mensual'!N38+IF(parametros_manuales!$H$42="Todos",'Plan mensual'!N42,0)))*parametros_manuales!$I$42*parametros_manuales!$J$42</f>
        <v>1249.484944852</v>
      </c>
      <c r="M109" s="14" t="n">
        <f aca="false">(parametros_manuales!$D$42*('Plan mensual'!O35+IF(parametros_manuales!$H$42="Todos",'Plan mensual'!O39,0))+parametros_manuales!$E$42*('Plan mensual'!O36+IF(parametros_manuales!$H$42="Todos",'Plan mensual'!O40,0))+parametros_manuales!$F$42*('Plan mensual'!O37+IF(parametros_manuales!$H$42="Todos",'Plan mensual'!O41,0))+parametros_manuales!$G$42*('Plan mensual'!O38+IF(parametros_manuales!$H$42="Todos",'Plan mensual'!O42,0)))*parametros_manuales!$I$42*parametros_manuales!$J$42</f>
        <v>1981.620203801</v>
      </c>
      <c r="N109" s="14" t="n">
        <f aca="false">SUM(B109:M109)</f>
        <v>17244.9895301</v>
      </c>
      <c r="O109" s="14" t="n">
        <f aca="false">MAX(B109:M109)</f>
        <v>1981.620203801</v>
      </c>
      <c r="P109" s="57" t="n">
        <f aca="false">O109/(parametros_manuales!$B$7)</f>
        <v>13.2108013586733</v>
      </c>
      <c r="Q109" s="13" t="str">
        <f aca="false">IF(O109=0,"-",INDEX($B$85:$M$85,MATCH(O109,B109:M109,0)))</f>
        <v>Dic</v>
      </c>
    </row>
    <row r="110" customFormat="false" ht="14.25" hidden="false" customHeight="true" outlineLevel="0" collapsed="false">
      <c r="A110" s="13" t="str">
        <f aca="false">parametros_manuales!$B$43</f>
        <v>Etiquetado</v>
      </c>
      <c r="B110" s="14" t="n">
        <f aca="false">(parametros_manuales!$D$43*('Plan mensual'!D35+IF(parametros_manuales!$H$43="Todos",'Plan mensual'!D39,0))+parametros_manuales!$E$43*('Plan mensual'!D36+IF(parametros_manuales!$H$43="Todos",'Plan mensual'!D40,0))+parametros_manuales!$F$43*('Plan mensual'!D37+IF(parametros_manuales!$H$43="Todos",'Plan mensual'!D41,0))+parametros_manuales!$G$43*('Plan mensual'!D38+IF(parametros_manuales!$H$43="Todos",'Plan mensual'!D42,0)))*parametros_manuales!$I$43*parametros_manuales!$J$43</f>
        <v>1893.84166399</v>
      </c>
      <c r="C110" s="14" t="n">
        <f aca="false">(parametros_manuales!$D$43*('Plan mensual'!E35+IF(parametros_manuales!$H$43="Todos",'Plan mensual'!E39,0))+parametros_manuales!$E$43*('Plan mensual'!E36+IF(parametros_manuales!$H$43="Todos",'Plan mensual'!E40,0))+parametros_manuales!$F$43*('Plan mensual'!E37+IF(parametros_manuales!$H$43="Todos",'Plan mensual'!E41,0))+parametros_manuales!$G$43*('Plan mensual'!E38+IF(parametros_manuales!$H$43="Todos",'Plan mensual'!E42,0)))*parametros_manuales!$I$43*parametros_manuales!$J$43</f>
        <v>1464.270517898</v>
      </c>
      <c r="D110" s="14" t="n">
        <f aca="false">(parametros_manuales!$D$43*('Plan mensual'!F35+IF(parametros_manuales!$H$43="Todos",'Plan mensual'!F39,0))+parametros_manuales!$E$43*('Plan mensual'!F36+IF(parametros_manuales!$H$43="Todos",'Plan mensual'!F40,0))+parametros_manuales!$F$43*('Plan mensual'!F37+IF(parametros_manuales!$H$43="Todos",'Plan mensual'!F41,0))+parametros_manuales!$G$43*('Plan mensual'!F38+IF(parametros_manuales!$H$43="Todos",'Plan mensual'!F42,0)))*parametros_manuales!$I$43*parametros_manuales!$J$43</f>
        <v>1423.4884323135</v>
      </c>
      <c r="E110" s="14" t="n">
        <f aca="false">(parametros_manuales!$D$43*('Plan mensual'!G35+IF(parametros_manuales!$H$43="Todos",'Plan mensual'!G39,0))+parametros_manuales!$E$43*('Plan mensual'!G36+IF(parametros_manuales!$H$43="Todos",'Plan mensual'!G40,0))+parametros_manuales!$F$43*('Plan mensual'!G37+IF(parametros_manuales!$H$43="Todos",'Plan mensual'!G41,0))+parametros_manuales!$G$43*('Plan mensual'!G38+IF(parametros_manuales!$H$43="Todos",'Plan mensual'!G42,0)))*parametros_manuales!$I$43*parametros_manuales!$J$43</f>
        <v>1381.1527545685</v>
      </c>
      <c r="F110" s="14" t="n">
        <f aca="false">(parametros_manuales!$D$43*('Plan mensual'!H35+IF(parametros_manuales!$H$43="Todos",'Plan mensual'!H39,0))+parametros_manuales!$E$43*('Plan mensual'!H36+IF(parametros_manuales!$H$43="Todos",'Plan mensual'!H40,0))+parametros_manuales!$F$43*('Plan mensual'!H37+IF(parametros_manuales!$H$43="Todos",'Plan mensual'!H41,0))+parametros_manuales!$G$43*('Plan mensual'!H38+IF(parametros_manuales!$H$43="Todos",'Plan mensual'!H42,0)))*parametros_manuales!$I$43*parametros_manuales!$J$43</f>
        <v>1294.927806918</v>
      </c>
      <c r="G110" s="14" t="n">
        <f aca="false">(parametros_manuales!$D$43*('Plan mensual'!I35+IF(parametros_manuales!$H$43="Todos",'Plan mensual'!I39,0))+parametros_manuales!$E$43*('Plan mensual'!I36+IF(parametros_manuales!$H$43="Todos",'Plan mensual'!I40,0))+parametros_manuales!$F$43*('Plan mensual'!I37+IF(parametros_manuales!$H$43="Todos",'Plan mensual'!I41,0))+parametros_manuales!$G$43*('Plan mensual'!I38+IF(parametros_manuales!$H$43="Todos",'Plan mensual'!I42,0)))*parametros_manuales!$I$43*parametros_manuales!$J$43</f>
        <v>1251.0385370125</v>
      </c>
      <c r="H110" s="14" t="n">
        <f aca="false">(parametros_manuales!$D$43*('Plan mensual'!J35+IF(parametros_manuales!$H$43="Todos",'Plan mensual'!J39,0))+parametros_manuales!$E$43*('Plan mensual'!J36+IF(parametros_manuales!$H$43="Todos",'Plan mensual'!J40,0))+parametros_manuales!$F$43*('Plan mensual'!J37+IF(parametros_manuales!$H$43="Todos",'Plan mensual'!J41,0))+parametros_manuales!$G$43*('Plan mensual'!J38+IF(parametros_manuales!$H$43="Todos",'Plan mensual'!J42,0)))*parametros_manuales!$I$43*parametros_manuales!$J$43</f>
        <v>1337.263484663</v>
      </c>
      <c r="I110" s="14" t="n">
        <f aca="false">(parametros_manuales!$D$43*('Plan mensual'!K35+IF(parametros_manuales!$H$43="Todos",'Plan mensual'!K39,0))+parametros_manuales!$E$43*('Plan mensual'!K36+IF(parametros_manuales!$H$43="Todos",'Plan mensual'!K40,0))+parametros_manuales!$F$43*('Plan mensual'!K37+IF(parametros_manuales!$H$43="Todos",'Plan mensual'!K41,0))+parametros_manuales!$G$43*('Plan mensual'!K38+IF(parametros_manuales!$H$43="Todos",'Plan mensual'!K42,0)))*parametros_manuales!$I$43*parametros_manuales!$J$43</f>
        <v>1337.263484663</v>
      </c>
      <c r="J110" s="14" t="n">
        <f aca="false">(parametros_manuales!$D$43*('Plan mensual'!L35+IF(parametros_manuales!$H$43="Todos",'Plan mensual'!L39,0))+parametros_manuales!$E$43*('Plan mensual'!L36+IF(parametros_manuales!$H$43="Todos",'Plan mensual'!L40,0))+parametros_manuales!$F$43*('Plan mensual'!L37+IF(parametros_manuales!$H$43="Todos",'Plan mensual'!L41,0))+parametros_manuales!$G$43*('Plan mensual'!L38+IF(parametros_manuales!$H$43="Todos",'Plan mensual'!L42,0)))*parametros_manuales!$I$43*parametros_manuales!$J$43</f>
        <v>1337.263484663</v>
      </c>
      <c r="K110" s="14" t="n">
        <f aca="false">(parametros_manuales!$D$43*('Plan mensual'!M35+IF(parametros_manuales!$H$43="Todos",'Plan mensual'!M39,0))+parametros_manuales!$E$43*('Plan mensual'!M36+IF(parametros_manuales!$H$43="Todos",'Plan mensual'!M40,0))+parametros_manuales!$F$43*('Plan mensual'!M37+IF(parametros_manuales!$H$43="Todos",'Plan mensual'!M41,0))+parametros_manuales!$G$43*('Plan mensual'!M38+IF(parametros_manuales!$H$43="Todos",'Plan mensual'!M42,0)))*parametros_manuales!$I$43*parametros_manuales!$J$43</f>
        <v>1293.3742147575</v>
      </c>
      <c r="L110" s="14" t="n">
        <f aca="false">(parametros_manuales!$D$43*('Plan mensual'!N35+IF(parametros_manuales!$H$43="Todos",'Plan mensual'!N39,0))+parametros_manuales!$E$43*('Plan mensual'!N36+IF(parametros_manuales!$H$43="Todos",'Plan mensual'!N40,0))+parametros_manuales!$F$43*('Plan mensual'!N37+IF(parametros_manuales!$H$43="Todos",'Plan mensual'!N41,0))+parametros_manuales!$G$43*('Plan mensual'!N38+IF(parametros_manuales!$H$43="Todos",'Plan mensual'!N42,0)))*parametros_manuales!$I$43*parametros_manuales!$J$43</f>
        <v>1249.484944852</v>
      </c>
      <c r="M110" s="14" t="n">
        <f aca="false">(parametros_manuales!$D$43*('Plan mensual'!O35+IF(parametros_manuales!$H$43="Todos",'Plan mensual'!O39,0))+parametros_manuales!$E$43*('Plan mensual'!O36+IF(parametros_manuales!$H$43="Todos",'Plan mensual'!O40,0))+parametros_manuales!$F$43*('Plan mensual'!O37+IF(parametros_manuales!$H$43="Todos",'Plan mensual'!O41,0))+parametros_manuales!$G$43*('Plan mensual'!O38+IF(parametros_manuales!$H$43="Todos",'Plan mensual'!O42,0)))*parametros_manuales!$I$43*parametros_manuales!$J$43</f>
        <v>1981.620203801</v>
      </c>
      <c r="N110" s="14" t="n">
        <f aca="false">SUM(B110:M110)</f>
        <v>17244.9895301</v>
      </c>
      <c r="O110" s="14" t="n">
        <f aca="false">MAX(B110:M110)</f>
        <v>1981.620203801</v>
      </c>
      <c r="P110" s="57" t="n">
        <f aca="false">O110/(parametros_manuales!$B$7)</f>
        <v>13.2108013586733</v>
      </c>
      <c r="Q110" s="13" t="str">
        <f aca="false">IF(O110=0,"-",INDEX($B$85:$M$85,MATCH(O110,B110:M110,0)))</f>
        <v>Dic</v>
      </c>
    </row>
    <row r="111" customFormat="false" ht="14.25" hidden="false" customHeight="true" outlineLevel="0" collapsed="false">
      <c r="A111" s="13" t="str">
        <f aca="false">parametros_manuales!$B$44</f>
        <v>Embalaje y paletizado</v>
      </c>
      <c r="B111" s="14" t="n">
        <f aca="false">(parametros_manuales!$D$44*('Plan mensual'!D35+IF(parametros_manuales!$H$44="Todos",'Plan mensual'!D39,0))+parametros_manuales!$E$44*('Plan mensual'!D36+IF(parametros_manuales!$H$44="Todos",'Plan mensual'!D40,0))+parametros_manuales!$F$44*('Plan mensual'!D37+IF(parametros_manuales!$H$44="Todos",'Plan mensual'!D41,0))+parametros_manuales!$G$44*('Plan mensual'!D38+IF(parametros_manuales!$H$44="Todos",'Plan mensual'!D42,0)))*parametros_manuales!$I$44*parametros_manuales!$J$44</f>
        <v>5766.73366399</v>
      </c>
      <c r="C111" s="14" t="n">
        <f aca="false">(parametros_manuales!$D$44*('Plan mensual'!E35+IF(parametros_manuales!$H$44="Todos",'Plan mensual'!E39,0))+parametros_manuales!$E$44*('Plan mensual'!E36+IF(parametros_manuales!$H$44="Todos",'Plan mensual'!E40,0))+parametros_manuales!$F$44*('Plan mensual'!E37+IF(parametros_manuales!$H$44="Todos",'Plan mensual'!E41,0))+parametros_manuales!$G$44*('Plan mensual'!E38+IF(parametros_manuales!$H$44="Todos",'Plan mensual'!E42,0)))*parametros_manuales!$I$44*parametros_manuales!$J$44</f>
        <v>4402.415317898</v>
      </c>
      <c r="D111" s="14" t="n">
        <f aca="false">(parametros_manuales!$D$44*('Plan mensual'!F35+IF(parametros_manuales!$H$44="Todos",'Plan mensual'!F39,0))+parametros_manuales!$E$44*('Plan mensual'!F36+IF(parametros_manuales!$H$44="Todos",'Plan mensual'!F40,0))+parametros_manuales!$F$44*('Plan mensual'!F37+IF(parametros_manuales!$H$44="Todos",'Plan mensual'!F41,0))+parametros_manuales!$G$44*('Plan mensual'!F38+IF(parametros_manuales!$H$44="Todos",'Plan mensual'!F42,0)))*parametros_manuales!$I$44*parametros_manuales!$J$44</f>
        <v>4128.1610323135</v>
      </c>
      <c r="E111" s="14" t="n">
        <f aca="false">(parametros_manuales!$D$44*('Plan mensual'!G35+IF(parametros_manuales!$H$44="Todos",'Plan mensual'!G39,0))+parametros_manuales!$E$44*('Plan mensual'!G36+IF(parametros_manuales!$H$44="Todos",'Plan mensual'!G40,0))+parametros_manuales!$F$44*('Plan mensual'!G37+IF(parametros_manuales!$H$44="Todos",'Plan mensual'!G41,0))+parametros_manuales!$G$44*('Plan mensual'!G38+IF(parametros_manuales!$H$44="Todos",'Plan mensual'!G42,0)))*parametros_manuales!$I$44*parametros_manuales!$J$44</f>
        <v>3952.3513545685</v>
      </c>
      <c r="F111" s="14" t="n">
        <f aca="false">(parametros_manuales!$D$44*('Plan mensual'!H35+IF(parametros_manuales!$H$44="Todos",'Plan mensual'!H39,0))+parametros_manuales!$E$44*('Plan mensual'!H36+IF(parametros_manuales!$H$44="Todos",'Plan mensual'!H40,0))+parametros_manuales!$F$44*('Plan mensual'!H37+IF(parametros_manuales!$H$44="Todos",'Plan mensual'!H41,0))+parametros_manuales!$G$44*('Plan mensual'!H38+IF(parametros_manuales!$H$44="Todos",'Plan mensual'!H42,0)))*parametros_manuales!$I$44*parametros_manuales!$J$44</f>
        <v>3699.176606918</v>
      </c>
      <c r="G111" s="14" t="n">
        <f aca="false">(parametros_manuales!$D$44*('Plan mensual'!I35+IF(parametros_manuales!$H$44="Todos",'Plan mensual'!I39,0))+parametros_manuales!$E$44*('Plan mensual'!I36+IF(parametros_manuales!$H$44="Todos",'Plan mensual'!I40,0))+parametros_manuales!$F$44*('Plan mensual'!I37+IF(parametros_manuales!$H$44="Todos",'Plan mensual'!I41,0))+parametros_manuales!$G$44*('Plan mensual'!I38+IF(parametros_manuales!$H$44="Todos",'Plan mensual'!I42,0)))*parametros_manuales!$I$44*parametros_manuales!$J$44</f>
        <v>3621.8115370125</v>
      </c>
      <c r="H111" s="14" t="n">
        <f aca="false">(parametros_manuales!$D$44*('Plan mensual'!J35+IF(parametros_manuales!$H$44="Todos",'Plan mensual'!J39,0))+parametros_manuales!$E$44*('Plan mensual'!J36+IF(parametros_manuales!$H$44="Todos",'Plan mensual'!J40,0))+parametros_manuales!$F$44*('Plan mensual'!J37+IF(parametros_manuales!$H$44="Todos",'Plan mensual'!J41,0))+parametros_manuales!$G$44*('Plan mensual'!J38+IF(parametros_manuales!$H$44="Todos",'Plan mensual'!J42,0)))*parametros_manuales!$I$44*parametros_manuales!$J$44</f>
        <v>3874.986284663</v>
      </c>
      <c r="I111" s="14" t="n">
        <f aca="false">(parametros_manuales!$D$44*('Plan mensual'!K35+IF(parametros_manuales!$H$44="Todos",'Plan mensual'!K39,0))+parametros_manuales!$E$44*('Plan mensual'!K36+IF(parametros_manuales!$H$44="Todos",'Plan mensual'!K40,0))+parametros_manuales!$F$44*('Plan mensual'!K37+IF(parametros_manuales!$H$44="Todos",'Plan mensual'!K41,0))+parametros_manuales!$G$44*('Plan mensual'!K38+IF(parametros_manuales!$H$44="Todos",'Plan mensual'!K42,0)))*parametros_manuales!$I$44*parametros_manuales!$J$44</f>
        <v>3874.986284663</v>
      </c>
      <c r="J111" s="14" t="n">
        <f aca="false">(parametros_manuales!$D$44*('Plan mensual'!L35+IF(parametros_manuales!$H$44="Todos",'Plan mensual'!L39,0))+parametros_manuales!$E$44*('Plan mensual'!L36+IF(parametros_manuales!$H$44="Todos",'Plan mensual'!L40,0))+parametros_manuales!$F$44*('Plan mensual'!L37+IF(parametros_manuales!$H$44="Todos",'Plan mensual'!L41,0))+parametros_manuales!$G$44*('Plan mensual'!L38+IF(parametros_manuales!$H$44="Todos",'Plan mensual'!L42,0)))*parametros_manuales!$I$44*parametros_manuales!$J$44</f>
        <v>3874.986284663</v>
      </c>
      <c r="K111" s="14" t="n">
        <f aca="false">(parametros_manuales!$D$44*('Plan mensual'!M35+IF(parametros_manuales!$H$44="Todos",'Plan mensual'!M39,0))+parametros_manuales!$E$44*('Plan mensual'!M36+IF(parametros_manuales!$H$44="Todos",'Plan mensual'!M40,0))+parametros_manuales!$F$44*('Plan mensual'!M37+IF(parametros_manuales!$H$44="Todos",'Plan mensual'!M41,0))+parametros_manuales!$G$44*('Plan mensual'!M38+IF(parametros_manuales!$H$44="Todos",'Plan mensual'!M42,0)))*parametros_manuales!$I$44*parametros_manuales!$J$44</f>
        <v>3797.6212147575</v>
      </c>
      <c r="L111" s="14" t="n">
        <f aca="false">(parametros_manuales!$D$44*('Plan mensual'!N35+IF(parametros_manuales!$H$44="Todos",'Plan mensual'!N39,0))+parametros_manuales!$E$44*('Plan mensual'!N36+IF(parametros_manuales!$H$44="Todos",'Plan mensual'!N40,0))+parametros_manuales!$F$44*('Plan mensual'!N37+IF(parametros_manuales!$H$44="Todos",'Plan mensual'!N41,0))+parametros_manuales!$G$44*('Plan mensual'!N38+IF(parametros_manuales!$H$44="Todos",'Plan mensual'!N42,0)))*parametros_manuales!$I$44*parametros_manuales!$J$44</f>
        <v>3720.256144852</v>
      </c>
      <c r="M111" s="14" t="n">
        <f aca="false">(parametros_manuales!$D$44*('Plan mensual'!O35+IF(parametros_manuales!$H$44="Todos",'Plan mensual'!O39,0))+parametros_manuales!$E$44*('Plan mensual'!O36+IF(parametros_manuales!$H$44="Todos",'Plan mensual'!O40,0))+parametros_manuales!$F$44*('Plan mensual'!O37+IF(parametros_manuales!$H$44="Todos",'Plan mensual'!O41,0))+parametros_manuales!$G$44*('Plan mensual'!O38+IF(parametros_manuales!$H$44="Todos",'Plan mensual'!O42,0)))*parametros_manuales!$I$44*parametros_manuales!$J$44</f>
        <v>5921.463803801</v>
      </c>
      <c r="N111" s="14" t="n">
        <f aca="false">SUM(B111:M111)</f>
        <v>50634.9495301</v>
      </c>
      <c r="O111" s="14" t="n">
        <f aca="false">MAX(B111:M111)</f>
        <v>5921.463803801</v>
      </c>
      <c r="P111" s="57" t="n">
        <f aca="false">O111/(parametros_manuales!$B$7)</f>
        <v>39.4764253586733</v>
      </c>
      <c r="Q111" s="13" t="str">
        <f aca="false">IF(O111=0,"-",INDEX($B$85:$M$85,MATCH(O111,B111:M111,0)))</f>
        <v>Dic</v>
      </c>
    </row>
    <row r="112" customFormat="false" ht="14.25" hidden="false" customHeight="true" outlineLevel="0" collapsed="false"/>
    <row r="113" customFormat="false" ht="14.25" hidden="false" customHeight="true" outlineLevel="0" collapsed="false">
      <c r="A113" s="12" t="s">
        <v>272</v>
      </c>
      <c r="B113" s="12" t="s">
        <v>37</v>
      </c>
      <c r="C113" s="12" t="s">
        <v>38</v>
      </c>
      <c r="D113" s="12" t="s">
        <v>39</v>
      </c>
      <c r="E113" s="12" t="s">
        <v>40</v>
      </c>
      <c r="F113" s="12" t="s">
        <v>41</v>
      </c>
      <c r="G113" s="12" t="s">
        <v>42</v>
      </c>
      <c r="H113" s="12" t="s">
        <v>43</v>
      </c>
      <c r="I113" s="12" t="s">
        <v>44</v>
      </c>
      <c r="J113" s="12" t="s">
        <v>45</v>
      </c>
      <c r="K113" s="12" t="s">
        <v>46</v>
      </c>
      <c r="L113" s="12" t="s">
        <v>47</v>
      </c>
      <c r="M113" s="12" t="s">
        <v>48</v>
      </c>
      <c r="N113" s="12" t="s">
        <v>261</v>
      </c>
      <c r="O113" s="12" t="s">
        <v>266</v>
      </c>
      <c r="P113" s="12" t="s">
        <v>267</v>
      </c>
      <c r="Q113" s="12" t="s">
        <v>268</v>
      </c>
    </row>
    <row r="114" customFormat="false" ht="14.25" hidden="false" customHeight="true" outlineLevel="0" collapsed="false">
      <c r="A114" s="13" t="str">
        <f aca="false">parametros_manuales!$B$19</f>
        <v>Recepción de materia prima</v>
      </c>
      <c r="B114" s="14" t="n">
        <f aca="false">(parametros_manuales!$D$19*('Plan mensual'!D46+IF(parametros_manuales!$H$19="Todos",'Plan mensual'!D50,0))+parametros_manuales!$E$19*('Plan mensual'!D47+IF(parametros_manuales!$H$19="Todos",'Plan mensual'!D51,0))+parametros_manuales!$F$19*('Plan mensual'!D48+IF(parametros_manuales!$H$19="Todos",'Plan mensual'!D52,0))+parametros_manuales!$G$19*('Plan mensual'!D49+IF(parametros_manuales!$H$19="Todos",'Plan mensual'!D53,0)))*parametros_manuales!$I$19*parametros_manuales!$J$19</f>
        <v>10061.63720699</v>
      </c>
      <c r="C114" s="14" t="n">
        <f aca="false">(parametros_manuales!$D$19*('Plan mensual'!E46+IF(parametros_manuales!$H$19="Todos",'Plan mensual'!E50,0))+parametros_manuales!$E$19*('Plan mensual'!E47+IF(parametros_manuales!$H$19="Todos",'Plan mensual'!E51,0))+parametros_manuales!$F$19*('Plan mensual'!E48+IF(parametros_manuales!$H$19="Todos",'Plan mensual'!E52,0))+parametros_manuales!$G$19*('Plan mensual'!E49+IF(parametros_manuales!$H$19="Todos",'Plan mensual'!E53,0)))*parametros_manuales!$I$19*parametros_manuales!$J$19</f>
        <v>7676.617169332</v>
      </c>
      <c r="D114" s="14" t="n">
        <f aca="false">(parametros_manuales!$D$19*('Plan mensual'!F46+IF(parametros_manuales!$H$19="Todos",'Plan mensual'!F50,0))+parametros_manuales!$E$19*('Plan mensual'!F47+IF(parametros_manuales!$H$19="Todos",'Plan mensual'!F51,0))+parametros_manuales!$F$19*('Plan mensual'!F48+IF(parametros_manuales!$H$19="Todos",'Plan mensual'!F52,0))+parametros_manuales!$G$19*('Plan mensual'!F49+IF(parametros_manuales!$H$19="Todos",'Plan mensual'!F53,0)))*parametros_manuales!$I$19*parametros_manuales!$J$19</f>
        <v>7185.8521063215</v>
      </c>
      <c r="E114" s="14" t="n">
        <f aca="false">(parametros_manuales!$D$19*('Plan mensual'!G46+IF(parametros_manuales!$H$19="Todos",'Plan mensual'!G50,0))+parametros_manuales!$E$19*('Plan mensual'!G47+IF(parametros_manuales!$H$19="Todos",'Plan mensual'!G51,0))+parametros_manuales!$F$19*('Plan mensual'!G48+IF(parametros_manuales!$H$19="Todos",'Plan mensual'!G52,0))+parametros_manuales!$G$19*('Plan mensual'!G49+IF(parametros_manuales!$H$19="Todos",'Plan mensual'!G53,0)))*parametros_manuales!$I$19*parametros_manuales!$J$19</f>
        <v>6875.2749427715</v>
      </c>
      <c r="F114" s="14" t="n">
        <f aca="false">(parametros_manuales!$D$19*('Plan mensual'!H46+IF(parametros_manuales!$H$19="Todos",'Plan mensual'!H50,0))+parametros_manuales!$E$19*('Plan mensual'!H47+IF(parametros_manuales!$H$19="Todos",'Plan mensual'!H51,0))+parametros_manuales!$F$19*('Plan mensual'!H48+IF(parametros_manuales!$H$19="Todos",'Plan mensual'!H52,0))+parametros_manuales!$G$19*('Plan mensual'!H49+IF(parametros_manuales!$H$19="Todos",'Plan mensual'!H53,0)))*parametros_manuales!$I$19*parametros_manuales!$J$19</f>
        <v>6434.308515132</v>
      </c>
      <c r="G114" s="14" t="n">
        <f aca="false">(parametros_manuales!$D$19*('Plan mensual'!I46+IF(parametros_manuales!$H$19="Todos",'Plan mensual'!I50,0))+parametros_manuales!$E$19*('Plan mensual'!I47+IF(parametros_manuales!$H$19="Todos",'Plan mensual'!I51,0))+parametros_manuales!$F$19*('Plan mensual'!I48+IF(parametros_manuales!$H$19="Todos",'Plan mensual'!I52,0))+parametros_manuales!$G$19*('Plan mensual'!I49+IF(parametros_manuales!$H$19="Todos",'Plan mensual'!I53,0)))*parametros_manuales!$I$19*parametros_manuales!$J$19</f>
        <v>6303.9192510425</v>
      </c>
      <c r="H114" s="14" t="n">
        <f aca="false">(parametros_manuales!$D$19*('Plan mensual'!J46+IF(parametros_manuales!$H$19="Todos",'Plan mensual'!J50,0))+parametros_manuales!$E$19*('Plan mensual'!J47+IF(parametros_manuales!$H$19="Todos",'Plan mensual'!J51,0))+parametros_manuales!$F$19*('Plan mensual'!J48+IF(parametros_manuales!$H$19="Todos",'Plan mensual'!J52,0))+parametros_manuales!$G$19*('Plan mensual'!J49+IF(parametros_manuales!$H$19="Todos",'Plan mensual'!J53,0)))*parametros_manuales!$I$19*parametros_manuales!$J$19</f>
        <v>6744.885678682</v>
      </c>
      <c r="I114" s="14" t="n">
        <f aca="false">(parametros_manuales!$D$19*('Plan mensual'!K46+IF(parametros_manuales!$H$19="Todos",'Plan mensual'!K50,0))+parametros_manuales!$E$19*('Plan mensual'!K47+IF(parametros_manuales!$H$19="Todos",'Plan mensual'!K51,0))+parametros_manuales!$F$19*('Plan mensual'!K48+IF(parametros_manuales!$H$19="Todos",'Plan mensual'!K52,0))+parametros_manuales!$G$19*('Plan mensual'!K49+IF(parametros_manuales!$H$19="Todos",'Plan mensual'!K53,0)))*parametros_manuales!$I$19*parametros_manuales!$J$19</f>
        <v>6744.885678682</v>
      </c>
      <c r="J114" s="14" t="n">
        <f aca="false">(parametros_manuales!$D$19*('Plan mensual'!L46+IF(parametros_manuales!$H$19="Todos",'Plan mensual'!L50,0))+parametros_manuales!$E$19*('Plan mensual'!L47+IF(parametros_manuales!$H$19="Todos",'Plan mensual'!L51,0))+parametros_manuales!$F$19*('Plan mensual'!L48+IF(parametros_manuales!$H$19="Todos",'Plan mensual'!L52,0))+parametros_manuales!$G$19*('Plan mensual'!L49+IF(parametros_manuales!$H$19="Todos",'Plan mensual'!L53,0)))*parametros_manuales!$I$19*parametros_manuales!$J$19</f>
        <v>6744.885678682</v>
      </c>
      <c r="K114" s="14" t="n">
        <f aca="false">(parametros_manuales!$D$19*('Plan mensual'!M46+IF(parametros_manuales!$H$19="Todos",'Plan mensual'!M50,0))+parametros_manuales!$E$19*('Plan mensual'!M47+IF(parametros_manuales!$H$19="Todos",'Plan mensual'!M51,0))+parametros_manuales!$F$19*('Plan mensual'!M48+IF(parametros_manuales!$H$19="Todos",'Plan mensual'!M52,0))+parametros_manuales!$G$19*('Plan mensual'!M49+IF(parametros_manuales!$H$19="Todos",'Plan mensual'!M53,0)))*parametros_manuales!$I$19*parametros_manuales!$J$19</f>
        <v>6614.4964145925</v>
      </c>
      <c r="L114" s="14" t="n">
        <f aca="false">(parametros_manuales!$D$19*('Plan mensual'!N46+IF(parametros_manuales!$H$19="Todos",'Plan mensual'!N50,0))+parametros_manuales!$E$19*('Plan mensual'!N47+IF(parametros_manuales!$H$19="Todos",'Plan mensual'!N51,0))+parametros_manuales!$F$19*('Plan mensual'!N48+IF(parametros_manuales!$H$19="Todos",'Plan mensual'!N52,0))+parametros_manuales!$G$19*('Plan mensual'!N49+IF(parametros_manuales!$H$19="Todos",'Plan mensual'!N53,0)))*parametros_manuales!$I$19*parametros_manuales!$J$19</f>
        <v>6484.107150503</v>
      </c>
      <c r="M114" s="14" t="n">
        <f aca="false">(parametros_manuales!$D$19*('Plan mensual'!O46+IF(parametros_manuales!$H$19="Todos",'Plan mensual'!O50,0))+parametros_manuales!$E$19*('Plan mensual'!O47+IF(parametros_manuales!$H$19="Todos",'Plan mensual'!O51,0))+parametros_manuales!$F$19*('Plan mensual'!O48+IF(parametros_manuales!$H$19="Todos",'Plan mensual'!O52,0))+parametros_manuales!$G$19*('Plan mensual'!O49+IF(parametros_manuales!$H$19="Todos",'Plan mensual'!O53,0)))*parametros_manuales!$I$19*parametros_manuales!$J$19</f>
        <v>10322.415735169</v>
      </c>
      <c r="N114" s="14" t="n">
        <f aca="false">SUM(B114:M114)</f>
        <v>88193.2855279</v>
      </c>
      <c r="O114" s="14" t="n">
        <f aca="false">MAX(B114:M114)</f>
        <v>10322.415735169</v>
      </c>
      <c r="P114" s="57" t="n">
        <f aca="false">O114/(parametros_manuales!$B$7)</f>
        <v>68.8161049011267</v>
      </c>
      <c r="Q114" s="13" t="str">
        <f aca="false">IF(O114=0,"-",INDEX($B$113:$M$113,MATCH(O114,B114:M114,0)))</f>
        <v>Dic</v>
      </c>
    </row>
    <row r="115" customFormat="false" ht="14.25" hidden="false" customHeight="true" outlineLevel="0" collapsed="false">
      <c r="A115" s="13" t="str">
        <f aca="false">parametros_manuales!$B$20</f>
        <v>Corte de chapa — 1.er corte en franjas (guillotina 1, manuales + carros)</v>
      </c>
      <c r="B115" s="14" t="n">
        <f aca="false">(parametros_manuales!$D$20*('Plan mensual'!D46+IF(parametros_manuales!$H$20="Todos",'Plan mensual'!D50,0))+parametros_manuales!$E$20*('Plan mensual'!D47+IF(parametros_manuales!$H$20="Todos",'Plan mensual'!D51,0))+parametros_manuales!$F$20*('Plan mensual'!D48+IF(parametros_manuales!$H$20="Todos",'Plan mensual'!D52,0))+parametros_manuales!$G$20*('Plan mensual'!D49+IF(parametros_manuales!$H$20="Todos",'Plan mensual'!D53,0)))*parametros_manuales!$I$20*parametros_manuales!$J$20+parametros_manuales!$B$152</f>
        <v>10688.6838436086</v>
      </c>
      <c r="C115" s="14" t="n">
        <f aca="false">(parametros_manuales!$D$20*('Plan mensual'!E46+IF(parametros_manuales!$H$20="Todos",'Plan mensual'!E50,0))+parametros_manuales!$E$20*('Plan mensual'!E47+IF(parametros_manuales!$H$20="Todos",'Plan mensual'!E51,0))+parametros_manuales!$F$20*('Plan mensual'!E48+IF(parametros_manuales!$H$20="Todos",'Plan mensual'!E52,0))+parametros_manuales!$G$20*('Plan mensual'!E49+IF(parametros_manuales!$H$20="Todos",'Plan mensual'!E53,0)))*parametros_manuales!$I$20*parametros_manuales!$J$20+parametros_manuales!$C$152</f>
        <v>8229.89361340723</v>
      </c>
      <c r="D115" s="14" t="n">
        <f aca="false">(parametros_manuales!$D$20*('Plan mensual'!F46+IF(parametros_manuales!$H$20="Todos",'Plan mensual'!F50,0))+parametros_manuales!$E$20*('Plan mensual'!F47+IF(parametros_manuales!$H$20="Todos",'Plan mensual'!F51,0))+parametros_manuales!$F$20*('Plan mensual'!F48+IF(parametros_manuales!$H$20="Todos",'Plan mensual'!F52,0))+parametros_manuales!$G$20*('Plan mensual'!F49+IF(parametros_manuales!$H$20="Todos",'Plan mensual'!F53,0)))*parametros_manuales!$I$20*parametros_manuales!$J$20+parametros_manuales!$D$152</f>
        <v>7849.78383921178</v>
      </c>
      <c r="E115" s="14" t="n">
        <f aca="false">(parametros_manuales!$D$20*('Plan mensual'!G46+IF(parametros_manuales!$H$20="Todos",'Plan mensual'!G50,0))+parametros_manuales!$E$20*('Plan mensual'!G47+IF(parametros_manuales!$H$20="Todos",'Plan mensual'!G51,0))+parametros_manuales!$F$20*('Plan mensual'!G48+IF(parametros_manuales!$H$20="Todos",'Plan mensual'!G52,0))+parametros_manuales!$G$20*('Plan mensual'!G49+IF(parametros_manuales!$H$20="Todos",'Plan mensual'!G53,0)))*parametros_manuales!$I$20*parametros_manuales!$J$20+parametros_manuales!$E$152</f>
        <v>7539.20667566177</v>
      </c>
      <c r="F115" s="14" t="n">
        <f aca="false">(parametros_manuales!$D$20*('Plan mensual'!H46+IF(parametros_manuales!$H$20="Todos",'Plan mensual'!H50,0))+parametros_manuales!$E$20*('Plan mensual'!H47+IF(parametros_manuales!$H$20="Todos",'Plan mensual'!H51,0))+parametros_manuales!$F$20*('Plan mensual'!H48+IF(parametros_manuales!$H$20="Todos",'Plan mensual'!H52,0))+parametros_manuales!$G$20*('Plan mensual'!H49+IF(parametros_manuales!$H$20="Todos",'Plan mensual'!H53,0)))*parametros_manuales!$I$20*parametros_manuales!$J$20+parametros_manuales!$F$152</f>
        <v>7098.24024802227</v>
      </c>
      <c r="G115" s="14" t="n">
        <f aca="false">(parametros_manuales!$D$20*('Plan mensual'!I46+IF(parametros_manuales!$H$20="Todos",'Plan mensual'!I50,0))+parametros_manuales!$E$20*('Plan mensual'!I47+IF(parametros_manuales!$H$20="Todos",'Plan mensual'!I51,0))+parametros_manuales!$F$20*('Plan mensual'!I48+IF(parametros_manuales!$H$20="Todos",'Plan mensual'!I52,0))+parametros_manuales!$G$20*('Plan mensual'!I49+IF(parametros_manuales!$H$20="Todos",'Plan mensual'!I53,0)))*parametros_manuales!$I$20*parametros_manuales!$J$20+parametros_manuales!$G$152</f>
        <v>6894.08079138941</v>
      </c>
      <c r="H115" s="14" t="n">
        <f aca="false">(parametros_manuales!$D$20*('Plan mensual'!J46+IF(parametros_manuales!$H$20="Todos",'Plan mensual'!J50,0))+parametros_manuales!$E$20*('Plan mensual'!J47+IF(parametros_manuales!$H$20="Todos",'Plan mensual'!J51,0))+parametros_manuales!$F$20*('Plan mensual'!J48+IF(parametros_manuales!$H$20="Todos",'Plan mensual'!J52,0))+parametros_manuales!$G$20*('Plan mensual'!J49+IF(parametros_manuales!$H$20="Todos",'Plan mensual'!J53,0)))*parametros_manuales!$I$20*parametros_manuales!$J$20+parametros_manuales!$H$152</f>
        <v>7408.81741157228</v>
      </c>
      <c r="I115" s="14" t="n">
        <f aca="false">(parametros_manuales!$D$20*('Plan mensual'!K46+IF(parametros_manuales!$H$20="Todos",'Plan mensual'!K50,0))+parametros_manuales!$E$20*('Plan mensual'!K47+IF(parametros_manuales!$H$20="Todos",'Plan mensual'!K51,0))+parametros_manuales!$F$20*('Plan mensual'!K48+IF(parametros_manuales!$H$20="Todos",'Plan mensual'!K52,0))+parametros_manuales!$G$20*('Plan mensual'!K49+IF(parametros_manuales!$H$20="Todos",'Plan mensual'!K53,0)))*parametros_manuales!$I$20*parametros_manuales!$J$20+parametros_manuales!$I$152</f>
        <v>7408.81741157228</v>
      </c>
      <c r="J115" s="14" t="n">
        <f aca="false">(parametros_manuales!$D$20*('Plan mensual'!L46+IF(parametros_manuales!$H$20="Todos",'Plan mensual'!L50,0))+parametros_manuales!$E$20*('Plan mensual'!L47+IF(parametros_manuales!$H$20="Todos",'Plan mensual'!L51,0))+parametros_manuales!$F$20*('Plan mensual'!L48+IF(parametros_manuales!$H$20="Todos",'Plan mensual'!L52,0))+parametros_manuales!$G$20*('Plan mensual'!L49+IF(parametros_manuales!$H$20="Todos",'Plan mensual'!L53,0)))*parametros_manuales!$I$20*parametros_manuales!$J$20+parametros_manuales!$J$152</f>
        <v>7371.93231530059</v>
      </c>
      <c r="K115" s="14" t="n">
        <f aca="false">(parametros_manuales!$D$20*('Plan mensual'!M46+IF(parametros_manuales!$H$20="Todos",'Plan mensual'!M50,0))+parametros_manuales!$E$20*('Plan mensual'!M47+IF(parametros_manuales!$H$20="Todos",'Plan mensual'!M51,0))+parametros_manuales!$F$20*('Plan mensual'!M48+IF(parametros_manuales!$H$20="Todos",'Plan mensual'!M52,0))+parametros_manuales!$G$20*('Plan mensual'!M49+IF(parametros_manuales!$H$20="Todos",'Plan mensual'!M53,0)))*parametros_manuales!$I$20*parametros_manuales!$J$20+parametros_manuales!$K$152</f>
        <v>7167.77285866773</v>
      </c>
      <c r="L115" s="14" t="n">
        <f aca="false">(parametros_manuales!$D$20*('Plan mensual'!N46+IF(parametros_manuales!$H$20="Todos",'Plan mensual'!N50,0))+parametros_manuales!$E$20*('Plan mensual'!N47+IF(parametros_manuales!$H$20="Todos",'Plan mensual'!N51,0))+parametros_manuales!$F$20*('Plan mensual'!N48+IF(parametros_manuales!$H$20="Todos",'Plan mensual'!N52,0))+parametros_manuales!$G$20*('Plan mensual'!N49+IF(parametros_manuales!$H$20="Todos",'Plan mensual'!N53,0)))*parametros_manuales!$I$20*parametros_manuales!$J$20+parametros_manuales!$L$152</f>
        <v>7000.49849830655</v>
      </c>
      <c r="M115" s="14" t="n">
        <f aca="false">(parametros_manuales!$D$20*('Plan mensual'!O46+IF(parametros_manuales!$H$20="Todos",'Plan mensual'!O50,0))+parametros_manuales!$E$20*('Plan mensual'!O47+IF(parametros_manuales!$H$20="Todos",'Plan mensual'!O51,0))+parametros_manuales!$F$20*('Plan mensual'!O48+IF(parametros_manuales!$H$20="Todos",'Plan mensual'!O52,0))+parametros_manuales!$G$20*('Plan mensual'!O49+IF(parametros_manuales!$H$20="Todos",'Plan mensual'!O53,0)))*parametros_manuales!$I$20*parametros_manuales!$J$20+parametros_manuales!$M$152</f>
        <v>10912.5772755159</v>
      </c>
      <c r="N115" s="14" t="n">
        <f aca="false">SUM(B115:M115)</f>
        <v>95570.3047822364</v>
      </c>
      <c r="O115" s="14" t="n">
        <f aca="false">MAX(B115:M115)</f>
        <v>10912.5772755159</v>
      </c>
      <c r="P115" s="57" t="n">
        <f aca="false">O115/(parametros_manuales!$B$7)</f>
        <v>72.7505151701061</v>
      </c>
      <c r="Q115" s="13" t="str">
        <f aca="false">IF(O115=0,"-",INDEX($B$113:$M$113,MATCH(O115,B115:M115,0)))</f>
        <v>Dic</v>
      </c>
    </row>
    <row r="116" customFormat="false" ht="14.25" hidden="false" customHeight="true" outlineLevel="0" collapsed="false">
      <c r="A116" s="13" t="str">
        <f aca="false">parametros_manuales!$B$21</f>
        <v>Corte de chapa — 2.º corte en piezas (guillotina 2, manuales + carros)</v>
      </c>
      <c r="B116" s="14" t="n">
        <f aca="false">(parametros_manuales!$D$21*('Plan mensual'!D46+IF(parametros_manuales!$H$21="Todos",'Plan mensual'!D50,0))+parametros_manuales!$E$21*('Plan mensual'!D47+IF(parametros_manuales!$H$21="Todos",'Plan mensual'!D51,0))+parametros_manuales!$F$21*('Plan mensual'!D48+IF(parametros_manuales!$H$21="Todos",'Plan mensual'!D52,0))+parametros_manuales!$G$21*('Plan mensual'!D49+IF(parametros_manuales!$H$21="Todos",'Plan mensual'!D53,0)))*parametros_manuales!$I$21*parametros_manuales!$J$21+parametros_manuales!$B$164</f>
        <v>10875.3046503755</v>
      </c>
      <c r="C116" s="14" t="n">
        <f aca="false">(parametros_manuales!$D$21*('Plan mensual'!E46+IF(parametros_manuales!$H$21="Todos",'Plan mensual'!E50,0))+parametros_manuales!$E$21*('Plan mensual'!E47+IF(parametros_manuales!$H$21="Todos",'Plan mensual'!E51,0))+parametros_manuales!$F$21*('Plan mensual'!E48+IF(parametros_manuales!$H$21="Todos",'Plan mensual'!E52,0))+parametros_manuales!$G$21*('Plan mensual'!E49+IF(parametros_manuales!$H$21="Todos",'Plan mensual'!E53,0)))*parametros_manuales!$I$21*parametros_manuales!$J$21+parametros_manuales!$C$164</f>
        <v>8394.55903114272</v>
      </c>
      <c r="D116" s="14" t="n">
        <f aca="false">(parametros_manuales!$D$21*('Plan mensual'!F46+IF(parametros_manuales!$H$21="Todos",'Plan mensual'!F50,0))+parametros_manuales!$E$21*('Plan mensual'!F47+IF(parametros_manuales!$H$21="Todos",'Plan mensual'!F51,0))+parametros_manuales!$F$21*('Plan mensual'!F48+IF(parametros_manuales!$H$21="Todos",'Plan mensual'!F52,0))+parametros_manuales!$G$21*('Plan mensual'!F49+IF(parametros_manuales!$H$21="Todos",'Plan mensual'!F53,0)))*parametros_manuales!$I$21*parametros_manuales!$J$21+parametros_manuales!$D$164</f>
        <v>8047.38234049436</v>
      </c>
      <c r="E116" s="14" t="n">
        <f aca="false">(parametros_manuales!$D$21*('Plan mensual'!G46+IF(parametros_manuales!$H$21="Todos",'Plan mensual'!G50,0))+parametros_manuales!$E$21*('Plan mensual'!G47+IF(parametros_manuales!$H$21="Todos",'Plan mensual'!G51,0))+parametros_manuales!$F$21*('Plan mensual'!G48+IF(parametros_manuales!$H$21="Todos",'Plan mensual'!G52,0))+parametros_manuales!$G$21*('Plan mensual'!G49+IF(parametros_manuales!$H$21="Todos",'Plan mensual'!G53,0)))*parametros_manuales!$I$21*parametros_manuales!$J$21+parametros_manuales!$E$164</f>
        <v>7736.80517694436</v>
      </c>
      <c r="F116" s="14" t="n">
        <f aca="false">(parametros_manuales!$D$21*('Plan mensual'!H46+IF(parametros_manuales!$H$21="Todos",'Plan mensual'!H50,0))+parametros_manuales!$E$21*('Plan mensual'!H47+IF(parametros_manuales!$H$21="Todos",'Plan mensual'!H51,0))+parametros_manuales!$F$21*('Plan mensual'!H48+IF(parametros_manuales!$H$21="Todos",'Plan mensual'!H52,0))+parametros_manuales!$G$21*('Plan mensual'!H49+IF(parametros_manuales!$H$21="Todos",'Plan mensual'!H53,0)))*parametros_manuales!$I$21*parametros_manuales!$J$21+parametros_manuales!$F$164</f>
        <v>7295.83874930486</v>
      </c>
      <c r="G116" s="14" t="n">
        <f aca="false">(parametros_manuales!$D$21*('Plan mensual'!I46+IF(parametros_manuales!$H$21="Todos",'Plan mensual'!I50,0))+parametros_manuales!$E$21*('Plan mensual'!I47+IF(parametros_manuales!$H$21="Todos",'Plan mensual'!I51,0))+parametros_manuales!$F$21*('Plan mensual'!I48+IF(parametros_manuales!$H$21="Todos",'Plan mensual'!I52,0))+parametros_manuales!$G$21*('Plan mensual'!I49+IF(parametros_manuales!$H$21="Todos",'Plan mensual'!I53,0)))*parametros_manuales!$I$21*parametros_manuales!$J$21+parametros_manuales!$G$164</f>
        <v>7069.7239036406</v>
      </c>
      <c r="H116" s="14" t="n">
        <f aca="false">(parametros_manuales!$D$21*('Plan mensual'!J46+IF(parametros_manuales!$H$21="Todos",'Plan mensual'!J50,0))+parametros_manuales!$E$21*('Plan mensual'!J47+IF(parametros_manuales!$H$21="Todos",'Plan mensual'!J51,0))+parametros_manuales!$F$21*('Plan mensual'!J48+IF(parametros_manuales!$H$21="Todos",'Plan mensual'!J52,0))+parametros_manuales!$G$21*('Plan mensual'!J49+IF(parametros_manuales!$H$21="Todos",'Plan mensual'!J53,0)))*parametros_manuales!$I$21*parametros_manuales!$J$21+parametros_manuales!$H$164</f>
        <v>7606.41591285486</v>
      </c>
      <c r="I116" s="14" t="n">
        <f aca="false">(parametros_manuales!$D$21*('Plan mensual'!K46+IF(parametros_manuales!$H$21="Todos",'Plan mensual'!K50,0))+parametros_manuales!$E$21*('Plan mensual'!K47+IF(parametros_manuales!$H$21="Todos",'Plan mensual'!K51,0))+parametros_manuales!$F$21*('Plan mensual'!K48+IF(parametros_manuales!$H$21="Todos",'Plan mensual'!K52,0))+parametros_manuales!$G$21*('Plan mensual'!K49+IF(parametros_manuales!$H$21="Todos",'Plan mensual'!K53,0)))*parametros_manuales!$I$21*parametros_manuales!$J$21+parametros_manuales!$I$164</f>
        <v>7606.41591285486</v>
      </c>
      <c r="J116" s="14" t="n">
        <f aca="false">(parametros_manuales!$D$21*('Plan mensual'!L46+IF(parametros_manuales!$H$21="Todos",'Plan mensual'!L50,0))+parametros_manuales!$E$21*('Plan mensual'!L47+IF(parametros_manuales!$H$21="Todos",'Plan mensual'!L51,0))+parametros_manuales!$F$21*('Plan mensual'!L48+IF(parametros_manuales!$H$21="Todos",'Plan mensual'!L52,0))+parametros_manuales!$G$21*('Plan mensual'!L49+IF(parametros_manuales!$H$21="Todos",'Plan mensual'!L53,0)))*parametros_manuales!$I$21*parametros_manuales!$J$21+parametros_manuales!$J$164</f>
        <v>7558.55312206748</v>
      </c>
      <c r="K116" s="14" t="n">
        <f aca="false">(parametros_manuales!$D$21*('Plan mensual'!M46+IF(parametros_manuales!$H$21="Todos",'Plan mensual'!M50,0))+parametros_manuales!$E$21*('Plan mensual'!M47+IF(parametros_manuales!$H$21="Todos",'Plan mensual'!M51,0))+parametros_manuales!$F$21*('Plan mensual'!M48+IF(parametros_manuales!$H$21="Todos",'Plan mensual'!M52,0))+parametros_manuales!$G$21*('Plan mensual'!M49+IF(parametros_manuales!$H$21="Todos",'Plan mensual'!M53,0)))*parametros_manuales!$I$21*parametros_manuales!$J$21+parametros_manuales!$K$164</f>
        <v>7332.43827640322</v>
      </c>
      <c r="L116" s="14" t="n">
        <f aca="false">(parametros_manuales!$D$21*('Plan mensual'!N46+IF(parametros_manuales!$H$21="Todos",'Plan mensual'!N50,0))+parametros_manuales!$E$21*('Plan mensual'!N47+IF(parametros_manuales!$H$21="Todos",'Plan mensual'!N51,0))+parametros_manuales!$F$21*('Plan mensual'!N48+IF(parametros_manuales!$H$21="Todos",'Plan mensual'!N52,0))+parametros_manuales!$G$21*('Plan mensual'!N49+IF(parametros_manuales!$H$21="Todos",'Plan mensual'!N53,0)))*parametros_manuales!$I$21*parametros_manuales!$J$21+parametros_manuales!$L$164</f>
        <v>7154.18622152634</v>
      </c>
      <c r="M116" s="14" t="n">
        <f aca="false">(parametros_manuales!$D$21*('Plan mensual'!O46+IF(parametros_manuales!$H$21="Todos",'Plan mensual'!O50,0))+parametros_manuales!$E$21*('Plan mensual'!O47+IF(parametros_manuales!$H$21="Todos",'Plan mensual'!O51,0))+parametros_manuales!$F$21*('Plan mensual'!O48+IF(parametros_manuales!$H$21="Todos",'Plan mensual'!O52,0))+parametros_manuales!$G$21*('Plan mensual'!O49+IF(parametros_manuales!$H$21="Todos",'Plan mensual'!O53,0)))*parametros_manuales!$I$21*parametros_manuales!$J$21+parametros_manuales!$M$164</f>
        <v>11088.2203877671</v>
      </c>
      <c r="N116" s="14" t="n">
        <f aca="false">SUM(B116:M116)</f>
        <v>97765.8436853762</v>
      </c>
      <c r="O116" s="14" t="n">
        <f aca="false">MAX(B116:M116)</f>
        <v>11088.2203877671</v>
      </c>
      <c r="P116" s="57" t="n">
        <f aca="false">O116/(parametros_manuales!$B$7)</f>
        <v>73.9214692517807</v>
      </c>
      <c r="Q116" s="13" t="str">
        <f aca="false">IF(O116=0,"-",INDEX($B$113:$M$113,MATCH(O116,B116:M116,0)))</f>
        <v>Dic</v>
      </c>
    </row>
    <row r="117" customFormat="false" ht="14.25" hidden="false" customHeight="true" outlineLevel="0" collapsed="false">
      <c r="A117" s="13" t="str">
        <f aca="false">parametros_manuales!$B$22</f>
        <v>Corte de disco y embutido (cúpula y fondo)</v>
      </c>
      <c r="B117" s="14" t="n">
        <f aca="false">(parametros_manuales!$D$22*('Plan mensual'!D46+IF(parametros_manuales!$H$22="Todos",'Plan mensual'!D50,0))+parametros_manuales!$E$22*('Plan mensual'!D47+IF(parametros_manuales!$H$22="Todos",'Plan mensual'!D51,0))+parametros_manuales!$F$22*('Plan mensual'!D48+IF(parametros_manuales!$H$22="Todos",'Plan mensual'!D52,0))+parametros_manuales!$G$22*('Plan mensual'!D49+IF(parametros_manuales!$H$22="Todos",'Plan mensual'!D53,0)))*parametros_manuales!$I$22*parametros_manuales!$J$22</f>
        <v>20123.27441398</v>
      </c>
      <c r="C117" s="14" t="n">
        <f aca="false">(parametros_manuales!$D$22*('Plan mensual'!E46+IF(parametros_manuales!$H$22="Todos",'Plan mensual'!E50,0))+parametros_manuales!$E$22*('Plan mensual'!E47+IF(parametros_manuales!$H$22="Todos",'Plan mensual'!E51,0))+parametros_manuales!$F$22*('Plan mensual'!E48+IF(parametros_manuales!$H$22="Todos",'Plan mensual'!E52,0))+parametros_manuales!$G$22*('Plan mensual'!E49+IF(parametros_manuales!$H$22="Todos",'Plan mensual'!E53,0)))*parametros_manuales!$I$22*parametros_manuales!$J$22</f>
        <v>15353.234338664</v>
      </c>
      <c r="D117" s="14" t="n">
        <f aca="false">(parametros_manuales!$D$22*('Plan mensual'!F46+IF(parametros_manuales!$H$22="Todos",'Plan mensual'!F50,0))+parametros_manuales!$E$22*('Plan mensual'!F47+IF(parametros_manuales!$H$22="Todos",'Plan mensual'!F51,0))+parametros_manuales!$F$22*('Plan mensual'!F48+IF(parametros_manuales!$H$22="Todos",'Plan mensual'!F52,0))+parametros_manuales!$G$22*('Plan mensual'!F49+IF(parametros_manuales!$H$22="Todos",'Plan mensual'!F53,0)))*parametros_manuales!$I$22*parametros_manuales!$J$22</f>
        <v>14371.704212643</v>
      </c>
      <c r="E117" s="14" t="n">
        <f aca="false">(parametros_manuales!$D$22*('Plan mensual'!G46+IF(parametros_manuales!$H$22="Todos",'Plan mensual'!G50,0))+parametros_manuales!$E$22*('Plan mensual'!G47+IF(parametros_manuales!$H$22="Todos",'Plan mensual'!G51,0))+parametros_manuales!$F$22*('Plan mensual'!G48+IF(parametros_manuales!$H$22="Todos",'Plan mensual'!G52,0))+parametros_manuales!$G$22*('Plan mensual'!G49+IF(parametros_manuales!$H$22="Todos",'Plan mensual'!G53,0)))*parametros_manuales!$I$22*parametros_manuales!$J$22</f>
        <v>13750.549885543</v>
      </c>
      <c r="F117" s="14" t="n">
        <f aca="false">(parametros_manuales!$D$22*('Plan mensual'!H46+IF(parametros_manuales!$H$22="Todos",'Plan mensual'!H50,0))+parametros_manuales!$E$22*('Plan mensual'!H47+IF(parametros_manuales!$H$22="Todos",'Plan mensual'!H51,0))+parametros_manuales!$F$22*('Plan mensual'!H48+IF(parametros_manuales!$H$22="Todos",'Plan mensual'!H52,0))+parametros_manuales!$G$22*('Plan mensual'!H49+IF(parametros_manuales!$H$22="Todos",'Plan mensual'!H53,0)))*parametros_manuales!$I$22*parametros_manuales!$J$22</f>
        <v>12868.617030264</v>
      </c>
      <c r="G117" s="14" t="n">
        <f aca="false">(parametros_manuales!$D$22*('Plan mensual'!I46+IF(parametros_manuales!$H$22="Todos",'Plan mensual'!I50,0))+parametros_manuales!$E$22*('Plan mensual'!I47+IF(parametros_manuales!$H$22="Todos",'Plan mensual'!I51,0))+parametros_manuales!$F$22*('Plan mensual'!I48+IF(parametros_manuales!$H$22="Todos",'Plan mensual'!I52,0))+parametros_manuales!$G$22*('Plan mensual'!I49+IF(parametros_manuales!$H$22="Todos",'Plan mensual'!I53,0)))*parametros_manuales!$I$22*parametros_manuales!$J$22</f>
        <v>12607.838502085</v>
      </c>
      <c r="H117" s="14" t="n">
        <f aca="false">(parametros_manuales!$D$22*('Plan mensual'!J46+IF(parametros_manuales!$H$22="Todos",'Plan mensual'!J50,0))+parametros_manuales!$E$22*('Plan mensual'!J47+IF(parametros_manuales!$H$22="Todos",'Plan mensual'!J51,0))+parametros_manuales!$F$22*('Plan mensual'!J48+IF(parametros_manuales!$H$22="Todos",'Plan mensual'!J52,0))+parametros_manuales!$G$22*('Plan mensual'!J49+IF(parametros_manuales!$H$22="Todos",'Plan mensual'!J53,0)))*parametros_manuales!$I$22*parametros_manuales!$J$22</f>
        <v>13489.771357364</v>
      </c>
      <c r="I117" s="14" t="n">
        <f aca="false">(parametros_manuales!$D$22*('Plan mensual'!K46+IF(parametros_manuales!$H$22="Todos",'Plan mensual'!K50,0))+parametros_manuales!$E$22*('Plan mensual'!K47+IF(parametros_manuales!$H$22="Todos",'Plan mensual'!K51,0))+parametros_manuales!$F$22*('Plan mensual'!K48+IF(parametros_manuales!$H$22="Todos",'Plan mensual'!K52,0))+parametros_manuales!$G$22*('Plan mensual'!K49+IF(parametros_manuales!$H$22="Todos",'Plan mensual'!K53,0)))*parametros_manuales!$I$22*parametros_manuales!$J$22</f>
        <v>13489.771357364</v>
      </c>
      <c r="J117" s="14" t="n">
        <f aca="false">(parametros_manuales!$D$22*('Plan mensual'!L46+IF(parametros_manuales!$H$22="Todos",'Plan mensual'!L50,0))+parametros_manuales!$E$22*('Plan mensual'!L47+IF(parametros_manuales!$H$22="Todos",'Plan mensual'!L51,0))+parametros_manuales!$F$22*('Plan mensual'!L48+IF(parametros_manuales!$H$22="Todos",'Plan mensual'!L52,0))+parametros_manuales!$G$22*('Plan mensual'!L49+IF(parametros_manuales!$H$22="Todos",'Plan mensual'!L53,0)))*parametros_manuales!$I$22*parametros_manuales!$J$22</f>
        <v>13489.771357364</v>
      </c>
      <c r="K117" s="14" t="n">
        <f aca="false">(parametros_manuales!$D$22*('Plan mensual'!M46+IF(parametros_manuales!$H$22="Todos",'Plan mensual'!M50,0))+parametros_manuales!$E$22*('Plan mensual'!M47+IF(parametros_manuales!$H$22="Todos",'Plan mensual'!M51,0))+parametros_manuales!$F$22*('Plan mensual'!M48+IF(parametros_manuales!$H$22="Todos",'Plan mensual'!M52,0))+parametros_manuales!$G$22*('Plan mensual'!M49+IF(parametros_manuales!$H$22="Todos",'Plan mensual'!M53,0)))*parametros_manuales!$I$22*parametros_manuales!$J$22</f>
        <v>13228.992829185</v>
      </c>
      <c r="L117" s="14" t="n">
        <f aca="false">(parametros_manuales!$D$22*('Plan mensual'!N46+IF(parametros_manuales!$H$22="Todos",'Plan mensual'!N50,0))+parametros_manuales!$E$22*('Plan mensual'!N47+IF(parametros_manuales!$H$22="Todos",'Plan mensual'!N51,0))+parametros_manuales!$F$22*('Plan mensual'!N48+IF(parametros_manuales!$H$22="Todos",'Plan mensual'!N52,0))+parametros_manuales!$G$22*('Plan mensual'!N49+IF(parametros_manuales!$H$22="Todos",'Plan mensual'!N53,0)))*parametros_manuales!$I$22*parametros_manuales!$J$22</f>
        <v>12968.214301006</v>
      </c>
      <c r="M117" s="14" t="n">
        <f aca="false">(parametros_manuales!$D$22*('Plan mensual'!O46+IF(parametros_manuales!$H$22="Todos",'Plan mensual'!O50,0))+parametros_manuales!$E$22*('Plan mensual'!O47+IF(parametros_manuales!$H$22="Todos",'Plan mensual'!O51,0))+parametros_manuales!$F$22*('Plan mensual'!O48+IF(parametros_manuales!$H$22="Todos",'Plan mensual'!O52,0))+parametros_manuales!$G$22*('Plan mensual'!O49+IF(parametros_manuales!$H$22="Todos",'Plan mensual'!O53,0)))*parametros_manuales!$I$22*parametros_manuales!$J$22</f>
        <v>20644.831470338</v>
      </c>
      <c r="N117" s="14" t="n">
        <f aca="false">SUM(B117:M117)</f>
        <v>176386.5710558</v>
      </c>
      <c r="O117" s="14" t="n">
        <f aca="false">MAX(B117:M117)</f>
        <v>20644.831470338</v>
      </c>
      <c r="P117" s="57" t="n">
        <f aca="false">O117/(parametros_manuales!$B$7)</f>
        <v>137.632209802253</v>
      </c>
      <c r="Q117" s="13" t="str">
        <f aca="false">IF(O117=0,"-",INDEX($B$113:$M$113,MATCH(O117,B117:M117,0)))</f>
        <v>Dic</v>
      </c>
    </row>
    <row r="118" customFormat="false" ht="14.25" hidden="false" customHeight="true" outlineLevel="0" collapsed="false">
      <c r="A118" s="13" t="str">
        <f aca="false">parametros_manuales!$B$23</f>
        <v>Preparación de cuello</v>
      </c>
      <c r="B118" s="14" t="n">
        <f aca="false">(parametros_manuales!$D$23*('Plan mensual'!D46+IF(parametros_manuales!$H$23="Todos",'Plan mensual'!D50,0))+parametros_manuales!$E$23*('Plan mensual'!D47+IF(parametros_manuales!$H$23="Todos",'Plan mensual'!D51,0))+parametros_manuales!$F$23*('Plan mensual'!D48+IF(parametros_manuales!$H$23="Todos",'Plan mensual'!D52,0))+parametros_manuales!$G$23*('Plan mensual'!D49+IF(parametros_manuales!$H$23="Todos",'Plan mensual'!D53,0)))*parametros_manuales!$I$23*parametros_manuales!$J$23</f>
        <v>10061.63720699</v>
      </c>
      <c r="C118" s="14" t="n">
        <f aca="false">(parametros_manuales!$D$23*('Plan mensual'!E46+IF(parametros_manuales!$H$23="Todos",'Plan mensual'!E50,0))+parametros_manuales!$E$23*('Plan mensual'!E47+IF(parametros_manuales!$H$23="Todos",'Plan mensual'!E51,0))+parametros_manuales!$F$23*('Plan mensual'!E48+IF(parametros_manuales!$H$23="Todos",'Plan mensual'!E52,0))+parametros_manuales!$G$23*('Plan mensual'!E49+IF(parametros_manuales!$H$23="Todos",'Plan mensual'!E53,0)))*parametros_manuales!$I$23*parametros_manuales!$J$23</f>
        <v>7676.617169332</v>
      </c>
      <c r="D118" s="14" t="n">
        <f aca="false">(parametros_manuales!$D$23*('Plan mensual'!F46+IF(parametros_manuales!$H$23="Todos",'Plan mensual'!F50,0))+parametros_manuales!$E$23*('Plan mensual'!F47+IF(parametros_manuales!$H$23="Todos",'Plan mensual'!F51,0))+parametros_manuales!$F$23*('Plan mensual'!F48+IF(parametros_manuales!$H$23="Todos",'Plan mensual'!F52,0))+parametros_manuales!$G$23*('Plan mensual'!F49+IF(parametros_manuales!$H$23="Todos",'Plan mensual'!F53,0)))*parametros_manuales!$I$23*parametros_manuales!$J$23</f>
        <v>7185.8521063215</v>
      </c>
      <c r="E118" s="14" t="n">
        <f aca="false">(parametros_manuales!$D$23*('Plan mensual'!G46+IF(parametros_manuales!$H$23="Todos",'Plan mensual'!G50,0))+parametros_manuales!$E$23*('Plan mensual'!G47+IF(parametros_manuales!$H$23="Todos",'Plan mensual'!G51,0))+parametros_manuales!$F$23*('Plan mensual'!G48+IF(parametros_manuales!$H$23="Todos",'Plan mensual'!G52,0))+parametros_manuales!$G$23*('Plan mensual'!G49+IF(parametros_manuales!$H$23="Todos",'Plan mensual'!G53,0)))*parametros_manuales!$I$23*parametros_manuales!$J$23</f>
        <v>6875.2749427715</v>
      </c>
      <c r="F118" s="14" t="n">
        <f aca="false">(parametros_manuales!$D$23*('Plan mensual'!H46+IF(parametros_manuales!$H$23="Todos",'Plan mensual'!H50,0))+parametros_manuales!$E$23*('Plan mensual'!H47+IF(parametros_manuales!$H$23="Todos",'Plan mensual'!H51,0))+parametros_manuales!$F$23*('Plan mensual'!H48+IF(parametros_manuales!$H$23="Todos",'Plan mensual'!H52,0))+parametros_manuales!$G$23*('Plan mensual'!H49+IF(parametros_manuales!$H$23="Todos",'Plan mensual'!H53,0)))*parametros_manuales!$I$23*parametros_manuales!$J$23</f>
        <v>6434.308515132</v>
      </c>
      <c r="G118" s="14" t="n">
        <f aca="false">(parametros_manuales!$D$23*('Plan mensual'!I46+IF(parametros_manuales!$H$23="Todos",'Plan mensual'!I50,0))+parametros_manuales!$E$23*('Plan mensual'!I47+IF(parametros_manuales!$H$23="Todos",'Plan mensual'!I51,0))+parametros_manuales!$F$23*('Plan mensual'!I48+IF(parametros_manuales!$H$23="Todos",'Plan mensual'!I52,0))+parametros_manuales!$G$23*('Plan mensual'!I49+IF(parametros_manuales!$H$23="Todos",'Plan mensual'!I53,0)))*parametros_manuales!$I$23*parametros_manuales!$J$23</f>
        <v>6303.9192510425</v>
      </c>
      <c r="H118" s="14" t="n">
        <f aca="false">(parametros_manuales!$D$23*('Plan mensual'!J46+IF(parametros_manuales!$H$23="Todos",'Plan mensual'!J50,0))+parametros_manuales!$E$23*('Plan mensual'!J47+IF(parametros_manuales!$H$23="Todos",'Plan mensual'!J51,0))+parametros_manuales!$F$23*('Plan mensual'!J48+IF(parametros_manuales!$H$23="Todos",'Plan mensual'!J52,0))+parametros_manuales!$G$23*('Plan mensual'!J49+IF(parametros_manuales!$H$23="Todos",'Plan mensual'!J53,0)))*parametros_manuales!$I$23*parametros_manuales!$J$23</f>
        <v>6744.885678682</v>
      </c>
      <c r="I118" s="14" t="n">
        <f aca="false">(parametros_manuales!$D$23*('Plan mensual'!K46+IF(parametros_manuales!$H$23="Todos",'Plan mensual'!K50,0))+parametros_manuales!$E$23*('Plan mensual'!K47+IF(parametros_manuales!$H$23="Todos",'Plan mensual'!K51,0))+parametros_manuales!$F$23*('Plan mensual'!K48+IF(parametros_manuales!$H$23="Todos",'Plan mensual'!K52,0))+parametros_manuales!$G$23*('Plan mensual'!K49+IF(parametros_manuales!$H$23="Todos",'Plan mensual'!K53,0)))*parametros_manuales!$I$23*parametros_manuales!$J$23</f>
        <v>6744.885678682</v>
      </c>
      <c r="J118" s="14" t="n">
        <f aca="false">(parametros_manuales!$D$23*('Plan mensual'!L46+IF(parametros_manuales!$H$23="Todos",'Plan mensual'!L50,0))+parametros_manuales!$E$23*('Plan mensual'!L47+IF(parametros_manuales!$H$23="Todos",'Plan mensual'!L51,0))+parametros_manuales!$F$23*('Plan mensual'!L48+IF(parametros_manuales!$H$23="Todos",'Plan mensual'!L52,0))+parametros_manuales!$G$23*('Plan mensual'!L49+IF(parametros_manuales!$H$23="Todos",'Plan mensual'!L53,0)))*parametros_manuales!$I$23*parametros_manuales!$J$23</f>
        <v>6744.885678682</v>
      </c>
      <c r="K118" s="14" t="n">
        <f aca="false">(parametros_manuales!$D$23*('Plan mensual'!M46+IF(parametros_manuales!$H$23="Todos",'Plan mensual'!M50,0))+parametros_manuales!$E$23*('Plan mensual'!M47+IF(parametros_manuales!$H$23="Todos",'Plan mensual'!M51,0))+parametros_manuales!$F$23*('Plan mensual'!M48+IF(parametros_manuales!$H$23="Todos",'Plan mensual'!M52,0))+parametros_manuales!$G$23*('Plan mensual'!M49+IF(parametros_manuales!$H$23="Todos",'Plan mensual'!M53,0)))*parametros_manuales!$I$23*parametros_manuales!$J$23</f>
        <v>6614.4964145925</v>
      </c>
      <c r="L118" s="14" t="n">
        <f aca="false">(parametros_manuales!$D$23*('Plan mensual'!N46+IF(parametros_manuales!$H$23="Todos",'Plan mensual'!N50,0))+parametros_manuales!$E$23*('Plan mensual'!N47+IF(parametros_manuales!$H$23="Todos",'Plan mensual'!N51,0))+parametros_manuales!$F$23*('Plan mensual'!N48+IF(parametros_manuales!$H$23="Todos",'Plan mensual'!N52,0))+parametros_manuales!$G$23*('Plan mensual'!N49+IF(parametros_manuales!$H$23="Todos",'Plan mensual'!N53,0)))*parametros_manuales!$I$23*parametros_manuales!$J$23</f>
        <v>6484.107150503</v>
      </c>
      <c r="M118" s="14" t="n">
        <f aca="false">(parametros_manuales!$D$23*('Plan mensual'!O46+IF(parametros_manuales!$H$23="Todos",'Plan mensual'!O50,0))+parametros_manuales!$E$23*('Plan mensual'!O47+IF(parametros_manuales!$H$23="Todos",'Plan mensual'!O51,0))+parametros_manuales!$F$23*('Plan mensual'!O48+IF(parametros_manuales!$H$23="Todos",'Plan mensual'!O52,0))+parametros_manuales!$G$23*('Plan mensual'!O49+IF(parametros_manuales!$H$23="Todos",'Plan mensual'!O53,0)))*parametros_manuales!$I$23*parametros_manuales!$J$23</f>
        <v>10322.415735169</v>
      </c>
      <c r="N118" s="14" t="n">
        <f aca="false">SUM(B118:M118)</f>
        <v>88193.2855279</v>
      </c>
      <c r="O118" s="14" t="n">
        <f aca="false">MAX(B118:M118)</f>
        <v>10322.415735169</v>
      </c>
      <c r="P118" s="57" t="n">
        <f aca="false">O118/(parametros_manuales!$B$7)</f>
        <v>68.8161049011267</v>
      </c>
      <c r="Q118" s="13" t="str">
        <f aca="false">IF(O118=0,"-",INDEX($B$113:$M$113,MATCH(O118,B118:M118,0)))</f>
        <v>Dic</v>
      </c>
    </row>
    <row r="119" customFormat="false" ht="14.25" hidden="false" customHeight="true" outlineLevel="0" collapsed="false">
      <c r="A119" s="13" t="str">
        <f aca="false">parametros_manuales!$B$24</f>
        <v>Numerado de cúpula</v>
      </c>
      <c r="B119" s="14" t="n">
        <f aca="false">(parametros_manuales!$D$24*('Plan mensual'!D46+IF(parametros_manuales!$H$24="Todos",'Plan mensual'!D50,0))+parametros_manuales!$E$24*('Plan mensual'!D47+IF(parametros_manuales!$H$24="Todos",'Plan mensual'!D51,0))+parametros_manuales!$F$24*('Plan mensual'!D48+IF(parametros_manuales!$H$24="Todos",'Plan mensual'!D52,0))+parametros_manuales!$G$24*('Plan mensual'!D49+IF(parametros_manuales!$H$24="Todos",'Plan mensual'!D53,0)))*parametros_manuales!$I$24*parametros_manuales!$J$24</f>
        <v>10061.63720699</v>
      </c>
      <c r="C119" s="14" t="n">
        <f aca="false">(parametros_manuales!$D$24*('Plan mensual'!E46+IF(parametros_manuales!$H$24="Todos",'Plan mensual'!E50,0))+parametros_manuales!$E$24*('Plan mensual'!E47+IF(parametros_manuales!$H$24="Todos",'Plan mensual'!E51,0))+parametros_manuales!$F$24*('Plan mensual'!E48+IF(parametros_manuales!$H$24="Todos",'Plan mensual'!E52,0))+parametros_manuales!$G$24*('Plan mensual'!E49+IF(parametros_manuales!$H$24="Todos",'Plan mensual'!E53,0)))*parametros_manuales!$I$24*parametros_manuales!$J$24</f>
        <v>7676.617169332</v>
      </c>
      <c r="D119" s="14" t="n">
        <f aca="false">(parametros_manuales!$D$24*('Plan mensual'!F46+IF(parametros_manuales!$H$24="Todos",'Plan mensual'!F50,0))+parametros_manuales!$E$24*('Plan mensual'!F47+IF(parametros_manuales!$H$24="Todos",'Plan mensual'!F51,0))+parametros_manuales!$F$24*('Plan mensual'!F48+IF(parametros_manuales!$H$24="Todos",'Plan mensual'!F52,0))+parametros_manuales!$G$24*('Plan mensual'!F49+IF(parametros_manuales!$H$24="Todos",'Plan mensual'!F53,0)))*parametros_manuales!$I$24*parametros_manuales!$J$24</f>
        <v>7185.8521063215</v>
      </c>
      <c r="E119" s="14" t="n">
        <f aca="false">(parametros_manuales!$D$24*('Plan mensual'!G46+IF(parametros_manuales!$H$24="Todos",'Plan mensual'!G50,0))+parametros_manuales!$E$24*('Plan mensual'!G47+IF(parametros_manuales!$H$24="Todos",'Plan mensual'!G51,0))+parametros_manuales!$F$24*('Plan mensual'!G48+IF(parametros_manuales!$H$24="Todos",'Plan mensual'!G52,0))+parametros_manuales!$G$24*('Plan mensual'!G49+IF(parametros_manuales!$H$24="Todos",'Plan mensual'!G53,0)))*parametros_manuales!$I$24*parametros_manuales!$J$24</f>
        <v>6875.2749427715</v>
      </c>
      <c r="F119" s="14" t="n">
        <f aca="false">(parametros_manuales!$D$24*('Plan mensual'!H46+IF(parametros_manuales!$H$24="Todos",'Plan mensual'!H50,0))+parametros_manuales!$E$24*('Plan mensual'!H47+IF(parametros_manuales!$H$24="Todos",'Plan mensual'!H51,0))+parametros_manuales!$F$24*('Plan mensual'!H48+IF(parametros_manuales!$H$24="Todos",'Plan mensual'!H52,0))+parametros_manuales!$G$24*('Plan mensual'!H49+IF(parametros_manuales!$H$24="Todos",'Plan mensual'!H53,0)))*parametros_manuales!$I$24*parametros_manuales!$J$24</f>
        <v>6434.308515132</v>
      </c>
      <c r="G119" s="14" t="n">
        <f aca="false">(parametros_manuales!$D$24*('Plan mensual'!I46+IF(parametros_manuales!$H$24="Todos",'Plan mensual'!I50,0))+parametros_manuales!$E$24*('Plan mensual'!I47+IF(parametros_manuales!$H$24="Todos",'Plan mensual'!I51,0))+parametros_manuales!$F$24*('Plan mensual'!I48+IF(parametros_manuales!$H$24="Todos",'Plan mensual'!I52,0))+parametros_manuales!$G$24*('Plan mensual'!I49+IF(parametros_manuales!$H$24="Todos",'Plan mensual'!I53,0)))*parametros_manuales!$I$24*parametros_manuales!$J$24</f>
        <v>6303.9192510425</v>
      </c>
      <c r="H119" s="14" t="n">
        <f aca="false">(parametros_manuales!$D$24*('Plan mensual'!J46+IF(parametros_manuales!$H$24="Todos",'Plan mensual'!J50,0))+parametros_manuales!$E$24*('Plan mensual'!J47+IF(parametros_manuales!$H$24="Todos",'Plan mensual'!J51,0))+parametros_manuales!$F$24*('Plan mensual'!J48+IF(parametros_manuales!$H$24="Todos",'Plan mensual'!J52,0))+parametros_manuales!$G$24*('Plan mensual'!J49+IF(parametros_manuales!$H$24="Todos",'Plan mensual'!J53,0)))*parametros_manuales!$I$24*parametros_manuales!$J$24</f>
        <v>6744.885678682</v>
      </c>
      <c r="I119" s="14" t="n">
        <f aca="false">(parametros_manuales!$D$24*('Plan mensual'!K46+IF(parametros_manuales!$H$24="Todos",'Plan mensual'!K50,0))+parametros_manuales!$E$24*('Plan mensual'!K47+IF(parametros_manuales!$H$24="Todos",'Plan mensual'!K51,0))+parametros_manuales!$F$24*('Plan mensual'!K48+IF(parametros_manuales!$H$24="Todos",'Plan mensual'!K52,0))+parametros_manuales!$G$24*('Plan mensual'!K49+IF(parametros_manuales!$H$24="Todos",'Plan mensual'!K53,0)))*parametros_manuales!$I$24*parametros_manuales!$J$24</f>
        <v>6744.885678682</v>
      </c>
      <c r="J119" s="14" t="n">
        <f aca="false">(parametros_manuales!$D$24*('Plan mensual'!L46+IF(parametros_manuales!$H$24="Todos",'Plan mensual'!L50,0))+parametros_manuales!$E$24*('Plan mensual'!L47+IF(parametros_manuales!$H$24="Todos",'Plan mensual'!L51,0))+parametros_manuales!$F$24*('Plan mensual'!L48+IF(parametros_manuales!$H$24="Todos",'Plan mensual'!L52,0))+parametros_manuales!$G$24*('Plan mensual'!L49+IF(parametros_manuales!$H$24="Todos",'Plan mensual'!L53,0)))*parametros_manuales!$I$24*parametros_manuales!$J$24</f>
        <v>6744.885678682</v>
      </c>
      <c r="K119" s="14" t="n">
        <f aca="false">(parametros_manuales!$D$24*('Plan mensual'!M46+IF(parametros_manuales!$H$24="Todos",'Plan mensual'!M50,0))+parametros_manuales!$E$24*('Plan mensual'!M47+IF(parametros_manuales!$H$24="Todos",'Plan mensual'!M51,0))+parametros_manuales!$F$24*('Plan mensual'!M48+IF(parametros_manuales!$H$24="Todos",'Plan mensual'!M52,0))+parametros_manuales!$G$24*('Plan mensual'!M49+IF(parametros_manuales!$H$24="Todos",'Plan mensual'!M53,0)))*parametros_manuales!$I$24*parametros_manuales!$J$24</f>
        <v>6614.4964145925</v>
      </c>
      <c r="L119" s="14" t="n">
        <f aca="false">(parametros_manuales!$D$24*('Plan mensual'!N46+IF(parametros_manuales!$H$24="Todos",'Plan mensual'!N50,0))+parametros_manuales!$E$24*('Plan mensual'!N47+IF(parametros_manuales!$H$24="Todos",'Plan mensual'!N51,0))+parametros_manuales!$F$24*('Plan mensual'!N48+IF(parametros_manuales!$H$24="Todos",'Plan mensual'!N52,0))+parametros_manuales!$G$24*('Plan mensual'!N49+IF(parametros_manuales!$H$24="Todos",'Plan mensual'!N53,0)))*parametros_manuales!$I$24*parametros_manuales!$J$24</f>
        <v>6484.107150503</v>
      </c>
      <c r="M119" s="14" t="n">
        <f aca="false">(parametros_manuales!$D$24*('Plan mensual'!O46+IF(parametros_manuales!$H$24="Todos",'Plan mensual'!O50,0))+parametros_manuales!$E$24*('Plan mensual'!O47+IF(parametros_manuales!$H$24="Todos",'Plan mensual'!O51,0))+parametros_manuales!$F$24*('Plan mensual'!O48+IF(parametros_manuales!$H$24="Todos",'Plan mensual'!O52,0))+parametros_manuales!$G$24*('Plan mensual'!O49+IF(parametros_manuales!$H$24="Todos",'Plan mensual'!O53,0)))*parametros_manuales!$I$24*parametros_manuales!$J$24</f>
        <v>10322.415735169</v>
      </c>
      <c r="N119" s="14" t="n">
        <f aca="false">SUM(B119:M119)</f>
        <v>88193.2855279</v>
      </c>
      <c r="O119" s="14" t="n">
        <f aca="false">MAX(B119:M119)</f>
        <v>10322.415735169</v>
      </c>
      <c r="P119" s="57" t="n">
        <f aca="false">O119/(parametros_manuales!$B$7)</f>
        <v>68.8161049011267</v>
      </c>
      <c r="Q119" s="13" t="str">
        <f aca="false">IF(O119=0,"-",INDEX($B$113:$M$113,MATCH(O119,B119:M119,0)))</f>
        <v>Dic</v>
      </c>
    </row>
    <row r="120" customFormat="false" ht="14.25" hidden="false" customHeight="true" outlineLevel="0" collapsed="false">
      <c r="A120" s="13" t="str">
        <f aca="false">parametros_manuales!$B$25</f>
        <v>Soldadura del cuello a la cúpula</v>
      </c>
      <c r="B120" s="14" t="n">
        <f aca="false">(parametros_manuales!$D$25*('Plan mensual'!D46+IF(parametros_manuales!$H$25="Todos",'Plan mensual'!D50,0))+parametros_manuales!$E$25*('Plan mensual'!D47+IF(parametros_manuales!$H$25="Todos",'Plan mensual'!D51,0))+parametros_manuales!$F$25*('Plan mensual'!D48+IF(parametros_manuales!$H$25="Todos",'Plan mensual'!D52,0))+parametros_manuales!$G$25*('Plan mensual'!D49+IF(parametros_manuales!$H$25="Todos",'Plan mensual'!D53,0)))*parametros_manuales!$I$25*parametros_manuales!$J$25</f>
        <v>10061.63720699</v>
      </c>
      <c r="C120" s="14" t="n">
        <f aca="false">(parametros_manuales!$D$25*('Plan mensual'!E46+IF(parametros_manuales!$H$25="Todos",'Plan mensual'!E50,0))+parametros_manuales!$E$25*('Plan mensual'!E47+IF(parametros_manuales!$H$25="Todos",'Plan mensual'!E51,0))+parametros_manuales!$F$25*('Plan mensual'!E48+IF(parametros_manuales!$H$25="Todos",'Plan mensual'!E52,0))+parametros_manuales!$G$25*('Plan mensual'!E49+IF(parametros_manuales!$H$25="Todos",'Plan mensual'!E53,0)))*parametros_manuales!$I$25*parametros_manuales!$J$25</f>
        <v>7676.617169332</v>
      </c>
      <c r="D120" s="14" t="n">
        <f aca="false">(parametros_manuales!$D$25*('Plan mensual'!F46+IF(parametros_manuales!$H$25="Todos",'Plan mensual'!F50,0))+parametros_manuales!$E$25*('Plan mensual'!F47+IF(parametros_manuales!$H$25="Todos",'Plan mensual'!F51,0))+parametros_manuales!$F$25*('Plan mensual'!F48+IF(parametros_manuales!$H$25="Todos",'Plan mensual'!F52,0))+parametros_manuales!$G$25*('Plan mensual'!F49+IF(parametros_manuales!$H$25="Todos",'Plan mensual'!F53,0)))*parametros_manuales!$I$25*parametros_manuales!$J$25</f>
        <v>7185.8521063215</v>
      </c>
      <c r="E120" s="14" t="n">
        <f aca="false">(parametros_manuales!$D$25*('Plan mensual'!G46+IF(parametros_manuales!$H$25="Todos",'Plan mensual'!G50,0))+parametros_manuales!$E$25*('Plan mensual'!G47+IF(parametros_manuales!$H$25="Todos",'Plan mensual'!G51,0))+parametros_manuales!$F$25*('Plan mensual'!G48+IF(parametros_manuales!$H$25="Todos",'Plan mensual'!G52,0))+parametros_manuales!$G$25*('Plan mensual'!G49+IF(parametros_manuales!$H$25="Todos",'Plan mensual'!G53,0)))*parametros_manuales!$I$25*parametros_manuales!$J$25</f>
        <v>6875.2749427715</v>
      </c>
      <c r="F120" s="14" t="n">
        <f aca="false">(parametros_manuales!$D$25*('Plan mensual'!H46+IF(parametros_manuales!$H$25="Todos",'Plan mensual'!H50,0))+parametros_manuales!$E$25*('Plan mensual'!H47+IF(parametros_manuales!$H$25="Todos",'Plan mensual'!H51,0))+parametros_manuales!$F$25*('Plan mensual'!H48+IF(parametros_manuales!$H$25="Todos",'Plan mensual'!H52,0))+parametros_manuales!$G$25*('Plan mensual'!H49+IF(parametros_manuales!$H$25="Todos",'Plan mensual'!H53,0)))*parametros_manuales!$I$25*parametros_manuales!$J$25</f>
        <v>6434.308515132</v>
      </c>
      <c r="G120" s="14" t="n">
        <f aca="false">(parametros_manuales!$D$25*('Plan mensual'!I46+IF(parametros_manuales!$H$25="Todos",'Plan mensual'!I50,0))+parametros_manuales!$E$25*('Plan mensual'!I47+IF(parametros_manuales!$H$25="Todos",'Plan mensual'!I51,0))+parametros_manuales!$F$25*('Plan mensual'!I48+IF(parametros_manuales!$H$25="Todos",'Plan mensual'!I52,0))+parametros_manuales!$G$25*('Plan mensual'!I49+IF(parametros_manuales!$H$25="Todos",'Plan mensual'!I53,0)))*parametros_manuales!$I$25*parametros_manuales!$J$25</f>
        <v>6303.9192510425</v>
      </c>
      <c r="H120" s="14" t="n">
        <f aca="false">(parametros_manuales!$D$25*('Plan mensual'!J46+IF(parametros_manuales!$H$25="Todos",'Plan mensual'!J50,0))+parametros_manuales!$E$25*('Plan mensual'!J47+IF(parametros_manuales!$H$25="Todos",'Plan mensual'!J51,0))+parametros_manuales!$F$25*('Plan mensual'!J48+IF(parametros_manuales!$H$25="Todos",'Plan mensual'!J52,0))+parametros_manuales!$G$25*('Plan mensual'!J49+IF(parametros_manuales!$H$25="Todos",'Plan mensual'!J53,0)))*parametros_manuales!$I$25*parametros_manuales!$J$25</f>
        <v>6744.885678682</v>
      </c>
      <c r="I120" s="14" t="n">
        <f aca="false">(parametros_manuales!$D$25*('Plan mensual'!K46+IF(parametros_manuales!$H$25="Todos",'Plan mensual'!K50,0))+parametros_manuales!$E$25*('Plan mensual'!K47+IF(parametros_manuales!$H$25="Todos",'Plan mensual'!K51,0))+parametros_manuales!$F$25*('Plan mensual'!K48+IF(parametros_manuales!$H$25="Todos",'Plan mensual'!K52,0))+parametros_manuales!$G$25*('Plan mensual'!K49+IF(parametros_manuales!$H$25="Todos",'Plan mensual'!K53,0)))*parametros_manuales!$I$25*parametros_manuales!$J$25</f>
        <v>6744.885678682</v>
      </c>
      <c r="J120" s="14" t="n">
        <f aca="false">(parametros_manuales!$D$25*('Plan mensual'!L46+IF(parametros_manuales!$H$25="Todos",'Plan mensual'!L50,0))+parametros_manuales!$E$25*('Plan mensual'!L47+IF(parametros_manuales!$H$25="Todos",'Plan mensual'!L51,0))+parametros_manuales!$F$25*('Plan mensual'!L48+IF(parametros_manuales!$H$25="Todos",'Plan mensual'!L52,0))+parametros_manuales!$G$25*('Plan mensual'!L49+IF(parametros_manuales!$H$25="Todos",'Plan mensual'!L53,0)))*parametros_manuales!$I$25*parametros_manuales!$J$25</f>
        <v>6744.885678682</v>
      </c>
      <c r="K120" s="14" t="n">
        <f aca="false">(parametros_manuales!$D$25*('Plan mensual'!M46+IF(parametros_manuales!$H$25="Todos",'Plan mensual'!M50,0))+parametros_manuales!$E$25*('Plan mensual'!M47+IF(parametros_manuales!$H$25="Todos",'Plan mensual'!M51,0))+parametros_manuales!$F$25*('Plan mensual'!M48+IF(parametros_manuales!$H$25="Todos",'Plan mensual'!M52,0))+parametros_manuales!$G$25*('Plan mensual'!M49+IF(parametros_manuales!$H$25="Todos",'Plan mensual'!M53,0)))*parametros_manuales!$I$25*parametros_manuales!$J$25</f>
        <v>6614.4964145925</v>
      </c>
      <c r="L120" s="14" t="n">
        <f aca="false">(parametros_manuales!$D$25*('Plan mensual'!N46+IF(parametros_manuales!$H$25="Todos",'Plan mensual'!N50,0))+parametros_manuales!$E$25*('Plan mensual'!N47+IF(parametros_manuales!$H$25="Todos",'Plan mensual'!N51,0))+parametros_manuales!$F$25*('Plan mensual'!N48+IF(parametros_manuales!$H$25="Todos",'Plan mensual'!N52,0))+parametros_manuales!$G$25*('Plan mensual'!N49+IF(parametros_manuales!$H$25="Todos",'Plan mensual'!N53,0)))*parametros_manuales!$I$25*parametros_manuales!$J$25</f>
        <v>6484.107150503</v>
      </c>
      <c r="M120" s="14" t="n">
        <f aca="false">(parametros_manuales!$D$25*('Plan mensual'!O46+IF(parametros_manuales!$H$25="Todos",'Plan mensual'!O50,0))+parametros_manuales!$E$25*('Plan mensual'!O47+IF(parametros_manuales!$H$25="Todos",'Plan mensual'!O51,0))+parametros_manuales!$F$25*('Plan mensual'!O48+IF(parametros_manuales!$H$25="Todos",'Plan mensual'!O52,0))+parametros_manuales!$G$25*('Plan mensual'!O49+IF(parametros_manuales!$H$25="Todos",'Plan mensual'!O53,0)))*parametros_manuales!$I$25*parametros_manuales!$J$25</f>
        <v>10322.415735169</v>
      </c>
      <c r="N120" s="14" t="n">
        <f aca="false">SUM(B120:M120)</f>
        <v>88193.2855279</v>
      </c>
      <c r="O120" s="14" t="n">
        <f aca="false">MAX(B120:M120)</f>
        <v>10322.415735169</v>
      </c>
      <c r="P120" s="57" t="n">
        <f aca="false">O120/(parametros_manuales!$B$7)</f>
        <v>68.8161049011267</v>
      </c>
      <c r="Q120" s="13" t="str">
        <f aca="false">IF(O120=0,"-",INDEX($B$113:$M$113,MATCH(O120,B120:M120,0)))</f>
        <v>Dic</v>
      </c>
    </row>
    <row r="121" customFormat="false" ht="14.25" hidden="false" customHeight="true" outlineLevel="0" collapsed="false">
      <c r="A121" s="13" t="str">
        <f aca="false">parametros_manuales!$B$26</f>
        <v>Cilindrado</v>
      </c>
      <c r="B121" s="14" t="n">
        <f aca="false">(parametros_manuales!$D$26*('Plan mensual'!D46+IF(parametros_manuales!$H$26="Todos",'Plan mensual'!D50,0))+parametros_manuales!$E$26*('Plan mensual'!D47+IF(parametros_manuales!$H$26="Todos",'Plan mensual'!D51,0))+parametros_manuales!$F$26*('Plan mensual'!D48+IF(parametros_manuales!$H$26="Todos",'Plan mensual'!D52,0))+parametros_manuales!$G$26*('Plan mensual'!D49+IF(parametros_manuales!$H$26="Todos",'Plan mensual'!D53,0)))*parametros_manuales!$I$26*parametros_manuales!$J$26</f>
        <v>10061.63720699</v>
      </c>
      <c r="C121" s="14" t="n">
        <f aca="false">(parametros_manuales!$D$26*('Plan mensual'!E46+IF(parametros_manuales!$H$26="Todos",'Plan mensual'!E50,0))+parametros_manuales!$E$26*('Plan mensual'!E47+IF(parametros_manuales!$H$26="Todos",'Plan mensual'!E51,0))+parametros_manuales!$F$26*('Plan mensual'!E48+IF(parametros_manuales!$H$26="Todos",'Plan mensual'!E52,0))+parametros_manuales!$G$26*('Plan mensual'!E49+IF(parametros_manuales!$H$26="Todos",'Plan mensual'!E53,0)))*parametros_manuales!$I$26*parametros_manuales!$J$26</f>
        <v>7676.617169332</v>
      </c>
      <c r="D121" s="14" t="n">
        <f aca="false">(parametros_manuales!$D$26*('Plan mensual'!F46+IF(parametros_manuales!$H$26="Todos",'Plan mensual'!F50,0))+parametros_manuales!$E$26*('Plan mensual'!F47+IF(parametros_manuales!$H$26="Todos",'Plan mensual'!F51,0))+parametros_manuales!$F$26*('Plan mensual'!F48+IF(parametros_manuales!$H$26="Todos",'Plan mensual'!F52,0))+parametros_manuales!$G$26*('Plan mensual'!F49+IF(parametros_manuales!$H$26="Todos",'Plan mensual'!F53,0)))*parametros_manuales!$I$26*parametros_manuales!$J$26</f>
        <v>7185.8521063215</v>
      </c>
      <c r="E121" s="14" t="n">
        <f aca="false">(parametros_manuales!$D$26*('Plan mensual'!G46+IF(parametros_manuales!$H$26="Todos",'Plan mensual'!G50,0))+parametros_manuales!$E$26*('Plan mensual'!G47+IF(parametros_manuales!$H$26="Todos",'Plan mensual'!G51,0))+parametros_manuales!$F$26*('Plan mensual'!G48+IF(parametros_manuales!$H$26="Todos",'Plan mensual'!G52,0))+parametros_manuales!$G$26*('Plan mensual'!G49+IF(parametros_manuales!$H$26="Todos",'Plan mensual'!G53,0)))*parametros_manuales!$I$26*parametros_manuales!$J$26</f>
        <v>6875.2749427715</v>
      </c>
      <c r="F121" s="14" t="n">
        <f aca="false">(parametros_manuales!$D$26*('Plan mensual'!H46+IF(parametros_manuales!$H$26="Todos",'Plan mensual'!H50,0))+parametros_manuales!$E$26*('Plan mensual'!H47+IF(parametros_manuales!$H$26="Todos",'Plan mensual'!H51,0))+parametros_manuales!$F$26*('Plan mensual'!H48+IF(parametros_manuales!$H$26="Todos",'Plan mensual'!H52,0))+parametros_manuales!$G$26*('Plan mensual'!H49+IF(parametros_manuales!$H$26="Todos",'Plan mensual'!H53,0)))*parametros_manuales!$I$26*parametros_manuales!$J$26</f>
        <v>6434.308515132</v>
      </c>
      <c r="G121" s="14" t="n">
        <f aca="false">(parametros_manuales!$D$26*('Plan mensual'!I46+IF(parametros_manuales!$H$26="Todos",'Plan mensual'!I50,0))+parametros_manuales!$E$26*('Plan mensual'!I47+IF(parametros_manuales!$H$26="Todos",'Plan mensual'!I51,0))+parametros_manuales!$F$26*('Plan mensual'!I48+IF(parametros_manuales!$H$26="Todos",'Plan mensual'!I52,0))+parametros_manuales!$G$26*('Plan mensual'!I49+IF(parametros_manuales!$H$26="Todos",'Plan mensual'!I53,0)))*parametros_manuales!$I$26*parametros_manuales!$J$26</f>
        <v>6303.9192510425</v>
      </c>
      <c r="H121" s="14" t="n">
        <f aca="false">(parametros_manuales!$D$26*('Plan mensual'!J46+IF(parametros_manuales!$H$26="Todos",'Plan mensual'!J50,0))+parametros_manuales!$E$26*('Plan mensual'!J47+IF(parametros_manuales!$H$26="Todos",'Plan mensual'!J51,0))+parametros_manuales!$F$26*('Plan mensual'!J48+IF(parametros_manuales!$H$26="Todos",'Plan mensual'!J52,0))+parametros_manuales!$G$26*('Plan mensual'!J49+IF(parametros_manuales!$H$26="Todos",'Plan mensual'!J53,0)))*parametros_manuales!$I$26*parametros_manuales!$J$26</f>
        <v>6744.885678682</v>
      </c>
      <c r="I121" s="14" t="n">
        <f aca="false">(parametros_manuales!$D$26*('Plan mensual'!K46+IF(parametros_manuales!$H$26="Todos",'Plan mensual'!K50,0))+parametros_manuales!$E$26*('Plan mensual'!K47+IF(parametros_manuales!$H$26="Todos",'Plan mensual'!K51,0))+parametros_manuales!$F$26*('Plan mensual'!K48+IF(parametros_manuales!$H$26="Todos",'Plan mensual'!K52,0))+parametros_manuales!$G$26*('Plan mensual'!K49+IF(parametros_manuales!$H$26="Todos",'Plan mensual'!K53,0)))*parametros_manuales!$I$26*parametros_manuales!$J$26</f>
        <v>6744.885678682</v>
      </c>
      <c r="J121" s="14" t="n">
        <f aca="false">(parametros_manuales!$D$26*('Plan mensual'!L46+IF(parametros_manuales!$H$26="Todos",'Plan mensual'!L50,0))+parametros_manuales!$E$26*('Plan mensual'!L47+IF(parametros_manuales!$H$26="Todos",'Plan mensual'!L51,0))+parametros_manuales!$F$26*('Plan mensual'!L48+IF(parametros_manuales!$H$26="Todos",'Plan mensual'!L52,0))+parametros_manuales!$G$26*('Plan mensual'!L49+IF(parametros_manuales!$H$26="Todos",'Plan mensual'!L53,0)))*parametros_manuales!$I$26*parametros_manuales!$J$26</f>
        <v>6744.885678682</v>
      </c>
      <c r="K121" s="14" t="n">
        <f aca="false">(parametros_manuales!$D$26*('Plan mensual'!M46+IF(parametros_manuales!$H$26="Todos",'Plan mensual'!M50,0))+parametros_manuales!$E$26*('Plan mensual'!M47+IF(parametros_manuales!$H$26="Todos",'Plan mensual'!M51,0))+parametros_manuales!$F$26*('Plan mensual'!M48+IF(parametros_manuales!$H$26="Todos",'Plan mensual'!M52,0))+parametros_manuales!$G$26*('Plan mensual'!M49+IF(parametros_manuales!$H$26="Todos",'Plan mensual'!M53,0)))*parametros_manuales!$I$26*parametros_manuales!$J$26</f>
        <v>6614.4964145925</v>
      </c>
      <c r="L121" s="14" t="n">
        <f aca="false">(parametros_manuales!$D$26*('Plan mensual'!N46+IF(parametros_manuales!$H$26="Todos",'Plan mensual'!N50,0))+parametros_manuales!$E$26*('Plan mensual'!N47+IF(parametros_manuales!$H$26="Todos",'Plan mensual'!N51,0))+parametros_manuales!$F$26*('Plan mensual'!N48+IF(parametros_manuales!$H$26="Todos",'Plan mensual'!N52,0))+parametros_manuales!$G$26*('Plan mensual'!N49+IF(parametros_manuales!$H$26="Todos",'Plan mensual'!N53,0)))*parametros_manuales!$I$26*parametros_manuales!$J$26</f>
        <v>6484.107150503</v>
      </c>
      <c r="M121" s="14" t="n">
        <f aca="false">(parametros_manuales!$D$26*('Plan mensual'!O46+IF(parametros_manuales!$H$26="Todos",'Plan mensual'!O50,0))+parametros_manuales!$E$26*('Plan mensual'!O47+IF(parametros_manuales!$H$26="Todos",'Plan mensual'!O51,0))+parametros_manuales!$F$26*('Plan mensual'!O48+IF(parametros_manuales!$H$26="Todos",'Plan mensual'!O52,0))+parametros_manuales!$G$26*('Plan mensual'!O49+IF(parametros_manuales!$H$26="Todos",'Plan mensual'!O53,0)))*parametros_manuales!$I$26*parametros_manuales!$J$26</f>
        <v>10322.415735169</v>
      </c>
      <c r="N121" s="14" t="n">
        <f aca="false">SUM(B121:M121)</f>
        <v>88193.2855279</v>
      </c>
      <c r="O121" s="14" t="n">
        <f aca="false">MAX(B121:M121)</f>
        <v>10322.415735169</v>
      </c>
      <c r="P121" s="57" t="n">
        <f aca="false">O121/(parametros_manuales!$B$7)</f>
        <v>68.8161049011267</v>
      </c>
      <c r="Q121" s="13" t="str">
        <f aca="false">IF(O121=0,"-",INDEX($B$113:$M$113,MATCH(O121,B121:M121,0)))</f>
        <v>Dic</v>
      </c>
    </row>
    <row r="122" customFormat="false" ht="14.25" hidden="false" customHeight="true" outlineLevel="0" collapsed="false">
      <c r="A122" s="13" t="str">
        <f aca="false">parametros_manuales!$B$27</f>
        <v>Soldadura longitudinal — 2,5 a 10 kg</v>
      </c>
      <c r="B122" s="14" t="n">
        <f aca="false">(parametros_manuales!$D$27*('Plan mensual'!D46+IF(parametros_manuales!$H$27="Todos",'Plan mensual'!D50,0))+parametros_manuales!$E$27*('Plan mensual'!D47+IF(parametros_manuales!$H$27="Todos",'Plan mensual'!D51,0))+parametros_manuales!$F$27*('Plan mensual'!D48+IF(parametros_manuales!$H$27="Todos",'Plan mensual'!D52,0))+parametros_manuales!$G$27*('Plan mensual'!D49+IF(parametros_manuales!$H$27="Todos",'Plan mensual'!D53,0)))*parametros_manuales!$I$27*parametros_manuales!$J$27</f>
        <v>2607.78528179</v>
      </c>
      <c r="C122" s="14" t="n">
        <f aca="false">(parametros_manuales!$D$27*('Plan mensual'!E46+IF(parametros_manuales!$H$27="Todos",'Plan mensual'!E50,0))+parametros_manuales!$E$27*('Plan mensual'!E47+IF(parametros_manuales!$H$27="Todos",'Plan mensual'!E51,0))+parametros_manuales!$F$27*('Plan mensual'!E48+IF(parametros_manuales!$H$27="Todos",'Plan mensual'!E52,0))+parametros_manuales!$G$27*('Plan mensual'!E49+IF(parametros_manuales!$H$27="Todos",'Plan mensual'!E53,0)))*parametros_manuales!$I$27*parametros_manuales!$J$27</f>
        <v>2086.228225432</v>
      </c>
      <c r="D122" s="14" t="n">
        <f aca="false">(parametros_manuales!$D$27*('Plan mensual'!F46+IF(parametros_manuales!$H$27="Todos",'Plan mensual'!F50,0))+parametros_manuales!$E$27*('Plan mensual'!F47+IF(parametros_manuales!$H$27="Todos",'Plan mensual'!F51,0))+parametros_manuales!$F$27*('Plan mensual'!F48+IF(parametros_manuales!$H$27="Todos",'Plan mensual'!F52,0))+parametros_manuales!$G$27*('Plan mensual'!F49+IF(parametros_manuales!$H$27="Todos",'Plan mensual'!F53,0)))*parametros_manuales!$I$27*parametros_manuales!$J$27</f>
        <v>2216.6174895215</v>
      </c>
      <c r="E122" s="14" t="n">
        <f aca="false">(parametros_manuales!$D$27*('Plan mensual'!G46+IF(parametros_manuales!$H$27="Todos",'Plan mensual'!G50,0))+parametros_manuales!$E$27*('Plan mensual'!G47+IF(parametros_manuales!$H$27="Todos",'Plan mensual'!G51,0))+parametros_manuales!$F$27*('Plan mensual'!G48+IF(parametros_manuales!$H$27="Todos",'Plan mensual'!G52,0))+parametros_manuales!$G$27*('Plan mensual'!G49+IF(parametros_manuales!$H$27="Todos",'Plan mensual'!G53,0)))*parametros_manuales!$I$27*parametros_manuales!$J$27</f>
        <v>2216.6174895215</v>
      </c>
      <c r="F122" s="14" t="n">
        <f aca="false">(parametros_manuales!$D$27*('Plan mensual'!H46+IF(parametros_manuales!$H$27="Todos",'Plan mensual'!H50,0))+parametros_manuales!$E$27*('Plan mensual'!H47+IF(parametros_manuales!$H$27="Todos",'Plan mensual'!H51,0))+parametros_manuales!$F$27*('Plan mensual'!H48+IF(parametros_manuales!$H$27="Todos",'Plan mensual'!H52,0))+parametros_manuales!$G$27*('Plan mensual'!H49+IF(parametros_manuales!$H$27="Todos",'Plan mensual'!H53,0)))*parametros_manuales!$I$27*parametros_manuales!$J$27</f>
        <v>2086.228225432</v>
      </c>
      <c r="G122" s="14" t="n">
        <f aca="false">(parametros_manuales!$D$27*('Plan mensual'!I46+IF(parametros_manuales!$H$27="Todos",'Plan mensual'!I50,0))+parametros_manuales!$E$27*('Plan mensual'!I47+IF(parametros_manuales!$H$27="Todos",'Plan mensual'!I51,0))+parametros_manuales!$F$27*('Plan mensual'!I48+IF(parametros_manuales!$H$27="Todos",'Plan mensual'!I52,0))+parametros_manuales!$G$27*('Plan mensual'!I49+IF(parametros_manuales!$H$27="Todos",'Plan mensual'!I53,0)))*parametros_manuales!$I$27*parametros_manuales!$J$27</f>
        <v>1955.8389613425</v>
      </c>
      <c r="H122" s="14" t="n">
        <f aca="false">(parametros_manuales!$D$27*('Plan mensual'!J46+IF(parametros_manuales!$H$27="Todos",'Plan mensual'!J50,0))+parametros_manuales!$E$27*('Plan mensual'!J47+IF(parametros_manuales!$H$27="Todos",'Plan mensual'!J51,0))+parametros_manuales!$F$27*('Plan mensual'!J48+IF(parametros_manuales!$H$27="Todos",'Plan mensual'!J52,0))+parametros_manuales!$G$27*('Plan mensual'!J49+IF(parametros_manuales!$H$27="Todos",'Plan mensual'!J53,0)))*parametros_manuales!$I$27*parametros_manuales!$J$27</f>
        <v>2086.228225432</v>
      </c>
      <c r="I122" s="14" t="n">
        <f aca="false">(parametros_manuales!$D$27*('Plan mensual'!K46+IF(parametros_manuales!$H$27="Todos",'Plan mensual'!K50,0))+parametros_manuales!$E$27*('Plan mensual'!K47+IF(parametros_manuales!$H$27="Todos",'Plan mensual'!K51,0))+parametros_manuales!$F$27*('Plan mensual'!K48+IF(parametros_manuales!$H$27="Todos",'Plan mensual'!K52,0))+parametros_manuales!$G$27*('Plan mensual'!K49+IF(parametros_manuales!$H$27="Todos",'Plan mensual'!K53,0)))*parametros_manuales!$I$27*parametros_manuales!$J$27</f>
        <v>2086.228225432</v>
      </c>
      <c r="J122" s="14" t="n">
        <f aca="false">(parametros_manuales!$D$27*('Plan mensual'!L46+IF(parametros_manuales!$H$27="Todos",'Plan mensual'!L50,0))+parametros_manuales!$E$27*('Plan mensual'!L47+IF(parametros_manuales!$H$27="Todos",'Plan mensual'!L51,0))+parametros_manuales!$F$27*('Plan mensual'!L48+IF(parametros_manuales!$H$27="Todos",'Plan mensual'!L52,0))+parametros_manuales!$G$27*('Plan mensual'!L49+IF(parametros_manuales!$H$27="Todos",'Plan mensual'!L53,0)))*parametros_manuales!$I$27*parametros_manuales!$J$27</f>
        <v>2086.228225432</v>
      </c>
      <c r="K122" s="14" t="n">
        <f aca="false">(parametros_manuales!$D$27*('Plan mensual'!M46+IF(parametros_manuales!$H$27="Todos",'Plan mensual'!M50,0))+parametros_manuales!$E$27*('Plan mensual'!M47+IF(parametros_manuales!$H$27="Todos",'Plan mensual'!M51,0))+parametros_manuales!$F$27*('Plan mensual'!M48+IF(parametros_manuales!$H$27="Todos",'Plan mensual'!M52,0))+parametros_manuales!$G$27*('Plan mensual'!M49+IF(parametros_manuales!$H$27="Todos",'Plan mensual'!M53,0)))*parametros_manuales!$I$27*parametros_manuales!$J$27</f>
        <v>1955.8389613425</v>
      </c>
      <c r="L122" s="14" t="n">
        <f aca="false">(parametros_manuales!$D$27*('Plan mensual'!N46+IF(parametros_manuales!$H$27="Todos",'Plan mensual'!N50,0))+parametros_manuales!$E$27*('Plan mensual'!N47+IF(parametros_manuales!$H$27="Todos",'Plan mensual'!N51,0))+parametros_manuales!$F$27*('Plan mensual'!N48+IF(parametros_manuales!$H$27="Todos",'Plan mensual'!N52,0))+parametros_manuales!$G$27*('Plan mensual'!N49+IF(parametros_manuales!$H$27="Todos",'Plan mensual'!N53,0)))*parametros_manuales!$I$27*parametros_manuales!$J$27</f>
        <v>1825.449697253</v>
      </c>
      <c r="M122" s="14" t="n">
        <f aca="false">(parametros_manuales!$D$27*('Plan mensual'!O46+IF(parametros_manuales!$H$27="Todos",'Plan mensual'!O50,0))+parametros_manuales!$E$27*('Plan mensual'!O47+IF(parametros_manuales!$H$27="Todos",'Plan mensual'!O51,0))+parametros_manuales!$F$27*('Plan mensual'!O48+IF(parametros_manuales!$H$27="Todos",'Plan mensual'!O52,0))+parametros_manuales!$G$27*('Plan mensual'!O49+IF(parametros_manuales!$H$27="Todos",'Plan mensual'!O53,0)))*parametros_manuales!$I$27*parametros_manuales!$J$27</f>
        <v>2868.563809969</v>
      </c>
      <c r="N122" s="14" t="n">
        <f aca="false">SUM(B122:M122)</f>
        <v>26077.8528179</v>
      </c>
      <c r="O122" s="14" t="n">
        <f aca="false">MAX(B122:M122)</f>
        <v>2868.563809969</v>
      </c>
      <c r="P122" s="57" t="n">
        <f aca="false">O122/(parametros_manuales!$B$7)</f>
        <v>19.1237587331267</v>
      </c>
      <c r="Q122" s="13" t="str">
        <f aca="false">IF(O122=0,"-",INDEX($B$113:$M$113,MATCH(O122,B122:M122,0)))</f>
        <v>Dic</v>
      </c>
    </row>
    <row r="123" customFormat="false" ht="14.25" hidden="false" customHeight="true" outlineLevel="0" collapsed="false">
      <c r="A123" s="13" t="str">
        <f aca="false">parametros_manuales!$B$28</f>
        <v>Soldadura longitudinal TIG — 1 kg</v>
      </c>
      <c r="B123" s="14" t="n">
        <f aca="false">(parametros_manuales!$D$28*('Plan mensual'!D46+IF(parametros_manuales!$H$28="Todos",'Plan mensual'!D50,0))+parametros_manuales!$E$28*('Plan mensual'!D47+IF(parametros_manuales!$H$28="Todos",'Plan mensual'!D51,0))+parametros_manuales!$F$28*('Plan mensual'!D48+IF(parametros_manuales!$H$28="Todos",'Plan mensual'!D52,0))+parametros_manuales!$G$28*('Plan mensual'!D49+IF(parametros_manuales!$H$28="Todos",'Plan mensual'!D53,0)))*parametros_manuales!$I$28*parametros_manuales!$J$28</f>
        <v>7453.8519252</v>
      </c>
      <c r="C123" s="14" t="n">
        <f aca="false">(parametros_manuales!$D$28*('Plan mensual'!E46+IF(parametros_manuales!$H$28="Todos",'Plan mensual'!E50,0))+parametros_manuales!$E$28*('Plan mensual'!E47+IF(parametros_manuales!$H$28="Todos",'Plan mensual'!E51,0))+parametros_manuales!$F$28*('Plan mensual'!E48+IF(parametros_manuales!$H$28="Todos",'Plan mensual'!E52,0))+parametros_manuales!$G$28*('Plan mensual'!E49+IF(parametros_manuales!$H$28="Todos",'Plan mensual'!E53,0)))*parametros_manuales!$I$28*parametros_manuales!$J$28</f>
        <v>5590.3889439</v>
      </c>
      <c r="D123" s="14" t="n">
        <f aca="false">(parametros_manuales!$D$28*('Plan mensual'!F46+IF(parametros_manuales!$H$28="Todos",'Plan mensual'!F50,0))+parametros_manuales!$E$28*('Plan mensual'!F47+IF(parametros_manuales!$H$28="Todos",'Plan mensual'!F51,0))+parametros_manuales!$F$28*('Plan mensual'!F48+IF(parametros_manuales!$H$28="Todos",'Plan mensual'!F52,0))+parametros_manuales!$G$28*('Plan mensual'!F49+IF(parametros_manuales!$H$28="Todos",'Plan mensual'!F53,0)))*parametros_manuales!$I$28*parametros_manuales!$J$28</f>
        <v>4969.2346168</v>
      </c>
      <c r="E123" s="14" t="n">
        <f aca="false">(parametros_manuales!$D$28*('Plan mensual'!G46+IF(parametros_manuales!$H$28="Todos",'Plan mensual'!G50,0))+parametros_manuales!$E$28*('Plan mensual'!G47+IF(parametros_manuales!$H$28="Todos",'Plan mensual'!G51,0))+parametros_manuales!$F$28*('Plan mensual'!G48+IF(parametros_manuales!$H$28="Todos",'Plan mensual'!G52,0))+parametros_manuales!$G$28*('Plan mensual'!G49+IF(parametros_manuales!$H$28="Todos",'Plan mensual'!G53,0)))*parametros_manuales!$I$28*parametros_manuales!$J$28</f>
        <v>4658.65745325</v>
      </c>
      <c r="F123" s="14" t="n">
        <f aca="false">(parametros_manuales!$D$28*('Plan mensual'!H46+IF(parametros_manuales!$H$28="Todos",'Plan mensual'!H50,0))+parametros_manuales!$E$28*('Plan mensual'!H47+IF(parametros_manuales!$H$28="Todos",'Plan mensual'!H51,0))+parametros_manuales!$F$28*('Plan mensual'!H48+IF(parametros_manuales!$H$28="Todos",'Plan mensual'!H52,0))+parametros_manuales!$G$28*('Plan mensual'!H49+IF(parametros_manuales!$H$28="Todos",'Plan mensual'!H53,0)))*parametros_manuales!$I$28*parametros_manuales!$J$28</f>
        <v>4348.0802897</v>
      </c>
      <c r="G123" s="14" t="n">
        <f aca="false">(parametros_manuales!$D$28*('Plan mensual'!I46+IF(parametros_manuales!$H$28="Todos",'Plan mensual'!I50,0))+parametros_manuales!$E$28*('Plan mensual'!I47+IF(parametros_manuales!$H$28="Todos",'Plan mensual'!I51,0))+parametros_manuales!$F$28*('Plan mensual'!I48+IF(parametros_manuales!$H$28="Todos",'Plan mensual'!I52,0))+parametros_manuales!$G$28*('Plan mensual'!I49+IF(parametros_manuales!$H$28="Todos",'Plan mensual'!I53,0)))*parametros_manuales!$I$28*parametros_manuales!$J$28</f>
        <v>4348.0802897</v>
      </c>
      <c r="H123" s="14" t="n">
        <f aca="false">(parametros_manuales!$D$28*('Plan mensual'!J46+IF(parametros_manuales!$H$28="Todos",'Plan mensual'!J50,0))+parametros_manuales!$E$28*('Plan mensual'!J47+IF(parametros_manuales!$H$28="Todos",'Plan mensual'!J51,0))+parametros_manuales!$F$28*('Plan mensual'!J48+IF(parametros_manuales!$H$28="Todos",'Plan mensual'!J52,0))+parametros_manuales!$G$28*('Plan mensual'!J49+IF(parametros_manuales!$H$28="Todos",'Plan mensual'!J53,0)))*parametros_manuales!$I$28*parametros_manuales!$J$28</f>
        <v>4658.65745325</v>
      </c>
      <c r="I123" s="14" t="n">
        <f aca="false">(parametros_manuales!$D$28*('Plan mensual'!K46+IF(parametros_manuales!$H$28="Todos",'Plan mensual'!K50,0))+parametros_manuales!$E$28*('Plan mensual'!K47+IF(parametros_manuales!$H$28="Todos",'Plan mensual'!K51,0))+parametros_manuales!$F$28*('Plan mensual'!K48+IF(parametros_manuales!$H$28="Todos",'Plan mensual'!K52,0))+parametros_manuales!$G$28*('Plan mensual'!K49+IF(parametros_manuales!$H$28="Todos",'Plan mensual'!K53,0)))*parametros_manuales!$I$28*parametros_manuales!$J$28</f>
        <v>4658.65745325</v>
      </c>
      <c r="J123" s="14" t="n">
        <f aca="false">(parametros_manuales!$D$28*('Plan mensual'!L46+IF(parametros_manuales!$H$28="Todos",'Plan mensual'!L50,0))+parametros_manuales!$E$28*('Plan mensual'!L47+IF(parametros_manuales!$H$28="Todos",'Plan mensual'!L51,0))+parametros_manuales!$F$28*('Plan mensual'!L48+IF(parametros_manuales!$H$28="Todos",'Plan mensual'!L52,0))+parametros_manuales!$G$28*('Plan mensual'!L49+IF(parametros_manuales!$H$28="Todos",'Plan mensual'!L53,0)))*parametros_manuales!$I$28*parametros_manuales!$J$28</f>
        <v>4658.65745325</v>
      </c>
      <c r="K123" s="14" t="n">
        <f aca="false">(parametros_manuales!$D$28*('Plan mensual'!M46+IF(parametros_manuales!$H$28="Todos",'Plan mensual'!M50,0))+parametros_manuales!$E$28*('Plan mensual'!M47+IF(parametros_manuales!$H$28="Todos",'Plan mensual'!M51,0))+parametros_manuales!$F$28*('Plan mensual'!M48+IF(parametros_manuales!$H$28="Todos",'Plan mensual'!M52,0))+parametros_manuales!$G$28*('Plan mensual'!M49+IF(parametros_manuales!$H$28="Todos",'Plan mensual'!M53,0)))*parametros_manuales!$I$28*parametros_manuales!$J$28</f>
        <v>4658.65745325</v>
      </c>
      <c r="L123" s="14" t="n">
        <f aca="false">(parametros_manuales!$D$28*('Plan mensual'!N46+IF(parametros_manuales!$H$28="Todos",'Plan mensual'!N50,0))+parametros_manuales!$E$28*('Plan mensual'!N47+IF(parametros_manuales!$H$28="Todos",'Plan mensual'!N51,0))+parametros_manuales!$F$28*('Plan mensual'!N48+IF(parametros_manuales!$H$28="Todos",'Plan mensual'!N52,0))+parametros_manuales!$G$28*('Plan mensual'!N49+IF(parametros_manuales!$H$28="Todos",'Plan mensual'!N53,0)))*parametros_manuales!$I$28*parametros_manuales!$J$28</f>
        <v>4658.65745325</v>
      </c>
      <c r="M123" s="14" t="n">
        <f aca="false">(parametros_manuales!$D$28*('Plan mensual'!O46+IF(parametros_manuales!$H$28="Todos",'Plan mensual'!O50,0))+parametros_manuales!$E$28*('Plan mensual'!O47+IF(parametros_manuales!$H$28="Todos",'Plan mensual'!O51,0))+parametros_manuales!$F$28*('Plan mensual'!O48+IF(parametros_manuales!$H$28="Todos",'Plan mensual'!O52,0))+parametros_manuales!$G$28*('Plan mensual'!O49+IF(parametros_manuales!$H$28="Todos",'Plan mensual'!O53,0)))*parametros_manuales!$I$28*parametros_manuales!$J$28</f>
        <v>7453.8519252</v>
      </c>
      <c r="N123" s="14" t="n">
        <f aca="false">SUM(B123:M123)</f>
        <v>62115.43271</v>
      </c>
      <c r="O123" s="14" t="n">
        <f aca="false">MAX(B123:M123)</f>
        <v>7453.8519252</v>
      </c>
      <c r="P123" s="57" t="n">
        <f aca="false">O123/(parametros_manuales!$B$7)</f>
        <v>49.692346168</v>
      </c>
      <c r="Q123" s="13" t="str">
        <f aca="false">IF(O123=0,"-",INDEX($B$113:$M$113,MATCH(O123,B123:M123,0)))</f>
        <v>Ene</v>
      </c>
    </row>
    <row r="124" customFormat="false" ht="14.25" hidden="false" customHeight="true" outlineLevel="0" collapsed="false">
      <c r="A124" s="13" t="str">
        <f aca="false">parametros_manuales!$B$29</f>
        <v>Encastre de fondo</v>
      </c>
      <c r="B124" s="14" t="n">
        <f aca="false">(parametros_manuales!$D$29*('Plan mensual'!D46+IF(parametros_manuales!$H$29="Todos",'Plan mensual'!D50,0))+parametros_manuales!$E$29*('Plan mensual'!D47+IF(parametros_manuales!$H$29="Todos",'Plan mensual'!D51,0))+parametros_manuales!$F$29*('Plan mensual'!D48+IF(parametros_manuales!$H$29="Todos",'Plan mensual'!D52,0))+parametros_manuales!$G$29*('Plan mensual'!D49+IF(parametros_manuales!$H$29="Todos",'Plan mensual'!D53,0)))*parametros_manuales!$I$29*parametros_manuales!$J$29</f>
        <v>10061.63720699</v>
      </c>
      <c r="C124" s="14" t="n">
        <f aca="false">(parametros_manuales!$D$29*('Plan mensual'!E46+IF(parametros_manuales!$H$29="Todos",'Plan mensual'!E50,0))+parametros_manuales!$E$29*('Plan mensual'!E47+IF(parametros_manuales!$H$29="Todos",'Plan mensual'!E51,0))+parametros_manuales!$F$29*('Plan mensual'!E48+IF(parametros_manuales!$H$29="Todos",'Plan mensual'!E52,0))+parametros_manuales!$G$29*('Plan mensual'!E49+IF(parametros_manuales!$H$29="Todos",'Plan mensual'!E53,0)))*parametros_manuales!$I$29*parametros_manuales!$J$29</f>
        <v>7676.617169332</v>
      </c>
      <c r="D124" s="14" t="n">
        <f aca="false">(parametros_manuales!$D$29*('Plan mensual'!F46+IF(parametros_manuales!$H$29="Todos",'Plan mensual'!F50,0))+parametros_manuales!$E$29*('Plan mensual'!F47+IF(parametros_manuales!$H$29="Todos",'Plan mensual'!F51,0))+parametros_manuales!$F$29*('Plan mensual'!F48+IF(parametros_manuales!$H$29="Todos",'Plan mensual'!F52,0))+parametros_manuales!$G$29*('Plan mensual'!F49+IF(parametros_manuales!$H$29="Todos",'Plan mensual'!F53,0)))*parametros_manuales!$I$29*parametros_manuales!$J$29</f>
        <v>7185.8521063215</v>
      </c>
      <c r="E124" s="14" t="n">
        <f aca="false">(parametros_manuales!$D$29*('Plan mensual'!G46+IF(parametros_manuales!$H$29="Todos",'Plan mensual'!G50,0))+parametros_manuales!$E$29*('Plan mensual'!G47+IF(parametros_manuales!$H$29="Todos",'Plan mensual'!G51,0))+parametros_manuales!$F$29*('Plan mensual'!G48+IF(parametros_manuales!$H$29="Todos",'Plan mensual'!G52,0))+parametros_manuales!$G$29*('Plan mensual'!G49+IF(parametros_manuales!$H$29="Todos",'Plan mensual'!G53,0)))*parametros_manuales!$I$29*parametros_manuales!$J$29</f>
        <v>6875.2749427715</v>
      </c>
      <c r="F124" s="14" t="n">
        <f aca="false">(parametros_manuales!$D$29*('Plan mensual'!H46+IF(parametros_manuales!$H$29="Todos",'Plan mensual'!H50,0))+parametros_manuales!$E$29*('Plan mensual'!H47+IF(parametros_manuales!$H$29="Todos",'Plan mensual'!H51,0))+parametros_manuales!$F$29*('Plan mensual'!H48+IF(parametros_manuales!$H$29="Todos",'Plan mensual'!H52,0))+parametros_manuales!$G$29*('Plan mensual'!H49+IF(parametros_manuales!$H$29="Todos",'Plan mensual'!H53,0)))*parametros_manuales!$I$29*parametros_manuales!$J$29</f>
        <v>6434.308515132</v>
      </c>
      <c r="G124" s="14" t="n">
        <f aca="false">(parametros_manuales!$D$29*('Plan mensual'!I46+IF(parametros_manuales!$H$29="Todos",'Plan mensual'!I50,0))+parametros_manuales!$E$29*('Plan mensual'!I47+IF(parametros_manuales!$H$29="Todos",'Plan mensual'!I51,0))+parametros_manuales!$F$29*('Plan mensual'!I48+IF(parametros_manuales!$H$29="Todos",'Plan mensual'!I52,0))+parametros_manuales!$G$29*('Plan mensual'!I49+IF(parametros_manuales!$H$29="Todos",'Plan mensual'!I53,0)))*parametros_manuales!$I$29*parametros_manuales!$J$29</f>
        <v>6303.9192510425</v>
      </c>
      <c r="H124" s="14" t="n">
        <f aca="false">(parametros_manuales!$D$29*('Plan mensual'!J46+IF(parametros_manuales!$H$29="Todos",'Plan mensual'!J50,0))+parametros_manuales!$E$29*('Plan mensual'!J47+IF(parametros_manuales!$H$29="Todos",'Plan mensual'!J51,0))+parametros_manuales!$F$29*('Plan mensual'!J48+IF(parametros_manuales!$H$29="Todos",'Plan mensual'!J52,0))+parametros_manuales!$G$29*('Plan mensual'!J49+IF(parametros_manuales!$H$29="Todos",'Plan mensual'!J53,0)))*parametros_manuales!$I$29*parametros_manuales!$J$29</f>
        <v>6744.885678682</v>
      </c>
      <c r="I124" s="14" t="n">
        <f aca="false">(parametros_manuales!$D$29*('Plan mensual'!K46+IF(parametros_manuales!$H$29="Todos",'Plan mensual'!K50,0))+parametros_manuales!$E$29*('Plan mensual'!K47+IF(parametros_manuales!$H$29="Todos",'Plan mensual'!K51,0))+parametros_manuales!$F$29*('Plan mensual'!K48+IF(parametros_manuales!$H$29="Todos",'Plan mensual'!K52,0))+parametros_manuales!$G$29*('Plan mensual'!K49+IF(parametros_manuales!$H$29="Todos",'Plan mensual'!K53,0)))*parametros_manuales!$I$29*parametros_manuales!$J$29</f>
        <v>6744.885678682</v>
      </c>
      <c r="J124" s="14" t="n">
        <f aca="false">(parametros_manuales!$D$29*('Plan mensual'!L46+IF(parametros_manuales!$H$29="Todos",'Plan mensual'!L50,0))+parametros_manuales!$E$29*('Plan mensual'!L47+IF(parametros_manuales!$H$29="Todos",'Plan mensual'!L51,0))+parametros_manuales!$F$29*('Plan mensual'!L48+IF(parametros_manuales!$H$29="Todos",'Plan mensual'!L52,0))+parametros_manuales!$G$29*('Plan mensual'!L49+IF(parametros_manuales!$H$29="Todos",'Plan mensual'!L53,0)))*parametros_manuales!$I$29*parametros_manuales!$J$29</f>
        <v>6744.885678682</v>
      </c>
      <c r="K124" s="14" t="n">
        <f aca="false">(parametros_manuales!$D$29*('Plan mensual'!M46+IF(parametros_manuales!$H$29="Todos",'Plan mensual'!M50,0))+parametros_manuales!$E$29*('Plan mensual'!M47+IF(parametros_manuales!$H$29="Todos",'Plan mensual'!M51,0))+parametros_manuales!$F$29*('Plan mensual'!M48+IF(parametros_manuales!$H$29="Todos",'Plan mensual'!M52,0))+parametros_manuales!$G$29*('Plan mensual'!M49+IF(parametros_manuales!$H$29="Todos",'Plan mensual'!M53,0)))*parametros_manuales!$I$29*parametros_manuales!$J$29</f>
        <v>6614.4964145925</v>
      </c>
      <c r="L124" s="14" t="n">
        <f aca="false">(parametros_manuales!$D$29*('Plan mensual'!N46+IF(parametros_manuales!$H$29="Todos",'Plan mensual'!N50,0))+parametros_manuales!$E$29*('Plan mensual'!N47+IF(parametros_manuales!$H$29="Todos",'Plan mensual'!N51,0))+parametros_manuales!$F$29*('Plan mensual'!N48+IF(parametros_manuales!$H$29="Todos",'Plan mensual'!N52,0))+parametros_manuales!$G$29*('Plan mensual'!N49+IF(parametros_manuales!$H$29="Todos",'Plan mensual'!N53,0)))*parametros_manuales!$I$29*parametros_manuales!$J$29</f>
        <v>6484.107150503</v>
      </c>
      <c r="M124" s="14" t="n">
        <f aca="false">(parametros_manuales!$D$29*('Plan mensual'!O46+IF(parametros_manuales!$H$29="Todos",'Plan mensual'!O50,0))+parametros_manuales!$E$29*('Plan mensual'!O47+IF(parametros_manuales!$H$29="Todos",'Plan mensual'!O51,0))+parametros_manuales!$F$29*('Plan mensual'!O48+IF(parametros_manuales!$H$29="Todos",'Plan mensual'!O52,0))+parametros_manuales!$G$29*('Plan mensual'!O49+IF(parametros_manuales!$H$29="Todos",'Plan mensual'!O53,0)))*parametros_manuales!$I$29*parametros_manuales!$J$29</f>
        <v>10322.415735169</v>
      </c>
      <c r="N124" s="14" t="n">
        <f aca="false">SUM(B124:M124)</f>
        <v>88193.2855279</v>
      </c>
      <c r="O124" s="14" t="n">
        <f aca="false">MAX(B124:M124)</f>
        <v>10322.415735169</v>
      </c>
      <c r="P124" s="57" t="n">
        <f aca="false">O124/(parametros_manuales!$B$7)</f>
        <v>68.8161049011267</v>
      </c>
      <c r="Q124" s="13" t="str">
        <f aca="false">IF(O124=0,"-",INDEX($B$113:$M$113,MATCH(O124,B124:M124,0)))</f>
        <v>Dic</v>
      </c>
    </row>
    <row r="125" customFormat="false" ht="14.25" hidden="false" customHeight="true" outlineLevel="0" collapsed="false">
      <c r="A125" s="13" t="str">
        <f aca="false">parametros_manuales!$B$30</f>
        <v>Bordoneado</v>
      </c>
      <c r="B125" s="14" t="n">
        <f aca="false">(parametros_manuales!$D$30*('Plan mensual'!D46+IF(parametros_manuales!$H$30="Todos",'Plan mensual'!D50,0))+parametros_manuales!$E$30*('Plan mensual'!D47+IF(parametros_manuales!$H$30="Todos",'Plan mensual'!D51,0))+parametros_manuales!$F$30*('Plan mensual'!D48+IF(parametros_manuales!$H$30="Todos",'Plan mensual'!D52,0))+parametros_manuales!$G$30*('Plan mensual'!D49+IF(parametros_manuales!$H$30="Todos",'Plan mensual'!D53,0)))*parametros_manuales!$I$30*parametros_manuales!$J$30</f>
        <v>10061.63720699</v>
      </c>
      <c r="C125" s="14" t="n">
        <f aca="false">(parametros_manuales!$D$30*('Plan mensual'!E46+IF(parametros_manuales!$H$30="Todos",'Plan mensual'!E50,0))+parametros_manuales!$E$30*('Plan mensual'!E47+IF(parametros_manuales!$H$30="Todos",'Plan mensual'!E51,0))+parametros_manuales!$F$30*('Plan mensual'!E48+IF(parametros_manuales!$H$30="Todos",'Plan mensual'!E52,0))+parametros_manuales!$G$30*('Plan mensual'!E49+IF(parametros_manuales!$H$30="Todos",'Plan mensual'!E53,0)))*parametros_manuales!$I$30*parametros_manuales!$J$30</f>
        <v>7676.617169332</v>
      </c>
      <c r="D125" s="14" t="n">
        <f aca="false">(parametros_manuales!$D$30*('Plan mensual'!F46+IF(parametros_manuales!$H$30="Todos",'Plan mensual'!F50,0))+parametros_manuales!$E$30*('Plan mensual'!F47+IF(parametros_manuales!$H$30="Todos",'Plan mensual'!F51,0))+parametros_manuales!$F$30*('Plan mensual'!F48+IF(parametros_manuales!$H$30="Todos",'Plan mensual'!F52,0))+parametros_manuales!$G$30*('Plan mensual'!F49+IF(parametros_manuales!$H$30="Todos",'Plan mensual'!F53,0)))*parametros_manuales!$I$30*parametros_manuales!$J$30</f>
        <v>7185.8521063215</v>
      </c>
      <c r="E125" s="14" t="n">
        <f aca="false">(parametros_manuales!$D$30*('Plan mensual'!G46+IF(parametros_manuales!$H$30="Todos",'Plan mensual'!G50,0))+parametros_manuales!$E$30*('Plan mensual'!G47+IF(parametros_manuales!$H$30="Todos",'Plan mensual'!G51,0))+parametros_manuales!$F$30*('Plan mensual'!G48+IF(parametros_manuales!$H$30="Todos",'Plan mensual'!G52,0))+parametros_manuales!$G$30*('Plan mensual'!G49+IF(parametros_manuales!$H$30="Todos",'Plan mensual'!G53,0)))*parametros_manuales!$I$30*parametros_manuales!$J$30</f>
        <v>6875.2749427715</v>
      </c>
      <c r="F125" s="14" t="n">
        <f aca="false">(parametros_manuales!$D$30*('Plan mensual'!H46+IF(parametros_manuales!$H$30="Todos",'Plan mensual'!H50,0))+parametros_manuales!$E$30*('Plan mensual'!H47+IF(parametros_manuales!$H$30="Todos",'Plan mensual'!H51,0))+parametros_manuales!$F$30*('Plan mensual'!H48+IF(parametros_manuales!$H$30="Todos",'Plan mensual'!H52,0))+parametros_manuales!$G$30*('Plan mensual'!H49+IF(parametros_manuales!$H$30="Todos",'Plan mensual'!H53,0)))*parametros_manuales!$I$30*parametros_manuales!$J$30</f>
        <v>6434.308515132</v>
      </c>
      <c r="G125" s="14" t="n">
        <f aca="false">(parametros_manuales!$D$30*('Plan mensual'!I46+IF(parametros_manuales!$H$30="Todos",'Plan mensual'!I50,0))+parametros_manuales!$E$30*('Plan mensual'!I47+IF(parametros_manuales!$H$30="Todos",'Plan mensual'!I51,0))+parametros_manuales!$F$30*('Plan mensual'!I48+IF(parametros_manuales!$H$30="Todos",'Plan mensual'!I52,0))+parametros_manuales!$G$30*('Plan mensual'!I49+IF(parametros_manuales!$H$30="Todos",'Plan mensual'!I53,0)))*parametros_manuales!$I$30*parametros_manuales!$J$30</f>
        <v>6303.9192510425</v>
      </c>
      <c r="H125" s="14" t="n">
        <f aca="false">(parametros_manuales!$D$30*('Plan mensual'!J46+IF(parametros_manuales!$H$30="Todos",'Plan mensual'!J50,0))+parametros_manuales!$E$30*('Plan mensual'!J47+IF(parametros_manuales!$H$30="Todos",'Plan mensual'!J51,0))+parametros_manuales!$F$30*('Plan mensual'!J48+IF(parametros_manuales!$H$30="Todos",'Plan mensual'!J52,0))+parametros_manuales!$G$30*('Plan mensual'!J49+IF(parametros_manuales!$H$30="Todos",'Plan mensual'!J53,0)))*parametros_manuales!$I$30*parametros_manuales!$J$30</f>
        <v>6744.885678682</v>
      </c>
      <c r="I125" s="14" t="n">
        <f aca="false">(parametros_manuales!$D$30*('Plan mensual'!K46+IF(parametros_manuales!$H$30="Todos",'Plan mensual'!K50,0))+parametros_manuales!$E$30*('Plan mensual'!K47+IF(parametros_manuales!$H$30="Todos",'Plan mensual'!K51,0))+parametros_manuales!$F$30*('Plan mensual'!K48+IF(parametros_manuales!$H$30="Todos",'Plan mensual'!K52,0))+parametros_manuales!$G$30*('Plan mensual'!K49+IF(parametros_manuales!$H$30="Todos",'Plan mensual'!K53,0)))*parametros_manuales!$I$30*parametros_manuales!$J$30</f>
        <v>6744.885678682</v>
      </c>
      <c r="J125" s="14" t="n">
        <f aca="false">(parametros_manuales!$D$30*('Plan mensual'!L46+IF(parametros_manuales!$H$30="Todos",'Plan mensual'!L50,0))+parametros_manuales!$E$30*('Plan mensual'!L47+IF(parametros_manuales!$H$30="Todos",'Plan mensual'!L51,0))+parametros_manuales!$F$30*('Plan mensual'!L48+IF(parametros_manuales!$H$30="Todos",'Plan mensual'!L52,0))+parametros_manuales!$G$30*('Plan mensual'!L49+IF(parametros_manuales!$H$30="Todos",'Plan mensual'!L53,0)))*parametros_manuales!$I$30*parametros_manuales!$J$30</f>
        <v>6744.885678682</v>
      </c>
      <c r="K125" s="14" t="n">
        <f aca="false">(parametros_manuales!$D$30*('Plan mensual'!M46+IF(parametros_manuales!$H$30="Todos",'Plan mensual'!M50,0))+parametros_manuales!$E$30*('Plan mensual'!M47+IF(parametros_manuales!$H$30="Todos",'Plan mensual'!M51,0))+parametros_manuales!$F$30*('Plan mensual'!M48+IF(parametros_manuales!$H$30="Todos",'Plan mensual'!M52,0))+parametros_manuales!$G$30*('Plan mensual'!M49+IF(parametros_manuales!$H$30="Todos",'Plan mensual'!M53,0)))*parametros_manuales!$I$30*parametros_manuales!$J$30</f>
        <v>6614.4964145925</v>
      </c>
      <c r="L125" s="14" t="n">
        <f aca="false">(parametros_manuales!$D$30*('Plan mensual'!N46+IF(parametros_manuales!$H$30="Todos",'Plan mensual'!N50,0))+parametros_manuales!$E$30*('Plan mensual'!N47+IF(parametros_manuales!$H$30="Todos",'Plan mensual'!N51,0))+parametros_manuales!$F$30*('Plan mensual'!N48+IF(parametros_manuales!$H$30="Todos",'Plan mensual'!N52,0))+parametros_manuales!$G$30*('Plan mensual'!N49+IF(parametros_manuales!$H$30="Todos",'Plan mensual'!N53,0)))*parametros_manuales!$I$30*parametros_manuales!$J$30</f>
        <v>6484.107150503</v>
      </c>
      <c r="M125" s="14" t="n">
        <f aca="false">(parametros_manuales!$D$30*('Plan mensual'!O46+IF(parametros_manuales!$H$30="Todos",'Plan mensual'!O50,0))+parametros_manuales!$E$30*('Plan mensual'!O47+IF(parametros_manuales!$H$30="Todos",'Plan mensual'!O51,0))+parametros_manuales!$F$30*('Plan mensual'!O48+IF(parametros_manuales!$H$30="Todos",'Plan mensual'!O52,0))+parametros_manuales!$G$30*('Plan mensual'!O49+IF(parametros_manuales!$H$30="Todos",'Plan mensual'!O53,0)))*parametros_manuales!$I$30*parametros_manuales!$J$30</f>
        <v>10322.415735169</v>
      </c>
      <c r="N125" s="14" t="n">
        <f aca="false">SUM(B125:M125)</f>
        <v>88193.2855279</v>
      </c>
      <c r="O125" s="14" t="n">
        <f aca="false">MAX(B125:M125)</f>
        <v>10322.415735169</v>
      </c>
      <c r="P125" s="57" t="n">
        <f aca="false">O125/(parametros_manuales!$B$7)</f>
        <v>68.8161049011267</v>
      </c>
      <c r="Q125" s="13" t="str">
        <f aca="false">IF(O125=0,"-",INDEX($B$113:$M$113,MATCH(O125,B125:M125,0)))</f>
        <v>Dic</v>
      </c>
    </row>
    <row r="126" customFormat="false" ht="14.25" hidden="false" customHeight="true" outlineLevel="0" collapsed="false">
      <c r="A126" s="13" t="str">
        <f aca="false">parametros_manuales!$B$31</f>
        <v>Soldadura circunferencial de cúpula y fondo</v>
      </c>
      <c r="B126" s="14" t="n">
        <f aca="false">(parametros_manuales!$D$31*('Plan mensual'!D46+IF(parametros_manuales!$H$31="Todos",'Plan mensual'!D50,0))+parametros_manuales!$E$31*('Plan mensual'!D47+IF(parametros_manuales!$H$31="Todos",'Plan mensual'!D51,0))+parametros_manuales!$F$31*('Plan mensual'!D48+IF(parametros_manuales!$H$31="Todos",'Plan mensual'!D52,0))+parametros_manuales!$G$31*('Plan mensual'!D49+IF(parametros_manuales!$H$31="Todos",'Plan mensual'!D53,0)))*parametros_manuales!$I$31*parametros_manuales!$J$31</f>
        <v>10061.63720699</v>
      </c>
      <c r="C126" s="14" t="n">
        <f aca="false">(parametros_manuales!$D$31*('Plan mensual'!E46+IF(parametros_manuales!$H$31="Todos",'Plan mensual'!E50,0))+parametros_manuales!$E$31*('Plan mensual'!E47+IF(parametros_manuales!$H$31="Todos",'Plan mensual'!E51,0))+parametros_manuales!$F$31*('Plan mensual'!E48+IF(parametros_manuales!$H$31="Todos",'Plan mensual'!E52,0))+parametros_manuales!$G$31*('Plan mensual'!E49+IF(parametros_manuales!$H$31="Todos",'Plan mensual'!E53,0)))*parametros_manuales!$I$31*parametros_manuales!$J$31</f>
        <v>7676.617169332</v>
      </c>
      <c r="D126" s="14" t="n">
        <f aca="false">(parametros_manuales!$D$31*('Plan mensual'!F46+IF(parametros_manuales!$H$31="Todos",'Plan mensual'!F50,0))+parametros_manuales!$E$31*('Plan mensual'!F47+IF(parametros_manuales!$H$31="Todos",'Plan mensual'!F51,0))+parametros_manuales!$F$31*('Plan mensual'!F48+IF(parametros_manuales!$H$31="Todos",'Plan mensual'!F52,0))+parametros_manuales!$G$31*('Plan mensual'!F49+IF(parametros_manuales!$H$31="Todos",'Plan mensual'!F53,0)))*parametros_manuales!$I$31*parametros_manuales!$J$31</f>
        <v>7185.8521063215</v>
      </c>
      <c r="E126" s="14" t="n">
        <f aca="false">(parametros_manuales!$D$31*('Plan mensual'!G46+IF(parametros_manuales!$H$31="Todos",'Plan mensual'!G50,0))+parametros_manuales!$E$31*('Plan mensual'!G47+IF(parametros_manuales!$H$31="Todos",'Plan mensual'!G51,0))+parametros_manuales!$F$31*('Plan mensual'!G48+IF(parametros_manuales!$H$31="Todos",'Plan mensual'!G52,0))+parametros_manuales!$G$31*('Plan mensual'!G49+IF(parametros_manuales!$H$31="Todos",'Plan mensual'!G53,0)))*parametros_manuales!$I$31*parametros_manuales!$J$31</f>
        <v>6875.2749427715</v>
      </c>
      <c r="F126" s="14" t="n">
        <f aca="false">(parametros_manuales!$D$31*('Plan mensual'!H46+IF(parametros_manuales!$H$31="Todos",'Plan mensual'!H50,0))+parametros_manuales!$E$31*('Plan mensual'!H47+IF(parametros_manuales!$H$31="Todos",'Plan mensual'!H51,0))+parametros_manuales!$F$31*('Plan mensual'!H48+IF(parametros_manuales!$H$31="Todos",'Plan mensual'!H52,0))+parametros_manuales!$G$31*('Plan mensual'!H49+IF(parametros_manuales!$H$31="Todos",'Plan mensual'!H53,0)))*parametros_manuales!$I$31*parametros_manuales!$J$31</f>
        <v>6434.308515132</v>
      </c>
      <c r="G126" s="14" t="n">
        <f aca="false">(parametros_manuales!$D$31*('Plan mensual'!I46+IF(parametros_manuales!$H$31="Todos",'Plan mensual'!I50,0))+parametros_manuales!$E$31*('Plan mensual'!I47+IF(parametros_manuales!$H$31="Todos",'Plan mensual'!I51,0))+parametros_manuales!$F$31*('Plan mensual'!I48+IF(parametros_manuales!$H$31="Todos",'Plan mensual'!I52,0))+parametros_manuales!$G$31*('Plan mensual'!I49+IF(parametros_manuales!$H$31="Todos",'Plan mensual'!I53,0)))*parametros_manuales!$I$31*parametros_manuales!$J$31</f>
        <v>6303.9192510425</v>
      </c>
      <c r="H126" s="14" t="n">
        <f aca="false">(parametros_manuales!$D$31*('Plan mensual'!J46+IF(parametros_manuales!$H$31="Todos",'Plan mensual'!J50,0))+parametros_manuales!$E$31*('Plan mensual'!J47+IF(parametros_manuales!$H$31="Todos",'Plan mensual'!J51,0))+parametros_manuales!$F$31*('Plan mensual'!J48+IF(parametros_manuales!$H$31="Todos",'Plan mensual'!J52,0))+parametros_manuales!$G$31*('Plan mensual'!J49+IF(parametros_manuales!$H$31="Todos",'Plan mensual'!J53,0)))*parametros_manuales!$I$31*parametros_manuales!$J$31</f>
        <v>6744.885678682</v>
      </c>
      <c r="I126" s="14" t="n">
        <f aca="false">(parametros_manuales!$D$31*('Plan mensual'!K46+IF(parametros_manuales!$H$31="Todos",'Plan mensual'!K50,0))+parametros_manuales!$E$31*('Plan mensual'!K47+IF(parametros_manuales!$H$31="Todos",'Plan mensual'!K51,0))+parametros_manuales!$F$31*('Plan mensual'!K48+IF(parametros_manuales!$H$31="Todos",'Plan mensual'!K52,0))+parametros_manuales!$G$31*('Plan mensual'!K49+IF(parametros_manuales!$H$31="Todos",'Plan mensual'!K53,0)))*parametros_manuales!$I$31*parametros_manuales!$J$31</f>
        <v>6744.885678682</v>
      </c>
      <c r="J126" s="14" t="n">
        <f aca="false">(parametros_manuales!$D$31*('Plan mensual'!L46+IF(parametros_manuales!$H$31="Todos",'Plan mensual'!L50,0))+parametros_manuales!$E$31*('Plan mensual'!L47+IF(parametros_manuales!$H$31="Todos",'Plan mensual'!L51,0))+parametros_manuales!$F$31*('Plan mensual'!L48+IF(parametros_manuales!$H$31="Todos",'Plan mensual'!L52,0))+parametros_manuales!$G$31*('Plan mensual'!L49+IF(parametros_manuales!$H$31="Todos",'Plan mensual'!L53,0)))*parametros_manuales!$I$31*parametros_manuales!$J$31</f>
        <v>6744.885678682</v>
      </c>
      <c r="K126" s="14" t="n">
        <f aca="false">(parametros_manuales!$D$31*('Plan mensual'!M46+IF(parametros_manuales!$H$31="Todos",'Plan mensual'!M50,0))+parametros_manuales!$E$31*('Plan mensual'!M47+IF(parametros_manuales!$H$31="Todos",'Plan mensual'!M51,0))+parametros_manuales!$F$31*('Plan mensual'!M48+IF(parametros_manuales!$H$31="Todos",'Plan mensual'!M52,0))+parametros_manuales!$G$31*('Plan mensual'!M49+IF(parametros_manuales!$H$31="Todos",'Plan mensual'!M53,0)))*parametros_manuales!$I$31*parametros_manuales!$J$31</f>
        <v>6614.4964145925</v>
      </c>
      <c r="L126" s="14" t="n">
        <f aca="false">(parametros_manuales!$D$31*('Plan mensual'!N46+IF(parametros_manuales!$H$31="Todos",'Plan mensual'!N50,0))+parametros_manuales!$E$31*('Plan mensual'!N47+IF(parametros_manuales!$H$31="Todos",'Plan mensual'!N51,0))+parametros_manuales!$F$31*('Plan mensual'!N48+IF(parametros_manuales!$H$31="Todos",'Plan mensual'!N52,0))+parametros_manuales!$G$31*('Plan mensual'!N49+IF(parametros_manuales!$H$31="Todos",'Plan mensual'!N53,0)))*parametros_manuales!$I$31*parametros_manuales!$J$31</f>
        <v>6484.107150503</v>
      </c>
      <c r="M126" s="14" t="n">
        <f aca="false">(parametros_manuales!$D$31*('Plan mensual'!O46+IF(parametros_manuales!$H$31="Todos",'Plan mensual'!O50,0))+parametros_manuales!$E$31*('Plan mensual'!O47+IF(parametros_manuales!$H$31="Todos",'Plan mensual'!O51,0))+parametros_manuales!$F$31*('Plan mensual'!O48+IF(parametros_manuales!$H$31="Todos",'Plan mensual'!O52,0))+parametros_manuales!$G$31*('Plan mensual'!O49+IF(parametros_manuales!$H$31="Todos",'Plan mensual'!O53,0)))*parametros_manuales!$I$31*parametros_manuales!$J$31</f>
        <v>10322.415735169</v>
      </c>
      <c r="N126" s="14" t="n">
        <f aca="false">SUM(B126:M126)</f>
        <v>88193.2855279</v>
      </c>
      <c r="O126" s="14" t="n">
        <f aca="false">MAX(B126:M126)</f>
        <v>10322.415735169</v>
      </c>
      <c r="P126" s="57" t="n">
        <f aca="false">O126/(parametros_manuales!$B$7)</f>
        <v>68.8161049011267</v>
      </c>
      <c r="Q126" s="13" t="str">
        <f aca="false">IF(O126=0,"-",INDEX($B$113:$M$113,MATCH(O126,B126:M126,0)))</f>
        <v>Dic</v>
      </c>
    </row>
    <row r="127" customFormat="false" ht="14.25" hidden="false" customHeight="true" outlineLevel="0" collapsed="false">
      <c r="A127" s="13" t="str">
        <f aca="false">parametros_manuales!$B$32</f>
        <v>Control de calidad — Espesor</v>
      </c>
      <c r="B127" s="14" t="n">
        <f aca="false">(parametros_manuales!$D$32*('Plan mensual'!D46+IF(parametros_manuales!$H$32="Todos",'Plan mensual'!D50,0))+parametros_manuales!$E$32*('Plan mensual'!D47+IF(parametros_manuales!$H$32="Todos",'Plan mensual'!D51,0))+parametros_manuales!$F$32*('Plan mensual'!D48+IF(parametros_manuales!$H$32="Todos",'Plan mensual'!D52,0))+parametros_manuales!$G$32*('Plan mensual'!D49+IF(parametros_manuales!$H$32="Todos",'Plan mensual'!D53,0)))*parametros_manuales!$I$32*parametros_manuales!$J$32</f>
        <v>201.2327441398</v>
      </c>
      <c r="C127" s="14" t="n">
        <f aca="false">(parametros_manuales!$D$32*('Plan mensual'!E46+IF(parametros_manuales!$H$32="Todos",'Plan mensual'!E50,0))+parametros_manuales!$E$32*('Plan mensual'!E47+IF(parametros_manuales!$H$32="Todos",'Plan mensual'!E51,0))+parametros_manuales!$F$32*('Plan mensual'!E48+IF(parametros_manuales!$H$32="Todos",'Plan mensual'!E52,0))+parametros_manuales!$G$32*('Plan mensual'!E49+IF(parametros_manuales!$H$32="Todos",'Plan mensual'!E53,0)))*parametros_manuales!$I$32*parametros_manuales!$J$32</f>
        <v>153.53234338664</v>
      </c>
      <c r="D127" s="14" t="n">
        <f aca="false">(parametros_manuales!$D$32*('Plan mensual'!F46+IF(parametros_manuales!$H$32="Todos",'Plan mensual'!F50,0))+parametros_manuales!$E$32*('Plan mensual'!F47+IF(parametros_manuales!$H$32="Todos",'Plan mensual'!F51,0))+parametros_manuales!$F$32*('Plan mensual'!F48+IF(parametros_manuales!$H$32="Todos",'Plan mensual'!F52,0))+parametros_manuales!$G$32*('Plan mensual'!F49+IF(parametros_manuales!$H$32="Todos",'Plan mensual'!F53,0)))*parametros_manuales!$I$32*parametros_manuales!$J$32</f>
        <v>143.71704212643</v>
      </c>
      <c r="E127" s="14" t="n">
        <f aca="false">(parametros_manuales!$D$32*('Plan mensual'!G46+IF(parametros_manuales!$H$32="Todos",'Plan mensual'!G50,0))+parametros_manuales!$E$32*('Plan mensual'!G47+IF(parametros_manuales!$H$32="Todos",'Plan mensual'!G51,0))+parametros_manuales!$F$32*('Plan mensual'!G48+IF(parametros_manuales!$H$32="Todos",'Plan mensual'!G52,0))+parametros_manuales!$G$32*('Plan mensual'!G49+IF(parametros_manuales!$H$32="Todos",'Plan mensual'!G53,0)))*parametros_manuales!$I$32*parametros_manuales!$J$32</f>
        <v>137.50549885543</v>
      </c>
      <c r="F127" s="14" t="n">
        <f aca="false">(parametros_manuales!$D$32*('Plan mensual'!H46+IF(parametros_manuales!$H$32="Todos",'Plan mensual'!H50,0))+parametros_manuales!$E$32*('Plan mensual'!H47+IF(parametros_manuales!$H$32="Todos",'Plan mensual'!H51,0))+parametros_manuales!$F$32*('Plan mensual'!H48+IF(parametros_manuales!$H$32="Todos",'Plan mensual'!H52,0))+parametros_manuales!$G$32*('Plan mensual'!H49+IF(parametros_manuales!$H$32="Todos",'Plan mensual'!H53,0)))*parametros_manuales!$I$32*parametros_manuales!$J$32</f>
        <v>128.68617030264</v>
      </c>
      <c r="G127" s="14" t="n">
        <f aca="false">(parametros_manuales!$D$32*('Plan mensual'!I46+IF(parametros_manuales!$H$32="Todos",'Plan mensual'!I50,0))+parametros_manuales!$E$32*('Plan mensual'!I47+IF(parametros_manuales!$H$32="Todos",'Plan mensual'!I51,0))+parametros_manuales!$F$32*('Plan mensual'!I48+IF(parametros_manuales!$H$32="Todos",'Plan mensual'!I52,0))+parametros_manuales!$G$32*('Plan mensual'!I49+IF(parametros_manuales!$H$32="Todos",'Plan mensual'!I53,0)))*parametros_manuales!$I$32*parametros_manuales!$J$32</f>
        <v>126.07838502085</v>
      </c>
      <c r="H127" s="14" t="n">
        <f aca="false">(parametros_manuales!$D$32*('Plan mensual'!J46+IF(parametros_manuales!$H$32="Todos",'Plan mensual'!J50,0))+parametros_manuales!$E$32*('Plan mensual'!J47+IF(parametros_manuales!$H$32="Todos",'Plan mensual'!J51,0))+parametros_manuales!$F$32*('Plan mensual'!J48+IF(parametros_manuales!$H$32="Todos",'Plan mensual'!J52,0))+parametros_manuales!$G$32*('Plan mensual'!J49+IF(parametros_manuales!$H$32="Todos",'Plan mensual'!J53,0)))*parametros_manuales!$I$32*parametros_manuales!$J$32</f>
        <v>134.89771357364</v>
      </c>
      <c r="I127" s="14" t="n">
        <f aca="false">(parametros_manuales!$D$32*('Plan mensual'!K46+IF(parametros_manuales!$H$32="Todos",'Plan mensual'!K50,0))+parametros_manuales!$E$32*('Plan mensual'!K47+IF(parametros_manuales!$H$32="Todos",'Plan mensual'!K51,0))+parametros_manuales!$F$32*('Plan mensual'!K48+IF(parametros_manuales!$H$32="Todos",'Plan mensual'!K52,0))+parametros_manuales!$G$32*('Plan mensual'!K49+IF(parametros_manuales!$H$32="Todos",'Plan mensual'!K53,0)))*parametros_manuales!$I$32*parametros_manuales!$J$32</f>
        <v>134.89771357364</v>
      </c>
      <c r="J127" s="14" t="n">
        <f aca="false">(parametros_manuales!$D$32*('Plan mensual'!L46+IF(parametros_manuales!$H$32="Todos",'Plan mensual'!L50,0))+parametros_manuales!$E$32*('Plan mensual'!L47+IF(parametros_manuales!$H$32="Todos",'Plan mensual'!L51,0))+parametros_manuales!$F$32*('Plan mensual'!L48+IF(parametros_manuales!$H$32="Todos",'Plan mensual'!L52,0))+parametros_manuales!$G$32*('Plan mensual'!L49+IF(parametros_manuales!$H$32="Todos",'Plan mensual'!L53,0)))*parametros_manuales!$I$32*parametros_manuales!$J$32</f>
        <v>134.89771357364</v>
      </c>
      <c r="K127" s="14" t="n">
        <f aca="false">(parametros_manuales!$D$32*('Plan mensual'!M46+IF(parametros_manuales!$H$32="Todos",'Plan mensual'!M50,0))+parametros_manuales!$E$32*('Plan mensual'!M47+IF(parametros_manuales!$H$32="Todos",'Plan mensual'!M51,0))+parametros_manuales!$F$32*('Plan mensual'!M48+IF(parametros_manuales!$H$32="Todos",'Plan mensual'!M52,0))+parametros_manuales!$G$32*('Plan mensual'!M49+IF(parametros_manuales!$H$32="Todos",'Plan mensual'!M53,0)))*parametros_manuales!$I$32*parametros_manuales!$J$32</f>
        <v>132.28992829185</v>
      </c>
      <c r="L127" s="14" t="n">
        <f aca="false">(parametros_manuales!$D$32*('Plan mensual'!N46+IF(parametros_manuales!$H$32="Todos",'Plan mensual'!N50,0))+parametros_manuales!$E$32*('Plan mensual'!N47+IF(parametros_manuales!$H$32="Todos",'Plan mensual'!N51,0))+parametros_manuales!$F$32*('Plan mensual'!N48+IF(parametros_manuales!$H$32="Todos",'Plan mensual'!N52,0))+parametros_manuales!$G$32*('Plan mensual'!N49+IF(parametros_manuales!$H$32="Todos",'Plan mensual'!N53,0)))*parametros_manuales!$I$32*parametros_manuales!$J$32</f>
        <v>129.68214301006</v>
      </c>
      <c r="M127" s="14" t="n">
        <f aca="false">(parametros_manuales!$D$32*('Plan mensual'!O46+IF(parametros_manuales!$H$32="Todos",'Plan mensual'!O50,0))+parametros_manuales!$E$32*('Plan mensual'!O47+IF(parametros_manuales!$H$32="Todos",'Plan mensual'!O51,0))+parametros_manuales!$F$32*('Plan mensual'!O48+IF(parametros_manuales!$H$32="Todos",'Plan mensual'!O52,0))+parametros_manuales!$G$32*('Plan mensual'!O49+IF(parametros_manuales!$H$32="Todos",'Plan mensual'!O53,0)))*parametros_manuales!$I$32*parametros_manuales!$J$32</f>
        <v>206.44831470338</v>
      </c>
      <c r="N127" s="14" t="n">
        <f aca="false">SUM(B127:M127)</f>
        <v>1763.865710558</v>
      </c>
      <c r="O127" s="14" t="n">
        <f aca="false">MAX(B127:M127)</f>
        <v>206.44831470338</v>
      </c>
      <c r="P127" s="57" t="n">
        <f aca="false">O127/(parametros_manuales!$B$7)</f>
        <v>1.37632209802253</v>
      </c>
      <c r="Q127" s="13" t="str">
        <f aca="false">IF(O127=0,"-",INDEX($B$113:$M$113,MATCH(O127,B127:M127,0)))</f>
        <v>Dic</v>
      </c>
    </row>
    <row r="128" customFormat="false" ht="14.25" hidden="false" customHeight="true" outlineLevel="0" collapsed="false">
      <c r="A128" s="13" t="str">
        <f aca="false">parametros_manuales!$B$33</f>
        <v>Prueba hidráulica</v>
      </c>
      <c r="B128" s="14" t="n">
        <f aca="false">(parametros_manuales!$D$33*('Plan mensual'!D46+IF(parametros_manuales!$H$33="Todos",'Plan mensual'!D50,0))+parametros_manuales!$E$33*('Plan mensual'!D47+IF(parametros_manuales!$H$33="Todos",'Plan mensual'!D51,0))+parametros_manuales!$F$33*('Plan mensual'!D48+IF(parametros_manuales!$H$33="Todos",'Plan mensual'!D52,0))+parametros_manuales!$G$33*('Plan mensual'!D49+IF(parametros_manuales!$H$33="Todos",'Plan mensual'!D53,0)))*parametros_manuales!$I$33*parametros_manuales!$J$33</f>
        <v>10061.63720699</v>
      </c>
      <c r="C128" s="14" t="n">
        <f aca="false">(parametros_manuales!$D$33*('Plan mensual'!E46+IF(parametros_manuales!$H$33="Todos",'Plan mensual'!E50,0))+parametros_manuales!$E$33*('Plan mensual'!E47+IF(parametros_manuales!$H$33="Todos",'Plan mensual'!E51,0))+parametros_manuales!$F$33*('Plan mensual'!E48+IF(parametros_manuales!$H$33="Todos",'Plan mensual'!E52,0))+parametros_manuales!$G$33*('Plan mensual'!E49+IF(parametros_manuales!$H$33="Todos",'Plan mensual'!E53,0)))*parametros_manuales!$I$33*parametros_manuales!$J$33</f>
        <v>7676.617169332</v>
      </c>
      <c r="D128" s="14" t="n">
        <f aca="false">(parametros_manuales!$D$33*('Plan mensual'!F46+IF(parametros_manuales!$H$33="Todos",'Plan mensual'!F50,0))+parametros_manuales!$E$33*('Plan mensual'!F47+IF(parametros_manuales!$H$33="Todos",'Plan mensual'!F51,0))+parametros_manuales!$F$33*('Plan mensual'!F48+IF(parametros_manuales!$H$33="Todos",'Plan mensual'!F52,0))+parametros_manuales!$G$33*('Plan mensual'!F49+IF(parametros_manuales!$H$33="Todos",'Plan mensual'!F53,0)))*parametros_manuales!$I$33*parametros_manuales!$J$33</f>
        <v>7185.8521063215</v>
      </c>
      <c r="E128" s="14" t="n">
        <f aca="false">(parametros_manuales!$D$33*('Plan mensual'!G46+IF(parametros_manuales!$H$33="Todos",'Plan mensual'!G50,0))+parametros_manuales!$E$33*('Plan mensual'!G47+IF(parametros_manuales!$H$33="Todos",'Plan mensual'!G51,0))+parametros_manuales!$F$33*('Plan mensual'!G48+IF(parametros_manuales!$H$33="Todos",'Plan mensual'!G52,0))+parametros_manuales!$G$33*('Plan mensual'!G49+IF(parametros_manuales!$H$33="Todos",'Plan mensual'!G53,0)))*parametros_manuales!$I$33*parametros_manuales!$J$33</f>
        <v>6875.2749427715</v>
      </c>
      <c r="F128" s="14" t="n">
        <f aca="false">(parametros_manuales!$D$33*('Plan mensual'!H46+IF(parametros_manuales!$H$33="Todos",'Plan mensual'!H50,0))+parametros_manuales!$E$33*('Plan mensual'!H47+IF(parametros_manuales!$H$33="Todos",'Plan mensual'!H51,0))+parametros_manuales!$F$33*('Plan mensual'!H48+IF(parametros_manuales!$H$33="Todos",'Plan mensual'!H52,0))+parametros_manuales!$G$33*('Plan mensual'!H49+IF(parametros_manuales!$H$33="Todos",'Plan mensual'!H53,0)))*parametros_manuales!$I$33*parametros_manuales!$J$33</f>
        <v>6434.308515132</v>
      </c>
      <c r="G128" s="14" t="n">
        <f aca="false">(parametros_manuales!$D$33*('Plan mensual'!I46+IF(parametros_manuales!$H$33="Todos",'Plan mensual'!I50,0))+parametros_manuales!$E$33*('Plan mensual'!I47+IF(parametros_manuales!$H$33="Todos",'Plan mensual'!I51,0))+parametros_manuales!$F$33*('Plan mensual'!I48+IF(parametros_manuales!$H$33="Todos",'Plan mensual'!I52,0))+parametros_manuales!$G$33*('Plan mensual'!I49+IF(parametros_manuales!$H$33="Todos",'Plan mensual'!I53,0)))*parametros_manuales!$I$33*parametros_manuales!$J$33</f>
        <v>6303.9192510425</v>
      </c>
      <c r="H128" s="14" t="n">
        <f aca="false">(parametros_manuales!$D$33*('Plan mensual'!J46+IF(parametros_manuales!$H$33="Todos",'Plan mensual'!J50,0))+parametros_manuales!$E$33*('Plan mensual'!J47+IF(parametros_manuales!$H$33="Todos",'Plan mensual'!J51,0))+parametros_manuales!$F$33*('Plan mensual'!J48+IF(parametros_manuales!$H$33="Todos",'Plan mensual'!J52,0))+parametros_manuales!$G$33*('Plan mensual'!J49+IF(parametros_manuales!$H$33="Todos",'Plan mensual'!J53,0)))*parametros_manuales!$I$33*parametros_manuales!$J$33</f>
        <v>6744.885678682</v>
      </c>
      <c r="I128" s="14" t="n">
        <f aca="false">(parametros_manuales!$D$33*('Plan mensual'!K46+IF(parametros_manuales!$H$33="Todos",'Plan mensual'!K50,0))+parametros_manuales!$E$33*('Plan mensual'!K47+IF(parametros_manuales!$H$33="Todos",'Plan mensual'!K51,0))+parametros_manuales!$F$33*('Plan mensual'!K48+IF(parametros_manuales!$H$33="Todos",'Plan mensual'!K52,0))+parametros_manuales!$G$33*('Plan mensual'!K49+IF(parametros_manuales!$H$33="Todos",'Plan mensual'!K53,0)))*parametros_manuales!$I$33*parametros_manuales!$J$33</f>
        <v>6744.885678682</v>
      </c>
      <c r="J128" s="14" t="n">
        <f aca="false">(parametros_manuales!$D$33*('Plan mensual'!L46+IF(parametros_manuales!$H$33="Todos",'Plan mensual'!L50,0))+parametros_manuales!$E$33*('Plan mensual'!L47+IF(parametros_manuales!$H$33="Todos",'Plan mensual'!L51,0))+parametros_manuales!$F$33*('Plan mensual'!L48+IF(parametros_manuales!$H$33="Todos",'Plan mensual'!L52,0))+parametros_manuales!$G$33*('Plan mensual'!L49+IF(parametros_manuales!$H$33="Todos",'Plan mensual'!L53,0)))*parametros_manuales!$I$33*parametros_manuales!$J$33</f>
        <v>6744.885678682</v>
      </c>
      <c r="K128" s="14" t="n">
        <f aca="false">(parametros_manuales!$D$33*('Plan mensual'!M46+IF(parametros_manuales!$H$33="Todos",'Plan mensual'!M50,0))+parametros_manuales!$E$33*('Plan mensual'!M47+IF(parametros_manuales!$H$33="Todos",'Plan mensual'!M51,0))+parametros_manuales!$F$33*('Plan mensual'!M48+IF(parametros_manuales!$H$33="Todos",'Plan mensual'!M52,0))+parametros_manuales!$G$33*('Plan mensual'!M49+IF(parametros_manuales!$H$33="Todos",'Plan mensual'!M53,0)))*parametros_manuales!$I$33*parametros_manuales!$J$33</f>
        <v>6614.4964145925</v>
      </c>
      <c r="L128" s="14" t="n">
        <f aca="false">(parametros_manuales!$D$33*('Plan mensual'!N46+IF(parametros_manuales!$H$33="Todos",'Plan mensual'!N50,0))+parametros_manuales!$E$33*('Plan mensual'!N47+IF(parametros_manuales!$H$33="Todos",'Plan mensual'!N51,0))+parametros_manuales!$F$33*('Plan mensual'!N48+IF(parametros_manuales!$H$33="Todos",'Plan mensual'!N52,0))+parametros_manuales!$G$33*('Plan mensual'!N49+IF(parametros_manuales!$H$33="Todos",'Plan mensual'!N53,0)))*parametros_manuales!$I$33*parametros_manuales!$J$33</f>
        <v>6484.107150503</v>
      </c>
      <c r="M128" s="14" t="n">
        <f aca="false">(parametros_manuales!$D$33*('Plan mensual'!O46+IF(parametros_manuales!$H$33="Todos",'Plan mensual'!O50,0))+parametros_manuales!$E$33*('Plan mensual'!O47+IF(parametros_manuales!$H$33="Todos",'Plan mensual'!O51,0))+parametros_manuales!$F$33*('Plan mensual'!O48+IF(parametros_manuales!$H$33="Todos",'Plan mensual'!O52,0))+parametros_manuales!$G$33*('Plan mensual'!O49+IF(parametros_manuales!$H$33="Todos",'Plan mensual'!O53,0)))*parametros_manuales!$I$33*parametros_manuales!$J$33</f>
        <v>10322.415735169</v>
      </c>
      <c r="N128" s="14" t="n">
        <f aca="false">SUM(B128:M128)</f>
        <v>88193.2855279</v>
      </c>
      <c r="O128" s="14" t="n">
        <f aca="false">MAX(B128:M128)</f>
        <v>10322.415735169</v>
      </c>
      <c r="P128" s="57" t="n">
        <f aca="false">O128/(parametros_manuales!$B$7)</f>
        <v>68.8161049011267</v>
      </c>
      <c r="Q128" s="13" t="str">
        <f aca="false">IF(O128=0,"-",INDEX($B$113:$M$113,MATCH(O128,B128:M128,0)))</f>
        <v>Dic</v>
      </c>
    </row>
    <row r="129" customFormat="false" ht="14.25" hidden="false" customHeight="true" outlineLevel="0" collapsed="false">
      <c r="A129" s="13" t="str">
        <f aca="false">parametros_manuales!$B$34</f>
        <v>Secado</v>
      </c>
      <c r="B129" s="14" t="n">
        <f aca="false">(parametros_manuales!$D$34*('Plan mensual'!D46+IF(parametros_manuales!$H$34="Todos",'Plan mensual'!D50,0))+parametros_manuales!$E$34*('Plan mensual'!D47+IF(parametros_manuales!$H$34="Todos",'Plan mensual'!D51,0))+parametros_manuales!$F$34*('Plan mensual'!D48+IF(parametros_manuales!$H$34="Todos",'Plan mensual'!D52,0))+parametros_manuales!$G$34*('Plan mensual'!D49+IF(parametros_manuales!$H$34="Todos",'Plan mensual'!D53,0)))*parametros_manuales!$I$34*parametros_manuales!$J$34</f>
        <v>10061.63720699</v>
      </c>
      <c r="C129" s="14" t="n">
        <f aca="false">(parametros_manuales!$D$34*('Plan mensual'!E46+IF(parametros_manuales!$H$34="Todos",'Plan mensual'!E50,0))+parametros_manuales!$E$34*('Plan mensual'!E47+IF(parametros_manuales!$H$34="Todos",'Plan mensual'!E51,0))+parametros_manuales!$F$34*('Plan mensual'!E48+IF(parametros_manuales!$H$34="Todos",'Plan mensual'!E52,0))+parametros_manuales!$G$34*('Plan mensual'!E49+IF(parametros_manuales!$H$34="Todos",'Plan mensual'!E53,0)))*parametros_manuales!$I$34*parametros_manuales!$J$34</f>
        <v>7676.617169332</v>
      </c>
      <c r="D129" s="14" t="n">
        <f aca="false">(parametros_manuales!$D$34*('Plan mensual'!F46+IF(parametros_manuales!$H$34="Todos",'Plan mensual'!F50,0))+parametros_manuales!$E$34*('Plan mensual'!F47+IF(parametros_manuales!$H$34="Todos",'Plan mensual'!F51,0))+parametros_manuales!$F$34*('Plan mensual'!F48+IF(parametros_manuales!$H$34="Todos",'Plan mensual'!F52,0))+parametros_manuales!$G$34*('Plan mensual'!F49+IF(parametros_manuales!$H$34="Todos",'Plan mensual'!F53,0)))*parametros_manuales!$I$34*parametros_manuales!$J$34</f>
        <v>7185.8521063215</v>
      </c>
      <c r="E129" s="14" t="n">
        <f aca="false">(parametros_manuales!$D$34*('Plan mensual'!G46+IF(parametros_manuales!$H$34="Todos",'Plan mensual'!G50,0))+parametros_manuales!$E$34*('Plan mensual'!G47+IF(parametros_manuales!$H$34="Todos",'Plan mensual'!G51,0))+parametros_manuales!$F$34*('Plan mensual'!G48+IF(parametros_manuales!$H$34="Todos",'Plan mensual'!G52,0))+parametros_manuales!$G$34*('Plan mensual'!G49+IF(parametros_manuales!$H$34="Todos",'Plan mensual'!G53,0)))*parametros_manuales!$I$34*parametros_manuales!$J$34</f>
        <v>6875.2749427715</v>
      </c>
      <c r="F129" s="14" t="n">
        <f aca="false">(parametros_manuales!$D$34*('Plan mensual'!H46+IF(parametros_manuales!$H$34="Todos",'Plan mensual'!H50,0))+parametros_manuales!$E$34*('Plan mensual'!H47+IF(parametros_manuales!$H$34="Todos",'Plan mensual'!H51,0))+parametros_manuales!$F$34*('Plan mensual'!H48+IF(parametros_manuales!$H$34="Todos",'Plan mensual'!H52,0))+parametros_manuales!$G$34*('Plan mensual'!H49+IF(parametros_manuales!$H$34="Todos",'Plan mensual'!H53,0)))*parametros_manuales!$I$34*parametros_manuales!$J$34</f>
        <v>6434.308515132</v>
      </c>
      <c r="G129" s="14" t="n">
        <f aca="false">(parametros_manuales!$D$34*('Plan mensual'!I46+IF(parametros_manuales!$H$34="Todos",'Plan mensual'!I50,0))+parametros_manuales!$E$34*('Plan mensual'!I47+IF(parametros_manuales!$H$34="Todos",'Plan mensual'!I51,0))+parametros_manuales!$F$34*('Plan mensual'!I48+IF(parametros_manuales!$H$34="Todos",'Plan mensual'!I52,0))+parametros_manuales!$G$34*('Plan mensual'!I49+IF(parametros_manuales!$H$34="Todos",'Plan mensual'!I53,0)))*parametros_manuales!$I$34*parametros_manuales!$J$34</f>
        <v>6303.9192510425</v>
      </c>
      <c r="H129" s="14" t="n">
        <f aca="false">(parametros_manuales!$D$34*('Plan mensual'!J46+IF(parametros_manuales!$H$34="Todos",'Plan mensual'!J50,0))+parametros_manuales!$E$34*('Plan mensual'!J47+IF(parametros_manuales!$H$34="Todos",'Plan mensual'!J51,0))+parametros_manuales!$F$34*('Plan mensual'!J48+IF(parametros_manuales!$H$34="Todos",'Plan mensual'!J52,0))+parametros_manuales!$G$34*('Plan mensual'!J49+IF(parametros_manuales!$H$34="Todos",'Plan mensual'!J53,0)))*parametros_manuales!$I$34*parametros_manuales!$J$34</f>
        <v>6744.885678682</v>
      </c>
      <c r="I129" s="14" t="n">
        <f aca="false">(parametros_manuales!$D$34*('Plan mensual'!K46+IF(parametros_manuales!$H$34="Todos",'Plan mensual'!K50,0))+parametros_manuales!$E$34*('Plan mensual'!K47+IF(parametros_manuales!$H$34="Todos",'Plan mensual'!K51,0))+parametros_manuales!$F$34*('Plan mensual'!K48+IF(parametros_manuales!$H$34="Todos",'Plan mensual'!K52,0))+parametros_manuales!$G$34*('Plan mensual'!K49+IF(parametros_manuales!$H$34="Todos",'Plan mensual'!K53,0)))*parametros_manuales!$I$34*parametros_manuales!$J$34</f>
        <v>6744.885678682</v>
      </c>
      <c r="J129" s="14" t="n">
        <f aca="false">(parametros_manuales!$D$34*('Plan mensual'!L46+IF(parametros_manuales!$H$34="Todos",'Plan mensual'!L50,0))+parametros_manuales!$E$34*('Plan mensual'!L47+IF(parametros_manuales!$H$34="Todos",'Plan mensual'!L51,0))+parametros_manuales!$F$34*('Plan mensual'!L48+IF(parametros_manuales!$H$34="Todos",'Plan mensual'!L52,0))+parametros_manuales!$G$34*('Plan mensual'!L49+IF(parametros_manuales!$H$34="Todos",'Plan mensual'!L53,0)))*parametros_manuales!$I$34*parametros_manuales!$J$34</f>
        <v>6744.885678682</v>
      </c>
      <c r="K129" s="14" t="n">
        <f aca="false">(parametros_manuales!$D$34*('Plan mensual'!M46+IF(parametros_manuales!$H$34="Todos",'Plan mensual'!M50,0))+parametros_manuales!$E$34*('Plan mensual'!M47+IF(parametros_manuales!$H$34="Todos",'Plan mensual'!M51,0))+parametros_manuales!$F$34*('Plan mensual'!M48+IF(parametros_manuales!$H$34="Todos",'Plan mensual'!M52,0))+parametros_manuales!$G$34*('Plan mensual'!M49+IF(parametros_manuales!$H$34="Todos",'Plan mensual'!M53,0)))*parametros_manuales!$I$34*parametros_manuales!$J$34</f>
        <v>6614.4964145925</v>
      </c>
      <c r="L129" s="14" t="n">
        <f aca="false">(parametros_manuales!$D$34*('Plan mensual'!N46+IF(parametros_manuales!$H$34="Todos",'Plan mensual'!N50,0))+parametros_manuales!$E$34*('Plan mensual'!N47+IF(parametros_manuales!$H$34="Todos",'Plan mensual'!N51,0))+parametros_manuales!$F$34*('Plan mensual'!N48+IF(parametros_manuales!$H$34="Todos",'Plan mensual'!N52,0))+parametros_manuales!$G$34*('Plan mensual'!N49+IF(parametros_manuales!$H$34="Todos",'Plan mensual'!N53,0)))*parametros_manuales!$I$34*parametros_manuales!$J$34</f>
        <v>6484.107150503</v>
      </c>
      <c r="M129" s="14" t="n">
        <f aca="false">(parametros_manuales!$D$34*('Plan mensual'!O46+IF(parametros_manuales!$H$34="Todos",'Plan mensual'!O50,0))+parametros_manuales!$E$34*('Plan mensual'!O47+IF(parametros_manuales!$H$34="Todos",'Plan mensual'!O51,0))+parametros_manuales!$F$34*('Plan mensual'!O48+IF(parametros_manuales!$H$34="Todos",'Plan mensual'!O52,0))+parametros_manuales!$G$34*('Plan mensual'!O49+IF(parametros_manuales!$H$34="Todos",'Plan mensual'!O53,0)))*parametros_manuales!$I$34*parametros_manuales!$J$34</f>
        <v>10322.415735169</v>
      </c>
      <c r="N129" s="14" t="n">
        <f aca="false">SUM(B129:M129)</f>
        <v>88193.2855279</v>
      </c>
      <c r="O129" s="14" t="n">
        <f aca="false">MAX(B129:M129)</f>
        <v>10322.415735169</v>
      </c>
      <c r="P129" s="57" t="n">
        <f aca="false">O129/(parametros_manuales!$B$7)</f>
        <v>68.8161049011267</v>
      </c>
      <c r="Q129" s="13" t="str">
        <f aca="false">IF(O129=0,"-",INDEX($B$113:$M$113,MATCH(O129,B129:M129,0)))</f>
        <v>Dic</v>
      </c>
    </row>
    <row r="130" customFormat="false" ht="14.25" hidden="false" customHeight="true" outlineLevel="0" collapsed="false">
      <c r="A130" s="13" t="str">
        <f aca="false">parametros_manuales!$B$35</f>
        <v>Granallado</v>
      </c>
      <c r="B130" s="14" t="n">
        <f aca="false">(parametros_manuales!$D$35*('Plan mensual'!D46+IF(parametros_manuales!$H$35="Todos",'Plan mensual'!D50,0))+parametros_manuales!$E$35*('Plan mensual'!D47+IF(parametros_manuales!$H$35="Todos",'Plan mensual'!D51,0))+parametros_manuales!$F$35*('Plan mensual'!D48+IF(parametros_manuales!$H$35="Todos",'Plan mensual'!D52,0))+parametros_manuales!$G$35*('Plan mensual'!D49+IF(parametros_manuales!$H$35="Todos",'Plan mensual'!D53,0)))*parametros_manuales!$I$35*parametros_manuales!$J$35</f>
        <v>10061.63720699</v>
      </c>
      <c r="C130" s="14" t="n">
        <f aca="false">(parametros_manuales!$D$35*('Plan mensual'!E46+IF(parametros_manuales!$H$35="Todos",'Plan mensual'!E50,0))+parametros_manuales!$E$35*('Plan mensual'!E47+IF(parametros_manuales!$H$35="Todos",'Plan mensual'!E51,0))+parametros_manuales!$F$35*('Plan mensual'!E48+IF(parametros_manuales!$H$35="Todos",'Plan mensual'!E52,0))+parametros_manuales!$G$35*('Plan mensual'!E49+IF(parametros_manuales!$H$35="Todos",'Plan mensual'!E53,0)))*parametros_manuales!$I$35*parametros_manuales!$J$35</f>
        <v>7676.617169332</v>
      </c>
      <c r="D130" s="14" t="n">
        <f aca="false">(parametros_manuales!$D$35*('Plan mensual'!F46+IF(parametros_manuales!$H$35="Todos",'Plan mensual'!F50,0))+parametros_manuales!$E$35*('Plan mensual'!F47+IF(parametros_manuales!$H$35="Todos",'Plan mensual'!F51,0))+parametros_manuales!$F$35*('Plan mensual'!F48+IF(parametros_manuales!$H$35="Todos",'Plan mensual'!F52,0))+parametros_manuales!$G$35*('Plan mensual'!F49+IF(parametros_manuales!$H$35="Todos",'Plan mensual'!F53,0)))*parametros_manuales!$I$35*parametros_manuales!$J$35</f>
        <v>7185.8521063215</v>
      </c>
      <c r="E130" s="14" t="n">
        <f aca="false">(parametros_manuales!$D$35*('Plan mensual'!G46+IF(parametros_manuales!$H$35="Todos",'Plan mensual'!G50,0))+parametros_manuales!$E$35*('Plan mensual'!G47+IF(parametros_manuales!$H$35="Todos",'Plan mensual'!G51,0))+parametros_manuales!$F$35*('Plan mensual'!G48+IF(parametros_manuales!$H$35="Todos",'Plan mensual'!G52,0))+parametros_manuales!$G$35*('Plan mensual'!G49+IF(parametros_manuales!$H$35="Todos",'Plan mensual'!G53,0)))*parametros_manuales!$I$35*parametros_manuales!$J$35</f>
        <v>6875.2749427715</v>
      </c>
      <c r="F130" s="14" t="n">
        <f aca="false">(parametros_manuales!$D$35*('Plan mensual'!H46+IF(parametros_manuales!$H$35="Todos",'Plan mensual'!H50,0))+parametros_manuales!$E$35*('Plan mensual'!H47+IF(parametros_manuales!$H$35="Todos",'Plan mensual'!H51,0))+parametros_manuales!$F$35*('Plan mensual'!H48+IF(parametros_manuales!$H$35="Todos",'Plan mensual'!H52,0))+parametros_manuales!$G$35*('Plan mensual'!H49+IF(parametros_manuales!$H$35="Todos",'Plan mensual'!H53,0)))*parametros_manuales!$I$35*parametros_manuales!$J$35</f>
        <v>6434.308515132</v>
      </c>
      <c r="G130" s="14" t="n">
        <f aca="false">(parametros_manuales!$D$35*('Plan mensual'!I46+IF(parametros_manuales!$H$35="Todos",'Plan mensual'!I50,0))+parametros_manuales!$E$35*('Plan mensual'!I47+IF(parametros_manuales!$H$35="Todos",'Plan mensual'!I51,0))+parametros_manuales!$F$35*('Plan mensual'!I48+IF(parametros_manuales!$H$35="Todos",'Plan mensual'!I52,0))+parametros_manuales!$G$35*('Plan mensual'!I49+IF(parametros_manuales!$H$35="Todos",'Plan mensual'!I53,0)))*parametros_manuales!$I$35*parametros_manuales!$J$35</f>
        <v>6303.9192510425</v>
      </c>
      <c r="H130" s="14" t="n">
        <f aca="false">(parametros_manuales!$D$35*('Plan mensual'!J46+IF(parametros_manuales!$H$35="Todos",'Plan mensual'!J50,0))+parametros_manuales!$E$35*('Plan mensual'!J47+IF(parametros_manuales!$H$35="Todos",'Plan mensual'!J51,0))+parametros_manuales!$F$35*('Plan mensual'!J48+IF(parametros_manuales!$H$35="Todos",'Plan mensual'!J52,0))+parametros_manuales!$G$35*('Plan mensual'!J49+IF(parametros_manuales!$H$35="Todos",'Plan mensual'!J53,0)))*parametros_manuales!$I$35*parametros_manuales!$J$35</f>
        <v>6744.885678682</v>
      </c>
      <c r="I130" s="14" t="n">
        <f aca="false">(parametros_manuales!$D$35*('Plan mensual'!K46+IF(parametros_manuales!$H$35="Todos",'Plan mensual'!K50,0))+parametros_manuales!$E$35*('Plan mensual'!K47+IF(parametros_manuales!$H$35="Todos",'Plan mensual'!K51,0))+parametros_manuales!$F$35*('Plan mensual'!K48+IF(parametros_manuales!$H$35="Todos",'Plan mensual'!K52,0))+parametros_manuales!$G$35*('Plan mensual'!K49+IF(parametros_manuales!$H$35="Todos",'Plan mensual'!K53,0)))*parametros_manuales!$I$35*parametros_manuales!$J$35</f>
        <v>6744.885678682</v>
      </c>
      <c r="J130" s="14" t="n">
        <f aca="false">(parametros_manuales!$D$35*('Plan mensual'!L46+IF(parametros_manuales!$H$35="Todos",'Plan mensual'!L50,0))+parametros_manuales!$E$35*('Plan mensual'!L47+IF(parametros_manuales!$H$35="Todos",'Plan mensual'!L51,0))+parametros_manuales!$F$35*('Plan mensual'!L48+IF(parametros_manuales!$H$35="Todos",'Plan mensual'!L52,0))+parametros_manuales!$G$35*('Plan mensual'!L49+IF(parametros_manuales!$H$35="Todos",'Plan mensual'!L53,0)))*parametros_manuales!$I$35*parametros_manuales!$J$35</f>
        <v>6744.885678682</v>
      </c>
      <c r="K130" s="14" t="n">
        <f aca="false">(parametros_manuales!$D$35*('Plan mensual'!M46+IF(parametros_manuales!$H$35="Todos",'Plan mensual'!M50,0))+parametros_manuales!$E$35*('Plan mensual'!M47+IF(parametros_manuales!$H$35="Todos",'Plan mensual'!M51,0))+parametros_manuales!$F$35*('Plan mensual'!M48+IF(parametros_manuales!$H$35="Todos",'Plan mensual'!M52,0))+parametros_manuales!$G$35*('Plan mensual'!M49+IF(parametros_manuales!$H$35="Todos",'Plan mensual'!M53,0)))*parametros_manuales!$I$35*parametros_manuales!$J$35</f>
        <v>6614.4964145925</v>
      </c>
      <c r="L130" s="14" t="n">
        <f aca="false">(parametros_manuales!$D$35*('Plan mensual'!N46+IF(parametros_manuales!$H$35="Todos",'Plan mensual'!N50,0))+parametros_manuales!$E$35*('Plan mensual'!N47+IF(parametros_manuales!$H$35="Todos",'Plan mensual'!N51,0))+parametros_manuales!$F$35*('Plan mensual'!N48+IF(parametros_manuales!$H$35="Todos",'Plan mensual'!N52,0))+parametros_manuales!$G$35*('Plan mensual'!N49+IF(parametros_manuales!$H$35="Todos",'Plan mensual'!N53,0)))*parametros_manuales!$I$35*parametros_manuales!$J$35</f>
        <v>6484.107150503</v>
      </c>
      <c r="M130" s="14" t="n">
        <f aca="false">(parametros_manuales!$D$35*('Plan mensual'!O46+IF(parametros_manuales!$H$35="Todos",'Plan mensual'!O50,0))+parametros_manuales!$E$35*('Plan mensual'!O47+IF(parametros_manuales!$H$35="Todos",'Plan mensual'!O51,0))+parametros_manuales!$F$35*('Plan mensual'!O48+IF(parametros_manuales!$H$35="Todos",'Plan mensual'!O52,0))+parametros_manuales!$G$35*('Plan mensual'!O49+IF(parametros_manuales!$H$35="Todos",'Plan mensual'!O53,0)))*parametros_manuales!$I$35*parametros_manuales!$J$35</f>
        <v>10322.415735169</v>
      </c>
      <c r="N130" s="14" t="n">
        <f aca="false">SUM(B130:M130)</f>
        <v>88193.2855279</v>
      </c>
      <c r="O130" s="14" t="n">
        <f aca="false">MAX(B130:M130)</f>
        <v>10322.415735169</v>
      </c>
      <c r="P130" s="57" t="n">
        <f aca="false">O130/(parametros_manuales!$B$7)</f>
        <v>68.8161049011267</v>
      </c>
      <c r="Q130" s="13" t="str">
        <f aca="false">IF(O130=0,"-",INDEX($B$113:$M$113,MATCH(O130,B130:M130,0)))</f>
        <v>Dic</v>
      </c>
    </row>
    <row r="131" customFormat="false" ht="14.25" hidden="false" customHeight="true" outlineLevel="0" collapsed="false">
      <c r="A131" s="13" t="str">
        <f aca="false">parametros_manuales!$B$36</f>
        <v>Detección de defectos</v>
      </c>
      <c r="B131" s="14" t="n">
        <f aca="false">(parametros_manuales!$D$36*('Plan mensual'!D46+IF(parametros_manuales!$H$36="Todos",'Plan mensual'!D50,0))+parametros_manuales!$E$36*('Plan mensual'!D47+IF(parametros_manuales!$H$36="Todos",'Plan mensual'!D51,0))+parametros_manuales!$F$36*('Plan mensual'!D48+IF(parametros_manuales!$H$36="Todos",'Plan mensual'!D52,0))+parametros_manuales!$G$36*('Plan mensual'!D49+IF(parametros_manuales!$H$36="Todos",'Plan mensual'!D53,0)))*parametros_manuales!$I$36*parametros_manuales!$J$36</f>
        <v>10061.63720699</v>
      </c>
      <c r="C131" s="14" t="n">
        <f aca="false">(parametros_manuales!$D$36*('Plan mensual'!E46+IF(parametros_manuales!$H$36="Todos",'Plan mensual'!E50,0))+parametros_manuales!$E$36*('Plan mensual'!E47+IF(parametros_manuales!$H$36="Todos",'Plan mensual'!E51,0))+parametros_manuales!$F$36*('Plan mensual'!E48+IF(parametros_manuales!$H$36="Todos",'Plan mensual'!E52,0))+parametros_manuales!$G$36*('Plan mensual'!E49+IF(parametros_manuales!$H$36="Todos",'Plan mensual'!E53,0)))*parametros_manuales!$I$36*parametros_manuales!$J$36</f>
        <v>7676.617169332</v>
      </c>
      <c r="D131" s="14" t="n">
        <f aca="false">(parametros_manuales!$D$36*('Plan mensual'!F46+IF(parametros_manuales!$H$36="Todos",'Plan mensual'!F50,0))+parametros_manuales!$E$36*('Plan mensual'!F47+IF(parametros_manuales!$H$36="Todos",'Plan mensual'!F51,0))+parametros_manuales!$F$36*('Plan mensual'!F48+IF(parametros_manuales!$H$36="Todos",'Plan mensual'!F52,0))+parametros_manuales!$G$36*('Plan mensual'!F49+IF(parametros_manuales!$H$36="Todos",'Plan mensual'!F53,0)))*parametros_manuales!$I$36*parametros_manuales!$J$36</f>
        <v>7185.8521063215</v>
      </c>
      <c r="E131" s="14" t="n">
        <f aca="false">(parametros_manuales!$D$36*('Plan mensual'!G46+IF(parametros_manuales!$H$36="Todos",'Plan mensual'!G50,0))+parametros_manuales!$E$36*('Plan mensual'!G47+IF(parametros_manuales!$H$36="Todos",'Plan mensual'!G51,0))+parametros_manuales!$F$36*('Plan mensual'!G48+IF(parametros_manuales!$H$36="Todos",'Plan mensual'!G52,0))+parametros_manuales!$G$36*('Plan mensual'!G49+IF(parametros_manuales!$H$36="Todos",'Plan mensual'!G53,0)))*parametros_manuales!$I$36*parametros_manuales!$J$36</f>
        <v>6875.2749427715</v>
      </c>
      <c r="F131" s="14" t="n">
        <f aca="false">(parametros_manuales!$D$36*('Plan mensual'!H46+IF(parametros_manuales!$H$36="Todos",'Plan mensual'!H50,0))+parametros_manuales!$E$36*('Plan mensual'!H47+IF(parametros_manuales!$H$36="Todos",'Plan mensual'!H51,0))+parametros_manuales!$F$36*('Plan mensual'!H48+IF(parametros_manuales!$H$36="Todos",'Plan mensual'!H52,0))+parametros_manuales!$G$36*('Plan mensual'!H49+IF(parametros_manuales!$H$36="Todos",'Plan mensual'!H53,0)))*parametros_manuales!$I$36*parametros_manuales!$J$36</f>
        <v>6434.308515132</v>
      </c>
      <c r="G131" s="14" t="n">
        <f aca="false">(parametros_manuales!$D$36*('Plan mensual'!I46+IF(parametros_manuales!$H$36="Todos",'Plan mensual'!I50,0))+parametros_manuales!$E$36*('Plan mensual'!I47+IF(parametros_manuales!$H$36="Todos",'Plan mensual'!I51,0))+parametros_manuales!$F$36*('Plan mensual'!I48+IF(parametros_manuales!$H$36="Todos",'Plan mensual'!I52,0))+parametros_manuales!$G$36*('Plan mensual'!I49+IF(parametros_manuales!$H$36="Todos",'Plan mensual'!I53,0)))*parametros_manuales!$I$36*parametros_manuales!$J$36</f>
        <v>6303.9192510425</v>
      </c>
      <c r="H131" s="14" t="n">
        <f aca="false">(parametros_manuales!$D$36*('Plan mensual'!J46+IF(parametros_manuales!$H$36="Todos",'Plan mensual'!J50,0))+parametros_manuales!$E$36*('Plan mensual'!J47+IF(parametros_manuales!$H$36="Todos",'Plan mensual'!J51,0))+parametros_manuales!$F$36*('Plan mensual'!J48+IF(parametros_manuales!$H$36="Todos",'Plan mensual'!J52,0))+parametros_manuales!$G$36*('Plan mensual'!J49+IF(parametros_manuales!$H$36="Todos",'Plan mensual'!J53,0)))*parametros_manuales!$I$36*parametros_manuales!$J$36</f>
        <v>6744.885678682</v>
      </c>
      <c r="I131" s="14" t="n">
        <f aca="false">(parametros_manuales!$D$36*('Plan mensual'!K46+IF(parametros_manuales!$H$36="Todos",'Plan mensual'!K50,0))+parametros_manuales!$E$36*('Plan mensual'!K47+IF(parametros_manuales!$H$36="Todos",'Plan mensual'!K51,0))+parametros_manuales!$F$36*('Plan mensual'!K48+IF(parametros_manuales!$H$36="Todos",'Plan mensual'!K52,0))+parametros_manuales!$G$36*('Plan mensual'!K49+IF(parametros_manuales!$H$36="Todos",'Plan mensual'!K53,0)))*parametros_manuales!$I$36*parametros_manuales!$J$36</f>
        <v>6744.885678682</v>
      </c>
      <c r="J131" s="14" t="n">
        <f aca="false">(parametros_manuales!$D$36*('Plan mensual'!L46+IF(parametros_manuales!$H$36="Todos",'Plan mensual'!L50,0))+parametros_manuales!$E$36*('Plan mensual'!L47+IF(parametros_manuales!$H$36="Todos",'Plan mensual'!L51,0))+parametros_manuales!$F$36*('Plan mensual'!L48+IF(parametros_manuales!$H$36="Todos",'Plan mensual'!L52,0))+parametros_manuales!$G$36*('Plan mensual'!L49+IF(parametros_manuales!$H$36="Todos",'Plan mensual'!L53,0)))*parametros_manuales!$I$36*parametros_manuales!$J$36</f>
        <v>6744.885678682</v>
      </c>
      <c r="K131" s="14" t="n">
        <f aca="false">(parametros_manuales!$D$36*('Plan mensual'!M46+IF(parametros_manuales!$H$36="Todos",'Plan mensual'!M50,0))+parametros_manuales!$E$36*('Plan mensual'!M47+IF(parametros_manuales!$H$36="Todos",'Plan mensual'!M51,0))+parametros_manuales!$F$36*('Plan mensual'!M48+IF(parametros_manuales!$H$36="Todos",'Plan mensual'!M52,0))+parametros_manuales!$G$36*('Plan mensual'!M49+IF(parametros_manuales!$H$36="Todos",'Plan mensual'!M53,0)))*parametros_manuales!$I$36*parametros_manuales!$J$36</f>
        <v>6614.4964145925</v>
      </c>
      <c r="L131" s="14" t="n">
        <f aca="false">(parametros_manuales!$D$36*('Plan mensual'!N46+IF(parametros_manuales!$H$36="Todos",'Plan mensual'!N50,0))+parametros_manuales!$E$36*('Plan mensual'!N47+IF(parametros_manuales!$H$36="Todos",'Plan mensual'!N51,0))+parametros_manuales!$F$36*('Plan mensual'!N48+IF(parametros_manuales!$H$36="Todos",'Plan mensual'!N52,0))+parametros_manuales!$G$36*('Plan mensual'!N49+IF(parametros_manuales!$H$36="Todos",'Plan mensual'!N53,0)))*parametros_manuales!$I$36*parametros_manuales!$J$36</f>
        <v>6484.107150503</v>
      </c>
      <c r="M131" s="14" t="n">
        <f aca="false">(parametros_manuales!$D$36*('Plan mensual'!O46+IF(parametros_manuales!$H$36="Todos",'Plan mensual'!O50,0))+parametros_manuales!$E$36*('Plan mensual'!O47+IF(parametros_manuales!$H$36="Todos",'Plan mensual'!O51,0))+parametros_manuales!$F$36*('Plan mensual'!O48+IF(parametros_manuales!$H$36="Todos",'Plan mensual'!O52,0))+parametros_manuales!$G$36*('Plan mensual'!O49+IF(parametros_manuales!$H$36="Todos",'Plan mensual'!O53,0)))*parametros_manuales!$I$36*parametros_manuales!$J$36</f>
        <v>10322.415735169</v>
      </c>
      <c r="N131" s="14" t="n">
        <f aca="false">SUM(B131:M131)</f>
        <v>88193.2855279</v>
      </c>
      <c r="O131" s="14" t="n">
        <f aca="false">MAX(B131:M131)</f>
        <v>10322.415735169</v>
      </c>
      <c r="P131" s="57" t="n">
        <f aca="false">O131/(parametros_manuales!$B$7)</f>
        <v>68.8161049011267</v>
      </c>
      <c r="Q131" s="13" t="str">
        <f aca="false">IF(O131=0,"-",INDEX($B$113:$M$113,MATCH(O131,B131:M131,0)))</f>
        <v>Dic</v>
      </c>
    </row>
    <row r="132" customFormat="false" ht="14.25" hidden="false" customHeight="true" outlineLevel="0" collapsed="false">
      <c r="A132" s="13" t="str">
        <f aca="false">parametros_manuales!$B$37</f>
        <v>Corrección de defectos</v>
      </c>
      <c r="B132" s="14" t="n">
        <f aca="false">(parametros_manuales!$D$37*('Plan mensual'!D46+IF(parametros_manuales!$H$37="Todos",'Plan mensual'!D50,0))+parametros_manuales!$E$37*('Plan mensual'!D47+IF(parametros_manuales!$H$37="Todos",'Plan mensual'!D51,0))+parametros_manuales!$F$37*('Plan mensual'!D48+IF(parametros_manuales!$H$37="Todos",'Plan mensual'!D52,0))+parametros_manuales!$G$37*('Plan mensual'!D49+IF(parametros_manuales!$H$37="Todos",'Plan mensual'!D53,0)))*parametros_manuales!$I$37*parametros_manuales!$J$37</f>
        <v>503.0818603495</v>
      </c>
      <c r="C132" s="14" t="n">
        <f aca="false">(parametros_manuales!$D$37*('Plan mensual'!E46+IF(parametros_manuales!$H$37="Todos",'Plan mensual'!E50,0))+parametros_manuales!$E$37*('Plan mensual'!E47+IF(parametros_manuales!$H$37="Todos",'Plan mensual'!E51,0))+parametros_manuales!$F$37*('Plan mensual'!E48+IF(parametros_manuales!$H$37="Todos",'Plan mensual'!E52,0))+parametros_manuales!$G$37*('Plan mensual'!E49+IF(parametros_manuales!$H$37="Todos",'Plan mensual'!E53,0)))*parametros_manuales!$I$37*parametros_manuales!$J$37</f>
        <v>383.8308584666</v>
      </c>
      <c r="D132" s="14" t="n">
        <f aca="false">(parametros_manuales!$D$37*('Plan mensual'!F46+IF(parametros_manuales!$H$37="Todos",'Plan mensual'!F50,0))+parametros_manuales!$E$37*('Plan mensual'!F47+IF(parametros_manuales!$H$37="Todos",'Plan mensual'!F51,0))+parametros_manuales!$F$37*('Plan mensual'!F48+IF(parametros_manuales!$H$37="Todos",'Plan mensual'!F52,0))+parametros_manuales!$G$37*('Plan mensual'!F49+IF(parametros_manuales!$H$37="Todos",'Plan mensual'!F53,0)))*parametros_manuales!$I$37*parametros_manuales!$J$37</f>
        <v>359.292605316075</v>
      </c>
      <c r="E132" s="14" t="n">
        <f aca="false">(parametros_manuales!$D$37*('Plan mensual'!G46+IF(parametros_manuales!$H$37="Todos",'Plan mensual'!G50,0))+parametros_manuales!$E$37*('Plan mensual'!G47+IF(parametros_manuales!$H$37="Todos",'Plan mensual'!G51,0))+parametros_manuales!$F$37*('Plan mensual'!G48+IF(parametros_manuales!$H$37="Todos",'Plan mensual'!G52,0))+parametros_manuales!$G$37*('Plan mensual'!G49+IF(parametros_manuales!$H$37="Todos",'Plan mensual'!G53,0)))*parametros_manuales!$I$37*parametros_manuales!$J$37</f>
        <v>343.763747138575</v>
      </c>
      <c r="F132" s="14" t="n">
        <f aca="false">(parametros_manuales!$D$37*('Plan mensual'!H46+IF(parametros_manuales!$H$37="Todos",'Plan mensual'!H50,0))+parametros_manuales!$E$37*('Plan mensual'!H47+IF(parametros_manuales!$H$37="Todos",'Plan mensual'!H51,0))+parametros_manuales!$F$37*('Plan mensual'!H48+IF(parametros_manuales!$H$37="Todos",'Plan mensual'!H52,0))+parametros_manuales!$G$37*('Plan mensual'!H49+IF(parametros_manuales!$H$37="Todos",'Plan mensual'!H53,0)))*parametros_manuales!$I$37*parametros_manuales!$J$37</f>
        <v>321.7154257566</v>
      </c>
      <c r="G132" s="14" t="n">
        <f aca="false">(parametros_manuales!$D$37*('Plan mensual'!I46+IF(parametros_manuales!$H$37="Todos",'Plan mensual'!I50,0))+parametros_manuales!$E$37*('Plan mensual'!I47+IF(parametros_manuales!$H$37="Todos",'Plan mensual'!I51,0))+parametros_manuales!$F$37*('Plan mensual'!I48+IF(parametros_manuales!$H$37="Todos",'Plan mensual'!I52,0))+parametros_manuales!$G$37*('Plan mensual'!I49+IF(parametros_manuales!$H$37="Todos",'Plan mensual'!I53,0)))*parametros_manuales!$I$37*parametros_manuales!$J$37</f>
        <v>315.195962552125</v>
      </c>
      <c r="H132" s="14" t="n">
        <f aca="false">(parametros_manuales!$D$37*('Plan mensual'!J46+IF(parametros_manuales!$H$37="Todos",'Plan mensual'!J50,0))+parametros_manuales!$E$37*('Plan mensual'!J47+IF(parametros_manuales!$H$37="Todos",'Plan mensual'!J51,0))+parametros_manuales!$F$37*('Plan mensual'!J48+IF(parametros_manuales!$H$37="Todos",'Plan mensual'!J52,0))+parametros_manuales!$G$37*('Plan mensual'!J49+IF(parametros_manuales!$H$37="Todos",'Plan mensual'!J53,0)))*parametros_manuales!$I$37*parametros_manuales!$J$37</f>
        <v>337.2442839341</v>
      </c>
      <c r="I132" s="14" t="n">
        <f aca="false">(parametros_manuales!$D$37*('Plan mensual'!K46+IF(parametros_manuales!$H$37="Todos",'Plan mensual'!K50,0))+parametros_manuales!$E$37*('Plan mensual'!K47+IF(parametros_manuales!$H$37="Todos",'Plan mensual'!K51,0))+parametros_manuales!$F$37*('Plan mensual'!K48+IF(parametros_manuales!$H$37="Todos",'Plan mensual'!K52,0))+parametros_manuales!$G$37*('Plan mensual'!K49+IF(parametros_manuales!$H$37="Todos",'Plan mensual'!K53,0)))*parametros_manuales!$I$37*parametros_manuales!$J$37</f>
        <v>337.2442839341</v>
      </c>
      <c r="J132" s="14" t="n">
        <f aca="false">(parametros_manuales!$D$37*('Plan mensual'!L46+IF(parametros_manuales!$H$37="Todos",'Plan mensual'!L50,0))+parametros_manuales!$E$37*('Plan mensual'!L47+IF(parametros_manuales!$H$37="Todos",'Plan mensual'!L51,0))+parametros_manuales!$F$37*('Plan mensual'!L48+IF(parametros_manuales!$H$37="Todos",'Plan mensual'!L52,0))+parametros_manuales!$G$37*('Plan mensual'!L49+IF(parametros_manuales!$H$37="Todos",'Plan mensual'!L53,0)))*parametros_manuales!$I$37*parametros_manuales!$J$37</f>
        <v>337.2442839341</v>
      </c>
      <c r="K132" s="14" t="n">
        <f aca="false">(parametros_manuales!$D$37*('Plan mensual'!M46+IF(parametros_manuales!$H$37="Todos",'Plan mensual'!M50,0))+parametros_manuales!$E$37*('Plan mensual'!M47+IF(parametros_manuales!$H$37="Todos",'Plan mensual'!M51,0))+parametros_manuales!$F$37*('Plan mensual'!M48+IF(parametros_manuales!$H$37="Todos",'Plan mensual'!M52,0))+parametros_manuales!$G$37*('Plan mensual'!M49+IF(parametros_manuales!$H$37="Todos",'Plan mensual'!M53,0)))*parametros_manuales!$I$37*parametros_manuales!$J$37</f>
        <v>330.724820729625</v>
      </c>
      <c r="L132" s="14" t="n">
        <f aca="false">(parametros_manuales!$D$37*('Plan mensual'!N46+IF(parametros_manuales!$H$37="Todos",'Plan mensual'!N50,0))+parametros_manuales!$E$37*('Plan mensual'!N47+IF(parametros_manuales!$H$37="Todos",'Plan mensual'!N51,0))+parametros_manuales!$F$37*('Plan mensual'!N48+IF(parametros_manuales!$H$37="Todos",'Plan mensual'!N52,0))+parametros_manuales!$G$37*('Plan mensual'!N49+IF(parametros_manuales!$H$37="Todos",'Plan mensual'!N53,0)))*parametros_manuales!$I$37*parametros_manuales!$J$37</f>
        <v>324.20535752515</v>
      </c>
      <c r="M132" s="14" t="n">
        <f aca="false">(parametros_manuales!$D$37*('Plan mensual'!O46+IF(parametros_manuales!$H$37="Todos",'Plan mensual'!O50,0))+parametros_manuales!$E$37*('Plan mensual'!O47+IF(parametros_manuales!$H$37="Todos",'Plan mensual'!O51,0))+parametros_manuales!$F$37*('Plan mensual'!O48+IF(parametros_manuales!$H$37="Todos",'Plan mensual'!O52,0))+parametros_manuales!$G$37*('Plan mensual'!O49+IF(parametros_manuales!$H$37="Todos",'Plan mensual'!O53,0)))*parametros_manuales!$I$37*parametros_manuales!$J$37</f>
        <v>516.12078675845</v>
      </c>
      <c r="N132" s="14" t="n">
        <f aca="false">SUM(B132:M132)</f>
        <v>4409.664276395</v>
      </c>
      <c r="O132" s="14" t="n">
        <f aca="false">MAX(B132:M132)</f>
        <v>516.12078675845</v>
      </c>
      <c r="P132" s="57" t="n">
        <f aca="false">O132/(parametros_manuales!$B$7)</f>
        <v>3.44080524505633</v>
      </c>
      <c r="Q132" s="13" t="str">
        <f aca="false">IF(O132=0,"-",INDEX($B$113:$M$113,MATCH(O132,B132:M132,0)))</f>
        <v>Dic</v>
      </c>
    </row>
    <row r="133" customFormat="false" ht="14.25" hidden="false" customHeight="true" outlineLevel="0" collapsed="false">
      <c r="A133" s="13" t="str">
        <f aca="false">parametros_manuales!$B$38</f>
        <v>Pintura en polvo + horno</v>
      </c>
      <c r="B133" s="14" t="n">
        <f aca="false">(parametros_manuales!$D$38*('Plan mensual'!D46+IF(parametros_manuales!$H$38="Todos",'Plan mensual'!D50,0))+parametros_manuales!$E$38*('Plan mensual'!D47+IF(parametros_manuales!$H$38="Todos",'Plan mensual'!D51,0))+parametros_manuales!$F$38*('Plan mensual'!D48+IF(parametros_manuales!$H$38="Todos",'Plan mensual'!D52,0))+parametros_manuales!$G$38*('Plan mensual'!D49+IF(parametros_manuales!$H$38="Todos",'Plan mensual'!D53,0)))*parametros_manuales!$I$38*parametros_manuales!$J$38</f>
        <v>10061.63720699</v>
      </c>
      <c r="C133" s="14" t="n">
        <f aca="false">(parametros_manuales!$D$38*('Plan mensual'!E46+IF(parametros_manuales!$H$38="Todos",'Plan mensual'!E50,0))+parametros_manuales!$E$38*('Plan mensual'!E47+IF(parametros_manuales!$H$38="Todos",'Plan mensual'!E51,0))+parametros_manuales!$F$38*('Plan mensual'!E48+IF(parametros_manuales!$H$38="Todos",'Plan mensual'!E52,0))+parametros_manuales!$G$38*('Plan mensual'!E49+IF(parametros_manuales!$H$38="Todos",'Plan mensual'!E53,0)))*parametros_manuales!$I$38*parametros_manuales!$J$38</f>
        <v>7676.617169332</v>
      </c>
      <c r="D133" s="14" t="n">
        <f aca="false">(parametros_manuales!$D$38*('Plan mensual'!F46+IF(parametros_manuales!$H$38="Todos",'Plan mensual'!F50,0))+parametros_manuales!$E$38*('Plan mensual'!F47+IF(parametros_manuales!$H$38="Todos",'Plan mensual'!F51,0))+parametros_manuales!$F$38*('Plan mensual'!F48+IF(parametros_manuales!$H$38="Todos",'Plan mensual'!F52,0))+parametros_manuales!$G$38*('Plan mensual'!F49+IF(parametros_manuales!$H$38="Todos",'Plan mensual'!F53,0)))*parametros_manuales!$I$38*parametros_manuales!$J$38</f>
        <v>7185.8521063215</v>
      </c>
      <c r="E133" s="14" t="n">
        <f aca="false">(parametros_manuales!$D$38*('Plan mensual'!G46+IF(parametros_manuales!$H$38="Todos",'Plan mensual'!G50,0))+parametros_manuales!$E$38*('Plan mensual'!G47+IF(parametros_manuales!$H$38="Todos",'Plan mensual'!G51,0))+parametros_manuales!$F$38*('Plan mensual'!G48+IF(parametros_manuales!$H$38="Todos",'Plan mensual'!G52,0))+parametros_manuales!$G$38*('Plan mensual'!G49+IF(parametros_manuales!$H$38="Todos",'Plan mensual'!G53,0)))*parametros_manuales!$I$38*parametros_manuales!$J$38</f>
        <v>6875.2749427715</v>
      </c>
      <c r="F133" s="14" t="n">
        <f aca="false">(parametros_manuales!$D$38*('Plan mensual'!H46+IF(parametros_manuales!$H$38="Todos",'Plan mensual'!H50,0))+parametros_manuales!$E$38*('Plan mensual'!H47+IF(parametros_manuales!$H$38="Todos",'Plan mensual'!H51,0))+parametros_manuales!$F$38*('Plan mensual'!H48+IF(parametros_manuales!$H$38="Todos",'Plan mensual'!H52,0))+parametros_manuales!$G$38*('Plan mensual'!H49+IF(parametros_manuales!$H$38="Todos",'Plan mensual'!H53,0)))*parametros_manuales!$I$38*parametros_manuales!$J$38</f>
        <v>6434.308515132</v>
      </c>
      <c r="G133" s="14" t="n">
        <f aca="false">(parametros_manuales!$D$38*('Plan mensual'!I46+IF(parametros_manuales!$H$38="Todos",'Plan mensual'!I50,0))+parametros_manuales!$E$38*('Plan mensual'!I47+IF(parametros_manuales!$H$38="Todos",'Plan mensual'!I51,0))+parametros_manuales!$F$38*('Plan mensual'!I48+IF(parametros_manuales!$H$38="Todos",'Plan mensual'!I52,0))+parametros_manuales!$G$38*('Plan mensual'!I49+IF(parametros_manuales!$H$38="Todos",'Plan mensual'!I53,0)))*parametros_manuales!$I$38*parametros_manuales!$J$38</f>
        <v>6303.9192510425</v>
      </c>
      <c r="H133" s="14" t="n">
        <f aca="false">(parametros_manuales!$D$38*('Plan mensual'!J46+IF(parametros_manuales!$H$38="Todos",'Plan mensual'!J50,0))+parametros_manuales!$E$38*('Plan mensual'!J47+IF(parametros_manuales!$H$38="Todos",'Plan mensual'!J51,0))+parametros_manuales!$F$38*('Plan mensual'!J48+IF(parametros_manuales!$H$38="Todos",'Plan mensual'!J52,0))+parametros_manuales!$G$38*('Plan mensual'!J49+IF(parametros_manuales!$H$38="Todos",'Plan mensual'!J53,0)))*parametros_manuales!$I$38*parametros_manuales!$J$38</f>
        <v>6744.885678682</v>
      </c>
      <c r="I133" s="14" t="n">
        <f aca="false">(parametros_manuales!$D$38*('Plan mensual'!K46+IF(parametros_manuales!$H$38="Todos",'Plan mensual'!K50,0))+parametros_manuales!$E$38*('Plan mensual'!K47+IF(parametros_manuales!$H$38="Todos",'Plan mensual'!K51,0))+parametros_manuales!$F$38*('Plan mensual'!K48+IF(parametros_manuales!$H$38="Todos",'Plan mensual'!K52,0))+parametros_manuales!$G$38*('Plan mensual'!K49+IF(parametros_manuales!$H$38="Todos",'Plan mensual'!K53,0)))*parametros_manuales!$I$38*parametros_manuales!$J$38</f>
        <v>6744.885678682</v>
      </c>
      <c r="J133" s="14" t="n">
        <f aca="false">(parametros_manuales!$D$38*('Plan mensual'!L46+IF(parametros_manuales!$H$38="Todos",'Plan mensual'!L50,0))+parametros_manuales!$E$38*('Plan mensual'!L47+IF(parametros_manuales!$H$38="Todos",'Plan mensual'!L51,0))+parametros_manuales!$F$38*('Plan mensual'!L48+IF(parametros_manuales!$H$38="Todos",'Plan mensual'!L52,0))+parametros_manuales!$G$38*('Plan mensual'!L49+IF(parametros_manuales!$H$38="Todos",'Plan mensual'!L53,0)))*parametros_manuales!$I$38*parametros_manuales!$J$38</f>
        <v>6744.885678682</v>
      </c>
      <c r="K133" s="14" t="n">
        <f aca="false">(parametros_manuales!$D$38*('Plan mensual'!M46+IF(parametros_manuales!$H$38="Todos",'Plan mensual'!M50,0))+parametros_manuales!$E$38*('Plan mensual'!M47+IF(parametros_manuales!$H$38="Todos",'Plan mensual'!M51,0))+parametros_manuales!$F$38*('Plan mensual'!M48+IF(parametros_manuales!$H$38="Todos",'Plan mensual'!M52,0))+parametros_manuales!$G$38*('Plan mensual'!M49+IF(parametros_manuales!$H$38="Todos",'Plan mensual'!M53,0)))*parametros_manuales!$I$38*parametros_manuales!$J$38</f>
        <v>6614.4964145925</v>
      </c>
      <c r="L133" s="14" t="n">
        <f aca="false">(parametros_manuales!$D$38*('Plan mensual'!N46+IF(parametros_manuales!$H$38="Todos",'Plan mensual'!N50,0))+parametros_manuales!$E$38*('Plan mensual'!N47+IF(parametros_manuales!$H$38="Todos",'Plan mensual'!N51,0))+parametros_manuales!$F$38*('Plan mensual'!N48+IF(parametros_manuales!$H$38="Todos",'Plan mensual'!N52,0))+parametros_manuales!$G$38*('Plan mensual'!N49+IF(parametros_manuales!$H$38="Todos",'Plan mensual'!N53,0)))*parametros_manuales!$I$38*parametros_manuales!$J$38</f>
        <v>6484.107150503</v>
      </c>
      <c r="M133" s="14" t="n">
        <f aca="false">(parametros_manuales!$D$38*('Plan mensual'!O46+IF(parametros_manuales!$H$38="Todos",'Plan mensual'!O50,0))+parametros_manuales!$E$38*('Plan mensual'!O47+IF(parametros_manuales!$H$38="Todos",'Plan mensual'!O51,0))+parametros_manuales!$F$38*('Plan mensual'!O48+IF(parametros_manuales!$H$38="Todos",'Plan mensual'!O52,0))+parametros_manuales!$G$38*('Plan mensual'!O49+IF(parametros_manuales!$H$38="Todos",'Plan mensual'!O53,0)))*parametros_manuales!$I$38*parametros_manuales!$J$38</f>
        <v>10322.415735169</v>
      </c>
      <c r="N133" s="14" t="n">
        <f aca="false">SUM(B133:M133)</f>
        <v>88193.2855279</v>
      </c>
      <c r="O133" s="14" t="n">
        <f aca="false">MAX(B133:M133)</f>
        <v>10322.415735169</v>
      </c>
      <c r="P133" s="57" t="n">
        <f aca="false">O133/(parametros_manuales!$B$7)</f>
        <v>68.8161049011267</v>
      </c>
      <c r="Q133" s="13" t="str">
        <f aca="false">IF(O133=0,"-",INDEX($B$113:$M$113,MATCH(O133,B133:M133,0)))</f>
        <v>Dic</v>
      </c>
    </row>
    <row r="134" customFormat="false" ht="14.25" hidden="false" customHeight="true" outlineLevel="0" collapsed="false">
      <c r="A134" s="13" t="str">
        <f aca="false">parametros_manuales!$B$39</f>
        <v>Carga de polvo</v>
      </c>
      <c r="B134" s="14" t="n">
        <f aca="false">(parametros_manuales!$D$39*('Plan mensual'!D46+IF(parametros_manuales!$H$39="Todos",'Plan mensual'!D50,0))+parametros_manuales!$E$39*('Plan mensual'!D47+IF(parametros_manuales!$H$39="Todos",'Plan mensual'!D51,0))+parametros_manuales!$F$39*('Plan mensual'!D48+IF(parametros_manuales!$H$39="Todos",'Plan mensual'!D52,0))+parametros_manuales!$G$39*('Plan mensual'!D49+IF(parametros_manuales!$H$39="Todos",'Plan mensual'!D53,0)))*parametros_manuales!$I$39*parametros_manuales!$J$39</f>
        <v>2904.95320699</v>
      </c>
      <c r="C134" s="14" t="n">
        <f aca="false">(parametros_manuales!$D$39*('Plan mensual'!E46+IF(parametros_manuales!$H$39="Todos",'Plan mensual'!E50,0))+parametros_manuales!$E$39*('Plan mensual'!E47+IF(parametros_manuales!$H$39="Todos",'Plan mensual'!E51,0))+parametros_manuales!$F$39*('Plan mensual'!E48+IF(parametros_manuales!$H$39="Todos",'Plan mensual'!E52,0))+parametros_manuales!$G$39*('Plan mensual'!E49+IF(parametros_manuales!$H$39="Todos",'Plan mensual'!E53,0)))*parametros_manuales!$I$39*parametros_manuales!$J$39</f>
        <v>2247.878769332</v>
      </c>
      <c r="D134" s="14" t="n">
        <f aca="false">(parametros_manuales!$D$39*('Plan mensual'!F46+IF(parametros_manuales!$H$39="Todos",'Plan mensual'!F50,0))+parametros_manuales!$E$39*('Plan mensual'!F47+IF(parametros_manuales!$H$39="Todos",'Plan mensual'!F51,0))+parametros_manuales!$F$39*('Plan mensual'!F48+IF(parametros_manuales!$H$39="Todos",'Plan mensual'!F52,0))+parametros_manuales!$G$39*('Plan mensual'!F49+IF(parametros_manuales!$H$39="Todos",'Plan mensual'!F53,0)))*parametros_manuales!$I$39*parametros_manuales!$J$39</f>
        <v>2190.2363063215</v>
      </c>
      <c r="E134" s="14" t="n">
        <f aca="false">(parametros_manuales!$D$39*('Plan mensual'!G46+IF(parametros_manuales!$H$39="Todos",'Plan mensual'!G50,0))+parametros_manuales!$E$39*('Plan mensual'!G47+IF(parametros_manuales!$H$39="Todos",'Plan mensual'!G51,0))+parametros_manuales!$F$39*('Plan mensual'!G48+IF(parametros_manuales!$H$39="Todos",'Plan mensual'!G52,0))+parametros_manuales!$G$39*('Plan mensual'!G49+IF(parametros_manuales!$H$39="Todos",'Plan mensual'!G53,0)))*parametros_manuales!$I$39*parametros_manuales!$J$39</f>
        <v>2126.8331427715</v>
      </c>
      <c r="F134" s="14" t="n">
        <f aca="false">(parametros_manuales!$D$39*('Plan mensual'!H46+IF(parametros_manuales!$H$39="Todos",'Plan mensual'!H50,0))+parametros_manuales!$E$39*('Plan mensual'!H47+IF(parametros_manuales!$H$39="Todos",'Plan mensual'!H51,0))+parametros_manuales!$F$39*('Plan mensual'!H48+IF(parametros_manuales!$H$39="Todos",'Plan mensual'!H52,0))+parametros_manuales!$G$39*('Plan mensual'!H49+IF(parametros_manuales!$H$39="Todos",'Plan mensual'!H53,0)))*parametros_manuales!$I$39*parametros_manuales!$J$39</f>
        <v>1994.266115132</v>
      </c>
      <c r="G134" s="14" t="n">
        <f aca="false">(parametros_manuales!$D$39*('Plan mensual'!I46+IF(parametros_manuales!$H$39="Todos",'Plan mensual'!I50,0))+parametros_manuales!$E$39*('Plan mensual'!I47+IF(parametros_manuales!$H$39="Todos",'Plan mensual'!I51,0))+parametros_manuales!$F$39*('Plan mensual'!I48+IF(parametros_manuales!$H$39="Todos",'Plan mensual'!I52,0))+parametros_manuales!$G$39*('Plan mensual'!I49+IF(parametros_manuales!$H$39="Todos",'Plan mensual'!I53,0)))*parametros_manuales!$I$39*parametros_manuales!$J$39</f>
        <v>1925.1022510425</v>
      </c>
      <c r="H134" s="14" t="n">
        <f aca="false">(parametros_manuales!$D$39*('Plan mensual'!J46+IF(parametros_manuales!$H$39="Todos",'Plan mensual'!J50,0))+parametros_manuales!$E$39*('Plan mensual'!J47+IF(parametros_manuales!$H$39="Todos",'Plan mensual'!J51,0))+parametros_manuales!$F$39*('Plan mensual'!J48+IF(parametros_manuales!$H$39="Todos",'Plan mensual'!J52,0))+parametros_manuales!$G$39*('Plan mensual'!J49+IF(parametros_manuales!$H$39="Todos",'Plan mensual'!J53,0)))*parametros_manuales!$I$39*parametros_manuales!$J$39</f>
        <v>2057.669278682</v>
      </c>
      <c r="I134" s="14" t="n">
        <f aca="false">(parametros_manuales!$D$39*('Plan mensual'!K46+IF(parametros_manuales!$H$39="Todos",'Plan mensual'!K50,0))+parametros_manuales!$E$39*('Plan mensual'!K47+IF(parametros_manuales!$H$39="Todos",'Plan mensual'!K51,0))+parametros_manuales!$F$39*('Plan mensual'!K48+IF(parametros_manuales!$H$39="Todos",'Plan mensual'!K52,0))+parametros_manuales!$G$39*('Plan mensual'!K49+IF(parametros_manuales!$H$39="Todos",'Plan mensual'!K53,0)))*parametros_manuales!$I$39*parametros_manuales!$J$39</f>
        <v>2057.669278682</v>
      </c>
      <c r="J134" s="14" t="n">
        <f aca="false">(parametros_manuales!$D$39*('Plan mensual'!L46+IF(parametros_manuales!$H$39="Todos",'Plan mensual'!L50,0))+parametros_manuales!$E$39*('Plan mensual'!L47+IF(parametros_manuales!$H$39="Todos",'Plan mensual'!L51,0))+parametros_manuales!$F$39*('Plan mensual'!L48+IF(parametros_manuales!$H$39="Todos",'Plan mensual'!L52,0))+parametros_manuales!$G$39*('Plan mensual'!L49+IF(parametros_manuales!$H$39="Todos",'Plan mensual'!L53,0)))*parametros_manuales!$I$39*parametros_manuales!$J$39</f>
        <v>2057.669278682</v>
      </c>
      <c r="K134" s="14" t="n">
        <f aca="false">(parametros_manuales!$D$39*('Plan mensual'!M46+IF(parametros_manuales!$H$39="Todos",'Plan mensual'!M50,0))+parametros_manuales!$E$39*('Plan mensual'!M47+IF(parametros_manuales!$H$39="Todos",'Plan mensual'!M51,0))+parametros_manuales!$F$39*('Plan mensual'!M48+IF(parametros_manuales!$H$39="Todos",'Plan mensual'!M52,0))+parametros_manuales!$G$39*('Plan mensual'!M49+IF(parametros_manuales!$H$39="Todos",'Plan mensual'!M53,0)))*parametros_manuales!$I$39*parametros_manuales!$J$39</f>
        <v>1988.5054145925</v>
      </c>
      <c r="L134" s="14" t="n">
        <f aca="false">(parametros_manuales!$D$39*('Plan mensual'!N46+IF(parametros_manuales!$H$39="Todos",'Plan mensual'!N50,0))+parametros_manuales!$E$39*('Plan mensual'!N47+IF(parametros_manuales!$H$39="Todos",'Plan mensual'!N51,0))+parametros_manuales!$F$39*('Plan mensual'!N48+IF(parametros_manuales!$H$39="Todos",'Plan mensual'!N52,0))+parametros_manuales!$G$39*('Plan mensual'!N49+IF(parametros_manuales!$H$39="Todos",'Plan mensual'!N53,0)))*parametros_manuales!$I$39*parametros_manuales!$J$39</f>
        <v>1919.341550503</v>
      </c>
      <c r="M134" s="14" t="n">
        <f aca="false">(parametros_manuales!$D$39*('Plan mensual'!O46+IF(parametros_manuales!$H$39="Todos",'Plan mensual'!O50,0))+parametros_manuales!$E$39*('Plan mensual'!O47+IF(parametros_manuales!$H$39="Todos",'Plan mensual'!O51,0))+parametros_manuales!$F$39*('Plan mensual'!O48+IF(parametros_manuales!$H$39="Todos",'Plan mensual'!O52,0))+parametros_manuales!$G$39*('Plan mensual'!O49+IF(parametros_manuales!$H$39="Todos",'Plan mensual'!O53,0)))*parametros_manuales!$I$39*parametros_manuales!$J$39</f>
        <v>3043.280935169</v>
      </c>
      <c r="N134" s="14" t="n">
        <f aca="false">SUM(B134:M134)</f>
        <v>26513.4055279</v>
      </c>
      <c r="O134" s="14" t="n">
        <f aca="false">MAX(B134:M134)</f>
        <v>3043.280935169</v>
      </c>
      <c r="P134" s="57" t="n">
        <f aca="false">O134/(parametros_manuales!$B$7)</f>
        <v>20.2885395677933</v>
      </c>
      <c r="Q134" s="13" t="str">
        <f aca="false">IF(O134=0,"-",INDEX($B$113:$M$113,MATCH(O134,B134:M134,0)))</f>
        <v>Dic</v>
      </c>
    </row>
    <row r="135" customFormat="false" ht="14.25" hidden="false" customHeight="true" outlineLevel="0" collapsed="false">
      <c r="A135" s="13" t="str">
        <f aca="false">parametros_manuales!$B$40</f>
        <v>Ensamblaje</v>
      </c>
      <c r="B135" s="14" t="n">
        <f aca="false">(parametros_manuales!$D$40*('Plan mensual'!D46+IF(parametros_manuales!$H$40="Todos",'Plan mensual'!D50,0))+parametros_manuales!$E$40*('Plan mensual'!D47+IF(parametros_manuales!$H$40="Todos",'Plan mensual'!D51,0))+parametros_manuales!$F$40*('Plan mensual'!D48+IF(parametros_manuales!$H$40="Todos",'Plan mensual'!D52,0))+parametros_manuales!$G$40*('Plan mensual'!D49+IF(parametros_manuales!$H$40="Todos",'Plan mensual'!D53,0)))*parametros_manuales!$I$40*parametros_manuales!$J$40</f>
        <v>2904.95320699</v>
      </c>
      <c r="C135" s="14" t="n">
        <f aca="false">(parametros_manuales!$D$40*('Plan mensual'!E46+IF(parametros_manuales!$H$40="Todos",'Plan mensual'!E50,0))+parametros_manuales!$E$40*('Plan mensual'!E47+IF(parametros_manuales!$H$40="Todos",'Plan mensual'!E51,0))+parametros_manuales!$F$40*('Plan mensual'!E48+IF(parametros_manuales!$H$40="Todos",'Plan mensual'!E52,0))+parametros_manuales!$G$40*('Plan mensual'!E49+IF(parametros_manuales!$H$40="Todos",'Plan mensual'!E53,0)))*parametros_manuales!$I$40*parametros_manuales!$J$40</f>
        <v>2247.878769332</v>
      </c>
      <c r="D135" s="14" t="n">
        <f aca="false">(parametros_manuales!$D$40*('Plan mensual'!F46+IF(parametros_manuales!$H$40="Todos",'Plan mensual'!F50,0))+parametros_manuales!$E$40*('Plan mensual'!F47+IF(parametros_manuales!$H$40="Todos",'Plan mensual'!F51,0))+parametros_manuales!$F$40*('Plan mensual'!F48+IF(parametros_manuales!$H$40="Todos",'Plan mensual'!F52,0))+parametros_manuales!$G$40*('Plan mensual'!F49+IF(parametros_manuales!$H$40="Todos",'Plan mensual'!F53,0)))*parametros_manuales!$I$40*parametros_manuales!$J$40</f>
        <v>2190.2363063215</v>
      </c>
      <c r="E135" s="14" t="n">
        <f aca="false">(parametros_manuales!$D$40*('Plan mensual'!G46+IF(parametros_manuales!$H$40="Todos",'Plan mensual'!G50,0))+parametros_manuales!$E$40*('Plan mensual'!G47+IF(parametros_manuales!$H$40="Todos",'Plan mensual'!G51,0))+parametros_manuales!$F$40*('Plan mensual'!G48+IF(parametros_manuales!$H$40="Todos",'Plan mensual'!G52,0))+parametros_manuales!$G$40*('Plan mensual'!G49+IF(parametros_manuales!$H$40="Todos",'Plan mensual'!G53,0)))*parametros_manuales!$I$40*parametros_manuales!$J$40</f>
        <v>2126.8331427715</v>
      </c>
      <c r="F135" s="14" t="n">
        <f aca="false">(parametros_manuales!$D$40*('Plan mensual'!H46+IF(parametros_manuales!$H$40="Todos",'Plan mensual'!H50,0))+parametros_manuales!$E$40*('Plan mensual'!H47+IF(parametros_manuales!$H$40="Todos",'Plan mensual'!H51,0))+parametros_manuales!$F$40*('Plan mensual'!H48+IF(parametros_manuales!$H$40="Todos",'Plan mensual'!H52,0))+parametros_manuales!$G$40*('Plan mensual'!H49+IF(parametros_manuales!$H$40="Todos",'Plan mensual'!H53,0)))*parametros_manuales!$I$40*parametros_manuales!$J$40</f>
        <v>1994.266115132</v>
      </c>
      <c r="G135" s="14" t="n">
        <f aca="false">(parametros_manuales!$D$40*('Plan mensual'!I46+IF(parametros_manuales!$H$40="Todos",'Plan mensual'!I50,0))+parametros_manuales!$E$40*('Plan mensual'!I47+IF(parametros_manuales!$H$40="Todos",'Plan mensual'!I51,0))+parametros_manuales!$F$40*('Plan mensual'!I48+IF(parametros_manuales!$H$40="Todos",'Plan mensual'!I52,0))+parametros_manuales!$G$40*('Plan mensual'!I49+IF(parametros_manuales!$H$40="Todos",'Plan mensual'!I53,0)))*parametros_manuales!$I$40*parametros_manuales!$J$40</f>
        <v>1925.1022510425</v>
      </c>
      <c r="H135" s="14" t="n">
        <f aca="false">(parametros_manuales!$D$40*('Plan mensual'!J46+IF(parametros_manuales!$H$40="Todos",'Plan mensual'!J50,0))+parametros_manuales!$E$40*('Plan mensual'!J47+IF(parametros_manuales!$H$40="Todos",'Plan mensual'!J51,0))+parametros_manuales!$F$40*('Plan mensual'!J48+IF(parametros_manuales!$H$40="Todos",'Plan mensual'!J52,0))+parametros_manuales!$G$40*('Plan mensual'!J49+IF(parametros_manuales!$H$40="Todos",'Plan mensual'!J53,0)))*parametros_manuales!$I$40*parametros_manuales!$J$40</f>
        <v>2057.669278682</v>
      </c>
      <c r="I135" s="14" t="n">
        <f aca="false">(parametros_manuales!$D$40*('Plan mensual'!K46+IF(parametros_manuales!$H$40="Todos",'Plan mensual'!K50,0))+parametros_manuales!$E$40*('Plan mensual'!K47+IF(parametros_manuales!$H$40="Todos",'Plan mensual'!K51,0))+parametros_manuales!$F$40*('Plan mensual'!K48+IF(parametros_manuales!$H$40="Todos",'Plan mensual'!K52,0))+parametros_manuales!$G$40*('Plan mensual'!K49+IF(parametros_manuales!$H$40="Todos",'Plan mensual'!K53,0)))*parametros_manuales!$I$40*parametros_manuales!$J$40</f>
        <v>2057.669278682</v>
      </c>
      <c r="J135" s="14" t="n">
        <f aca="false">(parametros_manuales!$D$40*('Plan mensual'!L46+IF(parametros_manuales!$H$40="Todos",'Plan mensual'!L50,0))+parametros_manuales!$E$40*('Plan mensual'!L47+IF(parametros_manuales!$H$40="Todos",'Plan mensual'!L51,0))+parametros_manuales!$F$40*('Plan mensual'!L48+IF(parametros_manuales!$H$40="Todos",'Plan mensual'!L52,0))+parametros_manuales!$G$40*('Plan mensual'!L49+IF(parametros_manuales!$H$40="Todos",'Plan mensual'!L53,0)))*parametros_manuales!$I$40*parametros_manuales!$J$40</f>
        <v>2057.669278682</v>
      </c>
      <c r="K135" s="14" t="n">
        <f aca="false">(parametros_manuales!$D$40*('Plan mensual'!M46+IF(parametros_manuales!$H$40="Todos",'Plan mensual'!M50,0))+parametros_manuales!$E$40*('Plan mensual'!M47+IF(parametros_manuales!$H$40="Todos",'Plan mensual'!M51,0))+parametros_manuales!$F$40*('Plan mensual'!M48+IF(parametros_manuales!$H$40="Todos",'Plan mensual'!M52,0))+parametros_manuales!$G$40*('Plan mensual'!M49+IF(parametros_manuales!$H$40="Todos",'Plan mensual'!M53,0)))*parametros_manuales!$I$40*parametros_manuales!$J$40</f>
        <v>1988.5054145925</v>
      </c>
      <c r="L135" s="14" t="n">
        <f aca="false">(parametros_manuales!$D$40*('Plan mensual'!N46+IF(parametros_manuales!$H$40="Todos",'Plan mensual'!N50,0))+parametros_manuales!$E$40*('Plan mensual'!N47+IF(parametros_manuales!$H$40="Todos",'Plan mensual'!N51,0))+parametros_manuales!$F$40*('Plan mensual'!N48+IF(parametros_manuales!$H$40="Todos",'Plan mensual'!N52,0))+parametros_manuales!$G$40*('Plan mensual'!N49+IF(parametros_manuales!$H$40="Todos",'Plan mensual'!N53,0)))*parametros_manuales!$I$40*parametros_manuales!$J$40</f>
        <v>1919.341550503</v>
      </c>
      <c r="M135" s="14" t="n">
        <f aca="false">(parametros_manuales!$D$40*('Plan mensual'!O46+IF(parametros_manuales!$H$40="Todos",'Plan mensual'!O50,0))+parametros_manuales!$E$40*('Plan mensual'!O47+IF(parametros_manuales!$H$40="Todos",'Plan mensual'!O51,0))+parametros_manuales!$F$40*('Plan mensual'!O48+IF(parametros_manuales!$H$40="Todos",'Plan mensual'!O52,0))+parametros_manuales!$G$40*('Plan mensual'!O49+IF(parametros_manuales!$H$40="Todos",'Plan mensual'!O53,0)))*parametros_manuales!$I$40*parametros_manuales!$J$40</f>
        <v>3043.280935169</v>
      </c>
      <c r="N135" s="14" t="n">
        <f aca="false">SUM(B135:M135)</f>
        <v>26513.4055279</v>
      </c>
      <c r="O135" s="14" t="n">
        <f aca="false">MAX(B135:M135)</f>
        <v>3043.280935169</v>
      </c>
      <c r="P135" s="57" t="n">
        <f aca="false">O135/(parametros_manuales!$B$7)</f>
        <v>20.2885395677933</v>
      </c>
      <c r="Q135" s="13" t="str">
        <f aca="false">IF(O135=0,"-",INDEX($B$113:$M$113,MATCH(O135,B135:M135,0)))</f>
        <v>Dic</v>
      </c>
    </row>
    <row r="136" customFormat="false" ht="14.25" hidden="false" customHeight="true" outlineLevel="0" collapsed="false">
      <c r="A136" s="13" t="str">
        <f aca="false">parametros_manuales!$B$41</f>
        <v>Presurización</v>
      </c>
      <c r="B136" s="14" t="n">
        <f aca="false">(parametros_manuales!$D$41*('Plan mensual'!D46+IF(parametros_manuales!$H$41="Todos",'Plan mensual'!D50,0))+parametros_manuales!$E$41*('Plan mensual'!D47+IF(parametros_manuales!$H$41="Todos",'Plan mensual'!D51,0))+parametros_manuales!$F$41*('Plan mensual'!D48+IF(parametros_manuales!$H$41="Todos",'Plan mensual'!D52,0))+parametros_manuales!$G$41*('Plan mensual'!D49+IF(parametros_manuales!$H$41="Todos",'Plan mensual'!D53,0)))*parametros_manuales!$I$41*parametros_manuales!$J$41</f>
        <v>2904.95320699</v>
      </c>
      <c r="C136" s="14" t="n">
        <f aca="false">(parametros_manuales!$D$41*('Plan mensual'!E46+IF(parametros_manuales!$H$41="Todos",'Plan mensual'!E50,0))+parametros_manuales!$E$41*('Plan mensual'!E47+IF(parametros_manuales!$H$41="Todos",'Plan mensual'!E51,0))+parametros_manuales!$F$41*('Plan mensual'!E48+IF(parametros_manuales!$H$41="Todos",'Plan mensual'!E52,0))+parametros_manuales!$G$41*('Plan mensual'!E49+IF(parametros_manuales!$H$41="Todos",'Plan mensual'!E53,0)))*parametros_manuales!$I$41*parametros_manuales!$J$41</f>
        <v>2247.878769332</v>
      </c>
      <c r="D136" s="14" t="n">
        <f aca="false">(parametros_manuales!$D$41*('Plan mensual'!F46+IF(parametros_manuales!$H$41="Todos",'Plan mensual'!F50,0))+parametros_manuales!$E$41*('Plan mensual'!F47+IF(parametros_manuales!$H$41="Todos",'Plan mensual'!F51,0))+parametros_manuales!$F$41*('Plan mensual'!F48+IF(parametros_manuales!$H$41="Todos",'Plan mensual'!F52,0))+parametros_manuales!$G$41*('Plan mensual'!F49+IF(parametros_manuales!$H$41="Todos",'Plan mensual'!F53,0)))*parametros_manuales!$I$41*parametros_manuales!$J$41</f>
        <v>2190.2363063215</v>
      </c>
      <c r="E136" s="14" t="n">
        <f aca="false">(parametros_manuales!$D$41*('Plan mensual'!G46+IF(parametros_manuales!$H$41="Todos",'Plan mensual'!G50,0))+parametros_manuales!$E$41*('Plan mensual'!G47+IF(parametros_manuales!$H$41="Todos",'Plan mensual'!G51,0))+parametros_manuales!$F$41*('Plan mensual'!G48+IF(parametros_manuales!$H$41="Todos",'Plan mensual'!G52,0))+parametros_manuales!$G$41*('Plan mensual'!G49+IF(parametros_manuales!$H$41="Todos",'Plan mensual'!G53,0)))*parametros_manuales!$I$41*parametros_manuales!$J$41</f>
        <v>2126.8331427715</v>
      </c>
      <c r="F136" s="14" t="n">
        <f aca="false">(parametros_manuales!$D$41*('Plan mensual'!H46+IF(parametros_manuales!$H$41="Todos",'Plan mensual'!H50,0))+parametros_manuales!$E$41*('Plan mensual'!H47+IF(parametros_manuales!$H$41="Todos",'Plan mensual'!H51,0))+parametros_manuales!$F$41*('Plan mensual'!H48+IF(parametros_manuales!$H$41="Todos",'Plan mensual'!H52,0))+parametros_manuales!$G$41*('Plan mensual'!H49+IF(parametros_manuales!$H$41="Todos",'Plan mensual'!H53,0)))*parametros_manuales!$I$41*parametros_manuales!$J$41</f>
        <v>1994.266115132</v>
      </c>
      <c r="G136" s="14" t="n">
        <f aca="false">(parametros_manuales!$D$41*('Plan mensual'!I46+IF(parametros_manuales!$H$41="Todos",'Plan mensual'!I50,0))+parametros_manuales!$E$41*('Plan mensual'!I47+IF(parametros_manuales!$H$41="Todos",'Plan mensual'!I51,0))+parametros_manuales!$F$41*('Plan mensual'!I48+IF(parametros_manuales!$H$41="Todos",'Plan mensual'!I52,0))+parametros_manuales!$G$41*('Plan mensual'!I49+IF(parametros_manuales!$H$41="Todos",'Plan mensual'!I53,0)))*parametros_manuales!$I$41*parametros_manuales!$J$41</f>
        <v>1925.1022510425</v>
      </c>
      <c r="H136" s="14" t="n">
        <f aca="false">(parametros_manuales!$D$41*('Plan mensual'!J46+IF(parametros_manuales!$H$41="Todos",'Plan mensual'!J50,0))+parametros_manuales!$E$41*('Plan mensual'!J47+IF(parametros_manuales!$H$41="Todos",'Plan mensual'!J51,0))+parametros_manuales!$F$41*('Plan mensual'!J48+IF(parametros_manuales!$H$41="Todos",'Plan mensual'!J52,0))+parametros_manuales!$G$41*('Plan mensual'!J49+IF(parametros_manuales!$H$41="Todos",'Plan mensual'!J53,0)))*parametros_manuales!$I$41*parametros_manuales!$J$41</f>
        <v>2057.669278682</v>
      </c>
      <c r="I136" s="14" t="n">
        <f aca="false">(parametros_manuales!$D$41*('Plan mensual'!K46+IF(parametros_manuales!$H$41="Todos",'Plan mensual'!K50,0))+parametros_manuales!$E$41*('Plan mensual'!K47+IF(parametros_manuales!$H$41="Todos",'Plan mensual'!K51,0))+parametros_manuales!$F$41*('Plan mensual'!K48+IF(parametros_manuales!$H$41="Todos",'Plan mensual'!K52,0))+parametros_manuales!$G$41*('Plan mensual'!K49+IF(parametros_manuales!$H$41="Todos",'Plan mensual'!K53,0)))*parametros_manuales!$I$41*parametros_manuales!$J$41</f>
        <v>2057.669278682</v>
      </c>
      <c r="J136" s="14" t="n">
        <f aca="false">(parametros_manuales!$D$41*('Plan mensual'!L46+IF(parametros_manuales!$H$41="Todos",'Plan mensual'!L50,0))+parametros_manuales!$E$41*('Plan mensual'!L47+IF(parametros_manuales!$H$41="Todos",'Plan mensual'!L51,0))+parametros_manuales!$F$41*('Plan mensual'!L48+IF(parametros_manuales!$H$41="Todos",'Plan mensual'!L52,0))+parametros_manuales!$G$41*('Plan mensual'!L49+IF(parametros_manuales!$H$41="Todos",'Plan mensual'!L53,0)))*parametros_manuales!$I$41*parametros_manuales!$J$41</f>
        <v>2057.669278682</v>
      </c>
      <c r="K136" s="14" t="n">
        <f aca="false">(parametros_manuales!$D$41*('Plan mensual'!M46+IF(parametros_manuales!$H$41="Todos",'Plan mensual'!M50,0))+parametros_manuales!$E$41*('Plan mensual'!M47+IF(parametros_manuales!$H$41="Todos",'Plan mensual'!M51,0))+parametros_manuales!$F$41*('Plan mensual'!M48+IF(parametros_manuales!$H$41="Todos",'Plan mensual'!M52,0))+parametros_manuales!$G$41*('Plan mensual'!M49+IF(parametros_manuales!$H$41="Todos",'Plan mensual'!M53,0)))*parametros_manuales!$I$41*parametros_manuales!$J$41</f>
        <v>1988.5054145925</v>
      </c>
      <c r="L136" s="14" t="n">
        <f aca="false">(parametros_manuales!$D$41*('Plan mensual'!N46+IF(parametros_manuales!$H$41="Todos",'Plan mensual'!N50,0))+parametros_manuales!$E$41*('Plan mensual'!N47+IF(parametros_manuales!$H$41="Todos",'Plan mensual'!N51,0))+parametros_manuales!$F$41*('Plan mensual'!N48+IF(parametros_manuales!$H$41="Todos",'Plan mensual'!N52,0))+parametros_manuales!$G$41*('Plan mensual'!N49+IF(parametros_manuales!$H$41="Todos",'Plan mensual'!N53,0)))*parametros_manuales!$I$41*parametros_manuales!$J$41</f>
        <v>1919.341550503</v>
      </c>
      <c r="M136" s="14" t="n">
        <f aca="false">(parametros_manuales!$D$41*('Plan mensual'!O46+IF(parametros_manuales!$H$41="Todos",'Plan mensual'!O50,0))+parametros_manuales!$E$41*('Plan mensual'!O47+IF(parametros_manuales!$H$41="Todos",'Plan mensual'!O51,0))+parametros_manuales!$F$41*('Plan mensual'!O48+IF(parametros_manuales!$H$41="Todos",'Plan mensual'!O52,0))+parametros_manuales!$G$41*('Plan mensual'!O49+IF(parametros_manuales!$H$41="Todos",'Plan mensual'!O53,0)))*parametros_manuales!$I$41*parametros_manuales!$J$41</f>
        <v>3043.280935169</v>
      </c>
      <c r="N136" s="14" t="n">
        <f aca="false">SUM(B136:M136)</f>
        <v>26513.4055279</v>
      </c>
      <c r="O136" s="14" t="n">
        <f aca="false">MAX(B136:M136)</f>
        <v>3043.280935169</v>
      </c>
      <c r="P136" s="57" t="n">
        <f aca="false">O136/(parametros_manuales!$B$7)</f>
        <v>20.2885395677933</v>
      </c>
      <c r="Q136" s="13" t="str">
        <f aca="false">IF(O136=0,"-",INDEX($B$113:$M$113,MATCH(O136,B136:M136,0)))</f>
        <v>Dic</v>
      </c>
    </row>
    <row r="137" customFormat="false" ht="14.25" hidden="false" customHeight="true" outlineLevel="0" collapsed="false">
      <c r="A137" s="13" t="str">
        <f aca="false">parametros_manuales!$B$42</f>
        <v>Control de calidad — Ensayo de pérdidas</v>
      </c>
      <c r="B137" s="14" t="n">
        <f aca="false">(parametros_manuales!$D$42*('Plan mensual'!D46+IF(parametros_manuales!$H$42="Todos",'Plan mensual'!D50,0))+parametros_manuales!$E$42*('Plan mensual'!D47+IF(parametros_manuales!$H$42="Todos",'Plan mensual'!D51,0))+parametros_manuales!$F$42*('Plan mensual'!D48+IF(parametros_manuales!$H$42="Todos",'Plan mensual'!D52,0))+parametros_manuales!$G$42*('Plan mensual'!D49+IF(parametros_manuales!$H$42="Todos",'Plan mensual'!D53,0)))*parametros_manuales!$I$42*parametros_manuales!$J$42</f>
        <v>2904.95320699</v>
      </c>
      <c r="C137" s="14" t="n">
        <f aca="false">(parametros_manuales!$D$42*('Plan mensual'!E46+IF(parametros_manuales!$H$42="Todos",'Plan mensual'!E50,0))+parametros_manuales!$E$42*('Plan mensual'!E47+IF(parametros_manuales!$H$42="Todos",'Plan mensual'!E51,0))+parametros_manuales!$F$42*('Plan mensual'!E48+IF(parametros_manuales!$H$42="Todos",'Plan mensual'!E52,0))+parametros_manuales!$G$42*('Plan mensual'!E49+IF(parametros_manuales!$H$42="Todos",'Plan mensual'!E53,0)))*parametros_manuales!$I$42*parametros_manuales!$J$42</f>
        <v>2247.878769332</v>
      </c>
      <c r="D137" s="14" t="n">
        <f aca="false">(parametros_manuales!$D$42*('Plan mensual'!F46+IF(parametros_manuales!$H$42="Todos",'Plan mensual'!F50,0))+parametros_manuales!$E$42*('Plan mensual'!F47+IF(parametros_manuales!$H$42="Todos",'Plan mensual'!F51,0))+parametros_manuales!$F$42*('Plan mensual'!F48+IF(parametros_manuales!$H$42="Todos",'Plan mensual'!F52,0))+parametros_manuales!$G$42*('Plan mensual'!F49+IF(parametros_manuales!$H$42="Todos",'Plan mensual'!F53,0)))*parametros_manuales!$I$42*parametros_manuales!$J$42</f>
        <v>2190.2363063215</v>
      </c>
      <c r="E137" s="14" t="n">
        <f aca="false">(parametros_manuales!$D$42*('Plan mensual'!G46+IF(parametros_manuales!$H$42="Todos",'Plan mensual'!G50,0))+parametros_manuales!$E$42*('Plan mensual'!G47+IF(parametros_manuales!$H$42="Todos",'Plan mensual'!G51,0))+parametros_manuales!$F$42*('Plan mensual'!G48+IF(parametros_manuales!$H$42="Todos",'Plan mensual'!G52,0))+parametros_manuales!$G$42*('Plan mensual'!G49+IF(parametros_manuales!$H$42="Todos",'Plan mensual'!G53,0)))*parametros_manuales!$I$42*parametros_manuales!$J$42</f>
        <v>2126.8331427715</v>
      </c>
      <c r="F137" s="14" t="n">
        <f aca="false">(parametros_manuales!$D$42*('Plan mensual'!H46+IF(parametros_manuales!$H$42="Todos",'Plan mensual'!H50,0))+parametros_manuales!$E$42*('Plan mensual'!H47+IF(parametros_manuales!$H$42="Todos",'Plan mensual'!H51,0))+parametros_manuales!$F$42*('Plan mensual'!H48+IF(parametros_manuales!$H$42="Todos",'Plan mensual'!H52,0))+parametros_manuales!$G$42*('Plan mensual'!H49+IF(parametros_manuales!$H$42="Todos",'Plan mensual'!H53,0)))*parametros_manuales!$I$42*parametros_manuales!$J$42</f>
        <v>1994.266115132</v>
      </c>
      <c r="G137" s="14" t="n">
        <f aca="false">(parametros_manuales!$D$42*('Plan mensual'!I46+IF(parametros_manuales!$H$42="Todos",'Plan mensual'!I50,0))+parametros_manuales!$E$42*('Plan mensual'!I47+IF(parametros_manuales!$H$42="Todos",'Plan mensual'!I51,0))+parametros_manuales!$F$42*('Plan mensual'!I48+IF(parametros_manuales!$H$42="Todos",'Plan mensual'!I52,0))+parametros_manuales!$G$42*('Plan mensual'!I49+IF(parametros_manuales!$H$42="Todos",'Plan mensual'!I53,0)))*parametros_manuales!$I$42*parametros_manuales!$J$42</f>
        <v>1925.1022510425</v>
      </c>
      <c r="H137" s="14" t="n">
        <f aca="false">(parametros_manuales!$D$42*('Plan mensual'!J46+IF(parametros_manuales!$H$42="Todos",'Plan mensual'!J50,0))+parametros_manuales!$E$42*('Plan mensual'!J47+IF(parametros_manuales!$H$42="Todos",'Plan mensual'!J51,0))+parametros_manuales!$F$42*('Plan mensual'!J48+IF(parametros_manuales!$H$42="Todos",'Plan mensual'!J52,0))+parametros_manuales!$G$42*('Plan mensual'!J49+IF(parametros_manuales!$H$42="Todos",'Plan mensual'!J53,0)))*parametros_manuales!$I$42*parametros_manuales!$J$42</f>
        <v>2057.669278682</v>
      </c>
      <c r="I137" s="14" t="n">
        <f aca="false">(parametros_manuales!$D$42*('Plan mensual'!K46+IF(parametros_manuales!$H$42="Todos",'Plan mensual'!K50,0))+parametros_manuales!$E$42*('Plan mensual'!K47+IF(parametros_manuales!$H$42="Todos",'Plan mensual'!K51,0))+parametros_manuales!$F$42*('Plan mensual'!K48+IF(parametros_manuales!$H$42="Todos",'Plan mensual'!K52,0))+parametros_manuales!$G$42*('Plan mensual'!K49+IF(parametros_manuales!$H$42="Todos",'Plan mensual'!K53,0)))*parametros_manuales!$I$42*parametros_manuales!$J$42</f>
        <v>2057.669278682</v>
      </c>
      <c r="J137" s="14" t="n">
        <f aca="false">(parametros_manuales!$D$42*('Plan mensual'!L46+IF(parametros_manuales!$H$42="Todos",'Plan mensual'!L50,0))+parametros_manuales!$E$42*('Plan mensual'!L47+IF(parametros_manuales!$H$42="Todos",'Plan mensual'!L51,0))+parametros_manuales!$F$42*('Plan mensual'!L48+IF(parametros_manuales!$H$42="Todos",'Plan mensual'!L52,0))+parametros_manuales!$G$42*('Plan mensual'!L49+IF(parametros_manuales!$H$42="Todos",'Plan mensual'!L53,0)))*parametros_manuales!$I$42*parametros_manuales!$J$42</f>
        <v>2057.669278682</v>
      </c>
      <c r="K137" s="14" t="n">
        <f aca="false">(parametros_manuales!$D$42*('Plan mensual'!M46+IF(parametros_manuales!$H$42="Todos",'Plan mensual'!M50,0))+parametros_manuales!$E$42*('Plan mensual'!M47+IF(parametros_manuales!$H$42="Todos",'Plan mensual'!M51,0))+parametros_manuales!$F$42*('Plan mensual'!M48+IF(parametros_manuales!$H$42="Todos",'Plan mensual'!M52,0))+parametros_manuales!$G$42*('Plan mensual'!M49+IF(parametros_manuales!$H$42="Todos",'Plan mensual'!M53,0)))*parametros_manuales!$I$42*parametros_manuales!$J$42</f>
        <v>1988.5054145925</v>
      </c>
      <c r="L137" s="14" t="n">
        <f aca="false">(parametros_manuales!$D$42*('Plan mensual'!N46+IF(parametros_manuales!$H$42="Todos",'Plan mensual'!N50,0))+parametros_manuales!$E$42*('Plan mensual'!N47+IF(parametros_manuales!$H$42="Todos",'Plan mensual'!N51,0))+parametros_manuales!$F$42*('Plan mensual'!N48+IF(parametros_manuales!$H$42="Todos",'Plan mensual'!N52,0))+parametros_manuales!$G$42*('Plan mensual'!N49+IF(parametros_manuales!$H$42="Todos",'Plan mensual'!N53,0)))*parametros_manuales!$I$42*parametros_manuales!$J$42</f>
        <v>1919.341550503</v>
      </c>
      <c r="M137" s="14" t="n">
        <f aca="false">(parametros_manuales!$D$42*('Plan mensual'!O46+IF(parametros_manuales!$H$42="Todos",'Plan mensual'!O50,0))+parametros_manuales!$E$42*('Plan mensual'!O47+IF(parametros_manuales!$H$42="Todos",'Plan mensual'!O51,0))+parametros_manuales!$F$42*('Plan mensual'!O48+IF(parametros_manuales!$H$42="Todos",'Plan mensual'!O52,0))+parametros_manuales!$G$42*('Plan mensual'!O49+IF(parametros_manuales!$H$42="Todos",'Plan mensual'!O53,0)))*parametros_manuales!$I$42*parametros_manuales!$J$42</f>
        <v>3043.280935169</v>
      </c>
      <c r="N137" s="14" t="n">
        <f aca="false">SUM(B137:M137)</f>
        <v>26513.4055279</v>
      </c>
      <c r="O137" s="14" t="n">
        <f aca="false">MAX(B137:M137)</f>
        <v>3043.280935169</v>
      </c>
      <c r="P137" s="57" t="n">
        <f aca="false">O137/(parametros_manuales!$B$7)</f>
        <v>20.2885395677933</v>
      </c>
      <c r="Q137" s="13" t="str">
        <f aca="false">IF(O137=0,"-",INDEX($B$113:$M$113,MATCH(O137,B137:M137,0)))</f>
        <v>Dic</v>
      </c>
    </row>
    <row r="138" customFormat="false" ht="14.25" hidden="false" customHeight="true" outlineLevel="0" collapsed="false">
      <c r="A138" s="13" t="str">
        <f aca="false">parametros_manuales!$B$43</f>
        <v>Etiquetado</v>
      </c>
      <c r="B138" s="14" t="n">
        <f aca="false">(parametros_manuales!$D$43*('Plan mensual'!D46+IF(parametros_manuales!$H$43="Todos",'Plan mensual'!D50,0))+parametros_manuales!$E$43*('Plan mensual'!D47+IF(parametros_manuales!$H$43="Todos",'Plan mensual'!D51,0))+parametros_manuales!$F$43*('Plan mensual'!D48+IF(parametros_manuales!$H$43="Todos",'Plan mensual'!D52,0))+parametros_manuales!$G$43*('Plan mensual'!D49+IF(parametros_manuales!$H$43="Todos",'Plan mensual'!D53,0)))*parametros_manuales!$I$43*parametros_manuales!$J$43</f>
        <v>2904.95320699</v>
      </c>
      <c r="C138" s="14" t="n">
        <f aca="false">(parametros_manuales!$D$43*('Plan mensual'!E46+IF(parametros_manuales!$H$43="Todos",'Plan mensual'!E50,0))+parametros_manuales!$E$43*('Plan mensual'!E47+IF(parametros_manuales!$H$43="Todos",'Plan mensual'!E51,0))+parametros_manuales!$F$43*('Plan mensual'!E48+IF(parametros_manuales!$H$43="Todos",'Plan mensual'!E52,0))+parametros_manuales!$G$43*('Plan mensual'!E49+IF(parametros_manuales!$H$43="Todos",'Plan mensual'!E53,0)))*parametros_manuales!$I$43*parametros_manuales!$J$43</f>
        <v>2247.878769332</v>
      </c>
      <c r="D138" s="14" t="n">
        <f aca="false">(parametros_manuales!$D$43*('Plan mensual'!F46+IF(parametros_manuales!$H$43="Todos",'Plan mensual'!F50,0))+parametros_manuales!$E$43*('Plan mensual'!F47+IF(parametros_manuales!$H$43="Todos",'Plan mensual'!F51,0))+parametros_manuales!$F$43*('Plan mensual'!F48+IF(parametros_manuales!$H$43="Todos",'Plan mensual'!F52,0))+parametros_manuales!$G$43*('Plan mensual'!F49+IF(parametros_manuales!$H$43="Todos",'Plan mensual'!F53,0)))*parametros_manuales!$I$43*parametros_manuales!$J$43</f>
        <v>2190.2363063215</v>
      </c>
      <c r="E138" s="14" t="n">
        <f aca="false">(parametros_manuales!$D$43*('Plan mensual'!G46+IF(parametros_manuales!$H$43="Todos",'Plan mensual'!G50,0))+parametros_manuales!$E$43*('Plan mensual'!G47+IF(parametros_manuales!$H$43="Todos",'Plan mensual'!G51,0))+parametros_manuales!$F$43*('Plan mensual'!G48+IF(parametros_manuales!$H$43="Todos",'Plan mensual'!G52,0))+parametros_manuales!$G$43*('Plan mensual'!G49+IF(parametros_manuales!$H$43="Todos",'Plan mensual'!G53,0)))*parametros_manuales!$I$43*parametros_manuales!$J$43</f>
        <v>2126.8331427715</v>
      </c>
      <c r="F138" s="14" t="n">
        <f aca="false">(parametros_manuales!$D$43*('Plan mensual'!H46+IF(parametros_manuales!$H$43="Todos",'Plan mensual'!H50,0))+parametros_manuales!$E$43*('Plan mensual'!H47+IF(parametros_manuales!$H$43="Todos",'Plan mensual'!H51,0))+parametros_manuales!$F$43*('Plan mensual'!H48+IF(parametros_manuales!$H$43="Todos",'Plan mensual'!H52,0))+parametros_manuales!$G$43*('Plan mensual'!H49+IF(parametros_manuales!$H$43="Todos",'Plan mensual'!H53,0)))*parametros_manuales!$I$43*parametros_manuales!$J$43</f>
        <v>1994.266115132</v>
      </c>
      <c r="G138" s="14" t="n">
        <f aca="false">(parametros_manuales!$D$43*('Plan mensual'!I46+IF(parametros_manuales!$H$43="Todos",'Plan mensual'!I50,0))+parametros_manuales!$E$43*('Plan mensual'!I47+IF(parametros_manuales!$H$43="Todos",'Plan mensual'!I51,0))+parametros_manuales!$F$43*('Plan mensual'!I48+IF(parametros_manuales!$H$43="Todos",'Plan mensual'!I52,0))+parametros_manuales!$G$43*('Plan mensual'!I49+IF(parametros_manuales!$H$43="Todos",'Plan mensual'!I53,0)))*parametros_manuales!$I$43*parametros_manuales!$J$43</f>
        <v>1925.1022510425</v>
      </c>
      <c r="H138" s="14" t="n">
        <f aca="false">(parametros_manuales!$D$43*('Plan mensual'!J46+IF(parametros_manuales!$H$43="Todos",'Plan mensual'!J50,0))+parametros_manuales!$E$43*('Plan mensual'!J47+IF(parametros_manuales!$H$43="Todos",'Plan mensual'!J51,0))+parametros_manuales!$F$43*('Plan mensual'!J48+IF(parametros_manuales!$H$43="Todos",'Plan mensual'!J52,0))+parametros_manuales!$G$43*('Plan mensual'!J49+IF(parametros_manuales!$H$43="Todos",'Plan mensual'!J53,0)))*parametros_manuales!$I$43*parametros_manuales!$J$43</f>
        <v>2057.669278682</v>
      </c>
      <c r="I138" s="14" t="n">
        <f aca="false">(parametros_manuales!$D$43*('Plan mensual'!K46+IF(parametros_manuales!$H$43="Todos",'Plan mensual'!K50,0))+parametros_manuales!$E$43*('Plan mensual'!K47+IF(parametros_manuales!$H$43="Todos",'Plan mensual'!K51,0))+parametros_manuales!$F$43*('Plan mensual'!K48+IF(parametros_manuales!$H$43="Todos",'Plan mensual'!K52,0))+parametros_manuales!$G$43*('Plan mensual'!K49+IF(parametros_manuales!$H$43="Todos",'Plan mensual'!K53,0)))*parametros_manuales!$I$43*parametros_manuales!$J$43</f>
        <v>2057.669278682</v>
      </c>
      <c r="J138" s="14" t="n">
        <f aca="false">(parametros_manuales!$D$43*('Plan mensual'!L46+IF(parametros_manuales!$H$43="Todos",'Plan mensual'!L50,0))+parametros_manuales!$E$43*('Plan mensual'!L47+IF(parametros_manuales!$H$43="Todos",'Plan mensual'!L51,0))+parametros_manuales!$F$43*('Plan mensual'!L48+IF(parametros_manuales!$H$43="Todos",'Plan mensual'!L52,0))+parametros_manuales!$G$43*('Plan mensual'!L49+IF(parametros_manuales!$H$43="Todos",'Plan mensual'!L53,0)))*parametros_manuales!$I$43*parametros_manuales!$J$43</f>
        <v>2057.669278682</v>
      </c>
      <c r="K138" s="14" t="n">
        <f aca="false">(parametros_manuales!$D$43*('Plan mensual'!M46+IF(parametros_manuales!$H$43="Todos",'Plan mensual'!M50,0))+parametros_manuales!$E$43*('Plan mensual'!M47+IF(parametros_manuales!$H$43="Todos",'Plan mensual'!M51,0))+parametros_manuales!$F$43*('Plan mensual'!M48+IF(parametros_manuales!$H$43="Todos",'Plan mensual'!M52,0))+parametros_manuales!$G$43*('Plan mensual'!M49+IF(parametros_manuales!$H$43="Todos",'Plan mensual'!M53,0)))*parametros_manuales!$I$43*parametros_manuales!$J$43</f>
        <v>1988.5054145925</v>
      </c>
      <c r="L138" s="14" t="n">
        <f aca="false">(parametros_manuales!$D$43*('Plan mensual'!N46+IF(parametros_manuales!$H$43="Todos",'Plan mensual'!N50,0))+parametros_manuales!$E$43*('Plan mensual'!N47+IF(parametros_manuales!$H$43="Todos",'Plan mensual'!N51,0))+parametros_manuales!$F$43*('Plan mensual'!N48+IF(parametros_manuales!$H$43="Todos",'Plan mensual'!N52,0))+parametros_manuales!$G$43*('Plan mensual'!N49+IF(parametros_manuales!$H$43="Todos",'Plan mensual'!N53,0)))*parametros_manuales!$I$43*parametros_manuales!$J$43</f>
        <v>1919.341550503</v>
      </c>
      <c r="M138" s="14" t="n">
        <f aca="false">(parametros_manuales!$D$43*('Plan mensual'!O46+IF(parametros_manuales!$H$43="Todos",'Plan mensual'!O50,0))+parametros_manuales!$E$43*('Plan mensual'!O47+IF(parametros_manuales!$H$43="Todos",'Plan mensual'!O51,0))+parametros_manuales!$F$43*('Plan mensual'!O48+IF(parametros_manuales!$H$43="Todos",'Plan mensual'!O52,0))+parametros_manuales!$G$43*('Plan mensual'!O49+IF(parametros_manuales!$H$43="Todos",'Plan mensual'!O53,0)))*parametros_manuales!$I$43*parametros_manuales!$J$43</f>
        <v>3043.280935169</v>
      </c>
      <c r="N138" s="14" t="n">
        <f aca="false">SUM(B138:M138)</f>
        <v>26513.4055279</v>
      </c>
      <c r="O138" s="14" t="n">
        <f aca="false">MAX(B138:M138)</f>
        <v>3043.280935169</v>
      </c>
      <c r="P138" s="57" t="n">
        <f aca="false">O138/(parametros_manuales!$B$7)</f>
        <v>20.2885395677933</v>
      </c>
      <c r="Q138" s="13" t="str">
        <f aca="false">IF(O138=0,"-",INDEX($B$113:$M$113,MATCH(O138,B138:M138,0)))</f>
        <v>Dic</v>
      </c>
    </row>
    <row r="139" customFormat="false" ht="14.25" hidden="false" customHeight="true" outlineLevel="0" collapsed="false">
      <c r="A139" s="13" t="str">
        <f aca="false">parametros_manuales!$B$44</f>
        <v>Embalaje y paletizado</v>
      </c>
      <c r="B139" s="14" t="n">
        <f aca="false">(parametros_manuales!$D$44*('Plan mensual'!D46+IF(parametros_manuales!$H$44="Todos",'Plan mensual'!D50,0))+parametros_manuales!$E$44*('Plan mensual'!D47+IF(parametros_manuales!$H$44="Todos",'Plan mensual'!D51,0))+parametros_manuales!$F$44*('Plan mensual'!D48+IF(parametros_manuales!$H$44="Todos",'Plan mensual'!D52,0))+parametros_manuales!$G$44*('Plan mensual'!D49+IF(parametros_manuales!$H$44="Todos",'Plan mensual'!D53,0)))*parametros_manuales!$I$44*parametros_manuales!$J$44</f>
        <v>10061.63720699</v>
      </c>
      <c r="C139" s="14" t="n">
        <f aca="false">(parametros_manuales!$D$44*('Plan mensual'!E46+IF(parametros_manuales!$H$44="Todos",'Plan mensual'!E50,0))+parametros_manuales!$E$44*('Plan mensual'!E47+IF(parametros_manuales!$H$44="Todos",'Plan mensual'!E51,0))+parametros_manuales!$F$44*('Plan mensual'!E48+IF(parametros_manuales!$H$44="Todos",'Plan mensual'!E52,0))+parametros_manuales!$G$44*('Plan mensual'!E49+IF(parametros_manuales!$H$44="Todos",'Plan mensual'!E53,0)))*parametros_manuales!$I$44*parametros_manuales!$J$44</f>
        <v>7676.617169332</v>
      </c>
      <c r="D139" s="14" t="n">
        <f aca="false">(parametros_manuales!$D$44*('Plan mensual'!F46+IF(parametros_manuales!$H$44="Todos",'Plan mensual'!F50,0))+parametros_manuales!$E$44*('Plan mensual'!F47+IF(parametros_manuales!$H$44="Todos",'Plan mensual'!F51,0))+parametros_manuales!$F$44*('Plan mensual'!F48+IF(parametros_manuales!$H$44="Todos",'Plan mensual'!F52,0))+parametros_manuales!$G$44*('Plan mensual'!F49+IF(parametros_manuales!$H$44="Todos",'Plan mensual'!F53,0)))*parametros_manuales!$I$44*parametros_manuales!$J$44</f>
        <v>7185.8521063215</v>
      </c>
      <c r="E139" s="14" t="n">
        <f aca="false">(parametros_manuales!$D$44*('Plan mensual'!G46+IF(parametros_manuales!$H$44="Todos",'Plan mensual'!G50,0))+parametros_manuales!$E$44*('Plan mensual'!G47+IF(parametros_manuales!$H$44="Todos",'Plan mensual'!G51,0))+parametros_manuales!$F$44*('Plan mensual'!G48+IF(parametros_manuales!$H$44="Todos",'Plan mensual'!G52,0))+parametros_manuales!$G$44*('Plan mensual'!G49+IF(parametros_manuales!$H$44="Todos",'Plan mensual'!G53,0)))*parametros_manuales!$I$44*parametros_manuales!$J$44</f>
        <v>6875.2749427715</v>
      </c>
      <c r="F139" s="14" t="n">
        <f aca="false">(parametros_manuales!$D$44*('Plan mensual'!H46+IF(parametros_manuales!$H$44="Todos",'Plan mensual'!H50,0))+parametros_manuales!$E$44*('Plan mensual'!H47+IF(parametros_manuales!$H$44="Todos",'Plan mensual'!H51,0))+parametros_manuales!$F$44*('Plan mensual'!H48+IF(parametros_manuales!$H$44="Todos",'Plan mensual'!H52,0))+parametros_manuales!$G$44*('Plan mensual'!H49+IF(parametros_manuales!$H$44="Todos",'Plan mensual'!H53,0)))*parametros_manuales!$I$44*parametros_manuales!$J$44</f>
        <v>6434.308515132</v>
      </c>
      <c r="G139" s="14" t="n">
        <f aca="false">(parametros_manuales!$D$44*('Plan mensual'!I46+IF(parametros_manuales!$H$44="Todos",'Plan mensual'!I50,0))+parametros_manuales!$E$44*('Plan mensual'!I47+IF(parametros_manuales!$H$44="Todos",'Plan mensual'!I51,0))+parametros_manuales!$F$44*('Plan mensual'!I48+IF(parametros_manuales!$H$44="Todos",'Plan mensual'!I52,0))+parametros_manuales!$G$44*('Plan mensual'!I49+IF(parametros_manuales!$H$44="Todos",'Plan mensual'!I53,0)))*parametros_manuales!$I$44*parametros_manuales!$J$44</f>
        <v>6303.9192510425</v>
      </c>
      <c r="H139" s="14" t="n">
        <f aca="false">(parametros_manuales!$D$44*('Plan mensual'!J46+IF(parametros_manuales!$H$44="Todos",'Plan mensual'!J50,0))+parametros_manuales!$E$44*('Plan mensual'!J47+IF(parametros_manuales!$H$44="Todos",'Plan mensual'!J51,0))+parametros_manuales!$F$44*('Plan mensual'!J48+IF(parametros_manuales!$H$44="Todos",'Plan mensual'!J52,0))+parametros_manuales!$G$44*('Plan mensual'!J49+IF(parametros_manuales!$H$44="Todos",'Plan mensual'!J53,0)))*parametros_manuales!$I$44*parametros_manuales!$J$44</f>
        <v>6744.885678682</v>
      </c>
      <c r="I139" s="14" t="n">
        <f aca="false">(parametros_manuales!$D$44*('Plan mensual'!K46+IF(parametros_manuales!$H$44="Todos",'Plan mensual'!K50,0))+parametros_manuales!$E$44*('Plan mensual'!K47+IF(parametros_manuales!$H$44="Todos",'Plan mensual'!K51,0))+parametros_manuales!$F$44*('Plan mensual'!K48+IF(parametros_manuales!$H$44="Todos",'Plan mensual'!K52,0))+parametros_manuales!$G$44*('Plan mensual'!K49+IF(parametros_manuales!$H$44="Todos",'Plan mensual'!K53,0)))*parametros_manuales!$I$44*parametros_manuales!$J$44</f>
        <v>6744.885678682</v>
      </c>
      <c r="J139" s="14" t="n">
        <f aca="false">(parametros_manuales!$D$44*('Plan mensual'!L46+IF(parametros_manuales!$H$44="Todos",'Plan mensual'!L50,0))+parametros_manuales!$E$44*('Plan mensual'!L47+IF(parametros_manuales!$H$44="Todos",'Plan mensual'!L51,0))+parametros_manuales!$F$44*('Plan mensual'!L48+IF(parametros_manuales!$H$44="Todos",'Plan mensual'!L52,0))+parametros_manuales!$G$44*('Plan mensual'!L49+IF(parametros_manuales!$H$44="Todos",'Plan mensual'!L53,0)))*parametros_manuales!$I$44*parametros_manuales!$J$44</f>
        <v>6744.885678682</v>
      </c>
      <c r="K139" s="14" t="n">
        <f aca="false">(parametros_manuales!$D$44*('Plan mensual'!M46+IF(parametros_manuales!$H$44="Todos",'Plan mensual'!M50,0))+parametros_manuales!$E$44*('Plan mensual'!M47+IF(parametros_manuales!$H$44="Todos",'Plan mensual'!M51,0))+parametros_manuales!$F$44*('Plan mensual'!M48+IF(parametros_manuales!$H$44="Todos",'Plan mensual'!M52,0))+parametros_manuales!$G$44*('Plan mensual'!M49+IF(parametros_manuales!$H$44="Todos",'Plan mensual'!M53,0)))*parametros_manuales!$I$44*parametros_manuales!$J$44</f>
        <v>6614.4964145925</v>
      </c>
      <c r="L139" s="14" t="n">
        <f aca="false">(parametros_manuales!$D$44*('Plan mensual'!N46+IF(parametros_manuales!$H$44="Todos",'Plan mensual'!N50,0))+parametros_manuales!$E$44*('Plan mensual'!N47+IF(parametros_manuales!$H$44="Todos",'Plan mensual'!N51,0))+parametros_manuales!$F$44*('Plan mensual'!N48+IF(parametros_manuales!$H$44="Todos",'Plan mensual'!N52,0))+parametros_manuales!$G$44*('Plan mensual'!N49+IF(parametros_manuales!$H$44="Todos",'Plan mensual'!N53,0)))*parametros_manuales!$I$44*parametros_manuales!$J$44</f>
        <v>6484.107150503</v>
      </c>
      <c r="M139" s="14" t="n">
        <f aca="false">(parametros_manuales!$D$44*('Plan mensual'!O46+IF(parametros_manuales!$H$44="Todos",'Plan mensual'!O50,0))+parametros_manuales!$E$44*('Plan mensual'!O47+IF(parametros_manuales!$H$44="Todos",'Plan mensual'!O51,0))+parametros_manuales!$F$44*('Plan mensual'!O48+IF(parametros_manuales!$H$44="Todos",'Plan mensual'!O52,0))+parametros_manuales!$G$44*('Plan mensual'!O49+IF(parametros_manuales!$H$44="Todos",'Plan mensual'!O53,0)))*parametros_manuales!$I$44*parametros_manuales!$J$44</f>
        <v>10322.415735169</v>
      </c>
      <c r="N139" s="14" t="n">
        <f aca="false">SUM(B139:M139)</f>
        <v>88193.2855279</v>
      </c>
      <c r="O139" s="14" t="n">
        <f aca="false">MAX(B139:M139)</f>
        <v>10322.415735169</v>
      </c>
      <c r="P139" s="57" t="n">
        <f aca="false">O139/(parametros_manuales!$B$7)</f>
        <v>68.8161049011267</v>
      </c>
      <c r="Q139" s="13" t="str">
        <f aca="false">IF(O139=0,"-",INDEX($B$113:$M$113,MATCH(O139,B139:M139,0)))</f>
        <v>Dic</v>
      </c>
    </row>
    <row r="140" customFormat="false" ht="14.25" hidden="false" customHeight="true" outlineLevel="0" collapsed="false"/>
    <row r="141" customFormat="false" ht="14.25" hidden="false" customHeight="true" outlineLevel="0" collapsed="false">
      <c r="A141" s="12" t="s">
        <v>273</v>
      </c>
      <c r="B141" s="12" t="s">
        <v>37</v>
      </c>
      <c r="C141" s="12" t="s">
        <v>38</v>
      </c>
      <c r="D141" s="12" t="s">
        <v>39</v>
      </c>
      <c r="E141" s="12" t="s">
        <v>40</v>
      </c>
      <c r="F141" s="12" t="s">
        <v>41</v>
      </c>
      <c r="G141" s="12" t="s">
        <v>42</v>
      </c>
      <c r="H141" s="12" t="s">
        <v>43</v>
      </c>
      <c r="I141" s="12" t="s">
        <v>44</v>
      </c>
      <c r="J141" s="12" t="s">
        <v>45</v>
      </c>
      <c r="K141" s="12" t="s">
        <v>46</v>
      </c>
      <c r="L141" s="12" t="s">
        <v>47</v>
      </c>
      <c r="M141" s="12" t="s">
        <v>48</v>
      </c>
      <c r="N141" s="12" t="s">
        <v>261</v>
      </c>
      <c r="O141" s="12" t="s">
        <v>266</v>
      </c>
      <c r="P141" s="12" t="s">
        <v>267</v>
      </c>
      <c r="Q141" s="12" t="s">
        <v>268</v>
      </c>
    </row>
    <row r="142" customFormat="false" ht="14.25" hidden="false" customHeight="true" outlineLevel="0" collapsed="false">
      <c r="A142" s="13" t="str">
        <f aca="false">parametros_manuales!$B$19</f>
        <v>Recepción de materia prima</v>
      </c>
      <c r="B142" s="14" t="n">
        <f aca="false">(parametros_manuales!$D$19*('Plan mensual'!D57+IF(parametros_manuales!$H$19="Todos",'Plan mensual'!D61,0))+parametros_manuales!$E$19*('Plan mensual'!D58+IF(parametros_manuales!$H$19="Todos",'Plan mensual'!D62,0))+parametros_manuales!$F$19*('Plan mensual'!D59+IF(parametros_manuales!$H$19="Todos",'Plan mensual'!D63,0))+parametros_manuales!$G$19*('Plan mensual'!D60+IF(parametros_manuales!$H$19="Todos",'Plan mensual'!D64,0)))*parametros_manuales!$I$19*parametros_manuales!$J$19</f>
        <v>14129.7342713</v>
      </c>
      <c r="C142" s="14" t="n">
        <f aca="false">(parametros_manuales!$D$19*('Plan mensual'!E57+IF(parametros_manuales!$H$19="Todos",'Plan mensual'!E61,0))+parametros_manuales!$E$19*('Plan mensual'!E58+IF(parametros_manuales!$H$19="Todos",'Plan mensual'!E62,0))+parametros_manuales!$F$19*('Plan mensual'!E59+IF(parametros_manuales!$H$19="Todos",'Plan mensual'!E63,0))+parametros_manuales!$G$19*('Plan mensual'!E60+IF(parametros_manuales!$H$19="Todos",'Plan mensual'!E64,0)))*parametros_manuales!$I$19*parametros_manuales!$J$19</f>
        <v>10779.98469862</v>
      </c>
      <c r="D142" s="14" t="n">
        <f aca="false">(parametros_manuales!$D$19*('Plan mensual'!F57+IF(parametros_manuales!$H$19="Todos",'Plan mensual'!F61,0))+parametros_manuales!$E$19*('Plan mensual'!F58+IF(parametros_manuales!$H$19="Todos",'Plan mensual'!F62,0))+parametros_manuales!$F$19*('Plan mensual'!F59+IF(parametros_manuales!$H$19="Todos",'Plan mensual'!F63,0))+parametros_manuales!$G$19*('Plan mensual'!F60+IF(parametros_manuales!$H$19="Todos",'Plan mensual'!F64,0)))*parametros_manuales!$I$19*parametros_manuales!$J$19</f>
        <v>10089.664163065</v>
      </c>
      <c r="E142" s="14" t="n">
        <f aca="false">(parametros_manuales!$D$19*('Plan mensual'!G57+IF(parametros_manuales!$H$19="Todos",'Plan mensual'!G61,0))+parametros_manuales!$E$19*('Plan mensual'!G58+IF(parametros_manuales!$H$19="Todos",'Plan mensual'!G62,0))+parametros_manuales!$F$19*('Plan mensual'!G59+IF(parametros_manuales!$H$19="Todos",'Plan mensual'!G63,0))+parametros_manuales!$G$19*('Plan mensual'!G60+IF(parametros_manuales!$H$19="Todos",'Plan mensual'!G64,0)))*parametros_manuales!$I$19*parametros_manuales!$J$19</f>
        <v>9653.161897715</v>
      </c>
      <c r="F142" s="14" t="n">
        <f aca="false">(parametros_manuales!$D$19*('Plan mensual'!H57+IF(parametros_manuales!$H$19="Todos",'Plan mensual'!H61,0))+parametros_manuales!$E$19*('Plan mensual'!H58+IF(parametros_manuales!$H$19="Todos",'Plan mensual'!H62,0))+parametros_manuales!$F$19*('Plan mensual'!H59+IF(parametros_manuales!$H$19="Todos",'Plan mensual'!H63,0))+parametros_manuales!$G$19*('Plan mensual'!H60+IF(parametros_manuales!$H$19="Todos",'Plan mensual'!H64,0)))*parametros_manuales!$I$19*parametros_manuales!$J$19</f>
        <v>9033.97563722</v>
      </c>
      <c r="G142" s="14" t="n">
        <f aca="false">(parametros_manuales!$D$19*('Plan mensual'!I57+IF(parametros_manuales!$H$19="Todos",'Plan mensual'!I61,0))+parametros_manuales!$E$19*('Plan mensual'!I58+IF(parametros_manuales!$H$19="Todos",'Plan mensual'!I62,0))+parametros_manuales!$F$19*('Plan mensual'!I59+IF(parametros_manuales!$H$19="Todos",'Plan mensual'!I63,0))+parametros_manuales!$G$19*('Plan mensual'!I60+IF(parametros_manuales!$H$19="Todos",'Plan mensual'!I64,0)))*parametros_manuales!$I$19*parametros_manuales!$J$19</f>
        <v>8851.291642075</v>
      </c>
      <c r="H142" s="14" t="n">
        <f aca="false">(parametros_manuales!$D$19*('Plan mensual'!J57+IF(parametros_manuales!$H$19="Todos",'Plan mensual'!J61,0))+parametros_manuales!$E$19*('Plan mensual'!J58+IF(parametros_manuales!$H$19="Todos",'Plan mensual'!J62,0))+parametros_manuales!$F$19*('Plan mensual'!J59+IF(parametros_manuales!$H$19="Todos",'Plan mensual'!J63,0))+parametros_manuales!$G$19*('Plan mensual'!J60+IF(parametros_manuales!$H$19="Todos",'Plan mensual'!J64,0)))*parametros_manuales!$I$19*parametros_manuales!$J$19</f>
        <v>9470.47790257</v>
      </c>
      <c r="I142" s="14" t="n">
        <f aca="false">(parametros_manuales!$D$19*('Plan mensual'!K57+IF(parametros_manuales!$H$19="Todos",'Plan mensual'!K61,0))+parametros_manuales!$E$19*('Plan mensual'!K58+IF(parametros_manuales!$H$19="Todos",'Plan mensual'!K62,0))+parametros_manuales!$F$19*('Plan mensual'!K59+IF(parametros_manuales!$H$19="Todos",'Plan mensual'!K63,0))+parametros_manuales!$G$19*('Plan mensual'!K60+IF(parametros_manuales!$H$19="Todos",'Plan mensual'!K64,0)))*parametros_manuales!$I$19*parametros_manuales!$J$19</f>
        <v>9470.47790257</v>
      </c>
      <c r="J142" s="14" t="n">
        <f aca="false">(parametros_manuales!$D$19*('Plan mensual'!L57+IF(parametros_manuales!$H$19="Todos",'Plan mensual'!L61,0))+parametros_manuales!$E$19*('Plan mensual'!L58+IF(parametros_manuales!$H$19="Todos",'Plan mensual'!L62,0))+parametros_manuales!$F$19*('Plan mensual'!L59+IF(parametros_manuales!$H$19="Todos",'Plan mensual'!L63,0))+parametros_manuales!$G$19*('Plan mensual'!L60+IF(parametros_manuales!$H$19="Todos",'Plan mensual'!L64,0)))*parametros_manuales!$I$19*parametros_manuales!$J$19</f>
        <v>9470.47790257</v>
      </c>
      <c r="K142" s="14" t="n">
        <f aca="false">(parametros_manuales!$D$19*('Plan mensual'!M57+IF(parametros_manuales!$H$19="Todos",'Plan mensual'!M61,0))+parametros_manuales!$E$19*('Plan mensual'!M58+IF(parametros_manuales!$H$19="Todos",'Plan mensual'!M62,0))+parametros_manuales!$F$19*('Plan mensual'!M59+IF(parametros_manuales!$H$19="Todos",'Plan mensual'!M63,0))+parametros_manuales!$G$19*('Plan mensual'!M60+IF(parametros_manuales!$H$19="Todos",'Plan mensual'!M64,0)))*parametros_manuales!$I$19*parametros_manuales!$J$19</f>
        <v>9287.793907425</v>
      </c>
      <c r="L142" s="14" t="n">
        <f aca="false">(parametros_manuales!$D$19*('Plan mensual'!N57+IF(parametros_manuales!$H$19="Todos",'Plan mensual'!N61,0))+parametros_manuales!$E$19*('Plan mensual'!N58+IF(parametros_manuales!$H$19="Todos",'Plan mensual'!N62,0))+parametros_manuales!$F$19*('Plan mensual'!N59+IF(parametros_manuales!$H$19="Todos",'Plan mensual'!N63,0))+parametros_manuales!$G$19*('Plan mensual'!N60+IF(parametros_manuales!$H$19="Todos",'Plan mensual'!N64,0)))*parametros_manuales!$I$19*parametros_manuales!$J$19</f>
        <v>9105.10991228</v>
      </c>
      <c r="M142" s="14" t="n">
        <f aca="false">(parametros_manuales!$D$19*('Plan mensual'!O57+IF(parametros_manuales!$H$19="Todos",'Plan mensual'!O61,0))+parametros_manuales!$E$19*('Plan mensual'!O58+IF(parametros_manuales!$H$19="Todos",'Plan mensual'!O62,0))+parametros_manuales!$F$19*('Plan mensual'!O59+IF(parametros_manuales!$H$19="Todos",'Plan mensual'!O63,0))+parametros_manuales!$G$19*('Plan mensual'!O60+IF(parametros_manuales!$H$19="Todos",'Plan mensual'!O64,0)))*parametros_manuales!$I$19*parametros_manuales!$J$19</f>
        <v>14495.10226159</v>
      </c>
      <c r="N142" s="14" t="n">
        <f aca="false">SUM(B142:M142)</f>
        <v>123837.252099</v>
      </c>
      <c r="O142" s="14" t="n">
        <f aca="false">MAX(B142:M142)</f>
        <v>14495.10226159</v>
      </c>
      <c r="P142" s="57" t="n">
        <f aca="false">O142/(parametros_manuales!$B$7)</f>
        <v>96.6340150772667</v>
      </c>
      <c r="Q142" s="13" t="str">
        <f aca="false">IF(O142=0,"-",INDEX($B$141:$M$141,MATCH(O142,B142:M142,0)))</f>
        <v>Dic</v>
      </c>
    </row>
    <row r="143" customFormat="false" ht="14.25" hidden="false" customHeight="true" outlineLevel="0" collapsed="false">
      <c r="A143" s="13" t="str">
        <f aca="false">parametros_manuales!$B$20</f>
        <v>Corte de chapa — 1.er corte en franjas (guillotina 1, manuales + carros)</v>
      </c>
      <c r="B143" s="14" t="n">
        <f aca="false">(parametros_manuales!$D$20*('Plan mensual'!D57+IF(parametros_manuales!$H$20="Todos",'Plan mensual'!D61,0))+parametros_manuales!$E$20*('Plan mensual'!D58+IF(parametros_manuales!$H$20="Todos",'Plan mensual'!D62,0))+parametros_manuales!$F$20*('Plan mensual'!D59+IF(parametros_manuales!$H$20="Todos",'Plan mensual'!D63,0))+parametros_manuales!$G$20*('Plan mensual'!D60+IF(parametros_manuales!$H$20="Todos",'Plan mensual'!D64,0)))*parametros_manuales!$I$20*parametros_manuales!$J$20+parametros_manuales!$B$153</f>
        <v>14995.3370552183</v>
      </c>
      <c r="C143" s="14" t="n">
        <f aca="false">(parametros_manuales!$D$20*('Plan mensual'!E57+IF(parametros_manuales!$H$20="Todos",'Plan mensual'!E61,0))+parametros_manuales!$E$20*('Plan mensual'!E58+IF(parametros_manuales!$H$20="Todos",'Plan mensual'!E62,0))+parametros_manuales!$F$20*('Plan mensual'!E59+IF(parametros_manuales!$H$20="Todos",'Plan mensual'!E63,0))+parametros_manuales!$G$20*('Plan mensual'!E60+IF(parametros_manuales!$H$20="Todos",'Plan mensual'!E64,0)))*parametros_manuales!$I$20*parametros_manuales!$J$20+parametros_manuales!$C$153</f>
        <v>11543.7518609009</v>
      </c>
      <c r="D143" s="14" t="n">
        <f aca="false">(parametros_manuales!$D$20*('Plan mensual'!F57+IF(parametros_manuales!$H$20="Todos",'Plan mensual'!F61,0))+parametros_manuales!$E$20*('Plan mensual'!F58+IF(parametros_manuales!$H$20="Todos",'Plan mensual'!F62,0))+parametros_manuales!$F$20*('Plan mensual'!F59+IF(parametros_manuales!$H$20="Todos",'Plan mensual'!F63,0))+parametros_manuales!$G$20*('Plan mensual'!F60+IF(parametros_manuales!$H$20="Todos",'Plan mensual'!F64,0)))*parametros_manuales!$I$20*parametros_manuales!$J$20+parametros_manuales!$D$153</f>
        <v>11006.1847578021</v>
      </c>
      <c r="E143" s="14" t="n">
        <f aca="false">(parametros_manuales!$D$20*('Plan mensual'!G57+IF(parametros_manuales!$H$20="Todos",'Plan mensual'!G61,0))+parametros_manuales!$E$20*('Plan mensual'!G58+IF(parametros_manuales!$H$20="Todos",'Plan mensual'!G62,0))+parametros_manuales!$F$20*('Plan mensual'!G59+IF(parametros_manuales!$H$20="Todos",'Plan mensual'!G63,0))+parametros_manuales!$G$20*('Plan mensual'!G60+IF(parametros_manuales!$H$20="Todos",'Plan mensual'!G64,0)))*parametros_manuales!$I$20*parametros_manuales!$J$20+parametros_manuales!$E$153</f>
        <v>10569.6824924521</v>
      </c>
      <c r="F143" s="14" t="n">
        <f aca="false">(parametros_manuales!$D$20*('Plan mensual'!H57+IF(parametros_manuales!$H$20="Todos",'Plan mensual'!H61,0))+parametros_manuales!$E$20*('Plan mensual'!H58+IF(parametros_manuales!$H$20="Todos",'Plan mensual'!H62,0))+parametros_manuales!$F$20*('Plan mensual'!H59+IF(parametros_manuales!$H$20="Todos",'Plan mensual'!H63,0))+parametros_manuales!$G$20*('Plan mensual'!H60+IF(parametros_manuales!$H$20="Todos",'Plan mensual'!H64,0)))*parametros_manuales!$I$20*parametros_manuales!$J$20+parametros_manuales!$F$153</f>
        <v>9950.49623195706</v>
      </c>
      <c r="G143" s="14" t="n">
        <f aca="false">(parametros_manuales!$D$20*('Plan mensual'!I57+IF(parametros_manuales!$H$20="Todos",'Plan mensual'!I61,0))+parametros_manuales!$E$20*('Plan mensual'!I58+IF(parametros_manuales!$H$20="Todos",'Plan mensual'!I62,0))+parametros_manuales!$F$20*('Plan mensual'!I59+IF(parametros_manuales!$H$20="Todos",'Plan mensual'!I63,0))+parametros_manuales!$G$20*('Plan mensual'!I60+IF(parametros_manuales!$H$20="Todos",'Plan mensual'!I64,0)))*parametros_manuales!$I$20*parametros_manuales!$J$20+parametros_manuales!$G$153</f>
        <v>9665.9766151746</v>
      </c>
      <c r="H143" s="14" t="n">
        <f aca="false">(parametros_manuales!$D$20*('Plan mensual'!J57+IF(parametros_manuales!$H$20="Todos",'Plan mensual'!J61,0))+parametros_manuales!$E$20*('Plan mensual'!J58+IF(parametros_manuales!$H$20="Todos",'Plan mensual'!J62,0))+parametros_manuales!$F$20*('Plan mensual'!J59+IF(parametros_manuales!$H$20="Todos",'Plan mensual'!J63,0))+parametros_manuales!$G$20*('Plan mensual'!J60+IF(parametros_manuales!$H$20="Todos",'Plan mensual'!J64,0)))*parametros_manuales!$I$20*parametros_manuales!$J$20+parametros_manuales!$H$153</f>
        <v>10386.9984973071</v>
      </c>
      <c r="I143" s="14" t="n">
        <f aca="false">(parametros_manuales!$D$20*('Plan mensual'!K57+IF(parametros_manuales!$H$20="Todos",'Plan mensual'!K61,0))+parametros_manuales!$E$20*('Plan mensual'!K58+IF(parametros_manuales!$H$20="Todos",'Plan mensual'!K62,0))+parametros_manuales!$F$20*('Plan mensual'!K59+IF(parametros_manuales!$H$20="Todos",'Plan mensual'!K63,0))+parametros_manuales!$G$20*('Plan mensual'!K60+IF(parametros_manuales!$H$20="Todos",'Plan mensual'!K64,0)))*parametros_manuales!$I$20*parametros_manuales!$J$20+parametros_manuales!$I$153</f>
        <v>10386.9984973071</v>
      </c>
      <c r="J143" s="14" t="n">
        <f aca="false">(parametros_manuales!$D$20*('Plan mensual'!L57+IF(parametros_manuales!$H$20="Todos",'Plan mensual'!L61,0))+parametros_manuales!$E$20*('Plan mensual'!L58+IF(parametros_manuales!$H$20="Todos",'Plan mensual'!L62,0))+parametros_manuales!$F$20*('Plan mensual'!L59+IF(parametros_manuales!$H$20="Todos",'Plan mensual'!L63,0))+parametros_manuales!$G$20*('Plan mensual'!L60+IF(parametros_manuales!$H$20="Todos",'Plan mensual'!L64,0)))*parametros_manuales!$I$20*parametros_manuales!$J$20+parametros_manuales!$J$153</f>
        <v>10336.0806864883</v>
      </c>
      <c r="K143" s="14" t="n">
        <f aca="false">(parametros_manuales!$D$20*('Plan mensual'!M57+IF(parametros_manuales!$H$20="Todos",'Plan mensual'!M61,0))+parametros_manuales!$E$20*('Plan mensual'!M58+IF(parametros_manuales!$H$20="Todos",'Plan mensual'!M62,0))+parametros_manuales!$F$20*('Plan mensual'!M59+IF(parametros_manuales!$H$20="Todos",'Plan mensual'!M63,0))+parametros_manuales!$G$20*('Plan mensual'!M60+IF(parametros_manuales!$H$20="Todos",'Plan mensual'!M64,0)))*parametros_manuales!$I$20*parametros_manuales!$J$20+parametros_manuales!$K$153</f>
        <v>10051.5610697059</v>
      </c>
      <c r="L143" s="14" t="n">
        <f aca="false">(parametros_manuales!$D$20*('Plan mensual'!N57+IF(parametros_manuales!$H$20="Todos",'Plan mensual'!N61,0))+parametros_manuales!$E$20*('Plan mensual'!N58+IF(parametros_manuales!$H$20="Todos",'Plan mensual'!N62,0))+parametros_manuales!$F$20*('Plan mensual'!N59+IF(parametros_manuales!$H$20="Todos",'Plan mensual'!N63,0))+parametros_manuales!$G$20*('Plan mensual'!N60+IF(parametros_manuales!$H$20="Todos",'Plan mensual'!N64,0)))*parametros_manuales!$I$20*parametros_manuales!$J$20+parametros_manuales!$L$153</f>
        <v>9817.95926374216</v>
      </c>
      <c r="M143" s="14" t="n">
        <f aca="false">(parametros_manuales!$D$20*('Plan mensual'!O57+IF(parametros_manuales!$H$20="Todos",'Plan mensual'!O61,0))+parametros_manuales!$E$20*('Plan mensual'!O58+IF(parametros_manuales!$H$20="Todos",'Plan mensual'!O62,0))+parametros_manuales!$F$20*('Plan mensual'!O59+IF(parametros_manuales!$H$20="Todos",'Plan mensual'!O63,0))+parametros_manuales!$G$20*('Plan mensual'!O60+IF(parametros_manuales!$H$20="Todos",'Plan mensual'!O64,0)))*parametros_manuales!$I$20*parametros_manuales!$J$20+parametros_manuales!$M$153</f>
        <v>15309.7872346896</v>
      </c>
      <c r="N143" s="14" t="n">
        <f aca="false">SUM(B143:M143)</f>
        <v>134020.814262745</v>
      </c>
      <c r="O143" s="14" t="n">
        <f aca="false">MAX(B143:M143)</f>
        <v>15309.7872346896</v>
      </c>
      <c r="P143" s="57" t="n">
        <f aca="false">O143/(parametros_manuales!$B$7)</f>
        <v>102.065248231264</v>
      </c>
      <c r="Q143" s="13" t="str">
        <f aca="false">IF(O143=0,"-",INDEX($B$141:$M$141,MATCH(O143,B143:M143,0)))</f>
        <v>Dic</v>
      </c>
    </row>
    <row r="144" customFormat="false" ht="14.25" hidden="false" customHeight="true" outlineLevel="0" collapsed="false">
      <c r="A144" s="13" t="str">
        <f aca="false">parametros_manuales!$B$21</f>
        <v>Corte de chapa — 2.º corte en piezas (guillotina 2, manuales + carros)</v>
      </c>
      <c r="B144" s="14" t="n">
        <f aca="false">(parametros_manuales!$D$21*('Plan mensual'!D57+IF(parametros_manuales!$H$21="Todos",'Plan mensual'!D61,0))+parametros_manuales!$E$21*('Plan mensual'!D58+IF(parametros_manuales!$H$21="Todos",'Plan mensual'!D62,0))+parametros_manuales!$F$21*('Plan mensual'!D59+IF(parametros_manuales!$H$21="Todos",'Plan mensual'!D63,0))+parametros_manuales!$G$21*('Plan mensual'!D60+IF(parametros_manuales!$H$21="Todos",'Plan mensual'!D64,0)))*parametros_manuales!$I$21*parametros_manuales!$J$21+parametros_manuales!$B$165</f>
        <v>15254.0411213165</v>
      </c>
      <c r="C144" s="14" t="n">
        <f aca="false">(parametros_manuales!$D$21*('Plan mensual'!E57+IF(parametros_manuales!$H$21="Todos",'Plan mensual'!E61,0))+parametros_manuales!$E$21*('Plan mensual'!E58+IF(parametros_manuales!$H$21="Todos",'Plan mensual'!E62,0))+parametros_manuales!$F$21*('Plan mensual'!E59+IF(parametros_manuales!$H$21="Todos",'Plan mensual'!E63,0))+parametros_manuales!$G$21*('Plan mensual'!E60+IF(parametros_manuales!$H$21="Todos",'Plan mensual'!E64,0)))*parametros_manuales!$I$21*parametros_manuales!$J$21+parametros_manuales!$C$165</f>
        <v>11772.0201545169</v>
      </c>
      <c r="D144" s="14" t="n">
        <f aca="false">(parametros_manuales!$D$21*('Plan mensual'!F57+IF(parametros_manuales!$H$21="Todos",'Plan mensual'!F61,0))+parametros_manuales!$E$21*('Plan mensual'!F58+IF(parametros_manuales!$H$21="Todos",'Plan mensual'!F62,0))+parametros_manuales!$F$21*('Plan mensual'!F59+IF(parametros_manuales!$H$21="Todos",'Plan mensual'!F63,0))+parametros_manuales!$G$21*('Plan mensual'!F60+IF(parametros_manuales!$H$21="Todos",'Plan mensual'!F64,0)))*parametros_manuales!$I$21*parametros_manuales!$J$21+parametros_manuales!$D$165</f>
        <v>11280.1067101413</v>
      </c>
      <c r="E144" s="14" t="n">
        <f aca="false">(parametros_manuales!$D$21*('Plan mensual'!G57+IF(parametros_manuales!$H$21="Todos",'Plan mensual'!G61,0))+parametros_manuales!$E$21*('Plan mensual'!G58+IF(parametros_manuales!$H$21="Todos",'Plan mensual'!G62,0))+parametros_manuales!$F$21*('Plan mensual'!G59+IF(parametros_manuales!$H$21="Todos",'Plan mensual'!G63,0))+parametros_manuales!$G$21*('Plan mensual'!G60+IF(parametros_manuales!$H$21="Todos",'Plan mensual'!G64,0)))*parametros_manuales!$I$21*parametros_manuales!$J$21+parametros_manuales!$E$165</f>
        <v>10843.6044447913</v>
      </c>
      <c r="F144" s="14" t="n">
        <f aca="false">(parametros_manuales!$D$21*('Plan mensual'!H57+IF(parametros_manuales!$H$21="Todos",'Plan mensual'!H61,0))+parametros_manuales!$E$21*('Plan mensual'!H58+IF(parametros_manuales!$H$21="Todos",'Plan mensual'!H62,0))+parametros_manuales!$F$21*('Plan mensual'!H59+IF(parametros_manuales!$H$21="Todos",'Plan mensual'!H63,0))+parametros_manuales!$G$21*('Plan mensual'!H60+IF(parametros_manuales!$H$21="Todos",'Plan mensual'!H64,0)))*parametros_manuales!$I$21*parametros_manuales!$J$21+parametros_manuales!$F$165</f>
        <v>10224.4181842963</v>
      </c>
      <c r="G144" s="14" t="n">
        <f aca="false">(parametros_manuales!$D$21*('Plan mensual'!I57+IF(parametros_manuales!$H$21="Todos",'Plan mensual'!I61,0))+parametros_manuales!$E$21*('Plan mensual'!I58+IF(parametros_manuales!$H$21="Todos",'Plan mensual'!I62,0))+parametros_manuales!$F$21*('Plan mensual'!I59+IF(parametros_manuales!$H$21="Todos",'Plan mensual'!I63,0))+parametros_manuales!$G$21*('Plan mensual'!I60+IF(parametros_manuales!$H$21="Todos",'Plan mensual'!I64,0)))*parametros_manuales!$I$21*parametros_manuales!$J$21+parametros_manuales!$G$165</f>
        <v>9909.46279503168</v>
      </c>
      <c r="H144" s="14" t="n">
        <f aca="false">(parametros_manuales!$D$21*('Plan mensual'!J57+IF(parametros_manuales!$H$21="Todos",'Plan mensual'!J61,0))+parametros_manuales!$E$21*('Plan mensual'!J58+IF(parametros_manuales!$H$21="Todos",'Plan mensual'!J62,0))+parametros_manuales!$F$21*('Plan mensual'!J59+IF(parametros_manuales!$H$21="Todos",'Plan mensual'!J63,0))+parametros_manuales!$G$21*('Plan mensual'!J60+IF(parametros_manuales!$H$21="Todos",'Plan mensual'!J64,0)))*parametros_manuales!$I$21*parametros_manuales!$J$21+parametros_manuales!$H$165</f>
        <v>10660.9204496463</v>
      </c>
      <c r="I144" s="14" t="n">
        <f aca="false">(parametros_manuales!$D$21*('Plan mensual'!K57+IF(parametros_manuales!$H$21="Todos",'Plan mensual'!K61,0))+parametros_manuales!$E$21*('Plan mensual'!K58+IF(parametros_manuales!$H$21="Todos",'Plan mensual'!K62,0))+parametros_manuales!$F$21*('Plan mensual'!K59+IF(parametros_manuales!$H$21="Todos",'Plan mensual'!K63,0))+parametros_manuales!$G$21*('Plan mensual'!K60+IF(parametros_manuales!$H$21="Todos",'Plan mensual'!K64,0)))*parametros_manuales!$I$21*parametros_manuales!$J$21+parametros_manuales!$I$165</f>
        <v>10660.9204496463</v>
      </c>
      <c r="J144" s="14" t="n">
        <f aca="false">(parametros_manuales!$D$21*('Plan mensual'!L57+IF(parametros_manuales!$H$21="Todos",'Plan mensual'!L61,0))+parametros_manuales!$E$21*('Plan mensual'!L58+IF(parametros_manuales!$H$21="Todos",'Plan mensual'!L62,0))+parametros_manuales!$F$21*('Plan mensual'!L59+IF(parametros_manuales!$H$21="Todos",'Plan mensual'!L63,0))+parametros_manuales!$G$21*('Plan mensual'!L60+IF(parametros_manuales!$H$21="Todos",'Plan mensual'!L64,0)))*parametros_manuales!$I$21*parametros_manuales!$J$21+parametros_manuales!$J$165</f>
        <v>10594.7847525865</v>
      </c>
      <c r="K144" s="14" t="n">
        <f aca="false">(parametros_manuales!$D$21*('Plan mensual'!M57+IF(parametros_manuales!$H$21="Todos",'Plan mensual'!M61,0))+parametros_manuales!$E$21*('Plan mensual'!M58+IF(parametros_manuales!$H$21="Todos",'Plan mensual'!M62,0))+parametros_manuales!$F$21*('Plan mensual'!M59+IF(parametros_manuales!$H$21="Todos",'Plan mensual'!M63,0))+parametros_manuales!$G$21*('Plan mensual'!M60+IF(parametros_manuales!$H$21="Todos",'Plan mensual'!M64,0)))*parametros_manuales!$I$21*parametros_manuales!$J$21+parametros_manuales!$K$165</f>
        <v>10279.8293633219</v>
      </c>
      <c r="L144" s="14" t="n">
        <f aca="false">(parametros_manuales!$D$21*('Plan mensual'!N57+IF(parametros_manuales!$H$21="Todos",'Plan mensual'!N61,0))+parametros_manuales!$E$21*('Plan mensual'!N58+IF(parametros_manuales!$H$21="Todos",'Plan mensual'!N62,0))+parametros_manuales!$F$21*('Plan mensual'!N59+IF(parametros_manuales!$H$21="Todos",'Plan mensual'!N63,0))+parametros_manuales!$G$21*('Plan mensual'!N60+IF(parametros_manuales!$H$21="Todos",'Plan mensual'!N64,0)))*parametros_manuales!$I$21*parametros_manuales!$J$21+parametros_manuales!$L$165</f>
        <v>10031.0096711171</v>
      </c>
      <c r="M144" s="14" t="n">
        <f aca="false">(parametros_manuales!$D$21*('Plan mensual'!O57+IF(parametros_manuales!$H$21="Todos",'Plan mensual'!O61,0))+parametros_manuales!$E$21*('Plan mensual'!O58+IF(parametros_manuales!$H$21="Todos",'Plan mensual'!O62,0))+parametros_manuales!$F$21*('Plan mensual'!O59+IF(parametros_manuales!$H$21="Todos",'Plan mensual'!O63,0))+parametros_manuales!$G$21*('Plan mensual'!O60+IF(parametros_manuales!$H$21="Todos",'Plan mensual'!O64,0)))*parametros_manuales!$I$21*parametros_manuales!$J$21+parametros_manuales!$M$165</f>
        <v>15553.2734145467</v>
      </c>
      <c r="N144" s="14" t="n">
        <f aca="false">SUM(B144:M144)</f>
        <v>137064.391510959</v>
      </c>
      <c r="O144" s="14" t="n">
        <f aca="false">MAX(B144:M144)</f>
        <v>15553.2734145467</v>
      </c>
      <c r="P144" s="57" t="n">
        <f aca="false">O144/(parametros_manuales!$B$7)</f>
        <v>103.688489430311</v>
      </c>
      <c r="Q144" s="13" t="str">
        <f aca="false">IF(O144=0,"-",INDEX($B$141:$M$141,MATCH(O144,B144:M144,0)))</f>
        <v>Dic</v>
      </c>
    </row>
    <row r="145" customFormat="false" ht="14.25" hidden="false" customHeight="true" outlineLevel="0" collapsed="false">
      <c r="A145" s="13" t="str">
        <f aca="false">parametros_manuales!$B$22</f>
        <v>Corte de disco y embutido (cúpula y fondo)</v>
      </c>
      <c r="B145" s="14" t="n">
        <f aca="false">(parametros_manuales!$D$22*('Plan mensual'!D57+IF(parametros_manuales!$H$22="Todos",'Plan mensual'!D61,0))+parametros_manuales!$E$22*('Plan mensual'!D58+IF(parametros_manuales!$H$22="Todos",'Plan mensual'!D62,0))+parametros_manuales!$F$22*('Plan mensual'!D59+IF(parametros_manuales!$H$22="Todos",'Plan mensual'!D63,0))+parametros_manuales!$G$22*('Plan mensual'!D60+IF(parametros_manuales!$H$22="Todos",'Plan mensual'!D64,0)))*parametros_manuales!$I$22*parametros_manuales!$J$22</f>
        <v>28259.4685426</v>
      </c>
      <c r="C145" s="14" t="n">
        <f aca="false">(parametros_manuales!$D$22*('Plan mensual'!E57+IF(parametros_manuales!$H$22="Todos",'Plan mensual'!E61,0))+parametros_manuales!$E$22*('Plan mensual'!E58+IF(parametros_manuales!$H$22="Todos",'Plan mensual'!E62,0))+parametros_manuales!$F$22*('Plan mensual'!E59+IF(parametros_manuales!$H$22="Todos",'Plan mensual'!E63,0))+parametros_manuales!$G$22*('Plan mensual'!E60+IF(parametros_manuales!$H$22="Todos",'Plan mensual'!E64,0)))*parametros_manuales!$I$22*parametros_manuales!$J$22</f>
        <v>21559.96939724</v>
      </c>
      <c r="D145" s="14" t="n">
        <f aca="false">(parametros_manuales!$D$22*('Plan mensual'!F57+IF(parametros_manuales!$H$22="Todos",'Plan mensual'!F61,0))+parametros_manuales!$E$22*('Plan mensual'!F58+IF(parametros_manuales!$H$22="Todos",'Plan mensual'!F62,0))+parametros_manuales!$F$22*('Plan mensual'!F59+IF(parametros_manuales!$H$22="Todos",'Plan mensual'!F63,0))+parametros_manuales!$G$22*('Plan mensual'!F60+IF(parametros_manuales!$H$22="Todos",'Plan mensual'!F64,0)))*parametros_manuales!$I$22*parametros_manuales!$J$22</f>
        <v>20179.32832613</v>
      </c>
      <c r="E145" s="14" t="n">
        <f aca="false">(parametros_manuales!$D$22*('Plan mensual'!G57+IF(parametros_manuales!$H$22="Todos",'Plan mensual'!G61,0))+parametros_manuales!$E$22*('Plan mensual'!G58+IF(parametros_manuales!$H$22="Todos",'Plan mensual'!G62,0))+parametros_manuales!$F$22*('Plan mensual'!G59+IF(parametros_manuales!$H$22="Todos",'Plan mensual'!G63,0))+parametros_manuales!$G$22*('Plan mensual'!G60+IF(parametros_manuales!$H$22="Todos",'Plan mensual'!G64,0)))*parametros_manuales!$I$22*parametros_manuales!$J$22</f>
        <v>19306.32379543</v>
      </c>
      <c r="F145" s="14" t="n">
        <f aca="false">(parametros_manuales!$D$22*('Plan mensual'!H57+IF(parametros_manuales!$H$22="Todos",'Plan mensual'!H61,0))+parametros_manuales!$E$22*('Plan mensual'!H58+IF(parametros_manuales!$H$22="Todos",'Plan mensual'!H62,0))+parametros_manuales!$F$22*('Plan mensual'!H59+IF(parametros_manuales!$H$22="Todos",'Plan mensual'!H63,0))+parametros_manuales!$G$22*('Plan mensual'!H60+IF(parametros_manuales!$H$22="Todos",'Plan mensual'!H64,0)))*parametros_manuales!$I$22*parametros_manuales!$J$22</f>
        <v>18067.95127444</v>
      </c>
      <c r="G145" s="14" t="n">
        <f aca="false">(parametros_manuales!$D$22*('Plan mensual'!I57+IF(parametros_manuales!$H$22="Todos",'Plan mensual'!I61,0))+parametros_manuales!$E$22*('Plan mensual'!I58+IF(parametros_manuales!$H$22="Todos",'Plan mensual'!I62,0))+parametros_manuales!$F$22*('Plan mensual'!I59+IF(parametros_manuales!$H$22="Todos",'Plan mensual'!I63,0))+parametros_manuales!$G$22*('Plan mensual'!I60+IF(parametros_manuales!$H$22="Todos",'Plan mensual'!I64,0)))*parametros_manuales!$I$22*parametros_manuales!$J$22</f>
        <v>17702.58328415</v>
      </c>
      <c r="H145" s="14" t="n">
        <f aca="false">(parametros_manuales!$D$22*('Plan mensual'!J57+IF(parametros_manuales!$H$22="Todos",'Plan mensual'!J61,0))+parametros_manuales!$E$22*('Plan mensual'!J58+IF(parametros_manuales!$H$22="Todos",'Plan mensual'!J62,0))+parametros_manuales!$F$22*('Plan mensual'!J59+IF(parametros_manuales!$H$22="Todos",'Plan mensual'!J63,0))+parametros_manuales!$G$22*('Plan mensual'!J60+IF(parametros_manuales!$H$22="Todos",'Plan mensual'!J64,0)))*parametros_manuales!$I$22*parametros_manuales!$J$22</f>
        <v>18940.95580514</v>
      </c>
      <c r="I145" s="14" t="n">
        <f aca="false">(parametros_manuales!$D$22*('Plan mensual'!K57+IF(parametros_manuales!$H$22="Todos",'Plan mensual'!K61,0))+parametros_manuales!$E$22*('Plan mensual'!K58+IF(parametros_manuales!$H$22="Todos",'Plan mensual'!K62,0))+parametros_manuales!$F$22*('Plan mensual'!K59+IF(parametros_manuales!$H$22="Todos",'Plan mensual'!K63,0))+parametros_manuales!$G$22*('Plan mensual'!K60+IF(parametros_manuales!$H$22="Todos",'Plan mensual'!K64,0)))*parametros_manuales!$I$22*parametros_manuales!$J$22</f>
        <v>18940.95580514</v>
      </c>
      <c r="J145" s="14" t="n">
        <f aca="false">(parametros_manuales!$D$22*('Plan mensual'!L57+IF(parametros_manuales!$H$22="Todos",'Plan mensual'!L61,0))+parametros_manuales!$E$22*('Plan mensual'!L58+IF(parametros_manuales!$H$22="Todos",'Plan mensual'!L62,0))+parametros_manuales!$F$22*('Plan mensual'!L59+IF(parametros_manuales!$H$22="Todos",'Plan mensual'!L63,0))+parametros_manuales!$G$22*('Plan mensual'!L60+IF(parametros_manuales!$H$22="Todos",'Plan mensual'!L64,0)))*parametros_manuales!$I$22*parametros_manuales!$J$22</f>
        <v>18940.95580514</v>
      </c>
      <c r="K145" s="14" t="n">
        <f aca="false">(parametros_manuales!$D$22*('Plan mensual'!M57+IF(parametros_manuales!$H$22="Todos",'Plan mensual'!M61,0))+parametros_manuales!$E$22*('Plan mensual'!M58+IF(parametros_manuales!$H$22="Todos",'Plan mensual'!M62,0))+parametros_manuales!$F$22*('Plan mensual'!M59+IF(parametros_manuales!$H$22="Todos",'Plan mensual'!M63,0))+parametros_manuales!$G$22*('Plan mensual'!M60+IF(parametros_manuales!$H$22="Todos",'Plan mensual'!M64,0)))*parametros_manuales!$I$22*parametros_manuales!$J$22</f>
        <v>18575.58781485</v>
      </c>
      <c r="L145" s="14" t="n">
        <f aca="false">(parametros_manuales!$D$22*('Plan mensual'!N57+IF(parametros_manuales!$H$22="Todos",'Plan mensual'!N61,0))+parametros_manuales!$E$22*('Plan mensual'!N58+IF(parametros_manuales!$H$22="Todos",'Plan mensual'!N62,0))+parametros_manuales!$F$22*('Plan mensual'!N59+IF(parametros_manuales!$H$22="Todos",'Plan mensual'!N63,0))+parametros_manuales!$G$22*('Plan mensual'!N60+IF(parametros_manuales!$H$22="Todos",'Plan mensual'!N64,0)))*parametros_manuales!$I$22*parametros_manuales!$J$22</f>
        <v>18210.21982456</v>
      </c>
      <c r="M145" s="14" t="n">
        <f aca="false">(parametros_manuales!$D$22*('Plan mensual'!O57+IF(parametros_manuales!$H$22="Todos",'Plan mensual'!O61,0))+parametros_manuales!$E$22*('Plan mensual'!O58+IF(parametros_manuales!$H$22="Todos",'Plan mensual'!O62,0))+parametros_manuales!$F$22*('Plan mensual'!O59+IF(parametros_manuales!$H$22="Todos",'Plan mensual'!O63,0))+parametros_manuales!$G$22*('Plan mensual'!O60+IF(parametros_manuales!$H$22="Todos",'Plan mensual'!O64,0)))*parametros_manuales!$I$22*parametros_manuales!$J$22</f>
        <v>28990.20452318</v>
      </c>
      <c r="N145" s="14" t="n">
        <f aca="false">SUM(B145:M145)</f>
        <v>247674.504198</v>
      </c>
      <c r="O145" s="14" t="n">
        <f aca="false">MAX(B145:M145)</f>
        <v>28990.20452318</v>
      </c>
      <c r="P145" s="57" t="n">
        <f aca="false">O145/(parametros_manuales!$B$7)</f>
        <v>193.268030154533</v>
      </c>
      <c r="Q145" s="13" t="str">
        <f aca="false">IF(O145=0,"-",INDEX($B$141:$M$141,MATCH(O145,B145:M145,0)))</f>
        <v>Dic</v>
      </c>
    </row>
    <row r="146" customFormat="false" ht="14.25" hidden="false" customHeight="true" outlineLevel="0" collapsed="false">
      <c r="A146" s="13" t="str">
        <f aca="false">parametros_manuales!$B$23</f>
        <v>Preparación de cuello</v>
      </c>
      <c r="B146" s="14" t="n">
        <f aca="false">(parametros_manuales!$D$23*('Plan mensual'!D57+IF(parametros_manuales!$H$23="Todos",'Plan mensual'!D61,0))+parametros_manuales!$E$23*('Plan mensual'!D58+IF(parametros_manuales!$H$23="Todos",'Plan mensual'!D62,0))+parametros_manuales!$F$23*('Plan mensual'!D59+IF(parametros_manuales!$H$23="Todos",'Plan mensual'!D63,0))+parametros_manuales!$G$23*('Plan mensual'!D60+IF(parametros_manuales!$H$23="Todos",'Plan mensual'!D64,0)))*parametros_manuales!$I$23*parametros_manuales!$J$23</f>
        <v>14129.7342713</v>
      </c>
      <c r="C146" s="14" t="n">
        <f aca="false">(parametros_manuales!$D$23*('Plan mensual'!E57+IF(parametros_manuales!$H$23="Todos",'Plan mensual'!E61,0))+parametros_manuales!$E$23*('Plan mensual'!E58+IF(parametros_manuales!$H$23="Todos",'Plan mensual'!E62,0))+parametros_manuales!$F$23*('Plan mensual'!E59+IF(parametros_manuales!$H$23="Todos",'Plan mensual'!E63,0))+parametros_manuales!$G$23*('Plan mensual'!E60+IF(parametros_manuales!$H$23="Todos",'Plan mensual'!E64,0)))*parametros_manuales!$I$23*parametros_manuales!$J$23</f>
        <v>10779.98469862</v>
      </c>
      <c r="D146" s="14" t="n">
        <f aca="false">(parametros_manuales!$D$23*('Plan mensual'!F57+IF(parametros_manuales!$H$23="Todos",'Plan mensual'!F61,0))+parametros_manuales!$E$23*('Plan mensual'!F58+IF(parametros_manuales!$H$23="Todos",'Plan mensual'!F62,0))+parametros_manuales!$F$23*('Plan mensual'!F59+IF(parametros_manuales!$H$23="Todos",'Plan mensual'!F63,0))+parametros_manuales!$G$23*('Plan mensual'!F60+IF(parametros_manuales!$H$23="Todos",'Plan mensual'!F64,0)))*parametros_manuales!$I$23*parametros_manuales!$J$23</f>
        <v>10089.664163065</v>
      </c>
      <c r="E146" s="14" t="n">
        <f aca="false">(parametros_manuales!$D$23*('Plan mensual'!G57+IF(parametros_manuales!$H$23="Todos",'Plan mensual'!G61,0))+parametros_manuales!$E$23*('Plan mensual'!G58+IF(parametros_manuales!$H$23="Todos",'Plan mensual'!G62,0))+parametros_manuales!$F$23*('Plan mensual'!G59+IF(parametros_manuales!$H$23="Todos",'Plan mensual'!G63,0))+parametros_manuales!$G$23*('Plan mensual'!G60+IF(parametros_manuales!$H$23="Todos",'Plan mensual'!G64,0)))*parametros_manuales!$I$23*parametros_manuales!$J$23</f>
        <v>9653.161897715</v>
      </c>
      <c r="F146" s="14" t="n">
        <f aca="false">(parametros_manuales!$D$23*('Plan mensual'!H57+IF(parametros_manuales!$H$23="Todos",'Plan mensual'!H61,0))+parametros_manuales!$E$23*('Plan mensual'!H58+IF(parametros_manuales!$H$23="Todos",'Plan mensual'!H62,0))+parametros_manuales!$F$23*('Plan mensual'!H59+IF(parametros_manuales!$H$23="Todos",'Plan mensual'!H63,0))+parametros_manuales!$G$23*('Plan mensual'!H60+IF(parametros_manuales!$H$23="Todos",'Plan mensual'!H64,0)))*parametros_manuales!$I$23*parametros_manuales!$J$23</f>
        <v>9033.97563722</v>
      </c>
      <c r="G146" s="14" t="n">
        <f aca="false">(parametros_manuales!$D$23*('Plan mensual'!I57+IF(parametros_manuales!$H$23="Todos",'Plan mensual'!I61,0))+parametros_manuales!$E$23*('Plan mensual'!I58+IF(parametros_manuales!$H$23="Todos",'Plan mensual'!I62,0))+parametros_manuales!$F$23*('Plan mensual'!I59+IF(parametros_manuales!$H$23="Todos",'Plan mensual'!I63,0))+parametros_manuales!$G$23*('Plan mensual'!I60+IF(parametros_manuales!$H$23="Todos",'Plan mensual'!I64,0)))*parametros_manuales!$I$23*parametros_manuales!$J$23</f>
        <v>8851.291642075</v>
      </c>
      <c r="H146" s="14" t="n">
        <f aca="false">(parametros_manuales!$D$23*('Plan mensual'!J57+IF(parametros_manuales!$H$23="Todos",'Plan mensual'!J61,0))+parametros_manuales!$E$23*('Plan mensual'!J58+IF(parametros_manuales!$H$23="Todos",'Plan mensual'!J62,0))+parametros_manuales!$F$23*('Plan mensual'!J59+IF(parametros_manuales!$H$23="Todos",'Plan mensual'!J63,0))+parametros_manuales!$G$23*('Plan mensual'!J60+IF(parametros_manuales!$H$23="Todos",'Plan mensual'!J64,0)))*parametros_manuales!$I$23*parametros_manuales!$J$23</f>
        <v>9470.47790257</v>
      </c>
      <c r="I146" s="14" t="n">
        <f aca="false">(parametros_manuales!$D$23*('Plan mensual'!K57+IF(parametros_manuales!$H$23="Todos",'Plan mensual'!K61,0))+parametros_manuales!$E$23*('Plan mensual'!K58+IF(parametros_manuales!$H$23="Todos",'Plan mensual'!K62,0))+parametros_manuales!$F$23*('Plan mensual'!K59+IF(parametros_manuales!$H$23="Todos",'Plan mensual'!K63,0))+parametros_manuales!$G$23*('Plan mensual'!K60+IF(parametros_manuales!$H$23="Todos",'Plan mensual'!K64,0)))*parametros_manuales!$I$23*parametros_manuales!$J$23</f>
        <v>9470.47790257</v>
      </c>
      <c r="J146" s="14" t="n">
        <f aca="false">(parametros_manuales!$D$23*('Plan mensual'!L57+IF(parametros_manuales!$H$23="Todos",'Plan mensual'!L61,0))+parametros_manuales!$E$23*('Plan mensual'!L58+IF(parametros_manuales!$H$23="Todos",'Plan mensual'!L62,0))+parametros_manuales!$F$23*('Plan mensual'!L59+IF(parametros_manuales!$H$23="Todos",'Plan mensual'!L63,0))+parametros_manuales!$G$23*('Plan mensual'!L60+IF(parametros_manuales!$H$23="Todos",'Plan mensual'!L64,0)))*parametros_manuales!$I$23*parametros_manuales!$J$23</f>
        <v>9470.47790257</v>
      </c>
      <c r="K146" s="14" t="n">
        <f aca="false">(parametros_manuales!$D$23*('Plan mensual'!M57+IF(parametros_manuales!$H$23="Todos",'Plan mensual'!M61,0))+parametros_manuales!$E$23*('Plan mensual'!M58+IF(parametros_manuales!$H$23="Todos",'Plan mensual'!M62,0))+parametros_manuales!$F$23*('Plan mensual'!M59+IF(parametros_manuales!$H$23="Todos",'Plan mensual'!M63,0))+parametros_manuales!$G$23*('Plan mensual'!M60+IF(parametros_manuales!$H$23="Todos",'Plan mensual'!M64,0)))*parametros_manuales!$I$23*parametros_manuales!$J$23</f>
        <v>9287.793907425</v>
      </c>
      <c r="L146" s="14" t="n">
        <f aca="false">(parametros_manuales!$D$23*('Plan mensual'!N57+IF(parametros_manuales!$H$23="Todos",'Plan mensual'!N61,0))+parametros_manuales!$E$23*('Plan mensual'!N58+IF(parametros_manuales!$H$23="Todos",'Plan mensual'!N62,0))+parametros_manuales!$F$23*('Plan mensual'!N59+IF(parametros_manuales!$H$23="Todos",'Plan mensual'!N63,0))+parametros_manuales!$G$23*('Plan mensual'!N60+IF(parametros_manuales!$H$23="Todos",'Plan mensual'!N64,0)))*parametros_manuales!$I$23*parametros_manuales!$J$23</f>
        <v>9105.10991228</v>
      </c>
      <c r="M146" s="14" t="n">
        <f aca="false">(parametros_manuales!$D$23*('Plan mensual'!O57+IF(parametros_manuales!$H$23="Todos",'Plan mensual'!O61,0))+parametros_manuales!$E$23*('Plan mensual'!O58+IF(parametros_manuales!$H$23="Todos",'Plan mensual'!O62,0))+parametros_manuales!$F$23*('Plan mensual'!O59+IF(parametros_manuales!$H$23="Todos",'Plan mensual'!O63,0))+parametros_manuales!$G$23*('Plan mensual'!O60+IF(parametros_manuales!$H$23="Todos",'Plan mensual'!O64,0)))*parametros_manuales!$I$23*parametros_manuales!$J$23</f>
        <v>14495.10226159</v>
      </c>
      <c r="N146" s="14" t="n">
        <f aca="false">SUM(B146:M146)</f>
        <v>123837.252099</v>
      </c>
      <c r="O146" s="14" t="n">
        <f aca="false">MAX(B146:M146)</f>
        <v>14495.10226159</v>
      </c>
      <c r="P146" s="57" t="n">
        <f aca="false">O146/(parametros_manuales!$B$7)</f>
        <v>96.6340150772667</v>
      </c>
      <c r="Q146" s="13" t="str">
        <f aca="false">IF(O146=0,"-",INDEX($B$141:$M$141,MATCH(O146,B146:M146,0)))</f>
        <v>Dic</v>
      </c>
    </row>
    <row r="147" customFormat="false" ht="14.25" hidden="false" customHeight="true" outlineLevel="0" collapsed="false">
      <c r="A147" s="13" t="str">
        <f aca="false">parametros_manuales!$B$24</f>
        <v>Numerado de cúpula</v>
      </c>
      <c r="B147" s="14" t="n">
        <f aca="false">(parametros_manuales!$D$24*('Plan mensual'!D57+IF(parametros_manuales!$H$24="Todos",'Plan mensual'!D61,0))+parametros_manuales!$E$24*('Plan mensual'!D58+IF(parametros_manuales!$H$24="Todos",'Plan mensual'!D62,0))+parametros_manuales!$F$24*('Plan mensual'!D59+IF(parametros_manuales!$H$24="Todos",'Plan mensual'!D63,0))+parametros_manuales!$G$24*('Plan mensual'!D60+IF(parametros_manuales!$H$24="Todos",'Plan mensual'!D64,0)))*parametros_manuales!$I$24*parametros_manuales!$J$24</f>
        <v>14129.7342713</v>
      </c>
      <c r="C147" s="14" t="n">
        <f aca="false">(parametros_manuales!$D$24*('Plan mensual'!E57+IF(parametros_manuales!$H$24="Todos",'Plan mensual'!E61,0))+parametros_manuales!$E$24*('Plan mensual'!E58+IF(parametros_manuales!$H$24="Todos",'Plan mensual'!E62,0))+parametros_manuales!$F$24*('Plan mensual'!E59+IF(parametros_manuales!$H$24="Todos",'Plan mensual'!E63,0))+parametros_manuales!$G$24*('Plan mensual'!E60+IF(parametros_manuales!$H$24="Todos",'Plan mensual'!E64,0)))*parametros_manuales!$I$24*parametros_manuales!$J$24</f>
        <v>10779.98469862</v>
      </c>
      <c r="D147" s="14" t="n">
        <f aca="false">(parametros_manuales!$D$24*('Plan mensual'!F57+IF(parametros_manuales!$H$24="Todos",'Plan mensual'!F61,0))+parametros_manuales!$E$24*('Plan mensual'!F58+IF(parametros_manuales!$H$24="Todos",'Plan mensual'!F62,0))+parametros_manuales!$F$24*('Plan mensual'!F59+IF(parametros_manuales!$H$24="Todos",'Plan mensual'!F63,0))+parametros_manuales!$G$24*('Plan mensual'!F60+IF(parametros_manuales!$H$24="Todos",'Plan mensual'!F64,0)))*parametros_manuales!$I$24*parametros_manuales!$J$24</f>
        <v>10089.664163065</v>
      </c>
      <c r="E147" s="14" t="n">
        <f aca="false">(parametros_manuales!$D$24*('Plan mensual'!G57+IF(parametros_manuales!$H$24="Todos",'Plan mensual'!G61,0))+parametros_manuales!$E$24*('Plan mensual'!G58+IF(parametros_manuales!$H$24="Todos",'Plan mensual'!G62,0))+parametros_manuales!$F$24*('Plan mensual'!G59+IF(parametros_manuales!$H$24="Todos",'Plan mensual'!G63,0))+parametros_manuales!$G$24*('Plan mensual'!G60+IF(parametros_manuales!$H$24="Todos",'Plan mensual'!G64,0)))*parametros_manuales!$I$24*parametros_manuales!$J$24</f>
        <v>9653.161897715</v>
      </c>
      <c r="F147" s="14" t="n">
        <f aca="false">(parametros_manuales!$D$24*('Plan mensual'!H57+IF(parametros_manuales!$H$24="Todos",'Plan mensual'!H61,0))+parametros_manuales!$E$24*('Plan mensual'!H58+IF(parametros_manuales!$H$24="Todos",'Plan mensual'!H62,0))+parametros_manuales!$F$24*('Plan mensual'!H59+IF(parametros_manuales!$H$24="Todos",'Plan mensual'!H63,0))+parametros_manuales!$G$24*('Plan mensual'!H60+IF(parametros_manuales!$H$24="Todos",'Plan mensual'!H64,0)))*parametros_manuales!$I$24*parametros_manuales!$J$24</f>
        <v>9033.97563722</v>
      </c>
      <c r="G147" s="14" t="n">
        <f aca="false">(parametros_manuales!$D$24*('Plan mensual'!I57+IF(parametros_manuales!$H$24="Todos",'Plan mensual'!I61,0))+parametros_manuales!$E$24*('Plan mensual'!I58+IF(parametros_manuales!$H$24="Todos",'Plan mensual'!I62,0))+parametros_manuales!$F$24*('Plan mensual'!I59+IF(parametros_manuales!$H$24="Todos",'Plan mensual'!I63,0))+parametros_manuales!$G$24*('Plan mensual'!I60+IF(parametros_manuales!$H$24="Todos",'Plan mensual'!I64,0)))*parametros_manuales!$I$24*parametros_manuales!$J$24</f>
        <v>8851.291642075</v>
      </c>
      <c r="H147" s="14" t="n">
        <f aca="false">(parametros_manuales!$D$24*('Plan mensual'!J57+IF(parametros_manuales!$H$24="Todos",'Plan mensual'!J61,0))+parametros_manuales!$E$24*('Plan mensual'!J58+IF(parametros_manuales!$H$24="Todos",'Plan mensual'!J62,0))+parametros_manuales!$F$24*('Plan mensual'!J59+IF(parametros_manuales!$H$24="Todos",'Plan mensual'!J63,0))+parametros_manuales!$G$24*('Plan mensual'!J60+IF(parametros_manuales!$H$24="Todos",'Plan mensual'!J64,0)))*parametros_manuales!$I$24*parametros_manuales!$J$24</f>
        <v>9470.47790257</v>
      </c>
      <c r="I147" s="14" t="n">
        <f aca="false">(parametros_manuales!$D$24*('Plan mensual'!K57+IF(parametros_manuales!$H$24="Todos",'Plan mensual'!K61,0))+parametros_manuales!$E$24*('Plan mensual'!K58+IF(parametros_manuales!$H$24="Todos",'Plan mensual'!K62,0))+parametros_manuales!$F$24*('Plan mensual'!K59+IF(parametros_manuales!$H$24="Todos",'Plan mensual'!K63,0))+parametros_manuales!$G$24*('Plan mensual'!K60+IF(parametros_manuales!$H$24="Todos",'Plan mensual'!K64,0)))*parametros_manuales!$I$24*parametros_manuales!$J$24</f>
        <v>9470.47790257</v>
      </c>
      <c r="J147" s="14" t="n">
        <f aca="false">(parametros_manuales!$D$24*('Plan mensual'!L57+IF(parametros_manuales!$H$24="Todos",'Plan mensual'!L61,0))+parametros_manuales!$E$24*('Plan mensual'!L58+IF(parametros_manuales!$H$24="Todos",'Plan mensual'!L62,0))+parametros_manuales!$F$24*('Plan mensual'!L59+IF(parametros_manuales!$H$24="Todos",'Plan mensual'!L63,0))+parametros_manuales!$G$24*('Plan mensual'!L60+IF(parametros_manuales!$H$24="Todos",'Plan mensual'!L64,0)))*parametros_manuales!$I$24*parametros_manuales!$J$24</f>
        <v>9470.47790257</v>
      </c>
      <c r="K147" s="14" t="n">
        <f aca="false">(parametros_manuales!$D$24*('Plan mensual'!M57+IF(parametros_manuales!$H$24="Todos",'Plan mensual'!M61,0))+parametros_manuales!$E$24*('Plan mensual'!M58+IF(parametros_manuales!$H$24="Todos",'Plan mensual'!M62,0))+parametros_manuales!$F$24*('Plan mensual'!M59+IF(parametros_manuales!$H$24="Todos",'Plan mensual'!M63,0))+parametros_manuales!$G$24*('Plan mensual'!M60+IF(parametros_manuales!$H$24="Todos",'Plan mensual'!M64,0)))*parametros_manuales!$I$24*parametros_manuales!$J$24</f>
        <v>9287.793907425</v>
      </c>
      <c r="L147" s="14" t="n">
        <f aca="false">(parametros_manuales!$D$24*('Plan mensual'!N57+IF(parametros_manuales!$H$24="Todos",'Plan mensual'!N61,0))+parametros_manuales!$E$24*('Plan mensual'!N58+IF(parametros_manuales!$H$24="Todos",'Plan mensual'!N62,0))+parametros_manuales!$F$24*('Plan mensual'!N59+IF(parametros_manuales!$H$24="Todos",'Plan mensual'!N63,0))+parametros_manuales!$G$24*('Plan mensual'!N60+IF(parametros_manuales!$H$24="Todos",'Plan mensual'!N64,0)))*parametros_manuales!$I$24*parametros_manuales!$J$24</f>
        <v>9105.10991228</v>
      </c>
      <c r="M147" s="14" t="n">
        <f aca="false">(parametros_manuales!$D$24*('Plan mensual'!O57+IF(parametros_manuales!$H$24="Todos",'Plan mensual'!O61,0))+parametros_manuales!$E$24*('Plan mensual'!O58+IF(parametros_manuales!$H$24="Todos",'Plan mensual'!O62,0))+parametros_manuales!$F$24*('Plan mensual'!O59+IF(parametros_manuales!$H$24="Todos",'Plan mensual'!O63,0))+parametros_manuales!$G$24*('Plan mensual'!O60+IF(parametros_manuales!$H$24="Todos",'Plan mensual'!O64,0)))*parametros_manuales!$I$24*parametros_manuales!$J$24</f>
        <v>14495.10226159</v>
      </c>
      <c r="N147" s="14" t="n">
        <f aca="false">SUM(B147:M147)</f>
        <v>123837.252099</v>
      </c>
      <c r="O147" s="14" t="n">
        <f aca="false">MAX(B147:M147)</f>
        <v>14495.10226159</v>
      </c>
      <c r="P147" s="57" t="n">
        <f aca="false">O147/(parametros_manuales!$B$7)</f>
        <v>96.6340150772667</v>
      </c>
      <c r="Q147" s="13" t="str">
        <f aca="false">IF(O147=0,"-",INDEX($B$141:$M$141,MATCH(O147,B147:M147,0)))</f>
        <v>Dic</v>
      </c>
    </row>
    <row r="148" customFormat="false" ht="14.25" hidden="false" customHeight="true" outlineLevel="0" collapsed="false">
      <c r="A148" s="13" t="str">
        <f aca="false">parametros_manuales!$B$25</f>
        <v>Soldadura del cuello a la cúpula</v>
      </c>
      <c r="B148" s="14" t="n">
        <f aca="false">(parametros_manuales!$D$25*('Plan mensual'!D57+IF(parametros_manuales!$H$25="Todos",'Plan mensual'!D61,0))+parametros_manuales!$E$25*('Plan mensual'!D58+IF(parametros_manuales!$H$25="Todos",'Plan mensual'!D62,0))+parametros_manuales!$F$25*('Plan mensual'!D59+IF(parametros_manuales!$H$25="Todos",'Plan mensual'!D63,0))+parametros_manuales!$G$25*('Plan mensual'!D60+IF(parametros_manuales!$H$25="Todos",'Plan mensual'!D64,0)))*parametros_manuales!$I$25*parametros_manuales!$J$25</f>
        <v>14129.7342713</v>
      </c>
      <c r="C148" s="14" t="n">
        <f aca="false">(parametros_manuales!$D$25*('Plan mensual'!E57+IF(parametros_manuales!$H$25="Todos",'Plan mensual'!E61,0))+parametros_manuales!$E$25*('Plan mensual'!E58+IF(parametros_manuales!$H$25="Todos",'Plan mensual'!E62,0))+parametros_manuales!$F$25*('Plan mensual'!E59+IF(parametros_manuales!$H$25="Todos",'Plan mensual'!E63,0))+parametros_manuales!$G$25*('Plan mensual'!E60+IF(parametros_manuales!$H$25="Todos",'Plan mensual'!E64,0)))*parametros_manuales!$I$25*parametros_manuales!$J$25</f>
        <v>10779.98469862</v>
      </c>
      <c r="D148" s="14" t="n">
        <f aca="false">(parametros_manuales!$D$25*('Plan mensual'!F57+IF(parametros_manuales!$H$25="Todos",'Plan mensual'!F61,0))+parametros_manuales!$E$25*('Plan mensual'!F58+IF(parametros_manuales!$H$25="Todos",'Plan mensual'!F62,0))+parametros_manuales!$F$25*('Plan mensual'!F59+IF(parametros_manuales!$H$25="Todos",'Plan mensual'!F63,0))+parametros_manuales!$G$25*('Plan mensual'!F60+IF(parametros_manuales!$H$25="Todos",'Plan mensual'!F64,0)))*parametros_manuales!$I$25*parametros_manuales!$J$25</f>
        <v>10089.664163065</v>
      </c>
      <c r="E148" s="14" t="n">
        <f aca="false">(parametros_manuales!$D$25*('Plan mensual'!G57+IF(parametros_manuales!$H$25="Todos",'Plan mensual'!G61,0))+parametros_manuales!$E$25*('Plan mensual'!G58+IF(parametros_manuales!$H$25="Todos",'Plan mensual'!G62,0))+parametros_manuales!$F$25*('Plan mensual'!G59+IF(parametros_manuales!$H$25="Todos",'Plan mensual'!G63,0))+parametros_manuales!$G$25*('Plan mensual'!G60+IF(parametros_manuales!$H$25="Todos",'Plan mensual'!G64,0)))*parametros_manuales!$I$25*parametros_manuales!$J$25</f>
        <v>9653.161897715</v>
      </c>
      <c r="F148" s="14" t="n">
        <f aca="false">(parametros_manuales!$D$25*('Plan mensual'!H57+IF(parametros_manuales!$H$25="Todos",'Plan mensual'!H61,0))+parametros_manuales!$E$25*('Plan mensual'!H58+IF(parametros_manuales!$H$25="Todos",'Plan mensual'!H62,0))+parametros_manuales!$F$25*('Plan mensual'!H59+IF(parametros_manuales!$H$25="Todos",'Plan mensual'!H63,0))+parametros_manuales!$G$25*('Plan mensual'!H60+IF(parametros_manuales!$H$25="Todos",'Plan mensual'!H64,0)))*parametros_manuales!$I$25*parametros_manuales!$J$25</f>
        <v>9033.97563722</v>
      </c>
      <c r="G148" s="14" t="n">
        <f aca="false">(parametros_manuales!$D$25*('Plan mensual'!I57+IF(parametros_manuales!$H$25="Todos",'Plan mensual'!I61,0))+parametros_manuales!$E$25*('Plan mensual'!I58+IF(parametros_manuales!$H$25="Todos",'Plan mensual'!I62,0))+parametros_manuales!$F$25*('Plan mensual'!I59+IF(parametros_manuales!$H$25="Todos",'Plan mensual'!I63,0))+parametros_manuales!$G$25*('Plan mensual'!I60+IF(parametros_manuales!$H$25="Todos",'Plan mensual'!I64,0)))*parametros_manuales!$I$25*parametros_manuales!$J$25</f>
        <v>8851.291642075</v>
      </c>
      <c r="H148" s="14" t="n">
        <f aca="false">(parametros_manuales!$D$25*('Plan mensual'!J57+IF(parametros_manuales!$H$25="Todos",'Plan mensual'!J61,0))+parametros_manuales!$E$25*('Plan mensual'!J58+IF(parametros_manuales!$H$25="Todos",'Plan mensual'!J62,0))+parametros_manuales!$F$25*('Plan mensual'!J59+IF(parametros_manuales!$H$25="Todos",'Plan mensual'!J63,0))+parametros_manuales!$G$25*('Plan mensual'!J60+IF(parametros_manuales!$H$25="Todos",'Plan mensual'!J64,0)))*parametros_manuales!$I$25*parametros_manuales!$J$25</f>
        <v>9470.47790257</v>
      </c>
      <c r="I148" s="14" t="n">
        <f aca="false">(parametros_manuales!$D$25*('Plan mensual'!K57+IF(parametros_manuales!$H$25="Todos",'Plan mensual'!K61,0))+parametros_manuales!$E$25*('Plan mensual'!K58+IF(parametros_manuales!$H$25="Todos",'Plan mensual'!K62,0))+parametros_manuales!$F$25*('Plan mensual'!K59+IF(parametros_manuales!$H$25="Todos",'Plan mensual'!K63,0))+parametros_manuales!$G$25*('Plan mensual'!K60+IF(parametros_manuales!$H$25="Todos",'Plan mensual'!K64,0)))*parametros_manuales!$I$25*parametros_manuales!$J$25</f>
        <v>9470.47790257</v>
      </c>
      <c r="J148" s="14" t="n">
        <f aca="false">(parametros_manuales!$D$25*('Plan mensual'!L57+IF(parametros_manuales!$H$25="Todos",'Plan mensual'!L61,0))+parametros_manuales!$E$25*('Plan mensual'!L58+IF(parametros_manuales!$H$25="Todos",'Plan mensual'!L62,0))+parametros_manuales!$F$25*('Plan mensual'!L59+IF(parametros_manuales!$H$25="Todos",'Plan mensual'!L63,0))+parametros_manuales!$G$25*('Plan mensual'!L60+IF(parametros_manuales!$H$25="Todos",'Plan mensual'!L64,0)))*parametros_manuales!$I$25*parametros_manuales!$J$25</f>
        <v>9470.47790257</v>
      </c>
      <c r="K148" s="14" t="n">
        <f aca="false">(parametros_manuales!$D$25*('Plan mensual'!M57+IF(parametros_manuales!$H$25="Todos",'Plan mensual'!M61,0))+parametros_manuales!$E$25*('Plan mensual'!M58+IF(parametros_manuales!$H$25="Todos",'Plan mensual'!M62,0))+parametros_manuales!$F$25*('Plan mensual'!M59+IF(parametros_manuales!$H$25="Todos",'Plan mensual'!M63,0))+parametros_manuales!$G$25*('Plan mensual'!M60+IF(parametros_manuales!$H$25="Todos",'Plan mensual'!M64,0)))*parametros_manuales!$I$25*parametros_manuales!$J$25</f>
        <v>9287.793907425</v>
      </c>
      <c r="L148" s="14" t="n">
        <f aca="false">(parametros_manuales!$D$25*('Plan mensual'!N57+IF(parametros_manuales!$H$25="Todos",'Plan mensual'!N61,0))+parametros_manuales!$E$25*('Plan mensual'!N58+IF(parametros_manuales!$H$25="Todos",'Plan mensual'!N62,0))+parametros_manuales!$F$25*('Plan mensual'!N59+IF(parametros_manuales!$H$25="Todos",'Plan mensual'!N63,0))+parametros_manuales!$G$25*('Plan mensual'!N60+IF(parametros_manuales!$H$25="Todos",'Plan mensual'!N64,0)))*parametros_manuales!$I$25*parametros_manuales!$J$25</f>
        <v>9105.10991228</v>
      </c>
      <c r="M148" s="14" t="n">
        <f aca="false">(parametros_manuales!$D$25*('Plan mensual'!O57+IF(parametros_manuales!$H$25="Todos",'Plan mensual'!O61,0))+parametros_manuales!$E$25*('Plan mensual'!O58+IF(parametros_manuales!$H$25="Todos",'Plan mensual'!O62,0))+parametros_manuales!$F$25*('Plan mensual'!O59+IF(parametros_manuales!$H$25="Todos",'Plan mensual'!O63,0))+parametros_manuales!$G$25*('Plan mensual'!O60+IF(parametros_manuales!$H$25="Todos",'Plan mensual'!O64,0)))*parametros_manuales!$I$25*parametros_manuales!$J$25</f>
        <v>14495.10226159</v>
      </c>
      <c r="N148" s="14" t="n">
        <f aca="false">SUM(B148:M148)</f>
        <v>123837.252099</v>
      </c>
      <c r="O148" s="14" t="n">
        <f aca="false">MAX(B148:M148)</f>
        <v>14495.10226159</v>
      </c>
      <c r="P148" s="57" t="n">
        <f aca="false">O148/(parametros_manuales!$B$7)</f>
        <v>96.6340150772667</v>
      </c>
      <c r="Q148" s="13" t="str">
        <f aca="false">IF(O148=0,"-",INDEX($B$141:$M$141,MATCH(O148,B148:M148,0)))</f>
        <v>Dic</v>
      </c>
    </row>
    <row r="149" customFormat="false" ht="14.25" hidden="false" customHeight="true" outlineLevel="0" collapsed="false">
      <c r="A149" s="13" t="str">
        <f aca="false">parametros_manuales!$B$26</f>
        <v>Cilindrado</v>
      </c>
      <c r="B149" s="14" t="n">
        <f aca="false">(parametros_manuales!$D$26*('Plan mensual'!D57+IF(parametros_manuales!$H$26="Todos",'Plan mensual'!D61,0))+parametros_manuales!$E$26*('Plan mensual'!D58+IF(parametros_manuales!$H$26="Todos",'Plan mensual'!D62,0))+parametros_manuales!$F$26*('Plan mensual'!D59+IF(parametros_manuales!$H$26="Todos",'Plan mensual'!D63,0))+parametros_manuales!$G$26*('Plan mensual'!D60+IF(parametros_manuales!$H$26="Todos",'Plan mensual'!D64,0)))*parametros_manuales!$I$26*parametros_manuales!$J$26</f>
        <v>14129.7342713</v>
      </c>
      <c r="C149" s="14" t="n">
        <f aca="false">(parametros_manuales!$D$26*('Plan mensual'!E57+IF(parametros_manuales!$H$26="Todos",'Plan mensual'!E61,0))+parametros_manuales!$E$26*('Plan mensual'!E58+IF(parametros_manuales!$H$26="Todos",'Plan mensual'!E62,0))+parametros_manuales!$F$26*('Plan mensual'!E59+IF(parametros_manuales!$H$26="Todos",'Plan mensual'!E63,0))+parametros_manuales!$G$26*('Plan mensual'!E60+IF(parametros_manuales!$H$26="Todos",'Plan mensual'!E64,0)))*parametros_manuales!$I$26*parametros_manuales!$J$26</f>
        <v>10779.98469862</v>
      </c>
      <c r="D149" s="14" t="n">
        <f aca="false">(parametros_manuales!$D$26*('Plan mensual'!F57+IF(parametros_manuales!$H$26="Todos",'Plan mensual'!F61,0))+parametros_manuales!$E$26*('Plan mensual'!F58+IF(parametros_manuales!$H$26="Todos",'Plan mensual'!F62,0))+parametros_manuales!$F$26*('Plan mensual'!F59+IF(parametros_manuales!$H$26="Todos",'Plan mensual'!F63,0))+parametros_manuales!$G$26*('Plan mensual'!F60+IF(parametros_manuales!$H$26="Todos",'Plan mensual'!F64,0)))*parametros_manuales!$I$26*parametros_manuales!$J$26</f>
        <v>10089.664163065</v>
      </c>
      <c r="E149" s="14" t="n">
        <f aca="false">(parametros_manuales!$D$26*('Plan mensual'!G57+IF(parametros_manuales!$H$26="Todos",'Plan mensual'!G61,0))+parametros_manuales!$E$26*('Plan mensual'!G58+IF(parametros_manuales!$H$26="Todos",'Plan mensual'!G62,0))+parametros_manuales!$F$26*('Plan mensual'!G59+IF(parametros_manuales!$H$26="Todos",'Plan mensual'!G63,0))+parametros_manuales!$G$26*('Plan mensual'!G60+IF(parametros_manuales!$H$26="Todos",'Plan mensual'!G64,0)))*parametros_manuales!$I$26*parametros_manuales!$J$26</f>
        <v>9653.161897715</v>
      </c>
      <c r="F149" s="14" t="n">
        <f aca="false">(parametros_manuales!$D$26*('Plan mensual'!H57+IF(parametros_manuales!$H$26="Todos",'Plan mensual'!H61,0))+parametros_manuales!$E$26*('Plan mensual'!H58+IF(parametros_manuales!$H$26="Todos",'Plan mensual'!H62,0))+parametros_manuales!$F$26*('Plan mensual'!H59+IF(parametros_manuales!$H$26="Todos",'Plan mensual'!H63,0))+parametros_manuales!$G$26*('Plan mensual'!H60+IF(parametros_manuales!$H$26="Todos",'Plan mensual'!H64,0)))*parametros_manuales!$I$26*parametros_manuales!$J$26</f>
        <v>9033.97563722</v>
      </c>
      <c r="G149" s="14" t="n">
        <f aca="false">(parametros_manuales!$D$26*('Plan mensual'!I57+IF(parametros_manuales!$H$26="Todos",'Plan mensual'!I61,0))+parametros_manuales!$E$26*('Plan mensual'!I58+IF(parametros_manuales!$H$26="Todos",'Plan mensual'!I62,0))+parametros_manuales!$F$26*('Plan mensual'!I59+IF(parametros_manuales!$H$26="Todos",'Plan mensual'!I63,0))+parametros_manuales!$G$26*('Plan mensual'!I60+IF(parametros_manuales!$H$26="Todos",'Plan mensual'!I64,0)))*parametros_manuales!$I$26*parametros_manuales!$J$26</f>
        <v>8851.291642075</v>
      </c>
      <c r="H149" s="14" t="n">
        <f aca="false">(parametros_manuales!$D$26*('Plan mensual'!J57+IF(parametros_manuales!$H$26="Todos",'Plan mensual'!J61,0))+parametros_manuales!$E$26*('Plan mensual'!J58+IF(parametros_manuales!$H$26="Todos",'Plan mensual'!J62,0))+parametros_manuales!$F$26*('Plan mensual'!J59+IF(parametros_manuales!$H$26="Todos",'Plan mensual'!J63,0))+parametros_manuales!$G$26*('Plan mensual'!J60+IF(parametros_manuales!$H$26="Todos",'Plan mensual'!J64,0)))*parametros_manuales!$I$26*parametros_manuales!$J$26</f>
        <v>9470.47790257</v>
      </c>
      <c r="I149" s="14" t="n">
        <f aca="false">(parametros_manuales!$D$26*('Plan mensual'!K57+IF(parametros_manuales!$H$26="Todos",'Plan mensual'!K61,0))+parametros_manuales!$E$26*('Plan mensual'!K58+IF(parametros_manuales!$H$26="Todos",'Plan mensual'!K62,0))+parametros_manuales!$F$26*('Plan mensual'!K59+IF(parametros_manuales!$H$26="Todos",'Plan mensual'!K63,0))+parametros_manuales!$G$26*('Plan mensual'!K60+IF(parametros_manuales!$H$26="Todos",'Plan mensual'!K64,0)))*parametros_manuales!$I$26*parametros_manuales!$J$26</f>
        <v>9470.47790257</v>
      </c>
      <c r="J149" s="14" t="n">
        <f aca="false">(parametros_manuales!$D$26*('Plan mensual'!L57+IF(parametros_manuales!$H$26="Todos",'Plan mensual'!L61,0))+parametros_manuales!$E$26*('Plan mensual'!L58+IF(parametros_manuales!$H$26="Todos",'Plan mensual'!L62,0))+parametros_manuales!$F$26*('Plan mensual'!L59+IF(parametros_manuales!$H$26="Todos",'Plan mensual'!L63,0))+parametros_manuales!$G$26*('Plan mensual'!L60+IF(parametros_manuales!$H$26="Todos",'Plan mensual'!L64,0)))*parametros_manuales!$I$26*parametros_manuales!$J$26</f>
        <v>9470.47790257</v>
      </c>
      <c r="K149" s="14" t="n">
        <f aca="false">(parametros_manuales!$D$26*('Plan mensual'!M57+IF(parametros_manuales!$H$26="Todos",'Plan mensual'!M61,0))+parametros_manuales!$E$26*('Plan mensual'!M58+IF(parametros_manuales!$H$26="Todos",'Plan mensual'!M62,0))+parametros_manuales!$F$26*('Plan mensual'!M59+IF(parametros_manuales!$H$26="Todos",'Plan mensual'!M63,0))+parametros_manuales!$G$26*('Plan mensual'!M60+IF(parametros_manuales!$H$26="Todos",'Plan mensual'!M64,0)))*parametros_manuales!$I$26*parametros_manuales!$J$26</f>
        <v>9287.793907425</v>
      </c>
      <c r="L149" s="14" t="n">
        <f aca="false">(parametros_manuales!$D$26*('Plan mensual'!N57+IF(parametros_manuales!$H$26="Todos",'Plan mensual'!N61,0))+parametros_manuales!$E$26*('Plan mensual'!N58+IF(parametros_manuales!$H$26="Todos",'Plan mensual'!N62,0))+parametros_manuales!$F$26*('Plan mensual'!N59+IF(parametros_manuales!$H$26="Todos",'Plan mensual'!N63,0))+parametros_manuales!$G$26*('Plan mensual'!N60+IF(parametros_manuales!$H$26="Todos",'Plan mensual'!N64,0)))*parametros_manuales!$I$26*parametros_manuales!$J$26</f>
        <v>9105.10991228</v>
      </c>
      <c r="M149" s="14" t="n">
        <f aca="false">(parametros_manuales!$D$26*('Plan mensual'!O57+IF(parametros_manuales!$H$26="Todos",'Plan mensual'!O61,0))+parametros_manuales!$E$26*('Plan mensual'!O58+IF(parametros_manuales!$H$26="Todos",'Plan mensual'!O62,0))+parametros_manuales!$F$26*('Plan mensual'!O59+IF(parametros_manuales!$H$26="Todos",'Plan mensual'!O63,0))+parametros_manuales!$G$26*('Plan mensual'!O60+IF(parametros_manuales!$H$26="Todos",'Plan mensual'!O64,0)))*parametros_manuales!$I$26*parametros_manuales!$J$26</f>
        <v>14495.10226159</v>
      </c>
      <c r="N149" s="14" t="n">
        <f aca="false">SUM(B149:M149)</f>
        <v>123837.252099</v>
      </c>
      <c r="O149" s="14" t="n">
        <f aca="false">MAX(B149:M149)</f>
        <v>14495.10226159</v>
      </c>
      <c r="P149" s="57" t="n">
        <f aca="false">O149/(parametros_manuales!$B$7)</f>
        <v>96.6340150772667</v>
      </c>
      <c r="Q149" s="13" t="str">
        <f aca="false">IF(O149=0,"-",INDEX($B$141:$M$141,MATCH(O149,B149:M149,0)))</f>
        <v>Dic</v>
      </c>
    </row>
    <row r="150" customFormat="false" ht="14.25" hidden="false" customHeight="true" outlineLevel="0" collapsed="false">
      <c r="A150" s="13" t="str">
        <f aca="false">parametros_manuales!$B$27</f>
        <v>Soldadura longitudinal — 2,5 a 10 kg</v>
      </c>
      <c r="B150" s="14" t="n">
        <f aca="false">(parametros_manuales!$D$27*('Plan mensual'!D57+IF(parametros_manuales!$H$27="Todos",'Plan mensual'!D61,0))+parametros_manuales!$E$27*('Plan mensual'!D58+IF(parametros_manuales!$H$27="Todos",'Plan mensual'!D62,0))+parametros_manuales!$F$27*('Plan mensual'!D59+IF(parametros_manuales!$H$27="Todos",'Plan mensual'!D63,0))+parametros_manuales!$G$27*('Plan mensual'!D60+IF(parametros_manuales!$H$27="Todos",'Plan mensual'!D64,0)))*parametros_manuales!$I$27*parametros_manuales!$J$27</f>
        <v>3653.6799029</v>
      </c>
      <c r="C150" s="14" t="n">
        <f aca="false">(parametros_manuales!$D$27*('Plan mensual'!E57+IF(parametros_manuales!$H$27="Todos",'Plan mensual'!E61,0))+parametros_manuales!$E$27*('Plan mensual'!E58+IF(parametros_manuales!$H$27="Todos",'Plan mensual'!E62,0))+parametros_manuales!$F$27*('Plan mensual'!E59+IF(parametros_manuales!$H$27="Todos",'Plan mensual'!E63,0))+parametros_manuales!$G$27*('Plan mensual'!E60+IF(parametros_manuales!$H$27="Todos",'Plan mensual'!E64,0)))*parametros_manuales!$I$27*parametros_manuales!$J$27</f>
        <v>2922.94392232</v>
      </c>
      <c r="D150" s="14" t="n">
        <f aca="false">(parametros_manuales!$D$27*('Plan mensual'!F57+IF(parametros_manuales!$H$27="Todos",'Plan mensual'!F61,0))+parametros_manuales!$E$27*('Plan mensual'!F58+IF(parametros_manuales!$H$27="Todos",'Plan mensual'!F62,0))+parametros_manuales!$F$27*('Plan mensual'!F59+IF(parametros_manuales!$H$27="Todos",'Plan mensual'!F63,0))+parametros_manuales!$G$27*('Plan mensual'!F60+IF(parametros_manuales!$H$27="Todos",'Plan mensual'!F64,0)))*parametros_manuales!$I$27*parametros_manuales!$J$27</f>
        <v>3105.627917465</v>
      </c>
      <c r="E150" s="14" t="n">
        <f aca="false">(parametros_manuales!$D$27*('Plan mensual'!G57+IF(parametros_manuales!$H$27="Todos",'Plan mensual'!G61,0))+parametros_manuales!$E$27*('Plan mensual'!G58+IF(parametros_manuales!$H$27="Todos",'Plan mensual'!G62,0))+parametros_manuales!$F$27*('Plan mensual'!G59+IF(parametros_manuales!$H$27="Todos",'Plan mensual'!G63,0))+parametros_manuales!$G$27*('Plan mensual'!G60+IF(parametros_manuales!$H$27="Todos",'Plan mensual'!G64,0)))*parametros_manuales!$I$27*parametros_manuales!$J$27</f>
        <v>3105.627917465</v>
      </c>
      <c r="F150" s="14" t="n">
        <f aca="false">(parametros_manuales!$D$27*('Plan mensual'!H57+IF(parametros_manuales!$H$27="Todos",'Plan mensual'!H61,0))+parametros_manuales!$E$27*('Plan mensual'!H58+IF(parametros_manuales!$H$27="Todos",'Plan mensual'!H62,0))+parametros_manuales!$F$27*('Plan mensual'!H59+IF(parametros_manuales!$H$27="Todos",'Plan mensual'!H63,0))+parametros_manuales!$G$27*('Plan mensual'!H60+IF(parametros_manuales!$H$27="Todos",'Plan mensual'!H64,0)))*parametros_manuales!$I$27*parametros_manuales!$J$27</f>
        <v>2922.94392232</v>
      </c>
      <c r="G150" s="14" t="n">
        <f aca="false">(parametros_manuales!$D$27*('Plan mensual'!I57+IF(parametros_manuales!$H$27="Todos",'Plan mensual'!I61,0))+parametros_manuales!$E$27*('Plan mensual'!I58+IF(parametros_manuales!$H$27="Todos",'Plan mensual'!I62,0))+parametros_manuales!$F$27*('Plan mensual'!I59+IF(parametros_manuales!$H$27="Todos",'Plan mensual'!I63,0))+parametros_manuales!$G$27*('Plan mensual'!I60+IF(parametros_manuales!$H$27="Todos",'Plan mensual'!I64,0)))*parametros_manuales!$I$27*parametros_manuales!$J$27</f>
        <v>2740.259927175</v>
      </c>
      <c r="H150" s="14" t="n">
        <f aca="false">(parametros_manuales!$D$27*('Plan mensual'!J57+IF(parametros_manuales!$H$27="Todos",'Plan mensual'!J61,0))+parametros_manuales!$E$27*('Plan mensual'!J58+IF(parametros_manuales!$H$27="Todos",'Plan mensual'!J62,0))+parametros_manuales!$F$27*('Plan mensual'!J59+IF(parametros_manuales!$H$27="Todos",'Plan mensual'!J63,0))+parametros_manuales!$G$27*('Plan mensual'!J60+IF(parametros_manuales!$H$27="Todos",'Plan mensual'!J64,0)))*parametros_manuales!$I$27*parametros_manuales!$J$27</f>
        <v>2922.94392232</v>
      </c>
      <c r="I150" s="14" t="n">
        <f aca="false">(parametros_manuales!$D$27*('Plan mensual'!K57+IF(parametros_manuales!$H$27="Todos",'Plan mensual'!K61,0))+parametros_manuales!$E$27*('Plan mensual'!K58+IF(parametros_manuales!$H$27="Todos",'Plan mensual'!K62,0))+parametros_manuales!$F$27*('Plan mensual'!K59+IF(parametros_manuales!$H$27="Todos",'Plan mensual'!K63,0))+parametros_manuales!$G$27*('Plan mensual'!K60+IF(parametros_manuales!$H$27="Todos",'Plan mensual'!K64,0)))*parametros_manuales!$I$27*parametros_manuales!$J$27</f>
        <v>2922.94392232</v>
      </c>
      <c r="J150" s="14" t="n">
        <f aca="false">(parametros_manuales!$D$27*('Plan mensual'!L57+IF(parametros_manuales!$H$27="Todos",'Plan mensual'!L61,0))+parametros_manuales!$E$27*('Plan mensual'!L58+IF(parametros_manuales!$H$27="Todos",'Plan mensual'!L62,0))+parametros_manuales!$F$27*('Plan mensual'!L59+IF(parametros_manuales!$H$27="Todos",'Plan mensual'!L63,0))+parametros_manuales!$G$27*('Plan mensual'!L60+IF(parametros_manuales!$H$27="Todos",'Plan mensual'!L64,0)))*parametros_manuales!$I$27*parametros_manuales!$J$27</f>
        <v>2922.94392232</v>
      </c>
      <c r="K150" s="14" t="n">
        <f aca="false">(parametros_manuales!$D$27*('Plan mensual'!M57+IF(parametros_manuales!$H$27="Todos",'Plan mensual'!M61,0))+parametros_manuales!$E$27*('Plan mensual'!M58+IF(parametros_manuales!$H$27="Todos",'Plan mensual'!M62,0))+parametros_manuales!$F$27*('Plan mensual'!M59+IF(parametros_manuales!$H$27="Todos",'Plan mensual'!M63,0))+parametros_manuales!$G$27*('Plan mensual'!M60+IF(parametros_manuales!$H$27="Todos",'Plan mensual'!M64,0)))*parametros_manuales!$I$27*parametros_manuales!$J$27</f>
        <v>2740.259927175</v>
      </c>
      <c r="L150" s="14" t="n">
        <f aca="false">(parametros_manuales!$D$27*('Plan mensual'!N57+IF(parametros_manuales!$H$27="Todos",'Plan mensual'!N61,0))+parametros_manuales!$E$27*('Plan mensual'!N58+IF(parametros_manuales!$H$27="Todos",'Plan mensual'!N62,0))+parametros_manuales!$F$27*('Plan mensual'!N59+IF(parametros_manuales!$H$27="Todos",'Plan mensual'!N63,0))+parametros_manuales!$G$27*('Plan mensual'!N60+IF(parametros_manuales!$H$27="Todos",'Plan mensual'!N64,0)))*parametros_manuales!$I$27*parametros_manuales!$J$27</f>
        <v>2557.57593203</v>
      </c>
      <c r="M150" s="14" t="n">
        <f aca="false">(parametros_manuales!$D$27*('Plan mensual'!O57+IF(parametros_manuales!$H$27="Todos",'Plan mensual'!O61,0))+parametros_manuales!$E$27*('Plan mensual'!O58+IF(parametros_manuales!$H$27="Todos",'Plan mensual'!O62,0))+parametros_manuales!$F$27*('Plan mensual'!O59+IF(parametros_manuales!$H$27="Todos",'Plan mensual'!O63,0))+parametros_manuales!$G$27*('Plan mensual'!O60+IF(parametros_manuales!$H$27="Todos",'Plan mensual'!O64,0)))*parametros_manuales!$I$27*parametros_manuales!$J$27</f>
        <v>4019.04789319</v>
      </c>
      <c r="N150" s="14" t="n">
        <f aca="false">SUM(B150:M150)</f>
        <v>36536.799029</v>
      </c>
      <c r="O150" s="14" t="n">
        <f aca="false">MAX(B150:M150)</f>
        <v>4019.04789319</v>
      </c>
      <c r="P150" s="57" t="n">
        <f aca="false">O150/(parametros_manuales!$B$7)</f>
        <v>26.7936526212667</v>
      </c>
      <c r="Q150" s="13" t="str">
        <f aca="false">IF(O150=0,"-",INDEX($B$141:$M$141,MATCH(O150,B150:M150,0)))</f>
        <v>Dic</v>
      </c>
    </row>
    <row r="151" customFormat="false" ht="14.25" hidden="false" customHeight="true" outlineLevel="0" collapsed="false">
      <c r="A151" s="13" t="str">
        <f aca="false">parametros_manuales!$B$28</f>
        <v>Soldadura longitudinal TIG — 1 kg</v>
      </c>
      <c r="B151" s="14" t="n">
        <f aca="false">(parametros_manuales!$D$28*('Plan mensual'!D57+IF(parametros_manuales!$H$28="Todos",'Plan mensual'!D61,0))+parametros_manuales!$E$28*('Plan mensual'!D58+IF(parametros_manuales!$H$28="Todos",'Plan mensual'!D62,0))+parametros_manuales!$F$28*('Plan mensual'!D59+IF(parametros_manuales!$H$28="Todos",'Plan mensual'!D63,0))+parametros_manuales!$G$28*('Plan mensual'!D60+IF(parametros_manuales!$H$28="Todos",'Plan mensual'!D64,0)))*parametros_manuales!$I$28*parametros_manuales!$J$28</f>
        <v>10476.0543684</v>
      </c>
      <c r="C151" s="14" t="n">
        <f aca="false">(parametros_manuales!$D$28*('Plan mensual'!E57+IF(parametros_manuales!$H$28="Todos",'Plan mensual'!E61,0))+parametros_manuales!$E$28*('Plan mensual'!E58+IF(parametros_manuales!$H$28="Todos",'Plan mensual'!E62,0))+parametros_manuales!$F$28*('Plan mensual'!E59+IF(parametros_manuales!$H$28="Todos",'Plan mensual'!E63,0))+parametros_manuales!$G$28*('Plan mensual'!E60+IF(parametros_manuales!$H$28="Todos",'Plan mensual'!E64,0)))*parametros_manuales!$I$28*parametros_manuales!$J$28</f>
        <v>7857.0407763</v>
      </c>
      <c r="D151" s="14" t="n">
        <f aca="false">(parametros_manuales!$D$28*('Plan mensual'!F57+IF(parametros_manuales!$H$28="Todos",'Plan mensual'!F61,0))+parametros_manuales!$E$28*('Plan mensual'!F58+IF(parametros_manuales!$H$28="Todos",'Plan mensual'!F62,0))+parametros_manuales!$F$28*('Plan mensual'!F59+IF(parametros_manuales!$H$28="Todos",'Plan mensual'!F63,0))+parametros_manuales!$G$28*('Plan mensual'!F60+IF(parametros_manuales!$H$28="Todos",'Plan mensual'!F64,0)))*parametros_manuales!$I$28*parametros_manuales!$J$28</f>
        <v>6984.0362456</v>
      </c>
      <c r="E151" s="14" t="n">
        <f aca="false">(parametros_manuales!$D$28*('Plan mensual'!G57+IF(parametros_manuales!$H$28="Todos",'Plan mensual'!G61,0))+parametros_manuales!$E$28*('Plan mensual'!G58+IF(parametros_manuales!$H$28="Todos",'Plan mensual'!G62,0))+parametros_manuales!$F$28*('Plan mensual'!G59+IF(parametros_manuales!$H$28="Todos",'Plan mensual'!G63,0))+parametros_manuales!$G$28*('Plan mensual'!G60+IF(parametros_manuales!$H$28="Todos",'Plan mensual'!G64,0)))*parametros_manuales!$I$28*parametros_manuales!$J$28</f>
        <v>6547.53398025</v>
      </c>
      <c r="F151" s="14" t="n">
        <f aca="false">(parametros_manuales!$D$28*('Plan mensual'!H57+IF(parametros_manuales!$H$28="Todos",'Plan mensual'!H61,0))+parametros_manuales!$E$28*('Plan mensual'!H58+IF(parametros_manuales!$H$28="Todos",'Plan mensual'!H62,0))+parametros_manuales!$F$28*('Plan mensual'!H59+IF(parametros_manuales!$H$28="Todos",'Plan mensual'!H63,0))+parametros_manuales!$G$28*('Plan mensual'!H60+IF(parametros_manuales!$H$28="Todos",'Plan mensual'!H64,0)))*parametros_manuales!$I$28*parametros_manuales!$J$28</f>
        <v>6111.0317149</v>
      </c>
      <c r="G151" s="14" t="n">
        <f aca="false">(parametros_manuales!$D$28*('Plan mensual'!I57+IF(parametros_manuales!$H$28="Todos",'Plan mensual'!I61,0))+parametros_manuales!$E$28*('Plan mensual'!I58+IF(parametros_manuales!$H$28="Todos",'Plan mensual'!I62,0))+parametros_manuales!$F$28*('Plan mensual'!I59+IF(parametros_manuales!$H$28="Todos",'Plan mensual'!I63,0))+parametros_manuales!$G$28*('Plan mensual'!I60+IF(parametros_manuales!$H$28="Todos",'Plan mensual'!I64,0)))*parametros_manuales!$I$28*parametros_manuales!$J$28</f>
        <v>6111.0317149</v>
      </c>
      <c r="H151" s="14" t="n">
        <f aca="false">(parametros_manuales!$D$28*('Plan mensual'!J57+IF(parametros_manuales!$H$28="Todos",'Plan mensual'!J61,0))+parametros_manuales!$E$28*('Plan mensual'!J58+IF(parametros_manuales!$H$28="Todos",'Plan mensual'!J62,0))+parametros_manuales!$F$28*('Plan mensual'!J59+IF(parametros_manuales!$H$28="Todos",'Plan mensual'!J63,0))+parametros_manuales!$G$28*('Plan mensual'!J60+IF(parametros_manuales!$H$28="Todos",'Plan mensual'!J64,0)))*parametros_manuales!$I$28*parametros_manuales!$J$28</f>
        <v>6547.53398025</v>
      </c>
      <c r="I151" s="14" t="n">
        <f aca="false">(parametros_manuales!$D$28*('Plan mensual'!K57+IF(parametros_manuales!$H$28="Todos",'Plan mensual'!K61,0))+parametros_manuales!$E$28*('Plan mensual'!K58+IF(parametros_manuales!$H$28="Todos",'Plan mensual'!K62,0))+parametros_manuales!$F$28*('Plan mensual'!K59+IF(parametros_manuales!$H$28="Todos",'Plan mensual'!K63,0))+parametros_manuales!$G$28*('Plan mensual'!K60+IF(parametros_manuales!$H$28="Todos",'Plan mensual'!K64,0)))*parametros_manuales!$I$28*parametros_manuales!$J$28</f>
        <v>6547.53398025</v>
      </c>
      <c r="J151" s="14" t="n">
        <f aca="false">(parametros_manuales!$D$28*('Plan mensual'!L57+IF(parametros_manuales!$H$28="Todos",'Plan mensual'!L61,0))+parametros_manuales!$E$28*('Plan mensual'!L58+IF(parametros_manuales!$H$28="Todos",'Plan mensual'!L62,0))+parametros_manuales!$F$28*('Plan mensual'!L59+IF(parametros_manuales!$H$28="Todos",'Plan mensual'!L63,0))+parametros_manuales!$G$28*('Plan mensual'!L60+IF(parametros_manuales!$H$28="Todos",'Plan mensual'!L64,0)))*parametros_manuales!$I$28*parametros_manuales!$J$28</f>
        <v>6547.53398025</v>
      </c>
      <c r="K151" s="14" t="n">
        <f aca="false">(parametros_manuales!$D$28*('Plan mensual'!M57+IF(parametros_manuales!$H$28="Todos",'Plan mensual'!M61,0))+parametros_manuales!$E$28*('Plan mensual'!M58+IF(parametros_manuales!$H$28="Todos",'Plan mensual'!M62,0))+parametros_manuales!$F$28*('Plan mensual'!M59+IF(parametros_manuales!$H$28="Todos",'Plan mensual'!M63,0))+parametros_manuales!$G$28*('Plan mensual'!M60+IF(parametros_manuales!$H$28="Todos",'Plan mensual'!M64,0)))*parametros_manuales!$I$28*parametros_manuales!$J$28</f>
        <v>6547.53398025</v>
      </c>
      <c r="L151" s="14" t="n">
        <f aca="false">(parametros_manuales!$D$28*('Plan mensual'!N57+IF(parametros_manuales!$H$28="Todos",'Plan mensual'!N61,0))+parametros_manuales!$E$28*('Plan mensual'!N58+IF(parametros_manuales!$H$28="Todos",'Plan mensual'!N62,0))+parametros_manuales!$F$28*('Plan mensual'!N59+IF(parametros_manuales!$H$28="Todos",'Plan mensual'!N63,0))+parametros_manuales!$G$28*('Plan mensual'!N60+IF(parametros_manuales!$H$28="Todos",'Plan mensual'!N64,0)))*parametros_manuales!$I$28*parametros_manuales!$J$28</f>
        <v>6547.53398025</v>
      </c>
      <c r="M151" s="14" t="n">
        <f aca="false">(parametros_manuales!$D$28*('Plan mensual'!O57+IF(parametros_manuales!$H$28="Todos",'Plan mensual'!O61,0))+parametros_manuales!$E$28*('Plan mensual'!O58+IF(parametros_manuales!$H$28="Todos",'Plan mensual'!O62,0))+parametros_manuales!$F$28*('Plan mensual'!O59+IF(parametros_manuales!$H$28="Todos",'Plan mensual'!O63,0))+parametros_manuales!$G$28*('Plan mensual'!O60+IF(parametros_manuales!$H$28="Todos",'Plan mensual'!O64,0)))*parametros_manuales!$I$28*parametros_manuales!$J$28</f>
        <v>10476.0543684</v>
      </c>
      <c r="N151" s="14" t="n">
        <f aca="false">SUM(B151:M151)</f>
        <v>87300.45307</v>
      </c>
      <c r="O151" s="14" t="n">
        <f aca="false">MAX(B151:M151)</f>
        <v>10476.0543684</v>
      </c>
      <c r="P151" s="57" t="n">
        <f aca="false">O151/(parametros_manuales!$B$7)</f>
        <v>69.840362456</v>
      </c>
      <c r="Q151" s="13" t="str">
        <f aca="false">IF(O151=0,"-",INDEX($B$141:$M$141,MATCH(O151,B151:M151,0)))</f>
        <v>Ene</v>
      </c>
    </row>
    <row r="152" customFormat="false" ht="14.25" hidden="false" customHeight="true" outlineLevel="0" collapsed="false">
      <c r="A152" s="13" t="str">
        <f aca="false">parametros_manuales!$B$29</f>
        <v>Encastre de fondo</v>
      </c>
      <c r="B152" s="14" t="n">
        <f aca="false">(parametros_manuales!$D$29*('Plan mensual'!D57+IF(parametros_manuales!$H$29="Todos",'Plan mensual'!D61,0))+parametros_manuales!$E$29*('Plan mensual'!D58+IF(parametros_manuales!$H$29="Todos",'Plan mensual'!D62,0))+parametros_manuales!$F$29*('Plan mensual'!D59+IF(parametros_manuales!$H$29="Todos",'Plan mensual'!D63,0))+parametros_manuales!$G$29*('Plan mensual'!D60+IF(parametros_manuales!$H$29="Todos",'Plan mensual'!D64,0)))*parametros_manuales!$I$29*parametros_manuales!$J$29</f>
        <v>14129.7342713</v>
      </c>
      <c r="C152" s="14" t="n">
        <f aca="false">(parametros_manuales!$D$29*('Plan mensual'!E57+IF(parametros_manuales!$H$29="Todos",'Plan mensual'!E61,0))+parametros_manuales!$E$29*('Plan mensual'!E58+IF(parametros_manuales!$H$29="Todos",'Plan mensual'!E62,0))+parametros_manuales!$F$29*('Plan mensual'!E59+IF(parametros_manuales!$H$29="Todos",'Plan mensual'!E63,0))+parametros_manuales!$G$29*('Plan mensual'!E60+IF(parametros_manuales!$H$29="Todos",'Plan mensual'!E64,0)))*parametros_manuales!$I$29*parametros_manuales!$J$29</f>
        <v>10779.98469862</v>
      </c>
      <c r="D152" s="14" t="n">
        <f aca="false">(parametros_manuales!$D$29*('Plan mensual'!F57+IF(parametros_manuales!$H$29="Todos",'Plan mensual'!F61,0))+parametros_manuales!$E$29*('Plan mensual'!F58+IF(parametros_manuales!$H$29="Todos",'Plan mensual'!F62,0))+parametros_manuales!$F$29*('Plan mensual'!F59+IF(parametros_manuales!$H$29="Todos",'Plan mensual'!F63,0))+parametros_manuales!$G$29*('Plan mensual'!F60+IF(parametros_manuales!$H$29="Todos",'Plan mensual'!F64,0)))*parametros_manuales!$I$29*parametros_manuales!$J$29</f>
        <v>10089.664163065</v>
      </c>
      <c r="E152" s="14" t="n">
        <f aca="false">(parametros_manuales!$D$29*('Plan mensual'!G57+IF(parametros_manuales!$H$29="Todos",'Plan mensual'!G61,0))+parametros_manuales!$E$29*('Plan mensual'!G58+IF(parametros_manuales!$H$29="Todos",'Plan mensual'!G62,0))+parametros_manuales!$F$29*('Plan mensual'!G59+IF(parametros_manuales!$H$29="Todos",'Plan mensual'!G63,0))+parametros_manuales!$G$29*('Plan mensual'!G60+IF(parametros_manuales!$H$29="Todos",'Plan mensual'!G64,0)))*parametros_manuales!$I$29*parametros_manuales!$J$29</f>
        <v>9653.161897715</v>
      </c>
      <c r="F152" s="14" t="n">
        <f aca="false">(parametros_manuales!$D$29*('Plan mensual'!H57+IF(parametros_manuales!$H$29="Todos",'Plan mensual'!H61,0))+parametros_manuales!$E$29*('Plan mensual'!H58+IF(parametros_manuales!$H$29="Todos",'Plan mensual'!H62,0))+parametros_manuales!$F$29*('Plan mensual'!H59+IF(parametros_manuales!$H$29="Todos",'Plan mensual'!H63,0))+parametros_manuales!$G$29*('Plan mensual'!H60+IF(parametros_manuales!$H$29="Todos",'Plan mensual'!H64,0)))*parametros_manuales!$I$29*parametros_manuales!$J$29</f>
        <v>9033.97563722</v>
      </c>
      <c r="G152" s="14" t="n">
        <f aca="false">(parametros_manuales!$D$29*('Plan mensual'!I57+IF(parametros_manuales!$H$29="Todos",'Plan mensual'!I61,0))+parametros_manuales!$E$29*('Plan mensual'!I58+IF(parametros_manuales!$H$29="Todos",'Plan mensual'!I62,0))+parametros_manuales!$F$29*('Plan mensual'!I59+IF(parametros_manuales!$H$29="Todos",'Plan mensual'!I63,0))+parametros_manuales!$G$29*('Plan mensual'!I60+IF(parametros_manuales!$H$29="Todos",'Plan mensual'!I64,0)))*parametros_manuales!$I$29*parametros_manuales!$J$29</f>
        <v>8851.291642075</v>
      </c>
      <c r="H152" s="14" t="n">
        <f aca="false">(parametros_manuales!$D$29*('Plan mensual'!J57+IF(parametros_manuales!$H$29="Todos",'Plan mensual'!J61,0))+parametros_manuales!$E$29*('Plan mensual'!J58+IF(parametros_manuales!$H$29="Todos",'Plan mensual'!J62,0))+parametros_manuales!$F$29*('Plan mensual'!J59+IF(parametros_manuales!$H$29="Todos",'Plan mensual'!J63,0))+parametros_manuales!$G$29*('Plan mensual'!J60+IF(parametros_manuales!$H$29="Todos",'Plan mensual'!J64,0)))*parametros_manuales!$I$29*parametros_manuales!$J$29</f>
        <v>9470.47790257</v>
      </c>
      <c r="I152" s="14" t="n">
        <f aca="false">(parametros_manuales!$D$29*('Plan mensual'!K57+IF(parametros_manuales!$H$29="Todos",'Plan mensual'!K61,0))+parametros_manuales!$E$29*('Plan mensual'!K58+IF(parametros_manuales!$H$29="Todos",'Plan mensual'!K62,0))+parametros_manuales!$F$29*('Plan mensual'!K59+IF(parametros_manuales!$H$29="Todos",'Plan mensual'!K63,0))+parametros_manuales!$G$29*('Plan mensual'!K60+IF(parametros_manuales!$H$29="Todos",'Plan mensual'!K64,0)))*parametros_manuales!$I$29*parametros_manuales!$J$29</f>
        <v>9470.47790257</v>
      </c>
      <c r="J152" s="14" t="n">
        <f aca="false">(parametros_manuales!$D$29*('Plan mensual'!L57+IF(parametros_manuales!$H$29="Todos",'Plan mensual'!L61,0))+parametros_manuales!$E$29*('Plan mensual'!L58+IF(parametros_manuales!$H$29="Todos",'Plan mensual'!L62,0))+parametros_manuales!$F$29*('Plan mensual'!L59+IF(parametros_manuales!$H$29="Todos",'Plan mensual'!L63,0))+parametros_manuales!$G$29*('Plan mensual'!L60+IF(parametros_manuales!$H$29="Todos",'Plan mensual'!L64,0)))*parametros_manuales!$I$29*parametros_manuales!$J$29</f>
        <v>9470.47790257</v>
      </c>
      <c r="K152" s="14" t="n">
        <f aca="false">(parametros_manuales!$D$29*('Plan mensual'!M57+IF(parametros_manuales!$H$29="Todos",'Plan mensual'!M61,0))+parametros_manuales!$E$29*('Plan mensual'!M58+IF(parametros_manuales!$H$29="Todos",'Plan mensual'!M62,0))+parametros_manuales!$F$29*('Plan mensual'!M59+IF(parametros_manuales!$H$29="Todos",'Plan mensual'!M63,0))+parametros_manuales!$G$29*('Plan mensual'!M60+IF(parametros_manuales!$H$29="Todos",'Plan mensual'!M64,0)))*parametros_manuales!$I$29*parametros_manuales!$J$29</f>
        <v>9287.793907425</v>
      </c>
      <c r="L152" s="14" t="n">
        <f aca="false">(parametros_manuales!$D$29*('Plan mensual'!N57+IF(parametros_manuales!$H$29="Todos",'Plan mensual'!N61,0))+parametros_manuales!$E$29*('Plan mensual'!N58+IF(parametros_manuales!$H$29="Todos",'Plan mensual'!N62,0))+parametros_manuales!$F$29*('Plan mensual'!N59+IF(parametros_manuales!$H$29="Todos",'Plan mensual'!N63,0))+parametros_manuales!$G$29*('Plan mensual'!N60+IF(parametros_manuales!$H$29="Todos",'Plan mensual'!N64,0)))*parametros_manuales!$I$29*parametros_manuales!$J$29</f>
        <v>9105.10991228</v>
      </c>
      <c r="M152" s="14" t="n">
        <f aca="false">(parametros_manuales!$D$29*('Plan mensual'!O57+IF(parametros_manuales!$H$29="Todos",'Plan mensual'!O61,0))+parametros_manuales!$E$29*('Plan mensual'!O58+IF(parametros_manuales!$H$29="Todos",'Plan mensual'!O62,0))+parametros_manuales!$F$29*('Plan mensual'!O59+IF(parametros_manuales!$H$29="Todos",'Plan mensual'!O63,0))+parametros_manuales!$G$29*('Plan mensual'!O60+IF(parametros_manuales!$H$29="Todos",'Plan mensual'!O64,0)))*parametros_manuales!$I$29*parametros_manuales!$J$29</f>
        <v>14495.10226159</v>
      </c>
      <c r="N152" s="14" t="n">
        <f aca="false">SUM(B152:M152)</f>
        <v>123837.252099</v>
      </c>
      <c r="O152" s="14" t="n">
        <f aca="false">MAX(B152:M152)</f>
        <v>14495.10226159</v>
      </c>
      <c r="P152" s="57" t="n">
        <f aca="false">O152/(parametros_manuales!$B$7)</f>
        <v>96.6340150772667</v>
      </c>
      <c r="Q152" s="13" t="str">
        <f aca="false">IF(O152=0,"-",INDEX($B$141:$M$141,MATCH(O152,B152:M152,0)))</f>
        <v>Dic</v>
      </c>
    </row>
    <row r="153" customFormat="false" ht="14.25" hidden="false" customHeight="true" outlineLevel="0" collapsed="false">
      <c r="A153" s="13" t="str">
        <f aca="false">parametros_manuales!$B$30</f>
        <v>Bordoneado</v>
      </c>
      <c r="B153" s="14" t="n">
        <f aca="false">(parametros_manuales!$D$30*('Plan mensual'!D57+IF(parametros_manuales!$H$30="Todos",'Plan mensual'!D61,0))+parametros_manuales!$E$30*('Plan mensual'!D58+IF(parametros_manuales!$H$30="Todos",'Plan mensual'!D62,0))+parametros_manuales!$F$30*('Plan mensual'!D59+IF(parametros_manuales!$H$30="Todos",'Plan mensual'!D63,0))+parametros_manuales!$G$30*('Plan mensual'!D60+IF(parametros_manuales!$H$30="Todos",'Plan mensual'!D64,0)))*parametros_manuales!$I$30*parametros_manuales!$J$30</f>
        <v>14129.7342713</v>
      </c>
      <c r="C153" s="14" t="n">
        <f aca="false">(parametros_manuales!$D$30*('Plan mensual'!E57+IF(parametros_manuales!$H$30="Todos",'Plan mensual'!E61,0))+parametros_manuales!$E$30*('Plan mensual'!E58+IF(parametros_manuales!$H$30="Todos",'Plan mensual'!E62,0))+parametros_manuales!$F$30*('Plan mensual'!E59+IF(parametros_manuales!$H$30="Todos",'Plan mensual'!E63,0))+parametros_manuales!$G$30*('Plan mensual'!E60+IF(parametros_manuales!$H$30="Todos",'Plan mensual'!E64,0)))*parametros_manuales!$I$30*parametros_manuales!$J$30</f>
        <v>10779.98469862</v>
      </c>
      <c r="D153" s="14" t="n">
        <f aca="false">(parametros_manuales!$D$30*('Plan mensual'!F57+IF(parametros_manuales!$H$30="Todos",'Plan mensual'!F61,0))+parametros_manuales!$E$30*('Plan mensual'!F58+IF(parametros_manuales!$H$30="Todos",'Plan mensual'!F62,0))+parametros_manuales!$F$30*('Plan mensual'!F59+IF(parametros_manuales!$H$30="Todos",'Plan mensual'!F63,0))+parametros_manuales!$G$30*('Plan mensual'!F60+IF(parametros_manuales!$H$30="Todos",'Plan mensual'!F64,0)))*parametros_manuales!$I$30*parametros_manuales!$J$30</f>
        <v>10089.664163065</v>
      </c>
      <c r="E153" s="14" t="n">
        <f aca="false">(parametros_manuales!$D$30*('Plan mensual'!G57+IF(parametros_manuales!$H$30="Todos",'Plan mensual'!G61,0))+parametros_manuales!$E$30*('Plan mensual'!G58+IF(parametros_manuales!$H$30="Todos",'Plan mensual'!G62,0))+parametros_manuales!$F$30*('Plan mensual'!G59+IF(parametros_manuales!$H$30="Todos",'Plan mensual'!G63,0))+parametros_manuales!$G$30*('Plan mensual'!G60+IF(parametros_manuales!$H$30="Todos",'Plan mensual'!G64,0)))*parametros_manuales!$I$30*parametros_manuales!$J$30</f>
        <v>9653.161897715</v>
      </c>
      <c r="F153" s="14" t="n">
        <f aca="false">(parametros_manuales!$D$30*('Plan mensual'!H57+IF(parametros_manuales!$H$30="Todos",'Plan mensual'!H61,0))+parametros_manuales!$E$30*('Plan mensual'!H58+IF(parametros_manuales!$H$30="Todos",'Plan mensual'!H62,0))+parametros_manuales!$F$30*('Plan mensual'!H59+IF(parametros_manuales!$H$30="Todos",'Plan mensual'!H63,0))+parametros_manuales!$G$30*('Plan mensual'!H60+IF(parametros_manuales!$H$30="Todos",'Plan mensual'!H64,0)))*parametros_manuales!$I$30*parametros_manuales!$J$30</f>
        <v>9033.97563722</v>
      </c>
      <c r="G153" s="14" t="n">
        <f aca="false">(parametros_manuales!$D$30*('Plan mensual'!I57+IF(parametros_manuales!$H$30="Todos",'Plan mensual'!I61,0))+parametros_manuales!$E$30*('Plan mensual'!I58+IF(parametros_manuales!$H$30="Todos",'Plan mensual'!I62,0))+parametros_manuales!$F$30*('Plan mensual'!I59+IF(parametros_manuales!$H$30="Todos",'Plan mensual'!I63,0))+parametros_manuales!$G$30*('Plan mensual'!I60+IF(parametros_manuales!$H$30="Todos",'Plan mensual'!I64,0)))*parametros_manuales!$I$30*parametros_manuales!$J$30</f>
        <v>8851.291642075</v>
      </c>
      <c r="H153" s="14" t="n">
        <f aca="false">(parametros_manuales!$D$30*('Plan mensual'!J57+IF(parametros_manuales!$H$30="Todos",'Plan mensual'!J61,0))+parametros_manuales!$E$30*('Plan mensual'!J58+IF(parametros_manuales!$H$30="Todos",'Plan mensual'!J62,0))+parametros_manuales!$F$30*('Plan mensual'!J59+IF(parametros_manuales!$H$30="Todos",'Plan mensual'!J63,0))+parametros_manuales!$G$30*('Plan mensual'!J60+IF(parametros_manuales!$H$30="Todos",'Plan mensual'!J64,0)))*parametros_manuales!$I$30*parametros_manuales!$J$30</f>
        <v>9470.47790257</v>
      </c>
      <c r="I153" s="14" t="n">
        <f aca="false">(parametros_manuales!$D$30*('Plan mensual'!K57+IF(parametros_manuales!$H$30="Todos",'Plan mensual'!K61,0))+parametros_manuales!$E$30*('Plan mensual'!K58+IF(parametros_manuales!$H$30="Todos",'Plan mensual'!K62,0))+parametros_manuales!$F$30*('Plan mensual'!K59+IF(parametros_manuales!$H$30="Todos",'Plan mensual'!K63,0))+parametros_manuales!$G$30*('Plan mensual'!K60+IF(parametros_manuales!$H$30="Todos",'Plan mensual'!K64,0)))*parametros_manuales!$I$30*parametros_manuales!$J$30</f>
        <v>9470.47790257</v>
      </c>
      <c r="J153" s="14" t="n">
        <f aca="false">(parametros_manuales!$D$30*('Plan mensual'!L57+IF(parametros_manuales!$H$30="Todos",'Plan mensual'!L61,0))+parametros_manuales!$E$30*('Plan mensual'!L58+IF(parametros_manuales!$H$30="Todos",'Plan mensual'!L62,0))+parametros_manuales!$F$30*('Plan mensual'!L59+IF(parametros_manuales!$H$30="Todos",'Plan mensual'!L63,0))+parametros_manuales!$G$30*('Plan mensual'!L60+IF(parametros_manuales!$H$30="Todos",'Plan mensual'!L64,0)))*parametros_manuales!$I$30*parametros_manuales!$J$30</f>
        <v>9470.47790257</v>
      </c>
      <c r="K153" s="14" t="n">
        <f aca="false">(parametros_manuales!$D$30*('Plan mensual'!M57+IF(parametros_manuales!$H$30="Todos",'Plan mensual'!M61,0))+parametros_manuales!$E$30*('Plan mensual'!M58+IF(parametros_manuales!$H$30="Todos",'Plan mensual'!M62,0))+parametros_manuales!$F$30*('Plan mensual'!M59+IF(parametros_manuales!$H$30="Todos",'Plan mensual'!M63,0))+parametros_manuales!$G$30*('Plan mensual'!M60+IF(parametros_manuales!$H$30="Todos",'Plan mensual'!M64,0)))*parametros_manuales!$I$30*parametros_manuales!$J$30</f>
        <v>9287.793907425</v>
      </c>
      <c r="L153" s="14" t="n">
        <f aca="false">(parametros_manuales!$D$30*('Plan mensual'!N57+IF(parametros_manuales!$H$30="Todos",'Plan mensual'!N61,0))+parametros_manuales!$E$30*('Plan mensual'!N58+IF(parametros_manuales!$H$30="Todos",'Plan mensual'!N62,0))+parametros_manuales!$F$30*('Plan mensual'!N59+IF(parametros_manuales!$H$30="Todos",'Plan mensual'!N63,0))+parametros_manuales!$G$30*('Plan mensual'!N60+IF(parametros_manuales!$H$30="Todos",'Plan mensual'!N64,0)))*parametros_manuales!$I$30*parametros_manuales!$J$30</f>
        <v>9105.10991228</v>
      </c>
      <c r="M153" s="14" t="n">
        <f aca="false">(parametros_manuales!$D$30*('Plan mensual'!O57+IF(parametros_manuales!$H$30="Todos",'Plan mensual'!O61,0))+parametros_manuales!$E$30*('Plan mensual'!O58+IF(parametros_manuales!$H$30="Todos",'Plan mensual'!O62,0))+parametros_manuales!$F$30*('Plan mensual'!O59+IF(parametros_manuales!$H$30="Todos",'Plan mensual'!O63,0))+parametros_manuales!$G$30*('Plan mensual'!O60+IF(parametros_manuales!$H$30="Todos",'Plan mensual'!O64,0)))*parametros_manuales!$I$30*parametros_manuales!$J$30</f>
        <v>14495.10226159</v>
      </c>
      <c r="N153" s="14" t="n">
        <f aca="false">SUM(B153:M153)</f>
        <v>123837.252099</v>
      </c>
      <c r="O153" s="14" t="n">
        <f aca="false">MAX(B153:M153)</f>
        <v>14495.10226159</v>
      </c>
      <c r="P153" s="57" t="n">
        <f aca="false">O153/(parametros_manuales!$B$7)</f>
        <v>96.6340150772667</v>
      </c>
      <c r="Q153" s="13" t="str">
        <f aca="false">IF(O153=0,"-",INDEX($B$141:$M$141,MATCH(O153,B153:M153,0)))</f>
        <v>Dic</v>
      </c>
    </row>
    <row r="154" customFormat="false" ht="14.25" hidden="false" customHeight="true" outlineLevel="0" collapsed="false">
      <c r="A154" s="13" t="str">
        <f aca="false">parametros_manuales!$B$31</f>
        <v>Soldadura circunferencial de cúpula y fondo</v>
      </c>
      <c r="B154" s="14" t="n">
        <f aca="false">(parametros_manuales!$D$31*('Plan mensual'!D57+IF(parametros_manuales!$H$31="Todos",'Plan mensual'!D61,0))+parametros_manuales!$E$31*('Plan mensual'!D58+IF(parametros_manuales!$H$31="Todos",'Plan mensual'!D62,0))+parametros_manuales!$F$31*('Plan mensual'!D59+IF(parametros_manuales!$H$31="Todos",'Plan mensual'!D63,0))+parametros_manuales!$G$31*('Plan mensual'!D60+IF(parametros_manuales!$H$31="Todos",'Plan mensual'!D64,0)))*parametros_manuales!$I$31*parametros_manuales!$J$31</f>
        <v>14129.7342713</v>
      </c>
      <c r="C154" s="14" t="n">
        <f aca="false">(parametros_manuales!$D$31*('Plan mensual'!E57+IF(parametros_manuales!$H$31="Todos",'Plan mensual'!E61,0))+parametros_manuales!$E$31*('Plan mensual'!E58+IF(parametros_manuales!$H$31="Todos",'Plan mensual'!E62,0))+parametros_manuales!$F$31*('Plan mensual'!E59+IF(parametros_manuales!$H$31="Todos",'Plan mensual'!E63,0))+parametros_manuales!$G$31*('Plan mensual'!E60+IF(parametros_manuales!$H$31="Todos",'Plan mensual'!E64,0)))*parametros_manuales!$I$31*parametros_manuales!$J$31</f>
        <v>10779.98469862</v>
      </c>
      <c r="D154" s="14" t="n">
        <f aca="false">(parametros_manuales!$D$31*('Plan mensual'!F57+IF(parametros_manuales!$H$31="Todos",'Plan mensual'!F61,0))+parametros_manuales!$E$31*('Plan mensual'!F58+IF(parametros_manuales!$H$31="Todos",'Plan mensual'!F62,0))+parametros_manuales!$F$31*('Plan mensual'!F59+IF(parametros_manuales!$H$31="Todos",'Plan mensual'!F63,0))+parametros_manuales!$G$31*('Plan mensual'!F60+IF(parametros_manuales!$H$31="Todos",'Plan mensual'!F64,0)))*parametros_manuales!$I$31*parametros_manuales!$J$31</f>
        <v>10089.664163065</v>
      </c>
      <c r="E154" s="14" t="n">
        <f aca="false">(parametros_manuales!$D$31*('Plan mensual'!G57+IF(parametros_manuales!$H$31="Todos",'Plan mensual'!G61,0))+parametros_manuales!$E$31*('Plan mensual'!G58+IF(parametros_manuales!$H$31="Todos",'Plan mensual'!G62,0))+parametros_manuales!$F$31*('Plan mensual'!G59+IF(parametros_manuales!$H$31="Todos",'Plan mensual'!G63,0))+parametros_manuales!$G$31*('Plan mensual'!G60+IF(parametros_manuales!$H$31="Todos",'Plan mensual'!G64,0)))*parametros_manuales!$I$31*parametros_manuales!$J$31</f>
        <v>9653.161897715</v>
      </c>
      <c r="F154" s="14" t="n">
        <f aca="false">(parametros_manuales!$D$31*('Plan mensual'!H57+IF(parametros_manuales!$H$31="Todos",'Plan mensual'!H61,0))+parametros_manuales!$E$31*('Plan mensual'!H58+IF(parametros_manuales!$H$31="Todos",'Plan mensual'!H62,0))+parametros_manuales!$F$31*('Plan mensual'!H59+IF(parametros_manuales!$H$31="Todos",'Plan mensual'!H63,0))+parametros_manuales!$G$31*('Plan mensual'!H60+IF(parametros_manuales!$H$31="Todos",'Plan mensual'!H64,0)))*parametros_manuales!$I$31*parametros_manuales!$J$31</f>
        <v>9033.97563722</v>
      </c>
      <c r="G154" s="14" t="n">
        <f aca="false">(parametros_manuales!$D$31*('Plan mensual'!I57+IF(parametros_manuales!$H$31="Todos",'Plan mensual'!I61,0))+parametros_manuales!$E$31*('Plan mensual'!I58+IF(parametros_manuales!$H$31="Todos",'Plan mensual'!I62,0))+parametros_manuales!$F$31*('Plan mensual'!I59+IF(parametros_manuales!$H$31="Todos",'Plan mensual'!I63,0))+parametros_manuales!$G$31*('Plan mensual'!I60+IF(parametros_manuales!$H$31="Todos",'Plan mensual'!I64,0)))*parametros_manuales!$I$31*parametros_manuales!$J$31</f>
        <v>8851.291642075</v>
      </c>
      <c r="H154" s="14" t="n">
        <f aca="false">(parametros_manuales!$D$31*('Plan mensual'!J57+IF(parametros_manuales!$H$31="Todos",'Plan mensual'!J61,0))+parametros_manuales!$E$31*('Plan mensual'!J58+IF(parametros_manuales!$H$31="Todos",'Plan mensual'!J62,0))+parametros_manuales!$F$31*('Plan mensual'!J59+IF(parametros_manuales!$H$31="Todos",'Plan mensual'!J63,0))+parametros_manuales!$G$31*('Plan mensual'!J60+IF(parametros_manuales!$H$31="Todos",'Plan mensual'!J64,0)))*parametros_manuales!$I$31*parametros_manuales!$J$31</f>
        <v>9470.47790257</v>
      </c>
      <c r="I154" s="14" t="n">
        <f aca="false">(parametros_manuales!$D$31*('Plan mensual'!K57+IF(parametros_manuales!$H$31="Todos",'Plan mensual'!K61,0))+parametros_manuales!$E$31*('Plan mensual'!K58+IF(parametros_manuales!$H$31="Todos",'Plan mensual'!K62,0))+parametros_manuales!$F$31*('Plan mensual'!K59+IF(parametros_manuales!$H$31="Todos",'Plan mensual'!K63,0))+parametros_manuales!$G$31*('Plan mensual'!K60+IF(parametros_manuales!$H$31="Todos",'Plan mensual'!K64,0)))*parametros_manuales!$I$31*parametros_manuales!$J$31</f>
        <v>9470.47790257</v>
      </c>
      <c r="J154" s="14" t="n">
        <f aca="false">(parametros_manuales!$D$31*('Plan mensual'!L57+IF(parametros_manuales!$H$31="Todos",'Plan mensual'!L61,0))+parametros_manuales!$E$31*('Plan mensual'!L58+IF(parametros_manuales!$H$31="Todos",'Plan mensual'!L62,0))+parametros_manuales!$F$31*('Plan mensual'!L59+IF(parametros_manuales!$H$31="Todos",'Plan mensual'!L63,0))+parametros_manuales!$G$31*('Plan mensual'!L60+IF(parametros_manuales!$H$31="Todos",'Plan mensual'!L64,0)))*parametros_manuales!$I$31*parametros_manuales!$J$31</f>
        <v>9470.47790257</v>
      </c>
      <c r="K154" s="14" t="n">
        <f aca="false">(parametros_manuales!$D$31*('Plan mensual'!M57+IF(parametros_manuales!$H$31="Todos",'Plan mensual'!M61,0))+parametros_manuales!$E$31*('Plan mensual'!M58+IF(parametros_manuales!$H$31="Todos",'Plan mensual'!M62,0))+parametros_manuales!$F$31*('Plan mensual'!M59+IF(parametros_manuales!$H$31="Todos",'Plan mensual'!M63,0))+parametros_manuales!$G$31*('Plan mensual'!M60+IF(parametros_manuales!$H$31="Todos",'Plan mensual'!M64,0)))*parametros_manuales!$I$31*parametros_manuales!$J$31</f>
        <v>9287.793907425</v>
      </c>
      <c r="L154" s="14" t="n">
        <f aca="false">(parametros_manuales!$D$31*('Plan mensual'!N57+IF(parametros_manuales!$H$31="Todos",'Plan mensual'!N61,0))+parametros_manuales!$E$31*('Plan mensual'!N58+IF(parametros_manuales!$H$31="Todos",'Plan mensual'!N62,0))+parametros_manuales!$F$31*('Plan mensual'!N59+IF(parametros_manuales!$H$31="Todos",'Plan mensual'!N63,0))+parametros_manuales!$G$31*('Plan mensual'!N60+IF(parametros_manuales!$H$31="Todos",'Plan mensual'!N64,0)))*parametros_manuales!$I$31*parametros_manuales!$J$31</f>
        <v>9105.10991228</v>
      </c>
      <c r="M154" s="14" t="n">
        <f aca="false">(parametros_manuales!$D$31*('Plan mensual'!O57+IF(parametros_manuales!$H$31="Todos",'Plan mensual'!O61,0))+parametros_manuales!$E$31*('Plan mensual'!O58+IF(parametros_manuales!$H$31="Todos",'Plan mensual'!O62,0))+parametros_manuales!$F$31*('Plan mensual'!O59+IF(parametros_manuales!$H$31="Todos",'Plan mensual'!O63,0))+parametros_manuales!$G$31*('Plan mensual'!O60+IF(parametros_manuales!$H$31="Todos",'Plan mensual'!O64,0)))*parametros_manuales!$I$31*parametros_manuales!$J$31</f>
        <v>14495.10226159</v>
      </c>
      <c r="N154" s="14" t="n">
        <f aca="false">SUM(B154:M154)</f>
        <v>123837.252099</v>
      </c>
      <c r="O154" s="14" t="n">
        <f aca="false">MAX(B154:M154)</f>
        <v>14495.10226159</v>
      </c>
      <c r="P154" s="57" t="n">
        <f aca="false">O154/(parametros_manuales!$B$7)</f>
        <v>96.6340150772667</v>
      </c>
      <c r="Q154" s="13" t="str">
        <f aca="false">IF(O154=0,"-",INDEX($B$141:$M$141,MATCH(O154,B154:M154,0)))</f>
        <v>Dic</v>
      </c>
    </row>
    <row r="155" customFormat="false" ht="14.25" hidden="false" customHeight="true" outlineLevel="0" collapsed="false">
      <c r="A155" s="13" t="str">
        <f aca="false">parametros_manuales!$B$32</f>
        <v>Control de calidad — Espesor</v>
      </c>
      <c r="B155" s="14" t="n">
        <f aca="false">(parametros_manuales!$D$32*('Plan mensual'!D57+IF(parametros_manuales!$H$32="Todos",'Plan mensual'!D61,0))+parametros_manuales!$E$32*('Plan mensual'!D58+IF(parametros_manuales!$H$32="Todos",'Plan mensual'!D62,0))+parametros_manuales!$F$32*('Plan mensual'!D59+IF(parametros_manuales!$H$32="Todos",'Plan mensual'!D63,0))+parametros_manuales!$G$32*('Plan mensual'!D60+IF(parametros_manuales!$H$32="Todos",'Plan mensual'!D64,0)))*parametros_manuales!$I$32*parametros_manuales!$J$32</f>
        <v>282.594685426</v>
      </c>
      <c r="C155" s="14" t="n">
        <f aca="false">(parametros_manuales!$D$32*('Plan mensual'!E57+IF(parametros_manuales!$H$32="Todos",'Plan mensual'!E61,0))+parametros_manuales!$E$32*('Plan mensual'!E58+IF(parametros_manuales!$H$32="Todos",'Plan mensual'!E62,0))+parametros_manuales!$F$32*('Plan mensual'!E59+IF(parametros_manuales!$H$32="Todos",'Plan mensual'!E63,0))+parametros_manuales!$G$32*('Plan mensual'!E60+IF(parametros_manuales!$H$32="Todos",'Plan mensual'!E64,0)))*parametros_manuales!$I$32*parametros_manuales!$J$32</f>
        <v>215.5996939724</v>
      </c>
      <c r="D155" s="14" t="n">
        <f aca="false">(parametros_manuales!$D$32*('Plan mensual'!F57+IF(parametros_manuales!$H$32="Todos",'Plan mensual'!F61,0))+parametros_manuales!$E$32*('Plan mensual'!F58+IF(parametros_manuales!$H$32="Todos",'Plan mensual'!F62,0))+parametros_manuales!$F$32*('Plan mensual'!F59+IF(parametros_manuales!$H$32="Todos",'Plan mensual'!F63,0))+parametros_manuales!$G$32*('Plan mensual'!F60+IF(parametros_manuales!$H$32="Todos",'Plan mensual'!F64,0)))*parametros_manuales!$I$32*parametros_manuales!$J$32</f>
        <v>201.7932832613</v>
      </c>
      <c r="E155" s="14" t="n">
        <f aca="false">(parametros_manuales!$D$32*('Plan mensual'!G57+IF(parametros_manuales!$H$32="Todos",'Plan mensual'!G61,0))+parametros_manuales!$E$32*('Plan mensual'!G58+IF(parametros_manuales!$H$32="Todos",'Plan mensual'!G62,0))+parametros_manuales!$F$32*('Plan mensual'!G59+IF(parametros_manuales!$H$32="Todos",'Plan mensual'!G63,0))+parametros_manuales!$G$32*('Plan mensual'!G60+IF(parametros_manuales!$H$32="Todos",'Plan mensual'!G64,0)))*parametros_manuales!$I$32*parametros_manuales!$J$32</f>
        <v>193.0632379543</v>
      </c>
      <c r="F155" s="14" t="n">
        <f aca="false">(parametros_manuales!$D$32*('Plan mensual'!H57+IF(parametros_manuales!$H$32="Todos",'Plan mensual'!H61,0))+parametros_manuales!$E$32*('Plan mensual'!H58+IF(parametros_manuales!$H$32="Todos",'Plan mensual'!H62,0))+parametros_manuales!$F$32*('Plan mensual'!H59+IF(parametros_manuales!$H$32="Todos",'Plan mensual'!H63,0))+parametros_manuales!$G$32*('Plan mensual'!H60+IF(parametros_manuales!$H$32="Todos",'Plan mensual'!H64,0)))*parametros_manuales!$I$32*parametros_manuales!$J$32</f>
        <v>180.6795127444</v>
      </c>
      <c r="G155" s="14" t="n">
        <f aca="false">(parametros_manuales!$D$32*('Plan mensual'!I57+IF(parametros_manuales!$H$32="Todos",'Plan mensual'!I61,0))+parametros_manuales!$E$32*('Plan mensual'!I58+IF(parametros_manuales!$H$32="Todos",'Plan mensual'!I62,0))+parametros_manuales!$F$32*('Plan mensual'!I59+IF(parametros_manuales!$H$32="Todos",'Plan mensual'!I63,0))+parametros_manuales!$G$32*('Plan mensual'!I60+IF(parametros_manuales!$H$32="Todos",'Plan mensual'!I64,0)))*parametros_manuales!$I$32*parametros_manuales!$J$32</f>
        <v>177.0258328415</v>
      </c>
      <c r="H155" s="14" t="n">
        <f aca="false">(parametros_manuales!$D$32*('Plan mensual'!J57+IF(parametros_manuales!$H$32="Todos",'Plan mensual'!J61,0))+parametros_manuales!$E$32*('Plan mensual'!J58+IF(parametros_manuales!$H$32="Todos",'Plan mensual'!J62,0))+parametros_manuales!$F$32*('Plan mensual'!J59+IF(parametros_manuales!$H$32="Todos",'Plan mensual'!J63,0))+parametros_manuales!$G$32*('Plan mensual'!J60+IF(parametros_manuales!$H$32="Todos",'Plan mensual'!J64,0)))*parametros_manuales!$I$32*parametros_manuales!$J$32</f>
        <v>189.4095580514</v>
      </c>
      <c r="I155" s="14" t="n">
        <f aca="false">(parametros_manuales!$D$32*('Plan mensual'!K57+IF(parametros_manuales!$H$32="Todos",'Plan mensual'!K61,0))+parametros_manuales!$E$32*('Plan mensual'!K58+IF(parametros_manuales!$H$32="Todos",'Plan mensual'!K62,0))+parametros_manuales!$F$32*('Plan mensual'!K59+IF(parametros_manuales!$H$32="Todos",'Plan mensual'!K63,0))+parametros_manuales!$G$32*('Plan mensual'!K60+IF(parametros_manuales!$H$32="Todos",'Plan mensual'!K64,0)))*parametros_manuales!$I$32*parametros_manuales!$J$32</f>
        <v>189.4095580514</v>
      </c>
      <c r="J155" s="14" t="n">
        <f aca="false">(parametros_manuales!$D$32*('Plan mensual'!L57+IF(parametros_manuales!$H$32="Todos",'Plan mensual'!L61,0))+parametros_manuales!$E$32*('Plan mensual'!L58+IF(parametros_manuales!$H$32="Todos",'Plan mensual'!L62,0))+parametros_manuales!$F$32*('Plan mensual'!L59+IF(parametros_manuales!$H$32="Todos",'Plan mensual'!L63,0))+parametros_manuales!$G$32*('Plan mensual'!L60+IF(parametros_manuales!$H$32="Todos",'Plan mensual'!L64,0)))*parametros_manuales!$I$32*parametros_manuales!$J$32</f>
        <v>189.4095580514</v>
      </c>
      <c r="K155" s="14" t="n">
        <f aca="false">(parametros_manuales!$D$32*('Plan mensual'!M57+IF(parametros_manuales!$H$32="Todos",'Plan mensual'!M61,0))+parametros_manuales!$E$32*('Plan mensual'!M58+IF(parametros_manuales!$H$32="Todos",'Plan mensual'!M62,0))+parametros_manuales!$F$32*('Plan mensual'!M59+IF(parametros_manuales!$H$32="Todos",'Plan mensual'!M63,0))+parametros_manuales!$G$32*('Plan mensual'!M60+IF(parametros_manuales!$H$32="Todos",'Plan mensual'!M64,0)))*parametros_manuales!$I$32*parametros_manuales!$J$32</f>
        <v>185.7558781485</v>
      </c>
      <c r="L155" s="14" t="n">
        <f aca="false">(parametros_manuales!$D$32*('Plan mensual'!N57+IF(parametros_manuales!$H$32="Todos",'Plan mensual'!N61,0))+parametros_manuales!$E$32*('Plan mensual'!N58+IF(parametros_manuales!$H$32="Todos",'Plan mensual'!N62,0))+parametros_manuales!$F$32*('Plan mensual'!N59+IF(parametros_manuales!$H$32="Todos",'Plan mensual'!N63,0))+parametros_manuales!$G$32*('Plan mensual'!N60+IF(parametros_manuales!$H$32="Todos",'Plan mensual'!N64,0)))*parametros_manuales!$I$32*parametros_manuales!$J$32</f>
        <v>182.1021982456</v>
      </c>
      <c r="M155" s="14" t="n">
        <f aca="false">(parametros_manuales!$D$32*('Plan mensual'!O57+IF(parametros_manuales!$H$32="Todos",'Plan mensual'!O61,0))+parametros_manuales!$E$32*('Plan mensual'!O58+IF(parametros_manuales!$H$32="Todos",'Plan mensual'!O62,0))+parametros_manuales!$F$32*('Plan mensual'!O59+IF(parametros_manuales!$H$32="Todos",'Plan mensual'!O63,0))+parametros_manuales!$G$32*('Plan mensual'!O60+IF(parametros_manuales!$H$32="Todos",'Plan mensual'!O64,0)))*parametros_manuales!$I$32*parametros_manuales!$J$32</f>
        <v>289.9020452318</v>
      </c>
      <c r="N155" s="14" t="n">
        <f aca="false">SUM(B155:M155)</f>
        <v>2476.74504198</v>
      </c>
      <c r="O155" s="14" t="n">
        <f aca="false">MAX(B155:M155)</f>
        <v>289.9020452318</v>
      </c>
      <c r="P155" s="57" t="n">
        <f aca="false">O155/(parametros_manuales!$B$7)</f>
        <v>1.93268030154533</v>
      </c>
      <c r="Q155" s="13" t="str">
        <f aca="false">IF(O155=0,"-",INDEX($B$141:$M$141,MATCH(O155,B155:M155,0)))</f>
        <v>Dic</v>
      </c>
    </row>
    <row r="156" customFormat="false" ht="14.25" hidden="false" customHeight="true" outlineLevel="0" collapsed="false">
      <c r="A156" s="13" t="str">
        <f aca="false">parametros_manuales!$B$33</f>
        <v>Prueba hidráulica</v>
      </c>
      <c r="B156" s="14" t="n">
        <f aca="false">(parametros_manuales!$D$33*('Plan mensual'!D57+IF(parametros_manuales!$H$33="Todos",'Plan mensual'!D61,0))+parametros_manuales!$E$33*('Plan mensual'!D58+IF(parametros_manuales!$H$33="Todos",'Plan mensual'!D62,0))+parametros_manuales!$F$33*('Plan mensual'!D59+IF(parametros_manuales!$H$33="Todos",'Plan mensual'!D63,0))+parametros_manuales!$G$33*('Plan mensual'!D60+IF(parametros_manuales!$H$33="Todos",'Plan mensual'!D64,0)))*parametros_manuales!$I$33*parametros_manuales!$J$33</f>
        <v>14129.7342713</v>
      </c>
      <c r="C156" s="14" t="n">
        <f aca="false">(parametros_manuales!$D$33*('Plan mensual'!E57+IF(parametros_manuales!$H$33="Todos",'Plan mensual'!E61,0))+parametros_manuales!$E$33*('Plan mensual'!E58+IF(parametros_manuales!$H$33="Todos",'Plan mensual'!E62,0))+parametros_manuales!$F$33*('Plan mensual'!E59+IF(parametros_manuales!$H$33="Todos",'Plan mensual'!E63,0))+parametros_manuales!$G$33*('Plan mensual'!E60+IF(parametros_manuales!$H$33="Todos",'Plan mensual'!E64,0)))*parametros_manuales!$I$33*parametros_manuales!$J$33</f>
        <v>10779.98469862</v>
      </c>
      <c r="D156" s="14" t="n">
        <f aca="false">(parametros_manuales!$D$33*('Plan mensual'!F57+IF(parametros_manuales!$H$33="Todos",'Plan mensual'!F61,0))+parametros_manuales!$E$33*('Plan mensual'!F58+IF(parametros_manuales!$H$33="Todos",'Plan mensual'!F62,0))+parametros_manuales!$F$33*('Plan mensual'!F59+IF(parametros_manuales!$H$33="Todos",'Plan mensual'!F63,0))+parametros_manuales!$G$33*('Plan mensual'!F60+IF(parametros_manuales!$H$33="Todos",'Plan mensual'!F64,0)))*parametros_manuales!$I$33*parametros_manuales!$J$33</f>
        <v>10089.664163065</v>
      </c>
      <c r="E156" s="14" t="n">
        <f aca="false">(parametros_manuales!$D$33*('Plan mensual'!G57+IF(parametros_manuales!$H$33="Todos",'Plan mensual'!G61,0))+parametros_manuales!$E$33*('Plan mensual'!G58+IF(parametros_manuales!$H$33="Todos",'Plan mensual'!G62,0))+parametros_manuales!$F$33*('Plan mensual'!G59+IF(parametros_manuales!$H$33="Todos",'Plan mensual'!G63,0))+parametros_manuales!$G$33*('Plan mensual'!G60+IF(parametros_manuales!$H$33="Todos",'Plan mensual'!G64,0)))*parametros_manuales!$I$33*parametros_manuales!$J$33</f>
        <v>9653.161897715</v>
      </c>
      <c r="F156" s="14" t="n">
        <f aca="false">(parametros_manuales!$D$33*('Plan mensual'!H57+IF(parametros_manuales!$H$33="Todos",'Plan mensual'!H61,0))+parametros_manuales!$E$33*('Plan mensual'!H58+IF(parametros_manuales!$H$33="Todos",'Plan mensual'!H62,0))+parametros_manuales!$F$33*('Plan mensual'!H59+IF(parametros_manuales!$H$33="Todos",'Plan mensual'!H63,0))+parametros_manuales!$G$33*('Plan mensual'!H60+IF(parametros_manuales!$H$33="Todos",'Plan mensual'!H64,0)))*parametros_manuales!$I$33*parametros_manuales!$J$33</f>
        <v>9033.97563722</v>
      </c>
      <c r="G156" s="14" t="n">
        <f aca="false">(parametros_manuales!$D$33*('Plan mensual'!I57+IF(parametros_manuales!$H$33="Todos",'Plan mensual'!I61,0))+parametros_manuales!$E$33*('Plan mensual'!I58+IF(parametros_manuales!$H$33="Todos",'Plan mensual'!I62,0))+parametros_manuales!$F$33*('Plan mensual'!I59+IF(parametros_manuales!$H$33="Todos",'Plan mensual'!I63,0))+parametros_manuales!$G$33*('Plan mensual'!I60+IF(parametros_manuales!$H$33="Todos",'Plan mensual'!I64,0)))*parametros_manuales!$I$33*parametros_manuales!$J$33</f>
        <v>8851.291642075</v>
      </c>
      <c r="H156" s="14" t="n">
        <f aca="false">(parametros_manuales!$D$33*('Plan mensual'!J57+IF(parametros_manuales!$H$33="Todos",'Plan mensual'!J61,0))+parametros_manuales!$E$33*('Plan mensual'!J58+IF(parametros_manuales!$H$33="Todos",'Plan mensual'!J62,0))+parametros_manuales!$F$33*('Plan mensual'!J59+IF(parametros_manuales!$H$33="Todos",'Plan mensual'!J63,0))+parametros_manuales!$G$33*('Plan mensual'!J60+IF(parametros_manuales!$H$33="Todos",'Plan mensual'!J64,0)))*parametros_manuales!$I$33*parametros_manuales!$J$33</f>
        <v>9470.47790257</v>
      </c>
      <c r="I156" s="14" t="n">
        <f aca="false">(parametros_manuales!$D$33*('Plan mensual'!K57+IF(parametros_manuales!$H$33="Todos",'Plan mensual'!K61,0))+parametros_manuales!$E$33*('Plan mensual'!K58+IF(parametros_manuales!$H$33="Todos",'Plan mensual'!K62,0))+parametros_manuales!$F$33*('Plan mensual'!K59+IF(parametros_manuales!$H$33="Todos",'Plan mensual'!K63,0))+parametros_manuales!$G$33*('Plan mensual'!K60+IF(parametros_manuales!$H$33="Todos",'Plan mensual'!K64,0)))*parametros_manuales!$I$33*parametros_manuales!$J$33</f>
        <v>9470.47790257</v>
      </c>
      <c r="J156" s="14" t="n">
        <f aca="false">(parametros_manuales!$D$33*('Plan mensual'!L57+IF(parametros_manuales!$H$33="Todos",'Plan mensual'!L61,0))+parametros_manuales!$E$33*('Plan mensual'!L58+IF(parametros_manuales!$H$33="Todos",'Plan mensual'!L62,0))+parametros_manuales!$F$33*('Plan mensual'!L59+IF(parametros_manuales!$H$33="Todos",'Plan mensual'!L63,0))+parametros_manuales!$G$33*('Plan mensual'!L60+IF(parametros_manuales!$H$33="Todos",'Plan mensual'!L64,0)))*parametros_manuales!$I$33*parametros_manuales!$J$33</f>
        <v>9470.47790257</v>
      </c>
      <c r="K156" s="14" t="n">
        <f aca="false">(parametros_manuales!$D$33*('Plan mensual'!M57+IF(parametros_manuales!$H$33="Todos",'Plan mensual'!M61,0))+parametros_manuales!$E$33*('Plan mensual'!M58+IF(parametros_manuales!$H$33="Todos",'Plan mensual'!M62,0))+parametros_manuales!$F$33*('Plan mensual'!M59+IF(parametros_manuales!$H$33="Todos",'Plan mensual'!M63,0))+parametros_manuales!$G$33*('Plan mensual'!M60+IF(parametros_manuales!$H$33="Todos",'Plan mensual'!M64,0)))*parametros_manuales!$I$33*parametros_manuales!$J$33</f>
        <v>9287.793907425</v>
      </c>
      <c r="L156" s="14" t="n">
        <f aca="false">(parametros_manuales!$D$33*('Plan mensual'!N57+IF(parametros_manuales!$H$33="Todos",'Plan mensual'!N61,0))+parametros_manuales!$E$33*('Plan mensual'!N58+IF(parametros_manuales!$H$33="Todos",'Plan mensual'!N62,0))+parametros_manuales!$F$33*('Plan mensual'!N59+IF(parametros_manuales!$H$33="Todos",'Plan mensual'!N63,0))+parametros_manuales!$G$33*('Plan mensual'!N60+IF(parametros_manuales!$H$33="Todos",'Plan mensual'!N64,0)))*parametros_manuales!$I$33*parametros_manuales!$J$33</f>
        <v>9105.10991228</v>
      </c>
      <c r="M156" s="14" t="n">
        <f aca="false">(parametros_manuales!$D$33*('Plan mensual'!O57+IF(parametros_manuales!$H$33="Todos",'Plan mensual'!O61,0))+parametros_manuales!$E$33*('Plan mensual'!O58+IF(parametros_manuales!$H$33="Todos",'Plan mensual'!O62,0))+parametros_manuales!$F$33*('Plan mensual'!O59+IF(parametros_manuales!$H$33="Todos",'Plan mensual'!O63,0))+parametros_manuales!$G$33*('Plan mensual'!O60+IF(parametros_manuales!$H$33="Todos",'Plan mensual'!O64,0)))*parametros_manuales!$I$33*parametros_manuales!$J$33</f>
        <v>14495.10226159</v>
      </c>
      <c r="N156" s="14" t="n">
        <f aca="false">SUM(B156:M156)</f>
        <v>123837.252099</v>
      </c>
      <c r="O156" s="14" t="n">
        <f aca="false">MAX(B156:M156)</f>
        <v>14495.10226159</v>
      </c>
      <c r="P156" s="57" t="n">
        <f aca="false">O156/(parametros_manuales!$B$7)</f>
        <v>96.6340150772667</v>
      </c>
      <c r="Q156" s="13" t="str">
        <f aca="false">IF(O156=0,"-",INDEX($B$141:$M$141,MATCH(O156,B156:M156,0)))</f>
        <v>Dic</v>
      </c>
    </row>
    <row r="157" customFormat="false" ht="14.25" hidden="false" customHeight="true" outlineLevel="0" collapsed="false">
      <c r="A157" s="13" t="str">
        <f aca="false">parametros_manuales!$B$34</f>
        <v>Secado</v>
      </c>
      <c r="B157" s="14" t="n">
        <f aca="false">(parametros_manuales!$D$34*('Plan mensual'!D57+IF(parametros_manuales!$H$34="Todos",'Plan mensual'!D61,0))+parametros_manuales!$E$34*('Plan mensual'!D58+IF(parametros_manuales!$H$34="Todos",'Plan mensual'!D62,0))+parametros_manuales!$F$34*('Plan mensual'!D59+IF(parametros_manuales!$H$34="Todos",'Plan mensual'!D63,0))+parametros_manuales!$G$34*('Plan mensual'!D60+IF(parametros_manuales!$H$34="Todos",'Plan mensual'!D64,0)))*parametros_manuales!$I$34*parametros_manuales!$J$34</f>
        <v>14129.7342713</v>
      </c>
      <c r="C157" s="14" t="n">
        <f aca="false">(parametros_manuales!$D$34*('Plan mensual'!E57+IF(parametros_manuales!$H$34="Todos",'Plan mensual'!E61,0))+parametros_manuales!$E$34*('Plan mensual'!E58+IF(parametros_manuales!$H$34="Todos",'Plan mensual'!E62,0))+parametros_manuales!$F$34*('Plan mensual'!E59+IF(parametros_manuales!$H$34="Todos",'Plan mensual'!E63,0))+parametros_manuales!$G$34*('Plan mensual'!E60+IF(parametros_manuales!$H$34="Todos",'Plan mensual'!E64,0)))*parametros_manuales!$I$34*parametros_manuales!$J$34</f>
        <v>10779.98469862</v>
      </c>
      <c r="D157" s="14" t="n">
        <f aca="false">(parametros_manuales!$D$34*('Plan mensual'!F57+IF(parametros_manuales!$H$34="Todos",'Plan mensual'!F61,0))+parametros_manuales!$E$34*('Plan mensual'!F58+IF(parametros_manuales!$H$34="Todos",'Plan mensual'!F62,0))+parametros_manuales!$F$34*('Plan mensual'!F59+IF(parametros_manuales!$H$34="Todos",'Plan mensual'!F63,0))+parametros_manuales!$G$34*('Plan mensual'!F60+IF(parametros_manuales!$H$34="Todos",'Plan mensual'!F64,0)))*parametros_manuales!$I$34*parametros_manuales!$J$34</f>
        <v>10089.664163065</v>
      </c>
      <c r="E157" s="14" t="n">
        <f aca="false">(parametros_manuales!$D$34*('Plan mensual'!G57+IF(parametros_manuales!$H$34="Todos",'Plan mensual'!G61,0))+parametros_manuales!$E$34*('Plan mensual'!G58+IF(parametros_manuales!$H$34="Todos",'Plan mensual'!G62,0))+parametros_manuales!$F$34*('Plan mensual'!G59+IF(parametros_manuales!$H$34="Todos",'Plan mensual'!G63,0))+parametros_manuales!$G$34*('Plan mensual'!G60+IF(parametros_manuales!$H$34="Todos",'Plan mensual'!G64,0)))*parametros_manuales!$I$34*parametros_manuales!$J$34</f>
        <v>9653.161897715</v>
      </c>
      <c r="F157" s="14" t="n">
        <f aca="false">(parametros_manuales!$D$34*('Plan mensual'!H57+IF(parametros_manuales!$H$34="Todos",'Plan mensual'!H61,0))+parametros_manuales!$E$34*('Plan mensual'!H58+IF(parametros_manuales!$H$34="Todos",'Plan mensual'!H62,0))+parametros_manuales!$F$34*('Plan mensual'!H59+IF(parametros_manuales!$H$34="Todos",'Plan mensual'!H63,0))+parametros_manuales!$G$34*('Plan mensual'!H60+IF(parametros_manuales!$H$34="Todos",'Plan mensual'!H64,0)))*parametros_manuales!$I$34*parametros_manuales!$J$34</f>
        <v>9033.97563722</v>
      </c>
      <c r="G157" s="14" t="n">
        <f aca="false">(parametros_manuales!$D$34*('Plan mensual'!I57+IF(parametros_manuales!$H$34="Todos",'Plan mensual'!I61,0))+parametros_manuales!$E$34*('Plan mensual'!I58+IF(parametros_manuales!$H$34="Todos",'Plan mensual'!I62,0))+parametros_manuales!$F$34*('Plan mensual'!I59+IF(parametros_manuales!$H$34="Todos",'Plan mensual'!I63,0))+parametros_manuales!$G$34*('Plan mensual'!I60+IF(parametros_manuales!$H$34="Todos",'Plan mensual'!I64,0)))*parametros_manuales!$I$34*parametros_manuales!$J$34</f>
        <v>8851.291642075</v>
      </c>
      <c r="H157" s="14" t="n">
        <f aca="false">(parametros_manuales!$D$34*('Plan mensual'!J57+IF(parametros_manuales!$H$34="Todos",'Plan mensual'!J61,0))+parametros_manuales!$E$34*('Plan mensual'!J58+IF(parametros_manuales!$H$34="Todos",'Plan mensual'!J62,0))+parametros_manuales!$F$34*('Plan mensual'!J59+IF(parametros_manuales!$H$34="Todos",'Plan mensual'!J63,0))+parametros_manuales!$G$34*('Plan mensual'!J60+IF(parametros_manuales!$H$34="Todos",'Plan mensual'!J64,0)))*parametros_manuales!$I$34*parametros_manuales!$J$34</f>
        <v>9470.47790257</v>
      </c>
      <c r="I157" s="14" t="n">
        <f aca="false">(parametros_manuales!$D$34*('Plan mensual'!K57+IF(parametros_manuales!$H$34="Todos",'Plan mensual'!K61,0))+parametros_manuales!$E$34*('Plan mensual'!K58+IF(parametros_manuales!$H$34="Todos",'Plan mensual'!K62,0))+parametros_manuales!$F$34*('Plan mensual'!K59+IF(parametros_manuales!$H$34="Todos",'Plan mensual'!K63,0))+parametros_manuales!$G$34*('Plan mensual'!K60+IF(parametros_manuales!$H$34="Todos",'Plan mensual'!K64,0)))*parametros_manuales!$I$34*parametros_manuales!$J$34</f>
        <v>9470.47790257</v>
      </c>
      <c r="J157" s="14" t="n">
        <f aca="false">(parametros_manuales!$D$34*('Plan mensual'!L57+IF(parametros_manuales!$H$34="Todos",'Plan mensual'!L61,0))+parametros_manuales!$E$34*('Plan mensual'!L58+IF(parametros_manuales!$H$34="Todos",'Plan mensual'!L62,0))+parametros_manuales!$F$34*('Plan mensual'!L59+IF(parametros_manuales!$H$34="Todos",'Plan mensual'!L63,0))+parametros_manuales!$G$34*('Plan mensual'!L60+IF(parametros_manuales!$H$34="Todos",'Plan mensual'!L64,0)))*parametros_manuales!$I$34*parametros_manuales!$J$34</f>
        <v>9470.47790257</v>
      </c>
      <c r="K157" s="14" t="n">
        <f aca="false">(parametros_manuales!$D$34*('Plan mensual'!M57+IF(parametros_manuales!$H$34="Todos",'Plan mensual'!M61,0))+parametros_manuales!$E$34*('Plan mensual'!M58+IF(parametros_manuales!$H$34="Todos",'Plan mensual'!M62,0))+parametros_manuales!$F$34*('Plan mensual'!M59+IF(parametros_manuales!$H$34="Todos",'Plan mensual'!M63,0))+parametros_manuales!$G$34*('Plan mensual'!M60+IF(parametros_manuales!$H$34="Todos",'Plan mensual'!M64,0)))*parametros_manuales!$I$34*parametros_manuales!$J$34</f>
        <v>9287.793907425</v>
      </c>
      <c r="L157" s="14" t="n">
        <f aca="false">(parametros_manuales!$D$34*('Plan mensual'!N57+IF(parametros_manuales!$H$34="Todos",'Plan mensual'!N61,0))+parametros_manuales!$E$34*('Plan mensual'!N58+IF(parametros_manuales!$H$34="Todos",'Plan mensual'!N62,0))+parametros_manuales!$F$34*('Plan mensual'!N59+IF(parametros_manuales!$H$34="Todos",'Plan mensual'!N63,0))+parametros_manuales!$G$34*('Plan mensual'!N60+IF(parametros_manuales!$H$34="Todos",'Plan mensual'!N64,0)))*parametros_manuales!$I$34*parametros_manuales!$J$34</f>
        <v>9105.10991228</v>
      </c>
      <c r="M157" s="14" t="n">
        <f aca="false">(parametros_manuales!$D$34*('Plan mensual'!O57+IF(parametros_manuales!$H$34="Todos",'Plan mensual'!O61,0))+parametros_manuales!$E$34*('Plan mensual'!O58+IF(parametros_manuales!$H$34="Todos",'Plan mensual'!O62,0))+parametros_manuales!$F$34*('Plan mensual'!O59+IF(parametros_manuales!$H$34="Todos",'Plan mensual'!O63,0))+parametros_manuales!$G$34*('Plan mensual'!O60+IF(parametros_manuales!$H$34="Todos",'Plan mensual'!O64,0)))*parametros_manuales!$I$34*parametros_manuales!$J$34</f>
        <v>14495.10226159</v>
      </c>
      <c r="N157" s="14" t="n">
        <f aca="false">SUM(B157:M157)</f>
        <v>123837.252099</v>
      </c>
      <c r="O157" s="14" t="n">
        <f aca="false">MAX(B157:M157)</f>
        <v>14495.10226159</v>
      </c>
      <c r="P157" s="57" t="n">
        <f aca="false">O157/(parametros_manuales!$B$7)</f>
        <v>96.6340150772667</v>
      </c>
      <c r="Q157" s="13" t="str">
        <f aca="false">IF(O157=0,"-",INDEX($B$141:$M$141,MATCH(O157,B157:M157,0)))</f>
        <v>Dic</v>
      </c>
    </row>
    <row r="158" customFormat="false" ht="14.25" hidden="false" customHeight="true" outlineLevel="0" collapsed="false">
      <c r="A158" s="13" t="str">
        <f aca="false">parametros_manuales!$B$35</f>
        <v>Granallado</v>
      </c>
      <c r="B158" s="14" t="n">
        <f aca="false">(parametros_manuales!$D$35*('Plan mensual'!D57+IF(parametros_manuales!$H$35="Todos",'Plan mensual'!D61,0))+parametros_manuales!$E$35*('Plan mensual'!D58+IF(parametros_manuales!$H$35="Todos",'Plan mensual'!D62,0))+parametros_manuales!$F$35*('Plan mensual'!D59+IF(parametros_manuales!$H$35="Todos",'Plan mensual'!D63,0))+parametros_manuales!$G$35*('Plan mensual'!D60+IF(parametros_manuales!$H$35="Todos",'Plan mensual'!D64,0)))*parametros_manuales!$I$35*parametros_manuales!$J$35</f>
        <v>14129.7342713</v>
      </c>
      <c r="C158" s="14" t="n">
        <f aca="false">(parametros_manuales!$D$35*('Plan mensual'!E57+IF(parametros_manuales!$H$35="Todos",'Plan mensual'!E61,0))+parametros_manuales!$E$35*('Plan mensual'!E58+IF(parametros_manuales!$H$35="Todos",'Plan mensual'!E62,0))+parametros_manuales!$F$35*('Plan mensual'!E59+IF(parametros_manuales!$H$35="Todos",'Plan mensual'!E63,0))+parametros_manuales!$G$35*('Plan mensual'!E60+IF(parametros_manuales!$H$35="Todos",'Plan mensual'!E64,0)))*parametros_manuales!$I$35*parametros_manuales!$J$35</f>
        <v>10779.98469862</v>
      </c>
      <c r="D158" s="14" t="n">
        <f aca="false">(parametros_manuales!$D$35*('Plan mensual'!F57+IF(parametros_manuales!$H$35="Todos",'Plan mensual'!F61,0))+parametros_manuales!$E$35*('Plan mensual'!F58+IF(parametros_manuales!$H$35="Todos",'Plan mensual'!F62,0))+parametros_manuales!$F$35*('Plan mensual'!F59+IF(parametros_manuales!$H$35="Todos",'Plan mensual'!F63,0))+parametros_manuales!$G$35*('Plan mensual'!F60+IF(parametros_manuales!$H$35="Todos",'Plan mensual'!F64,0)))*parametros_manuales!$I$35*parametros_manuales!$J$35</f>
        <v>10089.664163065</v>
      </c>
      <c r="E158" s="14" t="n">
        <f aca="false">(parametros_manuales!$D$35*('Plan mensual'!G57+IF(parametros_manuales!$H$35="Todos",'Plan mensual'!G61,0))+parametros_manuales!$E$35*('Plan mensual'!G58+IF(parametros_manuales!$H$35="Todos",'Plan mensual'!G62,0))+parametros_manuales!$F$35*('Plan mensual'!G59+IF(parametros_manuales!$H$35="Todos",'Plan mensual'!G63,0))+parametros_manuales!$G$35*('Plan mensual'!G60+IF(parametros_manuales!$H$35="Todos",'Plan mensual'!G64,0)))*parametros_manuales!$I$35*parametros_manuales!$J$35</f>
        <v>9653.161897715</v>
      </c>
      <c r="F158" s="14" t="n">
        <f aca="false">(parametros_manuales!$D$35*('Plan mensual'!H57+IF(parametros_manuales!$H$35="Todos",'Plan mensual'!H61,0))+parametros_manuales!$E$35*('Plan mensual'!H58+IF(parametros_manuales!$H$35="Todos",'Plan mensual'!H62,0))+parametros_manuales!$F$35*('Plan mensual'!H59+IF(parametros_manuales!$H$35="Todos",'Plan mensual'!H63,0))+parametros_manuales!$G$35*('Plan mensual'!H60+IF(parametros_manuales!$H$35="Todos",'Plan mensual'!H64,0)))*parametros_manuales!$I$35*parametros_manuales!$J$35</f>
        <v>9033.97563722</v>
      </c>
      <c r="G158" s="14" t="n">
        <f aca="false">(parametros_manuales!$D$35*('Plan mensual'!I57+IF(parametros_manuales!$H$35="Todos",'Plan mensual'!I61,0))+parametros_manuales!$E$35*('Plan mensual'!I58+IF(parametros_manuales!$H$35="Todos",'Plan mensual'!I62,0))+parametros_manuales!$F$35*('Plan mensual'!I59+IF(parametros_manuales!$H$35="Todos",'Plan mensual'!I63,0))+parametros_manuales!$G$35*('Plan mensual'!I60+IF(parametros_manuales!$H$35="Todos",'Plan mensual'!I64,0)))*parametros_manuales!$I$35*parametros_manuales!$J$35</f>
        <v>8851.291642075</v>
      </c>
      <c r="H158" s="14" t="n">
        <f aca="false">(parametros_manuales!$D$35*('Plan mensual'!J57+IF(parametros_manuales!$H$35="Todos",'Plan mensual'!J61,0))+parametros_manuales!$E$35*('Plan mensual'!J58+IF(parametros_manuales!$H$35="Todos",'Plan mensual'!J62,0))+parametros_manuales!$F$35*('Plan mensual'!J59+IF(parametros_manuales!$H$35="Todos",'Plan mensual'!J63,0))+parametros_manuales!$G$35*('Plan mensual'!J60+IF(parametros_manuales!$H$35="Todos",'Plan mensual'!J64,0)))*parametros_manuales!$I$35*parametros_manuales!$J$35</f>
        <v>9470.47790257</v>
      </c>
      <c r="I158" s="14" t="n">
        <f aca="false">(parametros_manuales!$D$35*('Plan mensual'!K57+IF(parametros_manuales!$H$35="Todos",'Plan mensual'!K61,0))+parametros_manuales!$E$35*('Plan mensual'!K58+IF(parametros_manuales!$H$35="Todos",'Plan mensual'!K62,0))+parametros_manuales!$F$35*('Plan mensual'!K59+IF(parametros_manuales!$H$35="Todos",'Plan mensual'!K63,0))+parametros_manuales!$G$35*('Plan mensual'!K60+IF(parametros_manuales!$H$35="Todos",'Plan mensual'!K64,0)))*parametros_manuales!$I$35*parametros_manuales!$J$35</f>
        <v>9470.47790257</v>
      </c>
      <c r="J158" s="14" t="n">
        <f aca="false">(parametros_manuales!$D$35*('Plan mensual'!L57+IF(parametros_manuales!$H$35="Todos",'Plan mensual'!L61,0))+parametros_manuales!$E$35*('Plan mensual'!L58+IF(parametros_manuales!$H$35="Todos",'Plan mensual'!L62,0))+parametros_manuales!$F$35*('Plan mensual'!L59+IF(parametros_manuales!$H$35="Todos",'Plan mensual'!L63,0))+parametros_manuales!$G$35*('Plan mensual'!L60+IF(parametros_manuales!$H$35="Todos",'Plan mensual'!L64,0)))*parametros_manuales!$I$35*parametros_manuales!$J$35</f>
        <v>9470.47790257</v>
      </c>
      <c r="K158" s="14" t="n">
        <f aca="false">(parametros_manuales!$D$35*('Plan mensual'!M57+IF(parametros_manuales!$H$35="Todos",'Plan mensual'!M61,0))+parametros_manuales!$E$35*('Plan mensual'!M58+IF(parametros_manuales!$H$35="Todos",'Plan mensual'!M62,0))+parametros_manuales!$F$35*('Plan mensual'!M59+IF(parametros_manuales!$H$35="Todos",'Plan mensual'!M63,0))+parametros_manuales!$G$35*('Plan mensual'!M60+IF(parametros_manuales!$H$35="Todos",'Plan mensual'!M64,0)))*parametros_manuales!$I$35*parametros_manuales!$J$35</f>
        <v>9287.793907425</v>
      </c>
      <c r="L158" s="14" t="n">
        <f aca="false">(parametros_manuales!$D$35*('Plan mensual'!N57+IF(parametros_manuales!$H$35="Todos",'Plan mensual'!N61,0))+parametros_manuales!$E$35*('Plan mensual'!N58+IF(parametros_manuales!$H$35="Todos",'Plan mensual'!N62,0))+parametros_manuales!$F$35*('Plan mensual'!N59+IF(parametros_manuales!$H$35="Todos",'Plan mensual'!N63,0))+parametros_manuales!$G$35*('Plan mensual'!N60+IF(parametros_manuales!$H$35="Todos",'Plan mensual'!N64,0)))*parametros_manuales!$I$35*parametros_manuales!$J$35</f>
        <v>9105.10991228</v>
      </c>
      <c r="M158" s="14" t="n">
        <f aca="false">(parametros_manuales!$D$35*('Plan mensual'!O57+IF(parametros_manuales!$H$35="Todos",'Plan mensual'!O61,0))+parametros_manuales!$E$35*('Plan mensual'!O58+IF(parametros_manuales!$H$35="Todos",'Plan mensual'!O62,0))+parametros_manuales!$F$35*('Plan mensual'!O59+IF(parametros_manuales!$H$35="Todos",'Plan mensual'!O63,0))+parametros_manuales!$G$35*('Plan mensual'!O60+IF(parametros_manuales!$H$35="Todos",'Plan mensual'!O64,0)))*parametros_manuales!$I$35*parametros_manuales!$J$35</f>
        <v>14495.10226159</v>
      </c>
      <c r="N158" s="14" t="n">
        <f aca="false">SUM(B158:M158)</f>
        <v>123837.252099</v>
      </c>
      <c r="O158" s="14" t="n">
        <f aca="false">MAX(B158:M158)</f>
        <v>14495.10226159</v>
      </c>
      <c r="P158" s="57" t="n">
        <f aca="false">O158/(parametros_manuales!$B$7)</f>
        <v>96.6340150772667</v>
      </c>
      <c r="Q158" s="13" t="str">
        <f aca="false">IF(O158=0,"-",INDEX($B$141:$M$141,MATCH(O158,B158:M158,0)))</f>
        <v>Dic</v>
      </c>
    </row>
    <row r="159" customFormat="false" ht="14.25" hidden="false" customHeight="true" outlineLevel="0" collapsed="false">
      <c r="A159" s="13" t="str">
        <f aca="false">parametros_manuales!$B$36</f>
        <v>Detección de defectos</v>
      </c>
      <c r="B159" s="14" t="n">
        <f aca="false">(parametros_manuales!$D$36*('Plan mensual'!D57+IF(parametros_manuales!$H$36="Todos",'Plan mensual'!D61,0))+parametros_manuales!$E$36*('Plan mensual'!D58+IF(parametros_manuales!$H$36="Todos",'Plan mensual'!D62,0))+parametros_manuales!$F$36*('Plan mensual'!D59+IF(parametros_manuales!$H$36="Todos",'Plan mensual'!D63,0))+parametros_manuales!$G$36*('Plan mensual'!D60+IF(parametros_manuales!$H$36="Todos",'Plan mensual'!D64,0)))*parametros_manuales!$I$36*parametros_manuales!$J$36</f>
        <v>14129.7342713</v>
      </c>
      <c r="C159" s="14" t="n">
        <f aca="false">(parametros_manuales!$D$36*('Plan mensual'!E57+IF(parametros_manuales!$H$36="Todos",'Plan mensual'!E61,0))+parametros_manuales!$E$36*('Plan mensual'!E58+IF(parametros_manuales!$H$36="Todos",'Plan mensual'!E62,0))+parametros_manuales!$F$36*('Plan mensual'!E59+IF(parametros_manuales!$H$36="Todos",'Plan mensual'!E63,0))+parametros_manuales!$G$36*('Plan mensual'!E60+IF(parametros_manuales!$H$36="Todos",'Plan mensual'!E64,0)))*parametros_manuales!$I$36*parametros_manuales!$J$36</f>
        <v>10779.98469862</v>
      </c>
      <c r="D159" s="14" t="n">
        <f aca="false">(parametros_manuales!$D$36*('Plan mensual'!F57+IF(parametros_manuales!$H$36="Todos",'Plan mensual'!F61,0))+parametros_manuales!$E$36*('Plan mensual'!F58+IF(parametros_manuales!$H$36="Todos",'Plan mensual'!F62,0))+parametros_manuales!$F$36*('Plan mensual'!F59+IF(parametros_manuales!$H$36="Todos",'Plan mensual'!F63,0))+parametros_manuales!$G$36*('Plan mensual'!F60+IF(parametros_manuales!$H$36="Todos",'Plan mensual'!F64,0)))*parametros_manuales!$I$36*parametros_manuales!$J$36</f>
        <v>10089.664163065</v>
      </c>
      <c r="E159" s="14" t="n">
        <f aca="false">(parametros_manuales!$D$36*('Plan mensual'!G57+IF(parametros_manuales!$H$36="Todos",'Plan mensual'!G61,0))+parametros_manuales!$E$36*('Plan mensual'!G58+IF(parametros_manuales!$H$36="Todos",'Plan mensual'!G62,0))+parametros_manuales!$F$36*('Plan mensual'!G59+IF(parametros_manuales!$H$36="Todos",'Plan mensual'!G63,0))+parametros_manuales!$G$36*('Plan mensual'!G60+IF(parametros_manuales!$H$36="Todos",'Plan mensual'!G64,0)))*parametros_manuales!$I$36*parametros_manuales!$J$36</f>
        <v>9653.161897715</v>
      </c>
      <c r="F159" s="14" t="n">
        <f aca="false">(parametros_manuales!$D$36*('Plan mensual'!H57+IF(parametros_manuales!$H$36="Todos",'Plan mensual'!H61,0))+parametros_manuales!$E$36*('Plan mensual'!H58+IF(parametros_manuales!$H$36="Todos",'Plan mensual'!H62,0))+parametros_manuales!$F$36*('Plan mensual'!H59+IF(parametros_manuales!$H$36="Todos",'Plan mensual'!H63,0))+parametros_manuales!$G$36*('Plan mensual'!H60+IF(parametros_manuales!$H$36="Todos",'Plan mensual'!H64,0)))*parametros_manuales!$I$36*parametros_manuales!$J$36</f>
        <v>9033.97563722</v>
      </c>
      <c r="G159" s="14" t="n">
        <f aca="false">(parametros_manuales!$D$36*('Plan mensual'!I57+IF(parametros_manuales!$H$36="Todos",'Plan mensual'!I61,0))+parametros_manuales!$E$36*('Plan mensual'!I58+IF(parametros_manuales!$H$36="Todos",'Plan mensual'!I62,0))+parametros_manuales!$F$36*('Plan mensual'!I59+IF(parametros_manuales!$H$36="Todos",'Plan mensual'!I63,0))+parametros_manuales!$G$36*('Plan mensual'!I60+IF(parametros_manuales!$H$36="Todos",'Plan mensual'!I64,0)))*parametros_manuales!$I$36*parametros_manuales!$J$36</f>
        <v>8851.291642075</v>
      </c>
      <c r="H159" s="14" t="n">
        <f aca="false">(parametros_manuales!$D$36*('Plan mensual'!J57+IF(parametros_manuales!$H$36="Todos",'Plan mensual'!J61,0))+parametros_manuales!$E$36*('Plan mensual'!J58+IF(parametros_manuales!$H$36="Todos",'Plan mensual'!J62,0))+parametros_manuales!$F$36*('Plan mensual'!J59+IF(parametros_manuales!$H$36="Todos",'Plan mensual'!J63,0))+parametros_manuales!$G$36*('Plan mensual'!J60+IF(parametros_manuales!$H$36="Todos",'Plan mensual'!J64,0)))*parametros_manuales!$I$36*parametros_manuales!$J$36</f>
        <v>9470.47790257</v>
      </c>
      <c r="I159" s="14" t="n">
        <f aca="false">(parametros_manuales!$D$36*('Plan mensual'!K57+IF(parametros_manuales!$H$36="Todos",'Plan mensual'!K61,0))+parametros_manuales!$E$36*('Plan mensual'!K58+IF(parametros_manuales!$H$36="Todos",'Plan mensual'!K62,0))+parametros_manuales!$F$36*('Plan mensual'!K59+IF(parametros_manuales!$H$36="Todos",'Plan mensual'!K63,0))+parametros_manuales!$G$36*('Plan mensual'!K60+IF(parametros_manuales!$H$36="Todos",'Plan mensual'!K64,0)))*parametros_manuales!$I$36*parametros_manuales!$J$36</f>
        <v>9470.47790257</v>
      </c>
      <c r="J159" s="14" t="n">
        <f aca="false">(parametros_manuales!$D$36*('Plan mensual'!L57+IF(parametros_manuales!$H$36="Todos",'Plan mensual'!L61,0))+parametros_manuales!$E$36*('Plan mensual'!L58+IF(parametros_manuales!$H$36="Todos",'Plan mensual'!L62,0))+parametros_manuales!$F$36*('Plan mensual'!L59+IF(parametros_manuales!$H$36="Todos",'Plan mensual'!L63,0))+parametros_manuales!$G$36*('Plan mensual'!L60+IF(parametros_manuales!$H$36="Todos",'Plan mensual'!L64,0)))*parametros_manuales!$I$36*parametros_manuales!$J$36</f>
        <v>9470.47790257</v>
      </c>
      <c r="K159" s="14" t="n">
        <f aca="false">(parametros_manuales!$D$36*('Plan mensual'!M57+IF(parametros_manuales!$H$36="Todos",'Plan mensual'!M61,0))+parametros_manuales!$E$36*('Plan mensual'!M58+IF(parametros_manuales!$H$36="Todos",'Plan mensual'!M62,0))+parametros_manuales!$F$36*('Plan mensual'!M59+IF(parametros_manuales!$H$36="Todos",'Plan mensual'!M63,0))+parametros_manuales!$G$36*('Plan mensual'!M60+IF(parametros_manuales!$H$36="Todos",'Plan mensual'!M64,0)))*parametros_manuales!$I$36*parametros_manuales!$J$36</f>
        <v>9287.793907425</v>
      </c>
      <c r="L159" s="14" t="n">
        <f aca="false">(parametros_manuales!$D$36*('Plan mensual'!N57+IF(parametros_manuales!$H$36="Todos",'Plan mensual'!N61,0))+parametros_manuales!$E$36*('Plan mensual'!N58+IF(parametros_manuales!$H$36="Todos",'Plan mensual'!N62,0))+parametros_manuales!$F$36*('Plan mensual'!N59+IF(parametros_manuales!$H$36="Todos",'Plan mensual'!N63,0))+parametros_manuales!$G$36*('Plan mensual'!N60+IF(parametros_manuales!$H$36="Todos",'Plan mensual'!N64,0)))*parametros_manuales!$I$36*parametros_manuales!$J$36</f>
        <v>9105.10991228</v>
      </c>
      <c r="M159" s="14" t="n">
        <f aca="false">(parametros_manuales!$D$36*('Plan mensual'!O57+IF(parametros_manuales!$H$36="Todos",'Plan mensual'!O61,0))+parametros_manuales!$E$36*('Plan mensual'!O58+IF(parametros_manuales!$H$36="Todos",'Plan mensual'!O62,0))+parametros_manuales!$F$36*('Plan mensual'!O59+IF(parametros_manuales!$H$36="Todos",'Plan mensual'!O63,0))+parametros_manuales!$G$36*('Plan mensual'!O60+IF(parametros_manuales!$H$36="Todos",'Plan mensual'!O64,0)))*parametros_manuales!$I$36*parametros_manuales!$J$36</f>
        <v>14495.10226159</v>
      </c>
      <c r="N159" s="14" t="n">
        <f aca="false">SUM(B159:M159)</f>
        <v>123837.252099</v>
      </c>
      <c r="O159" s="14" t="n">
        <f aca="false">MAX(B159:M159)</f>
        <v>14495.10226159</v>
      </c>
      <c r="P159" s="57" t="n">
        <f aca="false">O159/(parametros_manuales!$B$7)</f>
        <v>96.6340150772667</v>
      </c>
      <c r="Q159" s="13" t="str">
        <f aca="false">IF(O159=0,"-",INDEX($B$141:$M$141,MATCH(O159,B159:M159,0)))</f>
        <v>Dic</v>
      </c>
    </row>
    <row r="160" customFormat="false" ht="14.25" hidden="false" customHeight="true" outlineLevel="0" collapsed="false">
      <c r="A160" s="13" t="str">
        <f aca="false">parametros_manuales!$B$37</f>
        <v>Corrección de defectos</v>
      </c>
      <c r="B160" s="14" t="n">
        <f aca="false">(parametros_manuales!$D$37*('Plan mensual'!D57+IF(parametros_manuales!$H$37="Todos",'Plan mensual'!D61,0))+parametros_manuales!$E$37*('Plan mensual'!D58+IF(parametros_manuales!$H$37="Todos",'Plan mensual'!D62,0))+parametros_manuales!$F$37*('Plan mensual'!D59+IF(parametros_manuales!$H$37="Todos",'Plan mensual'!D63,0))+parametros_manuales!$G$37*('Plan mensual'!D60+IF(parametros_manuales!$H$37="Todos",'Plan mensual'!D64,0)))*parametros_manuales!$I$37*parametros_manuales!$J$37</f>
        <v>706.486713565</v>
      </c>
      <c r="C160" s="14" t="n">
        <f aca="false">(parametros_manuales!$D$37*('Plan mensual'!E57+IF(parametros_manuales!$H$37="Todos",'Plan mensual'!E61,0))+parametros_manuales!$E$37*('Plan mensual'!E58+IF(parametros_manuales!$H$37="Todos",'Plan mensual'!E62,0))+parametros_manuales!$F$37*('Plan mensual'!E59+IF(parametros_manuales!$H$37="Todos",'Plan mensual'!E63,0))+parametros_manuales!$G$37*('Plan mensual'!E60+IF(parametros_manuales!$H$37="Todos",'Plan mensual'!E64,0)))*parametros_manuales!$I$37*parametros_manuales!$J$37</f>
        <v>538.999234931</v>
      </c>
      <c r="D160" s="14" t="n">
        <f aca="false">(parametros_manuales!$D$37*('Plan mensual'!F57+IF(parametros_manuales!$H$37="Todos",'Plan mensual'!F61,0))+parametros_manuales!$E$37*('Plan mensual'!F58+IF(parametros_manuales!$H$37="Todos",'Plan mensual'!F62,0))+parametros_manuales!$F$37*('Plan mensual'!F59+IF(parametros_manuales!$H$37="Todos",'Plan mensual'!F63,0))+parametros_manuales!$G$37*('Plan mensual'!F60+IF(parametros_manuales!$H$37="Todos",'Plan mensual'!F64,0)))*parametros_manuales!$I$37*parametros_manuales!$J$37</f>
        <v>504.48320815325</v>
      </c>
      <c r="E160" s="14" t="n">
        <f aca="false">(parametros_manuales!$D$37*('Plan mensual'!G57+IF(parametros_manuales!$H$37="Todos",'Plan mensual'!G61,0))+parametros_manuales!$E$37*('Plan mensual'!G58+IF(parametros_manuales!$H$37="Todos",'Plan mensual'!G62,0))+parametros_manuales!$F$37*('Plan mensual'!G59+IF(parametros_manuales!$H$37="Todos",'Plan mensual'!G63,0))+parametros_manuales!$G$37*('Plan mensual'!G60+IF(parametros_manuales!$H$37="Todos",'Plan mensual'!G64,0)))*parametros_manuales!$I$37*parametros_manuales!$J$37</f>
        <v>482.65809488575</v>
      </c>
      <c r="F160" s="14" t="n">
        <f aca="false">(parametros_manuales!$D$37*('Plan mensual'!H57+IF(parametros_manuales!$H$37="Todos",'Plan mensual'!H61,0))+parametros_manuales!$E$37*('Plan mensual'!H58+IF(parametros_manuales!$H$37="Todos",'Plan mensual'!H62,0))+parametros_manuales!$F$37*('Plan mensual'!H59+IF(parametros_manuales!$H$37="Todos",'Plan mensual'!H63,0))+parametros_manuales!$G$37*('Plan mensual'!H60+IF(parametros_manuales!$H$37="Todos",'Plan mensual'!H64,0)))*parametros_manuales!$I$37*parametros_manuales!$J$37</f>
        <v>451.698781861</v>
      </c>
      <c r="G160" s="14" t="n">
        <f aca="false">(parametros_manuales!$D$37*('Plan mensual'!I57+IF(parametros_manuales!$H$37="Todos",'Plan mensual'!I61,0))+parametros_manuales!$E$37*('Plan mensual'!I58+IF(parametros_manuales!$H$37="Todos",'Plan mensual'!I62,0))+parametros_manuales!$F$37*('Plan mensual'!I59+IF(parametros_manuales!$H$37="Todos",'Plan mensual'!I63,0))+parametros_manuales!$G$37*('Plan mensual'!I60+IF(parametros_manuales!$H$37="Todos",'Plan mensual'!I64,0)))*parametros_manuales!$I$37*parametros_manuales!$J$37</f>
        <v>442.56458210375</v>
      </c>
      <c r="H160" s="14" t="n">
        <f aca="false">(parametros_manuales!$D$37*('Plan mensual'!J57+IF(parametros_manuales!$H$37="Todos",'Plan mensual'!J61,0))+parametros_manuales!$E$37*('Plan mensual'!J58+IF(parametros_manuales!$H$37="Todos",'Plan mensual'!J62,0))+parametros_manuales!$F$37*('Plan mensual'!J59+IF(parametros_manuales!$H$37="Todos",'Plan mensual'!J63,0))+parametros_manuales!$G$37*('Plan mensual'!J60+IF(parametros_manuales!$H$37="Todos",'Plan mensual'!J64,0)))*parametros_manuales!$I$37*parametros_manuales!$J$37</f>
        <v>473.5238951285</v>
      </c>
      <c r="I160" s="14" t="n">
        <f aca="false">(parametros_manuales!$D$37*('Plan mensual'!K57+IF(parametros_manuales!$H$37="Todos",'Plan mensual'!K61,0))+parametros_manuales!$E$37*('Plan mensual'!K58+IF(parametros_manuales!$H$37="Todos",'Plan mensual'!K62,0))+parametros_manuales!$F$37*('Plan mensual'!K59+IF(parametros_manuales!$H$37="Todos",'Plan mensual'!K63,0))+parametros_manuales!$G$37*('Plan mensual'!K60+IF(parametros_manuales!$H$37="Todos",'Plan mensual'!K64,0)))*parametros_manuales!$I$37*parametros_manuales!$J$37</f>
        <v>473.5238951285</v>
      </c>
      <c r="J160" s="14" t="n">
        <f aca="false">(parametros_manuales!$D$37*('Plan mensual'!L57+IF(parametros_manuales!$H$37="Todos",'Plan mensual'!L61,0))+parametros_manuales!$E$37*('Plan mensual'!L58+IF(parametros_manuales!$H$37="Todos",'Plan mensual'!L62,0))+parametros_manuales!$F$37*('Plan mensual'!L59+IF(parametros_manuales!$H$37="Todos",'Plan mensual'!L63,0))+parametros_manuales!$G$37*('Plan mensual'!L60+IF(parametros_manuales!$H$37="Todos",'Plan mensual'!L64,0)))*parametros_manuales!$I$37*parametros_manuales!$J$37</f>
        <v>473.5238951285</v>
      </c>
      <c r="K160" s="14" t="n">
        <f aca="false">(parametros_manuales!$D$37*('Plan mensual'!M57+IF(parametros_manuales!$H$37="Todos",'Plan mensual'!M61,0))+parametros_manuales!$E$37*('Plan mensual'!M58+IF(parametros_manuales!$H$37="Todos",'Plan mensual'!M62,0))+parametros_manuales!$F$37*('Plan mensual'!M59+IF(parametros_manuales!$H$37="Todos",'Plan mensual'!M63,0))+parametros_manuales!$G$37*('Plan mensual'!M60+IF(parametros_manuales!$H$37="Todos",'Plan mensual'!M64,0)))*parametros_manuales!$I$37*parametros_manuales!$J$37</f>
        <v>464.38969537125</v>
      </c>
      <c r="L160" s="14" t="n">
        <f aca="false">(parametros_manuales!$D$37*('Plan mensual'!N57+IF(parametros_manuales!$H$37="Todos",'Plan mensual'!N61,0))+parametros_manuales!$E$37*('Plan mensual'!N58+IF(parametros_manuales!$H$37="Todos",'Plan mensual'!N62,0))+parametros_manuales!$F$37*('Plan mensual'!N59+IF(parametros_manuales!$H$37="Todos",'Plan mensual'!N63,0))+parametros_manuales!$G$37*('Plan mensual'!N60+IF(parametros_manuales!$H$37="Todos",'Plan mensual'!N64,0)))*parametros_manuales!$I$37*parametros_manuales!$J$37</f>
        <v>455.255495614</v>
      </c>
      <c r="M160" s="14" t="n">
        <f aca="false">(parametros_manuales!$D$37*('Plan mensual'!O57+IF(parametros_manuales!$H$37="Todos",'Plan mensual'!O61,0))+parametros_manuales!$E$37*('Plan mensual'!O58+IF(parametros_manuales!$H$37="Todos",'Plan mensual'!O62,0))+parametros_manuales!$F$37*('Plan mensual'!O59+IF(parametros_manuales!$H$37="Todos",'Plan mensual'!O63,0))+parametros_manuales!$G$37*('Plan mensual'!O60+IF(parametros_manuales!$H$37="Todos",'Plan mensual'!O64,0)))*parametros_manuales!$I$37*parametros_manuales!$J$37</f>
        <v>724.7551130795</v>
      </c>
      <c r="N160" s="14" t="n">
        <f aca="false">SUM(B160:M160)</f>
        <v>6191.86260495</v>
      </c>
      <c r="O160" s="14" t="n">
        <f aca="false">MAX(B160:M160)</f>
        <v>724.7551130795</v>
      </c>
      <c r="P160" s="57" t="n">
        <f aca="false">O160/(parametros_manuales!$B$7)</f>
        <v>4.83170075386333</v>
      </c>
      <c r="Q160" s="13" t="str">
        <f aca="false">IF(O160=0,"-",INDEX($B$141:$M$141,MATCH(O160,B160:M160,0)))</f>
        <v>Dic</v>
      </c>
    </row>
    <row r="161" customFormat="false" ht="14.25" hidden="false" customHeight="true" outlineLevel="0" collapsed="false">
      <c r="A161" s="13" t="str">
        <f aca="false">parametros_manuales!$B$38</f>
        <v>Pintura en polvo + horno</v>
      </c>
      <c r="B161" s="14" t="n">
        <f aca="false">(parametros_manuales!$D$38*('Plan mensual'!D57+IF(parametros_manuales!$H$38="Todos",'Plan mensual'!D61,0))+parametros_manuales!$E$38*('Plan mensual'!D58+IF(parametros_manuales!$H$38="Todos",'Plan mensual'!D62,0))+parametros_manuales!$F$38*('Plan mensual'!D59+IF(parametros_manuales!$H$38="Todos",'Plan mensual'!D63,0))+parametros_manuales!$G$38*('Plan mensual'!D60+IF(parametros_manuales!$H$38="Todos",'Plan mensual'!D64,0)))*parametros_manuales!$I$38*parametros_manuales!$J$38</f>
        <v>14129.7342713</v>
      </c>
      <c r="C161" s="14" t="n">
        <f aca="false">(parametros_manuales!$D$38*('Plan mensual'!E57+IF(parametros_manuales!$H$38="Todos",'Plan mensual'!E61,0))+parametros_manuales!$E$38*('Plan mensual'!E58+IF(parametros_manuales!$H$38="Todos",'Plan mensual'!E62,0))+parametros_manuales!$F$38*('Plan mensual'!E59+IF(parametros_manuales!$H$38="Todos",'Plan mensual'!E63,0))+parametros_manuales!$G$38*('Plan mensual'!E60+IF(parametros_manuales!$H$38="Todos",'Plan mensual'!E64,0)))*parametros_manuales!$I$38*parametros_manuales!$J$38</f>
        <v>10779.98469862</v>
      </c>
      <c r="D161" s="14" t="n">
        <f aca="false">(parametros_manuales!$D$38*('Plan mensual'!F57+IF(parametros_manuales!$H$38="Todos",'Plan mensual'!F61,0))+parametros_manuales!$E$38*('Plan mensual'!F58+IF(parametros_manuales!$H$38="Todos",'Plan mensual'!F62,0))+parametros_manuales!$F$38*('Plan mensual'!F59+IF(parametros_manuales!$H$38="Todos",'Plan mensual'!F63,0))+parametros_manuales!$G$38*('Plan mensual'!F60+IF(parametros_manuales!$H$38="Todos",'Plan mensual'!F64,0)))*parametros_manuales!$I$38*parametros_manuales!$J$38</f>
        <v>10089.664163065</v>
      </c>
      <c r="E161" s="14" t="n">
        <f aca="false">(parametros_manuales!$D$38*('Plan mensual'!G57+IF(parametros_manuales!$H$38="Todos",'Plan mensual'!G61,0))+parametros_manuales!$E$38*('Plan mensual'!G58+IF(parametros_manuales!$H$38="Todos",'Plan mensual'!G62,0))+parametros_manuales!$F$38*('Plan mensual'!G59+IF(parametros_manuales!$H$38="Todos",'Plan mensual'!G63,0))+parametros_manuales!$G$38*('Plan mensual'!G60+IF(parametros_manuales!$H$38="Todos",'Plan mensual'!G64,0)))*parametros_manuales!$I$38*parametros_manuales!$J$38</f>
        <v>9653.161897715</v>
      </c>
      <c r="F161" s="14" t="n">
        <f aca="false">(parametros_manuales!$D$38*('Plan mensual'!H57+IF(parametros_manuales!$H$38="Todos",'Plan mensual'!H61,0))+parametros_manuales!$E$38*('Plan mensual'!H58+IF(parametros_manuales!$H$38="Todos",'Plan mensual'!H62,0))+parametros_manuales!$F$38*('Plan mensual'!H59+IF(parametros_manuales!$H$38="Todos",'Plan mensual'!H63,0))+parametros_manuales!$G$38*('Plan mensual'!H60+IF(parametros_manuales!$H$38="Todos",'Plan mensual'!H64,0)))*parametros_manuales!$I$38*parametros_manuales!$J$38</f>
        <v>9033.97563722</v>
      </c>
      <c r="G161" s="14" t="n">
        <f aca="false">(parametros_manuales!$D$38*('Plan mensual'!I57+IF(parametros_manuales!$H$38="Todos",'Plan mensual'!I61,0))+parametros_manuales!$E$38*('Plan mensual'!I58+IF(parametros_manuales!$H$38="Todos",'Plan mensual'!I62,0))+parametros_manuales!$F$38*('Plan mensual'!I59+IF(parametros_manuales!$H$38="Todos",'Plan mensual'!I63,0))+parametros_manuales!$G$38*('Plan mensual'!I60+IF(parametros_manuales!$H$38="Todos",'Plan mensual'!I64,0)))*parametros_manuales!$I$38*parametros_manuales!$J$38</f>
        <v>8851.291642075</v>
      </c>
      <c r="H161" s="14" t="n">
        <f aca="false">(parametros_manuales!$D$38*('Plan mensual'!J57+IF(parametros_manuales!$H$38="Todos",'Plan mensual'!J61,0))+parametros_manuales!$E$38*('Plan mensual'!J58+IF(parametros_manuales!$H$38="Todos",'Plan mensual'!J62,0))+parametros_manuales!$F$38*('Plan mensual'!J59+IF(parametros_manuales!$H$38="Todos",'Plan mensual'!J63,0))+parametros_manuales!$G$38*('Plan mensual'!J60+IF(parametros_manuales!$H$38="Todos",'Plan mensual'!J64,0)))*parametros_manuales!$I$38*parametros_manuales!$J$38</f>
        <v>9470.47790257</v>
      </c>
      <c r="I161" s="14" t="n">
        <f aca="false">(parametros_manuales!$D$38*('Plan mensual'!K57+IF(parametros_manuales!$H$38="Todos",'Plan mensual'!K61,0))+parametros_manuales!$E$38*('Plan mensual'!K58+IF(parametros_manuales!$H$38="Todos",'Plan mensual'!K62,0))+parametros_manuales!$F$38*('Plan mensual'!K59+IF(parametros_manuales!$H$38="Todos",'Plan mensual'!K63,0))+parametros_manuales!$G$38*('Plan mensual'!K60+IF(parametros_manuales!$H$38="Todos",'Plan mensual'!K64,0)))*parametros_manuales!$I$38*parametros_manuales!$J$38</f>
        <v>9470.47790257</v>
      </c>
      <c r="J161" s="14" t="n">
        <f aca="false">(parametros_manuales!$D$38*('Plan mensual'!L57+IF(parametros_manuales!$H$38="Todos",'Plan mensual'!L61,0))+parametros_manuales!$E$38*('Plan mensual'!L58+IF(parametros_manuales!$H$38="Todos",'Plan mensual'!L62,0))+parametros_manuales!$F$38*('Plan mensual'!L59+IF(parametros_manuales!$H$38="Todos",'Plan mensual'!L63,0))+parametros_manuales!$G$38*('Plan mensual'!L60+IF(parametros_manuales!$H$38="Todos",'Plan mensual'!L64,0)))*parametros_manuales!$I$38*parametros_manuales!$J$38</f>
        <v>9470.47790257</v>
      </c>
      <c r="K161" s="14" t="n">
        <f aca="false">(parametros_manuales!$D$38*('Plan mensual'!M57+IF(parametros_manuales!$H$38="Todos",'Plan mensual'!M61,0))+parametros_manuales!$E$38*('Plan mensual'!M58+IF(parametros_manuales!$H$38="Todos",'Plan mensual'!M62,0))+parametros_manuales!$F$38*('Plan mensual'!M59+IF(parametros_manuales!$H$38="Todos",'Plan mensual'!M63,0))+parametros_manuales!$G$38*('Plan mensual'!M60+IF(parametros_manuales!$H$38="Todos",'Plan mensual'!M64,0)))*parametros_manuales!$I$38*parametros_manuales!$J$38</f>
        <v>9287.793907425</v>
      </c>
      <c r="L161" s="14" t="n">
        <f aca="false">(parametros_manuales!$D$38*('Plan mensual'!N57+IF(parametros_manuales!$H$38="Todos",'Plan mensual'!N61,0))+parametros_manuales!$E$38*('Plan mensual'!N58+IF(parametros_manuales!$H$38="Todos",'Plan mensual'!N62,0))+parametros_manuales!$F$38*('Plan mensual'!N59+IF(parametros_manuales!$H$38="Todos",'Plan mensual'!N63,0))+parametros_manuales!$G$38*('Plan mensual'!N60+IF(parametros_manuales!$H$38="Todos",'Plan mensual'!N64,0)))*parametros_manuales!$I$38*parametros_manuales!$J$38</f>
        <v>9105.10991228</v>
      </c>
      <c r="M161" s="14" t="n">
        <f aca="false">(parametros_manuales!$D$38*('Plan mensual'!O57+IF(parametros_manuales!$H$38="Todos",'Plan mensual'!O61,0))+parametros_manuales!$E$38*('Plan mensual'!O58+IF(parametros_manuales!$H$38="Todos",'Plan mensual'!O62,0))+parametros_manuales!$F$38*('Plan mensual'!O59+IF(parametros_manuales!$H$38="Todos",'Plan mensual'!O63,0))+parametros_manuales!$G$38*('Plan mensual'!O60+IF(parametros_manuales!$H$38="Todos",'Plan mensual'!O64,0)))*parametros_manuales!$I$38*parametros_manuales!$J$38</f>
        <v>14495.10226159</v>
      </c>
      <c r="N161" s="14" t="n">
        <f aca="false">SUM(B161:M161)</f>
        <v>123837.252099</v>
      </c>
      <c r="O161" s="14" t="n">
        <f aca="false">MAX(B161:M161)</f>
        <v>14495.10226159</v>
      </c>
      <c r="P161" s="57" t="n">
        <f aca="false">O161/(parametros_manuales!$B$7)</f>
        <v>96.6340150772667</v>
      </c>
      <c r="Q161" s="13" t="str">
        <f aca="false">IF(O161=0,"-",INDEX($B$141:$M$141,MATCH(O161,B161:M161,0)))</f>
        <v>Dic</v>
      </c>
    </row>
    <row r="162" customFormat="false" ht="14.25" hidden="false" customHeight="true" outlineLevel="0" collapsed="false">
      <c r="A162" s="13" t="str">
        <f aca="false">parametros_manuales!$B$39</f>
        <v>Carga de polvo</v>
      </c>
      <c r="B162" s="14" t="n">
        <f aca="false">(parametros_manuales!$D$39*('Plan mensual'!D57+IF(parametros_manuales!$H$39="Todos",'Plan mensual'!D61,0))+parametros_manuales!$E$39*('Plan mensual'!D58+IF(parametros_manuales!$H$39="Todos",'Plan mensual'!D62,0))+parametros_manuales!$F$39*('Plan mensual'!D59+IF(parametros_manuales!$H$39="Todos",'Plan mensual'!D63,0))+parametros_manuales!$G$39*('Plan mensual'!D60+IF(parametros_manuales!$H$39="Todos",'Plan mensual'!D64,0)))*parametros_manuales!$I$39*parametros_manuales!$J$39</f>
        <v>3758.6502713</v>
      </c>
      <c r="C162" s="14" t="n">
        <f aca="false">(parametros_manuales!$D$39*('Plan mensual'!E57+IF(parametros_manuales!$H$39="Todos",'Plan mensual'!E61,0))+parametros_manuales!$E$39*('Plan mensual'!E58+IF(parametros_manuales!$H$39="Todos",'Plan mensual'!E62,0))+parametros_manuales!$F$39*('Plan mensual'!E59+IF(parametros_manuales!$H$39="Todos",'Plan mensual'!E63,0))+parametros_manuales!$G$39*('Plan mensual'!E60+IF(parametros_manuales!$H$39="Todos",'Plan mensual'!E64,0)))*parametros_manuales!$I$39*parametros_manuales!$J$39</f>
        <v>2913.19869862</v>
      </c>
      <c r="D162" s="14" t="n">
        <f aca="false">(parametros_manuales!$D$39*('Plan mensual'!F57+IF(parametros_manuales!$H$39="Todos",'Plan mensual'!F61,0))+parametros_manuales!$E$39*('Plan mensual'!F58+IF(parametros_manuales!$H$39="Todos",'Plan mensual'!F62,0))+parametros_manuales!$F$39*('Plan mensual'!F59+IF(parametros_manuales!$H$39="Todos",'Plan mensual'!F63,0))+parametros_manuales!$G$39*('Plan mensual'!F60+IF(parametros_manuales!$H$39="Todos",'Plan mensual'!F64,0)))*parametros_manuales!$I$39*parametros_manuales!$J$39</f>
        <v>2851.207163065</v>
      </c>
      <c r="E162" s="14" t="n">
        <f aca="false">(parametros_manuales!$D$39*('Plan mensual'!G57+IF(parametros_manuales!$H$39="Todos",'Plan mensual'!G61,0))+parametros_manuales!$E$39*('Plan mensual'!G58+IF(parametros_manuales!$H$39="Todos",'Plan mensual'!G62,0))+parametros_manuales!$F$39*('Plan mensual'!G59+IF(parametros_manuales!$H$39="Todos",'Plan mensual'!G63,0))+parametros_manuales!$G$39*('Plan mensual'!G60+IF(parametros_manuales!$H$39="Todos",'Plan mensual'!G64,0)))*parametros_manuales!$I$39*parametros_manuales!$J$39</f>
        <v>2773.105897715</v>
      </c>
      <c r="F162" s="14" t="n">
        <f aca="false">(parametros_manuales!$D$39*('Plan mensual'!H57+IF(parametros_manuales!$H$39="Todos",'Plan mensual'!H61,0))+parametros_manuales!$E$39*('Plan mensual'!H58+IF(parametros_manuales!$H$39="Todos",'Plan mensual'!H62,0))+parametros_manuales!$F$39*('Plan mensual'!H59+IF(parametros_manuales!$H$39="Todos",'Plan mensual'!H63,0))+parametros_manuales!$G$39*('Plan mensual'!H60+IF(parametros_manuales!$H$39="Todos",'Plan mensual'!H64,0)))*parametros_manuales!$I$39*parametros_manuales!$J$39</f>
        <v>2600.79363722</v>
      </c>
      <c r="G162" s="14" t="n">
        <f aca="false">(parametros_manuales!$D$39*('Plan mensual'!I57+IF(parametros_manuales!$H$39="Todos",'Plan mensual'!I61,0))+parametros_manuales!$E$39*('Plan mensual'!I58+IF(parametros_manuales!$H$39="Todos",'Plan mensual'!I62,0))+parametros_manuales!$F$39*('Plan mensual'!I59+IF(parametros_manuales!$H$39="Todos",'Plan mensual'!I63,0))+parametros_manuales!$G$39*('Plan mensual'!I60+IF(parametros_manuales!$H$39="Todos",'Plan mensual'!I64,0)))*parametros_manuales!$I$39*parametros_manuales!$J$39</f>
        <v>2506.582642075</v>
      </c>
      <c r="H162" s="14" t="n">
        <f aca="false">(parametros_manuales!$D$39*('Plan mensual'!J57+IF(parametros_manuales!$H$39="Todos",'Plan mensual'!J61,0))+parametros_manuales!$E$39*('Plan mensual'!J58+IF(parametros_manuales!$H$39="Todos",'Plan mensual'!J62,0))+parametros_manuales!$F$39*('Plan mensual'!J59+IF(parametros_manuales!$H$39="Todos",'Plan mensual'!J63,0))+parametros_manuales!$G$39*('Plan mensual'!J60+IF(parametros_manuales!$H$39="Todos",'Plan mensual'!J64,0)))*parametros_manuales!$I$39*parametros_manuales!$J$39</f>
        <v>2678.89490257</v>
      </c>
      <c r="I162" s="14" t="n">
        <f aca="false">(parametros_manuales!$D$39*('Plan mensual'!K57+IF(parametros_manuales!$H$39="Todos",'Plan mensual'!K61,0))+parametros_manuales!$E$39*('Plan mensual'!K58+IF(parametros_manuales!$H$39="Todos",'Plan mensual'!K62,0))+parametros_manuales!$F$39*('Plan mensual'!K59+IF(parametros_manuales!$H$39="Todos",'Plan mensual'!K63,0))+parametros_manuales!$G$39*('Plan mensual'!K60+IF(parametros_manuales!$H$39="Todos",'Plan mensual'!K64,0)))*parametros_manuales!$I$39*parametros_manuales!$J$39</f>
        <v>2678.89490257</v>
      </c>
      <c r="J162" s="14" t="n">
        <f aca="false">(parametros_manuales!$D$39*('Plan mensual'!L57+IF(parametros_manuales!$H$39="Todos",'Plan mensual'!L61,0))+parametros_manuales!$E$39*('Plan mensual'!L58+IF(parametros_manuales!$H$39="Todos",'Plan mensual'!L62,0))+parametros_manuales!$F$39*('Plan mensual'!L59+IF(parametros_manuales!$H$39="Todos",'Plan mensual'!L63,0))+parametros_manuales!$G$39*('Plan mensual'!L60+IF(parametros_manuales!$H$39="Todos",'Plan mensual'!L64,0)))*parametros_manuales!$I$39*parametros_manuales!$J$39</f>
        <v>2678.89490257</v>
      </c>
      <c r="K162" s="14" t="n">
        <f aca="false">(parametros_manuales!$D$39*('Plan mensual'!M57+IF(parametros_manuales!$H$39="Todos",'Plan mensual'!M61,0))+parametros_manuales!$E$39*('Plan mensual'!M58+IF(parametros_manuales!$H$39="Todos",'Plan mensual'!M62,0))+parametros_manuales!$F$39*('Plan mensual'!M59+IF(parametros_manuales!$H$39="Todos",'Plan mensual'!M63,0))+parametros_manuales!$G$39*('Plan mensual'!M60+IF(parametros_manuales!$H$39="Todos",'Plan mensual'!M64,0)))*parametros_manuales!$I$39*parametros_manuales!$J$39</f>
        <v>2584.683907425</v>
      </c>
      <c r="L162" s="14" t="n">
        <f aca="false">(parametros_manuales!$D$39*('Plan mensual'!N57+IF(parametros_manuales!$H$39="Todos",'Plan mensual'!N61,0))+parametros_manuales!$E$39*('Plan mensual'!N58+IF(parametros_manuales!$H$39="Todos",'Plan mensual'!N62,0))+parametros_manuales!$F$39*('Plan mensual'!N59+IF(parametros_manuales!$H$39="Todos",'Plan mensual'!N63,0))+parametros_manuales!$G$39*('Plan mensual'!N60+IF(parametros_manuales!$H$39="Todos",'Plan mensual'!N64,0)))*parametros_manuales!$I$39*parametros_manuales!$J$39</f>
        <v>2490.47291228</v>
      </c>
      <c r="M162" s="14" t="n">
        <f aca="false">(parametros_manuales!$D$39*('Plan mensual'!O57+IF(parametros_manuales!$H$39="Todos",'Plan mensual'!O61,0))+parametros_manuales!$E$39*('Plan mensual'!O58+IF(parametros_manuales!$H$39="Todos",'Plan mensual'!O62,0))+parametros_manuales!$F$39*('Plan mensual'!O59+IF(parametros_manuales!$H$39="Todos",'Plan mensual'!O63,0))+parametros_manuales!$G$39*('Plan mensual'!O60+IF(parametros_manuales!$H$39="Todos",'Plan mensual'!O64,0)))*parametros_manuales!$I$39*parametros_manuales!$J$39</f>
        <v>3947.07226159</v>
      </c>
      <c r="N162" s="14" t="n">
        <f aca="false">SUM(B162:M162)</f>
        <v>34462.452099</v>
      </c>
      <c r="O162" s="14" t="n">
        <f aca="false">MAX(B162:M162)</f>
        <v>3947.07226159</v>
      </c>
      <c r="P162" s="57" t="n">
        <f aca="false">O162/(parametros_manuales!$B$7)</f>
        <v>26.3138150772667</v>
      </c>
      <c r="Q162" s="13" t="str">
        <f aca="false">IF(O162=0,"-",INDEX($B$141:$M$141,MATCH(O162,B162:M162,0)))</f>
        <v>Dic</v>
      </c>
    </row>
    <row r="163" customFormat="false" ht="14.25" hidden="false" customHeight="true" outlineLevel="0" collapsed="false">
      <c r="A163" s="13" t="str">
        <f aca="false">parametros_manuales!$B$40</f>
        <v>Ensamblaje</v>
      </c>
      <c r="B163" s="14" t="n">
        <f aca="false">(parametros_manuales!$D$40*('Plan mensual'!D57+IF(parametros_manuales!$H$40="Todos",'Plan mensual'!D61,0))+parametros_manuales!$E$40*('Plan mensual'!D58+IF(parametros_manuales!$H$40="Todos",'Plan mensual'!D62,0))+parametros_manuales!$F$40*('Plan mensual'!D59+IF(parametros_manuales!$H$40="Todos",'Plan mensual'!D63,0))+parametros_manuales!$G$40*('Plan mensual'!D60+IF(parametros_manuales!$H$40="Todos",'Plan mensual'!D64,0)))*parametros_manuales!$I$40*parametros_manuales!$J$40</f>
        <v>3758.6502713</v>
      </c>
      <c r="C163" s="14" t="n">
        <f aca="false">(parametros_manuales!$D$40*('Plan mensual'!E57+IF(parametros_manuales!$H$40="Todos",'Plan mensual'!E61,0))+parametros_manuales!$E$40*('Plan mensual'!E58+IF(parametros_manuales!$H$40="Todos",'Plan mensual'!E62,0))+parametros_manuales!$F$40*('Plan mensual'!E59+IF(parametros_manuales!$H$40="Todos",'Plan mensual'!E63,0))+parametros_manuales!$G$40*('Plan mensual'!E60+IF(parametros_manuales!$H$40="Todos",'Plan mensual'!E64,0)))*parametros_manuales!$I$40*parametros_manuales!$J$40</f>
        <v>2913.19869862</v>
      </c>
      <c r="D163" s="14" t="n">
        <f aca="false">(parametros_manuales!$D$40*('Plan mensual'!F57+IF(parametros_manuales!$H$40="Todos",'Plan mensual'!F61,0))+parametros_manuales!$E$40*('Plan mensual'!F58+IF(parametros_manuales!$H$40="Todos",'Plan mensual'!F62,0))+parametros_manuales!$F$40*('Plan mensual'!F59+IF(parametros_manuales!$H$40="Todos",'Plan mensual'!F63,0))+parametros_manuales!$G$40*('Plan mensual'!F60+IF(parametros_manuales!$H$40="Todos",'Plan mensual'!F64,0)))*parametros_manuales!$I$40*parametros_manuales!$J$40</f>
        <v>2851.207163065</v>
      </c>
      <c r="E163" s="14" t="n">
        <f aca="false">(parametros_manuales!$D$40*('Plan mensual'!G57+IF(parametros_manuales!$H$40="Todos",'Plan mensual'!G61,0))+parametros_manuales!$E$40*('Plan mensual'!G58+IF(parametros_manuales!$H$40="Todos",'Plan mensual'!G62,0))+parametros_manuales!$F$40*('Plan mensual'!G59+IF(parametros_manuales!$H$40="Todos",'Plan mensual'!G63,0))+parametros_manuales!$G$40*('Plan mensual'!G60+IF(parametros_manuales!$H$40="Todos",'Plan mensual'!G64,0)))*parametros_manuales!$I$40*parametros_manuales!$J$40</f>
        <v>2773.105897715</v>
      </c>
      <c r="F163" s="14" t="n">
        <f aca="false">(parametros_manuales!$D$40*('Plan mensual'!H57+IF(parametros_manuales!$H$40="Todos",'Plan mensual'!H61,0))+parametros_manuales!$E$40*('Plan mensual'!H58+IF(parametros_manuales!$H$40="Todos",'Plan mensual'!H62,0))+parametros_manuales!$F$40*('Plan mensual'!H59+IF(parametros_manuales!$H$40="Todos",'Plan mensual'!H63,0))+parametros_manuales!$G$40*('Plan mensual'!H60+IF(parametros_manuales!$H$40="Todos",'Plan mensual'!H64,0)))*parametros_manuales!$I$40*parametros_manuales!$J$40</f>
        <v>2600.79363722</v>
      </c>
      <c r="G163" s="14" t="n">
        <f aca="false">(parametros_manuales!$D$40*('Plan mensual'!I57+IF(parametros_manuales!$H$40="Todos",'Plan mensual'!I61,0))+parametros_manuales!$E$40*('Plan mensual'!I58+IF(parametros_manuales!$H$40="Todos",'Plan mensual'!I62,0))+parametros_manuales!$F$40*('Plan mensual'!I59+IF(parametros_manuales!$H$40="Todos",'Plan mensual'!I63,0))+parametros_manuales!$G$40*('Plan mensual'!I60+IF(parametros_manuales!$H$40="Todos",'Plan mensual'!I64,0)))*parametros_manuales!$I$40*parametros_manuales!$J$40</f>
        <v>2506.582642075</v>
      </c>
      <c r="H163" s="14" t="n">
        <f aca="false">(parametros_manuales!$D$40*('Plan mensual'!J57+IF(parametros_manuales!$H$40="Todos",'Plan mensual'!J61,0))+parametros_manuales!$E$40*('Plan mensual'!J58+IF(parametros_manuales!$H$40="Todos",'Plan mensual'!J62,0))+parametros_manuales!$F$40*('Plan mensual'!J59+IF(parametros_manuales!$H$40="Todos",'Plan mensual'!J63,0))+parametros_manuales!$G$40*('Plan mensual'!J60+IF(parametros_manuales!$H$40="Todos",'Plan mensual'!J64,0)))*parametros_manuales!$I$40*parametros_manuales!$J$40</f>
        <v>2678.89490257</v>
      </c>
      <c r="I163" s="14" t="n">
        <f aca="false">(parametros_manuales!$D$40*('Plan mensual'!K57+IF(parametros_manuales!$H$40="Todos",'Plan mensual'!K61,0))+parametros_manuales!$E$40*('Plan mensual'!K58+IF(parametros_manuales!$H$40="Todos",'Plan mensual'!K62,0))+parametros_manuales!$F$40*('Plan mensual'!K59+IF(parametros_manuales!$H$40="Todos",'Plan mensual'!K63,0))+parametros_manuales!$G$40*('Plan mensual'!K60+IF(parametros_manuales!$H$40="Todos",'Plan mensual'!K64,0)))*parametros_manuales!$I$40*parametros_manuales!$J$40</f>
        <v>2678.89490257</v>
      </c>
      <c r="J163" s="14" t="n">
        <f aca="false">(parametros_manuales!$D$40*('Plan mensual'!L57+IF(parametros_manuales!$H$40="Todos",'Plan mensual'!L61,0))+parametros_manuales!$E$40*('Plan mensual'!L58+IF(parametros_manuales!$H$40="Todos",'Plan mensual'!L62,0))+parametros_manuales!$F$40*('Plan mensual'!L59+IF(parametros_manuales!$H$40="Todos",'Plan mensual'!L63,0))+parametros_manuales!$G$40*('Plan mensual'!L60+IF(parametros_manuales!$H$40="Todos",'Plan mensual'!L64,0)))*parametros_manuales!$I$40*parametros_manuales!$J$40</f>
        <v>2678.89490257</v>
      </c>
      <c r="K163" s="14" t="n">
        <f aca="false">(parametros_manuales!$D$40*('Plan mensual'!M57+IF(parametros_manuales!$H$40="Todos",'Plan mensual'!M61,0))+parametros_manuales!$E$40*('Plan mensual'!M58+IF(parametros_manuales!$H$40="Todos",'Plan mensual'!M62,0))+parametros_manuales!$F$40*('Plan mensual'!M59+IF(parametros_manuales!$H$40="Todos",'Plan mensual'!M63,0))+parametros_manuales!$G$40*('Plan mensual'!M60+IF(parametros_manuales!$H$40="Todos",'Plan mensual'!M64,0)))*parametros_manuales!$I$40*parametros_manuales!$J$40</f>
        <v>2584.683907425</v>
      </c>
      <c r="L163" s="14" t="n">
        <f aca="false">(parametros_manuales!$D$40*('Plan mensual'!N57+IF(parametros_manuales!$H$40="Todos",'Plan mensual'!N61,0))+parametros_manuales!$E$40*('Plan mensual'!N58+IF(parametros_manuales!$H$40="Todos",'Plan mensual'!N62,0))+parametros_manuales!$F$40*('Plan mensual'!N59+IF(parametros_manuales!$H$40="Todos",'Plan mensual'!N63,0))+parametros_manuales!$G$40*('Plan mensual'!N60+IF(parametros_manuales!$H$40="Todos",'Plan mensual'!N64,0)))*parametros_manuales!$I$40*parametros_manuales!$J$40</f>
        <v>2490.47291228</v>
      </c>
      <c r="M163" s="14" t="n">
        <f aca="false">(parametros_manuales!$D$40*('Plan mensual'!O57+IF(parametros_manuales!$H$40="Todos",'Plan mensual'!O61,0))+parametros_manuales!$E$40*('Plan mensual'!O58+IF(parametros_manuales!$H$40="Todos",'Plan mensual'!O62,0))+parametros_manuales!$F$40*('Plan mensual'!O59+IF(parametros_manuales!$H$40="Todos",'Plan mensual'!O63,0))+parametros_manuales!$G$40*('Plan mensual'!O60+IF(parametros_manuales!$H$40="Todos",'Plan mensual'!O64,0)))*parametros_manuales!$I$40*parametros_manuales!$J$40</f>
        <v>3947.07226159</v>
      </c>
      <c r="N163" s="14" t="n">
        <f aca="false">SUM(B163:M163)</f>
        <v>34462.452099</v>
      </c>
      <c r="O163" s="14" t="n">
        <f aca="false">MAX(B163:M163)</f>
        <v>3947.07226159</v>
      </c>
      <c r="P163" s="57" t="n">
        <f aca="false">O163/(parametros_manuales!$B$7)</f>
        <v>26.3138150772667</v>
      </c>
      <c r="Q163" s="13" t="str">
        <f aca="false">IF(O163=0,"-",INDEX($B$141:$M$141,MATCH(O163,B163:M163,0)))</f>
        <v>Dic</v>
      </c>
    </row>
    <row r="164" customFormat="false" ht="14.25" hidden="false" customHeight="true" outlineLevel="0" collapsed="false">
      <c r="A164" s="13" t="str">
        <f aca="false">parametros_manuales!$B$41</f>
        <v>Presurización</v>
      </c>
      <c r="B164" s="14" t="n">
        <f aca="false">(parametros_manuales!$D$41*('Plan mensual'!D57+IF(parametros_manuales!$H$41="Todos",'Plan mensual'!D61,0))+parametros_manuales!$E$41*('Plan mensual'!D58+IF(parametros_manuales!$H$41="Todos",'Plan mensual'!D62,0))+parametros_manuales!$F$41*('Plan mensual'!D59+IF(parametros_manuales!$H$41="Todos",'Plan mensual'!D63,0))+parametros_manuales!$G$41*('Plan mensual'!D60+IF(parametros_manuales!$H$41="Todos",'Plan mensual'!D64,0)))*parametros_manuales!$I$41*parametros_manuales!$J$41</f>
        <v>3758.6502713</v>
      </c>
      <c r="C164" s="14" t="n">
        <f aca="false">(parametros_manuales!$D$41*('Plan mensual'!E57+IF(parametros_manuales!$H$41="Todos",'Plan mensual'!E61,0))+parametros_manuales!$E$41*('Plan mensual'!E58+IF(parametros_manuales!$H$41="Todos",'Plan mensual'!E62,0))+parametros_manuales!$F$41*('Plan mensual'!E59+IF(parametros_manuales!$H$41="Todos",'Plan mensual'!E63,0))+parametros_manuales!$G$41*('Plan mensual'!E60+IF(parametros_manuales!$H$41="Todos",'Plan mensual'!E64,0)))*parametros_manuales!$I$41*parametros_manuales!$J$41</f>
        <v>2913.19869862</v>
      </c>
      <c r="D164" s="14" t="n">
        <f aca="false">(parametros_manuales!$D$41*('Plan mensual'!F57+IF(parametros_manuales!$H$41="Todos",'Plan mensual'!F61,0))+parametros_manuales!$E$41*('Plan mensual'!F58+IF(parametros_manuales!$H$41="Todos",'Plan mensual'!F62,0))+parametros_manuales!$F$41*('Plan mensual'!F59+IF(parametros_manuales!$H$41="Todos",'Plan mensual'!F63,0))+parametros_manuales!$G$41*('Plan mensual'!F60+IF(parametros_manuales!$H$41="Todos",'Plan mensual'!F64,0)))*parametros_manuales!$I$41*parametros_manuales!$J$41</f>
        <v>2851.207163065</v>
      </c>
      <c r="E164" s="14" t="n">
        <f aca="false">(parametros_manuales!$D$41*('Plan mensual'!G57+IF(parametros_manuales!$H$41="Todos",'Plan mensual'!G61,0))+parametros_manuales!$E$41*('Plan mensual'!G58+IF(parametros_manuales!$H$41="Todos",'Plan mensual'!G62,0))+parametros_manuales!$F$41*('Plan mensual'!G59+IF(parametros_manuales!$H$41="Todos",'Plan mensual'!G63,0))+parametros_manuales!$G$41*('Plan mensual'!G60+IF(parametros_manuales!$H$41="Todos",'Plan mensual'!G64,0)))*parametros_manuales!$I$41*parametros_manuales!$J$41</f>
        <v>2773.105897715</v>
      </c>
      <c r="F164" s="14" t="n">
        <f aca="false">(parametros_manuales!$D$41*('Plan mensual'!H57+IF(parametros_manuales!$H$41="Todos",'Plan mensual'!H61,0))+parametros_manuales!$E$41*('Plan mensual'!H58+IF(parametros_manuales!$H$41="Todos",'Plan mensual'!H62,0))+parametros_manuales!$F$41*('Plan mensual'!H59+IF(parametros_manuales!$H$41="Todos",'Plan mensual'!H63,0))+parametros_manuales!$G$41*('Plan mensual'!H60+IF(parametros_manuales!$H$41="Todos",'Plan mensual'!H64,0)))*parametros_manuales!$I$41*parametros_manuales!$J$41</f>
        <v>2600.79363722</v>
      </c>
      <c r="G164" s="14" t="n">
        <f aca="false">(parametros_manuales!$D$41*('Plan mensual'!I57+IF(parametros_manuales!$H$41="Todos",'Plan mensual'!I61,0))+parametros_manuales!$E$41*('Plan mensual'!I58+IF(parametros_manuales!$H$41="Todos",'Plan mensual'!I62,0))+parametros_manuales!$F$41*('Plan mensual'!I59+IF(parametros_manuales!$H$41="Todos",'Plan mensual'!I63,0))+parametros_manuales!$G$41*('Plan mensual'!I60+IF(parametros_manuales!$H$41="Todos",'Plan mensual'!I64,0)))*parametros_manuales!$I$41*parametros_manuales!$J$41</f>
        <v>2506.582642075</v>
      </c>
      <c r="H164" s="14" t="n">
        <f aca="false">(parametros_manuales!$D$41*('Plan mensual'!J57+IF(parametros_manuales!$H$41="Todos",'Plan mensual'!J61,0))+parametros_manuales!$E$41*('Plan mensual'!J58+IF(parametros_manuales!$H$41="Todos",'Plan mensual'!J62,0))+parametros_manuales!$F$41*('Plan mensual'!J59+IF(parametros_manuales!$H$41="Todos",'Plan mensual'!J63,0))+parametros_manuales!$G$41*('Plan mensual'!J60+IF(parametros_manuales!$H$41="Todos",'Plan mensual'!J64,0)))*parametros_manuales!$I$41*parametros_manuales!$J$41</f>
        <v>2678.89490257</v>
      </c>
      <c r="I164" s="14" t="n">
        <f aca="false">(parametros_manuales!$D$41*('Plan mensual'!K57+IF(parametros_manuales!$H$41="Todos",'Plan mensual'!K61,0))+parametros_manuales!$E$41*('Plan mensual'!K58+IF(parametros_manuales!$H$41="Todos",'Plan mensual'!K62,0))+parametros_manuales!$F$41*('Plan mensual'!K59+IF(parametros_manuales!$H$41="Todos",'Plan mensual'!K63,0))+parametros_manuales!$G$41*('Plan mensual'!K60+IF(parametros_manuales!$H$41="Todos",'Plan mensual'!K64,0)))*parametros_manuales!$I$41*parametros_manuales!$J$41</f>
        <v>2678.89490257</v>
      </c>
      <c r="J164" s="14" t="n">
        <f aca="false">(parametros_manuales!$D$41*('Plan mensual'!L57+IF(parametros_manuales!$H$41="Todos",'Plan mensual'!L61,0))+parametros_manuales!$E$41*('Plan mensual'!L58+IF(parametros_manuales!$H$41="Todos",'Plan mensual'!L62,0))+parametros_manuales!$F$41*('Plan mensual'!L59+IF(parametros_manuales!$H$41="Todos",'Plan mensual'!L63,0))+parametros_manuales!$G$41*('Plan mensual'!L60+IF(parametros_manuales!$H$41="Todos",'Plan mensual'!L64,0)))*parametros_manuales!$I$41*parametros_manuales!$J$41</f>
        <v>2678.89490257</v>
      </c>
      <c r="K164" s="14" t="n">
        <f aca="false">(parametros_manuales!$D$41*('Plan mensual'!M57+IF(parametros_manuales!$H$41="Todos",'Plan mensual'!M61,0))+parametros_manuales!$E$41*('Plan mensual'!M58+IF(parametros_manuales!$H$41="Todos",'Plan mensual'!M62,0))+parametros_manuales!$F$41*('Plan mensual'!M59+IF(parametros_manuales!$H$41="Todos",'Plan mensual'!M63,0))+parametros_manuales!$G$41*('Plan mensual'!M60+IF(parametros_manuales!$H$41="Todos",'Plan mensual'!M64,0)))*parametros_manuales!$I$41*parametros_manuales!$J$41</f>
        <v>2584.683907425</v>
      </c>
      <c r="L164" s="14" t="n">
        <f aca="false">(parametros_manuales!$D$41*('Plan mensual'!N57+IF(parametros_manuales!$H$41="Todos",'Plan mensual'!N61,0))+parametros_manuales!$E$41*('Plan mensual'!N58+IF(parametros_manuales!$H$41="Todos",'Plan mensual'!N62,0))+parametros_manuales!$F$41*('Plan mensual'!N59+IF(parametros_manuales!$H$41="Todos",'Plan mensual'!N63,0))+parametros_manuales!$G$41*('Plan mensual'!N60+IF(parametros_manuales!$H$41="Todos",'Plan mensual'!N64,0)))*parametros_manuales!$I$41*parametros_manuales!$J$41</f>
        <v>2490.47291228</v>
      </c>
      <c r="M164" s="14" t="n">
        <f aca="false">(parametros_manuales!$D$41*('Plan mensual'!O57+IF(parametros_manuales!$H$41="Todos",'Plan mensual'!O61,0))+parametros_manuales!$E$41*('Plan mensual'!O58+IF(parametros_manuales!$H$41="Todos",'Plan mensual'!O62,0))+parametros_manuales!$F$41*('Plan mensual'!O59+IF(parametros_manuales!$H$41="Todos",'Plan mensual'!O63,0))+parametros_manuales!$G$41*('Plan mensual'!O60+IF(parametros_manuales!$H$41="Todos",'Plan mensual'!O64,0)))*parametros_manuales!$I$41*parametros_manuales!$J$41</f>
        <v>3947.07226159</v>
      </c>
      <c r="N164" s="14" t="n">
        <f aca="false">SUM(B164:M164)</f>
        <v>34462.452099</v>
      </c>
      <c r="O164" s="14" t="n">
        <f aca="false">MAX(B164:M164)</f>
        <v>3947.07226159</v>
      </c>
      <c r="P164" s="57" t="n">
        <f aca="false">O164/(parametros_manuales!$B$7)</f>
        <v>26.3138150772667</v>
      </c>
      <c r="Q164" s="13" t="str">
        <f aca="false">IF(O164=0,"-",INDEX($B$141:$M$141,MATCH(O164,B164:M164,0)))</f>
        <v>Dic</v>
      </c>
    </row>
    <row r="165" customFormat="false" ht="14.25" hidden="false" customHeight="true" outlineLevel="0" collapsed="false">
      <c r="A165" s="13" t="str">
        <f aca="false">parametros_manuales!$B$42</f>
        <v>Control de calidad — Ensayo de pérdidas</v>
      </c>
      <c r="B165" s="14" t="n">
        <f aca="false">(parametros_manuales!$D$42*('Plan mensual'!D57+IF(parametros_manuales!$H$42="Todos",'Plan mensual'!D61,0))+parametros_manuales!$E$42*('Plan mensual'!D58+IF(parametros_manuales!$H$42="Todos",'Plan mensual'!D62,0))+parametros_manuales!$F$42*('Plan mensual'!D59+IF(parametros_manuales!$H$42="Todos",'Plan mensual'!D63,0))+parametros_manuales!$G$42*('Plan mensual'!D60+IF(parametros_manuales!$H$42="Todos",'Plan mensual'!D64,0)))*parametros_manuales!$I$42*parametros_manuales!$J$42</f>
        <v>3758.6502713</v>
      </c>
      <c r="C165" s="14" t="n">
        <f aca="false">(parametros_manuales!$D$42*('Plan mensual'!E57+IF(parametros_manuales!$H$42="Todos",'Plan mensual'!E61,0))+parametros_manuales!$E$42*('Plan mensual'!E58+IF(parametros_manuales!$H$42="Todos",'Plan mensual'!E62,0))+parametros_manuales!$F$42*('Plan mensual'!E59+IF(parametros_manuales!$H$42="Todos",'Plan mensual'!E63,0))+parametros_manuales!$G$42*('Plan mensual'!E60+IF(parametros_manuales!$H$42="Todos",'Plan mensual'!E64,0)))*parametros_manuales!$I$42*parametros_manuales!$J$42</f>
        <v>2913.19869862</v>
      </c>
      <c r="D165" s="14" t="n">
        <f aca="false">(parametros_manuales!$D$42*('Plan mensual'!F57+IF(parametros_manuales!$H$42="Todos",'Plan mensual'!F61,0))+parametros_manuales!$E$42*('Plan mensual'!F58+IF(parametros_manuales!$H$42="Todos",'Plan mensual'!F62,0))+parametros_manuales!$F$42*('Plan mensual'!F59+IF(parametros_manuales!$H$42="Todos",'Plan mensual'!F63,0))+parametros_manuales!$G$42*('Plan mensual'!F60+IF(parametros_manuales!$H$42="Todos",'Plan mensual'!F64,0)))*parametros_manuales!$I$42*parametros_manuales!$J$42</f>
        <v>2851.207163065</v>
      </c>
      <c r="E165" s="14" t="n">
        <f aca="false">(parametros_manuales!$D$42*('Plan mensual'!G57+IF(parametros_manuales!$H$42="Todos",'Plan mensual'!G61,0))+parametros_manuales!$E$42*('Plan mensual'!G58+IF(parametros_manuales!$H$42="Todos",'Plan mensual'!G62,0))+parametros_manuales!$F$42*('Plan mensual'!G59+IF(parametros_manuales!$H$42="Todos",'Plan mensual'!G63,0))+parametros_manuales!$G$42*('Plan mensual'!G60+IF(parametros_manuales!$H$42="Todos",'Plan mensual'!G64,0)))*parametros_manuales!$I$42*parametros_manuales!$J$42</f>
        <v>2773.105897715</v>
      </c>
      <c r="F165" s="14" t="n">
        <f aca="false">(parametros_manuales!$D$42*('Plan mensual'!H57+IF(parametros_manuales!$H$42="Todos",'Plan mensual'!H61,0))+parametros_manuales!$E$42*('Plan mensual'!H58+IF(parametros_manuales!$H$42="Todos",'Plan mensual'!H62,0))+parametros_manuales!$F$42*('Plan mensual'!H59+IF(parametros_manuales!$H$42="Todos",'Plan mensual'!H63,0))+parametros_manuales!$G$42*('Plan mensual'!H60+IF(parametros_manuales!$H$42="Todos",'Plan mensual'!H64,0)))*parametros_manuales!$I$42*parametros_manuales!$J$42</f>
        <v>2600.79363722</v>
      </c>
      <c r="G165" s="14" t="n">
        <f aca="false">(parametros_manuales!$D$42*('Plan mensual'!I57+IF(parametros_manuales!$H$42="Todos",'Plan mensual'!I61,0))+parametros_manuales!$E$42*('Plan mensual'!I58+IF(parametros_manuales!$H$42="Todos",'Plan mensual'!I62,0))+parametros_manuales!$F$42*('Plan mensual'!I59+IF(parametros_manuales!$H$42="Todos",'Plan mensual'!I63,0))+parametros_manuales!$G$42*('Plan mensual'!I60+IF(parametros_manuales!$H$42="Todos",'Plan mensual'!I64,0)))*parametros_manuales!$I$42*parametros_manuales!$J$42</f>
        <v>2506.582642075</v>
      </c>
      <c r="H165" s="14" t="n">
        <f aca="false">(parametros_manuales!$D$42*('Plan mensual'!J57+IF(parametros_manuales!$H$42="Todos",'Plan mensual'!J61,0))+parametros_manuales!$E$42*('Plan mensual'!J58+IF(parametros_manuales!$H$42="Todos",'Plan mensual'!J62,0))+parametros_manuales!$F$42*('Plan mensual'!J59+IF(parametros_manuales!$H$42="Todos",'Plan mensual'!J63,0))+parametros_manuales!$G$42*('Plan mensual'!J60+IF(parametros_manuales!$H$42="Todos",'Plan mensual'!J64,0)))*parametros_manuales!$I$42*parametros_manuales!$J$42</f>
        <v>2678.89490257</v>
      </c>
      <c r="I165" s="14" t="n">
        <f aca="false">(parametros_manuales!$D$42*('Plan mensual'!K57+IF(parametros_manuales!$H$42="Todos",'Plan mensual'!K61,0))+parametros_manuales!$E$42*('Plan mensual'!K58+IF(parametros_manuales!$H$42="Todos",'Plan mensual'!K62,0))+parametros_manuales!$F$42*('Plan mensual'!K59+IF(parametros_manuales!$H$42="Todos",'Plan mensual'!K63,0))+parametros_manuales!$G$42*('Plan mensual'!K60+IF(parametros_manuales!$H$42="Todos",'Plan mensual'!K64,0)))*parametros_manuales!$I$42*parametros_manuales!$J$42</f>
        <v>2678.89490257</v>
      </c>
      <c r="J165" s="14" t="n">
        <f aca="false">(parametros_manuales!$D$42*('Plan mensual'!L57+IF(parametros_manuales!$H$42="Todos",'Plan mensual'!L61,0))+parametros_manuales!$E$42*('Plan mensual'!L58+IF(parametros_manuales!$H$42="Todos",'Plan mensual'!L62,0))+parametros_manuales!$F$42*('Plan mensual'!L59+IF(parametros_manuales!$H$42="Todos",'Plan mensual'!L63,0))+parametros_manuales!$G$42*('Plan mensual'!L60+IF(parametros_manuales!$H$42="Todos",'Plan mensual'!L64,0)))*parametros_manuales!$I$42*parametros_manuales!$J$42</f>
        <v>2678.89490257</v>
      </c>
      <c r="K165" s="14" t="n">
        <f aca="false">(parametros_manuales!$D$42*('Plan mensual'!M57+IF(parametros_manuales!$H$42="Todos",'Plan mensual'!M61,0))+parametros_manuales!$E$42*('Plan mensual'!M58+IF(parametros_manuales!$H$42="Todos",'Plan mensual'!M62,0))+parametros_manuales!$F$42*('Plan mensual'!M59+IF(parametros_manuales!$H$42="Todos",'Plan mensual'!M63,0))+parametros_manuales!$G$42*('Plan mensual'!M60+IF(parametros_manuales!$H$42="Todos",'Plan mensual'!M64,0)))*parametros_manuales!$I$42*parametros_manuales!$J$42</f>
        <v>2584.683907425</v>
      </c>
      <c r="L165" s="14" t="n">
        <f aca="false">(parametros_manuales!$D$42*('Plan mensual'!N57+IF(parametros_manuales!$H$42="Todos",'Plan mensual'!N61,0))+parametros_manuales!$E$42*('Plan mensual'!N58+IF(parametros_manuales!$H$42="Todos",'Plan mensual'!N62,0))+parametros_manuales!$F$42*('Plan mensual'!N59+IF(parametros_manuales!$H$42="Todos",'Plan mensual'!N63,0))+parametros_manuales!$G$42*('Plan mensual'!N60+IF(parametros_manuales!$H$42="Todos",'Plan mensual'!N64,0)))*parametros_manuales!$I$42*parametros_manuales!$J$42</f>
        <v>2490.47291228</v>
      </c>
      <c r="M165" s="14" t="n">
        <f aca="false">(parametros_manuales!$D$42*('Plan mensual'!O57+IF(parametros_manuales!$H$42="Todos",'Plan mensual'!O61,0))+parametros_manuales!$E$42*('Plan mensual'!O58+IF(parametros_manuales!$H$42="Todos",'Plan mensual'!O62,0))+parametros_manuales!$F$42*('Plan mensual'!O59+IF(parametros_manuales!$H$42="Todos",'Plan mensual'!O63,0))+parametros_manuales!$G$42*('Plan mensual'!O60+IF(parametros_manuales!$H$42="Todos",'Plan mensual'!O64,0)))*parametros_manuales!$I$42*parametros_manuales!$J$42</f>
        <v>3947.07226159</v>
      </c>
      <c r="N165" s="14" t="n">
        <f aca="false">SUM(B165:M165)</f>
        <v>34462.452099</v>
      </c>
      <c r="O165" s="14" t="n">
        <f aca="false">MAX(B165:M165)</f>
        <v>3947.07226159</v>
      </c>
      <c r="P165" s="57" t="n">
        <f aca="false">O165/(parametros_manuales!$B$7)</f>
        <v>26.3138150772667</v>
      </c>
      <c r="Q165" s="13" t="str">
        <f aca="false">IF(O165=0,"-",INDEX($B$141:$M$141,MATCH(O165,B165:M165,0)))</f>
        <v>Dic</v>
      </c>
    </row>
    <row r="166" customFormat="false" ht="14.25" hidden="false" customHeight="true" outlineLevel="0" collapsed="false">
      <c r="A166" s="13" t="str">
        <f aca="false">parametros_manuales!$B$43</f>
        <v>Etiquetado</v>
      </c>
      <c r="B166" s="14" t="n">
        <f aca="false">(parametros_manuales!$D$43*('Plan mensual'!D57+IF(parametros_manuales!$H$43="Todos",'Plan mensual'!D61,0))+parametros_manuales!$E$43*('Plan mensual'!D58+IF(parametros_manuales!$H$43="Todos",'Plan mensual'!D62,0))+parametros_manuales!$F$43*('Plan mensual'!D59+IF(parametros_manuales!$H$43="Todos",'Plan mensual'!D63,0))+parametros_manuales!$G$43*('Plan mensual'!D60+IF(parametros_manuales!$H$43="Todos",'Plan mensual'!D64,0)))*parametros_manuales!$I$43*parametros_manuales!$J$43</f>
        <v>3758.6502713</v>
      </c>
      <c r="C166" s="14" t="n">
        <f aca="false">(parametros_manuales!$D$43*('Plan mensual'!E57+IF(parametros_manuales!$H$43="Todos",'Plan mensual'!E61,0))+parametros_manuales!$E$43*('Plan mensual'!E58+IF(parametros_manuales!$H$43="Todos",'Plan mensual'!E62,0))+parametros_manuales!$F$43*('Plan mensual'!E59+IF(parametros_manuales!$H$43="Todos",'Plan mensual'!E63,0))+parametros_manuales!$G$43*('Plan mensual'!E60+IF(parametros_manuales!$H$43="Todos",'Plan mensual'!E64,0)))*parametros_manuales!$I$43*parametros_manuales!$J$43</f>
        <v>2913.19869862</v>
      </c>
      <c r="D166" s="14" t="n">
        <f aca="false">(parametros_manuales!$D$43*('Plan mensual'!F57+IF(parametros_manuales!$H$43="Todos",'Plan mensual'!F61,0))+parametros_manuales!$E$43*('Plan mensual'!F58+IF(parametros_manuales!$H$43="Todos",'Plan mensual'!F62,0))+parametros_manuales!$F$43*('Plan mensual'!F59+IF(parametros_manuales!$H$43="Todos",'Plan mensual'!F63,0))+parametros_manuales!$G$43*('Plan mensual'!F60+IF(parametros_manuales!$H$43="Todos",'Plan mensual'!F64,0)))*parametros_manuales!$I$43*parametros_manuales!$J$43</f>
        <v>2851.207163065</v>
      </c>
      <c r="E166" s="14" t="n">
        <f aca="false">(parametros_manuales!$D$43*('Plan mensual'!G57+IF(parametros_manuales!$H$43="Todos",'Plan mensual'!G61,0))+parametros_manuales!$E$43*('Plan mensual'!G58+IF(parametros_manuales!$H$43="Todos",'Plan mensual'!G62,0))+parametros_manuales!$F$43*('Plan mensual'!G59+IF(parametros_manuales!$H$43="Todos",'Plan mensual'!G63,0))+parametros_manuales!$G$43*('Plan mensual'!G60+IF(parametros_manuales!$H$43="Todos",'Plan mensual'!G64,0)))*parametros_manuales!$I$43*parametros_manuales!$J$43</f>
        <v>2773.105897715</v>
      </c>
      <c r="F166" s="14" t="n">
        <f aca="false">(parametros_manuales!$D$43*('Plan mensual'!H57+IF(parametros_manuales!$H$43="Todos",'Plan mensual'!H61,0))+parametros_manuales!$E$43*('Plan mensual'!H58+IF(parametros_manuales!$H$43="Todos",'Plan mensual'!H62,0))+parametros_manuales!$F$43*('Plan mensual'!H59+IF(parametros_manuales!$H$43="Todos",'Plan mensual'!H63,0))+parametros_manuales!$G$43*('Plan mensual'!H60+IF(parametros_manuales!$H$43="Todos",'Plan mensual'!H64,0)))*parametros_manuales!$I$43*parametros_manuales!$J$43</f>
        <v>2600.79363722</v>
      </c>
      <c r="G166" s="14" t="n">
        <f aca="false">(parametros_manuales!$D$43*('Plan mensual'!I57+IF(parametros_manuales!$H$43="Todos",'Plan mensual'!I61,0))+parametros_manuales!$E$43*('Plan mensual'!I58+IF(parametros_manuales!$H$43="Todos",'Plan mensual'!I62,0))+parametros_manuales!$F$43*('Plan mensual'!I59+IF(parametros_manuales!$H$43="Todos",'Plan mensual'!I63,0))+parametros_manuales!$G$43*('Plan mensual'!I60+IF(parametros_manuales!$H$43="Todos",'Plan mensual'!I64,0)))*parametros_manuales!$I$43*parametros_manuales!$J$43</f>
        <v>2506.582642075</v>
      </c>
      <c r="H166" s="14" t="n">
        <f aca="false">(parametros_manuales!$D$43*('Plan mensual'!J57+IF(parametros_manuales!$H$43="Todos",'Plan mensual'!J61,0))+parametros_manuales!$E$43*('Plan mensual'!J58+IF(parametros_manuales!$H$43="Todos",'Plan mensual'!J62,0))+parametros_manuales!$F$43*('Plan mensual'!J59+IF(parametros_manuales!$H$43="Todos",'Plan mensual'!J63,0))+parametros_manuales!$G$43*('Plan mensual'!J60+IF(parametros_manuales!$H$43="Todos",'Plan mensual'!J64,0)))*parametros_manuales!$I$43*parametros_manuales!$J$43</f>
        <v>2678.89490257</v>
      </c>
      <c r="I166" s="14" t="n">
        <f aca="false">(parametros_manuales!$D$43*('Plan mensual'!K57+IF(parametros_manuales!$H$43="Todos",'Plan mensual'!K61,0))+parametros_manuales!$E$43*('Plan mensual'!K58+IF(parametros_manuales!$H$43="Todos",'Plan mensual'!K62,0))+parametros_manuales!$F$43*('Plan mensual'!K59+IF(parametros_manuales!$H$43="Todos",'Plan mensual'!K63,0))+parametros_manuales!$G$43*('Plan mensual'!K60+IF(parametros_manuales!$H$43="Todos",'Plan mensual'!K64,0)))*parametros_manuales!$I$43*parametros_manuales!$J$43</f>
        <v>2678.89490257</v>
      </c>
      <c r="J166" s="14" t="n">
        <f aca="false">(parametros_manuales!$D$43*('Plan mensual'!L57+IF(parametros_manuales!$H$43="Todos",'Plan mensual'!L61,0))+parametros_manuales!$E$43*('Plan mensual'!L58+IF(parametros_manuales!$H$43="Todos",'Plan mensual'!L62,0))+parametros_manuales!$F$43*('Plan mensual'!L59+IF(parametros_manuales!$H$43="Todos",'Plan mensual'!L63,0))+parametros_manuales!$G$43*('Plan mensual'!L60+IF(parametros_manuales!$H$43="Todos",'Plan mensual'!L64,0)))*parametros_manuales!$I$43*parametros_manuales!$J$43</f>
        <v>2678.89490257</v>
      </c>
      <c r="K166" s="14" t="n">
        <f aca="false">(parametros_manuales!$D$43*('Plan mensual'!M57+IF(parametros_manuales!$H$43="Todos",'Plan mensual'!M61,0))+parametros_manuales!$E$43*('Plan mensual'!M58+IF(parametros_manuales!$H$43="Todos",'Plan mensual'!M62,0))+parametros_manuales!$F$43*('Plan mensual'!M59+IF(parametros_manuales!$H$43="Todos",'Plan mensual'!M63,0))+parametros_manuales!$G$43*('Plan mensual'!M60+IF(parametros_manuales!$H$43="Todos",'Plan mensual'!M64,0)))*parametros_manuales!$I$43*parametros_manuales!$J$43</f>
        <v>2584.683907425</v>
      </c>
      <c r="L166" s="14" t="n">
        <f aca="false">(parametros_manuales!$D$43*('Plan mensual'!N57+IF(parametros_manuales!$H$43="Todos",'Plan mensual'!N61,0))+parametros_manuales!$E$43*('Plan mensual'!N58+IF(parametros_manuales!$H$43="Todos",'Plan mensual'!N62,0))+parametros_manuales!$F$43*('Plan mensual'!N59+IF(parametros_manuales!$H$43="Todos",'Plan mensual'!N63,0))+parametros_manuales!$G$43*('Plan mensual'!N60+IF(parametros_manuales!$H$43="Todos",'Plan mensual'!N64,0)))*parametros_manuales!$I$43*parametros_manuales!$J$43</f>
        <v>2490.47291228</v>
      </c>
      <c r="M166" s="14" t="n">
        <f aca="false">(parametros_manuales!$D$43*('Plan mensual'!O57+IF(parametros_manuales!$H$43="Todos",'Plan mensual'!O61,0))+parametros_manuales!$E$43*('Plan mensual'!O58+IF(parametros_manuales!$H$43="Todos",'Plan mensual'!O62,0))+parametros_manuales!$F$43*('Plan mensual'!O59+IF(parametros_manuales!$H$43="Todos",'Plan mensual'!O63,0))+parametros_manuales!$G$43*('Plan mensual'!O60+IF(parametros_manuales!$H$43="Todos",'Plan mensual'!O64,0)))*parametros_manuales!$I$43*parametros_manuales!$J$43</f>
        <v>3947.07226159</v>
      </c>
      <c r="N166" s="14" t="n">
        <f aca="false">SUM(B166:M166)</f>
        <v>34462.452099</v>
      </c>
      <c r="O166" s="14" t="n">
        <f aca="false">MAX(B166:M166)</f>
        <v>3947.07226159</v>
      </c>
      <c r="P166" s="57" t="n">
        <f aca="false">O166/(parametros_manuales!$B$7)</f>
        <v>26.3138150772667</v>
      </c>
      <c r="Q166" s="13" t="str">
        <f aca="false">IF(O166=0,"-",INDEX($B$141:$M$141,MATCH(O166,B166:M166,0)))</f>
        <v>Dic</v>
      </c>
    </row>
    <row r="167" customFormat="false" ht="14.25" hidden="false" customHeight="true" outlineLevel="0" collapsed="false">
      <c r="A167" s="13" t="str">
        <f aca="false">parametros_manuales!$B$44</f>
        <v>Embalaje y paletizado</v>
      </c>
      <c r="B167" s="14" t="n">
        <f aca="false">(parametros_manuales!$D$44*('Plan mensual'!D57+IF(parametros_manuales!$H$44="Todos",'Plan mensual'!D61,0))+parametros_manuales!$E$44*('Plan mensual'!D58+IF(parametros_manuales!$H$44="Todos",'Plan mensual'!D62,0))+parametros_manuales!$F$44*('Plan mensual'!D59+IF(parametros_manuales!$H$44="Todos",'Plan mensual'!D63,0))+parametros_manuales!$G$44*('Plan mensual'!D60+IF(parametros_manuales!$H$44="Todos",'Plan mensual'!D64,0)))*parametros_manuales!$I$44*parametros_manuales!$J$44</f>
        <v>14129.7342713</v>
      </c>
      <c r="C167" s="14" t="n">
        <f aca="false">(parametros_manuales!$D$44*('Plan mensual'!E57+IF(parametros_manuales!$H$44="Todos",'Plan mensual'!E61,0))+parametros_manuales!$E$44*('Plan mensual'!E58+IF(parametros_manuales!$H$44="Todos",'Plan mensual'!E62,0))+parametros_manuales!$F$44*('Plan mensual'!E59+IF(parametros_manuales!$H$44="Todos",'Plan mensual'!E63,0))+parametros_manuales!$G$44*('Plan mensual'!E60+IF(parametros_manuales!$H$44="Todos",'Plan mensual'!E64,0)))*parametros_manuales!$I$44*parametros_manuales!$J$44</f>
        <v>10779.98469862</v>
      </c>
      <c r="D167" s="14" t="n">
        <f aca="false">(parametros_manuales!$D$44*('Plan mensual'!F57+IF(parametros_manuales!$H$44="Todos",'Plan mensual'!F61,0))+parametros_manuales!$E$44*('Plan mensual'!F58+IF(parametros_manuales!$H$44="Todos",'Plan mensual'!F62,0))+parametros_manuales!$F$44*('Plan mensual'!F59+IF(parametros_manuales!$H$44="Todos",'Plan mensual'!F63,0))+parametros_manuales!$G$44*('Plan mensual'!F60+IF(parametros_manuales!$H$44="Todos",'Plan mensual'!F64,0)))*parametros_manuales!$I$44*parametros_manuales!$J$44</f>
        <v>10089.664163065</v>
      </c>
      <c r="E167" s="14" t="n">
        <f aca="false">(parametros_manuales!$D$44*('Plan mensual'!G57+IF(parametros_manuales!$H$44="Todos",'Plan mensual'!G61,0))+parametros_manuales!$E$44*('Plan mensual'!G58+IF(parametros_manuales!$H$44="Todos",'Plan mensual'!G62,0))+parametros_manuales!$F$44*('Plan mensual'!G59+IF(parametros_manuales!$H$44="Todos",'Plan mensual'!G63,0))+parametros_manuales!$G$44*('Plan mensual'!G60+IF(parametros_manuales!$H$44="Todos",'Plan mensual'!G64,0)))*parametros_manuales!$I$44*parametros_manuales!$J$44</f>
        <v>9653.161897715</v>
      </c>
      <c r="F167" s="14" t="n">
        <f aca="false">(parametros_manuales!$D$44*('Plan mensual'!H57+IF(parametros_manuales!$H$44="Todos",'Plan mensual'!H61,0))+parametros_manuales!$E$44*('Plan mensual'!H58+IF(parametros_manuales!$H$44="Todos",'Plan mensual'!H62,0))+parametros_manuales!$F$44*('Plan mensual'!H59+IF(parametros_manuales!$H$44="Todos",'Plan mensual'!H63,0))+parametros_manuales!$G$44*('Plan mensual'!H60+IF(parametros_manuales!$H$44="Todos",'Plan mensual'!H64,0)))*parametros_manuales!$I$44*parametros_manuales!$J$44</f>
        <v>9033.97563722</v>
      </c>
      <c r="G167" s="14" t="n">
        <f aca="false">(parametros_manuales!$D$44*('Plan mensual'!I57+IF(parametros_manuales!$H$44="Todos",'Plan mensual'!I61,0))+parametros_manuales!$E$44*('Plan mensual'!I58+IF(parametros_manuales!$H$44="Todos",'Plan mensual'!I62,0))+parametros_manuales!$F$44*('Plan mensual'!I59+IF(parametros_manuales!$H$44="Todos",'Plan mensual'!I63,0))+parametros_manuales!$G$44*('Plan mensual'!I60+IF(parametros_manuales!$H$44="Todos",'Plan mensual'!I64,0)))*parametros_manuales!$I$44*parametros_manuales!$J$44</f>
        <v>8851.291642075</v>
      </c>
      <c r="H167" s="14" t="n">
        <f aca="false">(parametros_manuales!$D$44*('Plan mensual'!J57+IF(parametros_manuales!$H$44="Todos",'Plan mensual'!J61,0))+parametros_manuales!$E$44*('Plan mensual'!J58+IF(parametros_manuales!$H$44="Todos",'Plan mensual'!J62,0))+parametros_manuales!$F$44*('Plan mensual'!J59+IF(parametros_manuales!$H$44="Todos",'Plan mensual'!J63,0))+parametros_manuales!$G$44*('Plan mensual'!J60+IF(parametros_manuales!$H$44="Todos",'Plan mensual'!J64,0)))*parametros_manuales!$I$44*parametros_manuales!$J$44</f>
        <v>9470.47790257</v>
      </c>
      <c r="I167" s="14" t="n">
        <f aca="false">(parametros_manuales!$D$44*('Plan mensual'!K57+IF(parametros_manuales!$H$44="Todos",'Plan mensual'!K61,0))+parametros_manuales!$E$44*('Plan mensual'!K58+IF(parametros_manuales!$H$44="Todos",'Plan mensual'!K62,0))+parametros_manuales!$F$44*('Plan mensual'!K59+IF(parametros_manuales!$H$44="Todos",'Plan mensual'!K63,0))+parametros_manuales!$G$44*('Plan mensual'!K60+IF(parametros_manuales!$H$44="Todos",'Plan mensual'!K64,0)))*parametros_manuales!$I$44*parametros_manuales!$J$44</f>
        <v>9470.47790257</v>
      </c>
      <c r="J167" s="14" t="n">
        <f aca="false">(parametros_manuales!$D$44*('Plan mensual'!L57+IF(parametros_manuales!$H$44="Todos",'Plan mensual'!L61,0))+parametros_manuales!$E$44*('Plan mensual'!L58+IF(parametros_manuales!$H$44="Todos",'Plan mensual'!L62,0))+parametros_manuales!$F$44*('Plan mensual'!L59+IF(parametros_manuales!$H$44="Todos",'Plan mensual'!L63,0))+parametros_manuales!$G$44*('Plan mensual'!L60+IF(parametros_manuales!$H$44="Todos",'Plan mensual'!L64,0)))*parametros_manuales!$I$44*parametros_manuales!$J$44</f>
        <v>9470.47790257</v>
      </c>
      <c r="K167" s="14" t="n">
        <f aca="false">(parametros_manuales!$D$44*('Plan mensual'!M57+IF(parametros_manuales!$H$44="Todos",'Plan mensual'!M61,0))+parametros_manuales!$E$44*('Plan mensual'!M58+IF(parametros_manuales!$H$44="Todos",'Plan mensual'!M62,0))+parametros_manuales!$F$44*('Plan mensual'!M59+IF(parametros_manuales!$H$44="Todos",'Plan mensual'!M63,0))+parametros_manuales!$G$44*('Plan mensual'!M60+IF(parametros_manuales!$H$44="Todos",'Plan mensual'!M64,0)))*parametros_manuales!$I$44*parametros_manuales!$J$44</f>
        <v>9287.793907425</v>
      </c>
      <c r="L167" s="14" t="n">
        <f aca="false">(parametros_manuales!$D$44*('Plan mensual'!N57+IF(parametros_manuales!$H$44="Todos",'Plan mensual'!N61,0))+parametros_manuales!$E$44*('Plan mensual'!N58+IF(parametros_manuales!$H$44="Todos",'Plan mensual'!N62,0))+parametros_manuales!$F$44*('Plan mensual'!N59+IF(parametros_manuales!$H$44="Todos",'Plan mensual'!N63,0))+parametros_manuales!$G$44*('Plan mensual'!N60+IF(parametros_manuales!$H$44="Todos",'Plan mensual'!N64,0)))*parametros_manuales!$I$44*parametros_manuales!$J$44</f>
        <v>9105.10991228</v>
      </c>
      <c r="M167" s="14" t="n">
        <f aca="false">(parametros_manuales!$D$44*('Plan mensual'!O57+IF(parametros_manuales!$H$44="Todos",'Plan mensual'!O61,0))+parametros_manuales!$E$44*('Plan mensual'!O58+IF(parametros_manuales!$H$44="Todos",'Plan mensual'!O62,0))+parametros_manuales!$F$44*('Plan mensual'!O59+IF(parametros_manuales!$H$44="Todos",'Plan mensual'!O63,0))+parametros_manuales!$G$44*('Plan mensual'!O60+IF(parametros_manuales!$H$44="Todos",'Plan mensual'!O64,0)))*parametros_manuales!$I$44*parametros_manuales!$J$44</f>
        <v>14495.10226159</v>
      </c>
      <c r="N167" s="14" t="n">
        <f aca="false">SUM(B167:M167)</f>
        <v>123837.252099</v>
      </c>
      <c r="O167" s="14" t="n">
        <f aca="false">MAX(B167:M167)</f>
        <v>14495.10226159</v>
      </c>
      <c r="P167" s="57" t="n">
        <f aca="false">O167/(parametros_manuales!$B$7)</f>
        <v>96.6340150772667</v>
      </c>
      <c r="Q167" s="13" t="str">
        <f aca="false">IF(O167=0,"-",INDEX($B$141:$M$141,MATCH(O167,B167:M167,0)))</f>
        <v>Dic</v>
      </c>
    </row>
    <row r="168" customFormat="false" ht="14.25" hidden="false" customHeight="true" outlineLevel="0" collapsed="false"/>
    <row r="169" customFormat="false" ht="14.25" hidden="false" customHeight="true" outlineLevel="0" collapsed="false">
      <c r="A169" s="12" t="s">
        <v>274</v>
      </c>
      <c r="B169" s="12" t="s">
        <v>37</v>
      </c>
      <c r="C169" s="12" t="s">
        <v>38</v>
      </c>
      <c r="D169" s="12" t="s">
        <v>39</v>
      </c>
      <c r="E169" s="12" t="s">
        <v>40</v>
      </c>
      <c r="F169" s="12" t="s">
        <v>41</v>
      </c>
      <c r="G169" s="12" t="s">
        <v>42</v>
      </c>
      <c r="H169" s="12" t="s">
        <v>43</v>
      </c>
      <c r="I169" s="12" t="s">
        <v>44</v>
      </c>
      <c r="J169" s="12" t="s">
        <v>45</v>
      </c>
      <c r="K169" s="12" t="s">
        <v>46</v>
      </c>
      <c r="L169" s="12" t="s">
        <v>47</v>
      </c>
      <c r="M169" s="12" t="s">
        <v>48</v>
      </c>
      <c r="N169" s="12" t="s">
        <v>261</v>
      </c>
      <c r="O169" s="12" t="s">
        <v>266</v>
      </c>
      <c r="P169" s="12" t="s">
        <v>267</v>
      </c>
      <c r="Q169" s="12" t="s">
        <v>268</v>
      </c>
    </row>
    <row r="170" customFormat="false" ht="14.25" hidden="false" customHeight="true" outlineLevel="0" collapsed="false">
      <c r="A170" s="13" t="str">
        <f aca="false">parametros_manuales!$B$19</f>
        <v>Recepción de materia prima</v>
      </c>
      <c r="B170" s="14" t="n">
        <f aca="false">(parametros_manuales!$D$19*('Plan mensual'!D68+IF(parametros_manuales!$H$19="Todos",'Plan mensual'!D72,0))+parametros_manuales!$E$19*('Plan mensual'!D69+IF(parametros_manuales!$H$19="Todos",'Plan mensual'!D73,0))+parametros_manuales!$F$19*('Plan mensual'!D70+IF(parametros_manuales!$H$19="Todos",'Plan mensual'!D74,0))+parametros_manuales!$G$19*('Plan mensual'!D71+IF(parametros_manuales!$H$19="Todos",'Plan mensual'!D75,0)))*parametros_manuales!$I$19*parametros_manuales!$J$19</f>
        <v>19511.4099821</v>
      </c>
      <c r="C170" s="14" t="n">
        <f aca="false">(parametros_manuales!$D$19*('Plan mensual'!E68+IF(parametros_manuales!$H$19="Todos",'Plan mensual'!E72,0))+parametros_manuales!$E$19*('Plan mensual'!E69+IF(parametros_manuales!$H$19="Todos",'Plan mensual'!E73,0))+parametros_manuales!$F$19*('Plan mensual'!E70+IF(parametros_manuales!$H$19="Todos",'Plan mensual'!E74,0))+parametros_manuales!$G$19*('Plan mensual'!E71+IF(parametros_manuales!$H$19="Todos",'Plan mensual'!E75,0)))*parametros_manuales!$I$19*parametros_manuales!$J$19</f>
        <v>14879.08906612</v>
      </c>
      <c r="D170" s="14" t="n">
        <f aca="false">(parametros_manuales!$D$19*('Plan mensual'!F68+IF(parametros_manuales!$H$19="Todos",'Plan mensual'!F72,0))+parametros_manuales!$E$19*('Plan mensual'!F69+IF(parametros_manuales!$H$19="Todos",'Plan mensual'!F73,0))+parametros_manuales!$F$19*('Plan mensual'!F70+IF(parametros_manuales!$H$19="Todos",'Plan mensual'!F74,0))+parametros_manuales!$G$19*('Plan mensual'!F71+IF(parametros_manuales!$H$19="Todos",'Plan mensual'!F75,0)))*parametros_manuales!$I$19*parametros_manuales!$J$19</f>
        <v>13907.889113065</v>
      </c>
      <c r="E170" s="14" t="n">
        <f aca="false">(parametros_manuales!$D$19*('Plan mensual'!G68+IF(parametros_manuales!$H$19="Todos",'Plan mensual'!G72,0))+parametros_manuales!$E$19*('Plan mensual'!G69+IF(parametros_manuales!$H$19="Todos",'Plan mensual'!G73,0))+parametros_manuales!$F$19*('Plan mensual'!G70+IF(parametros_manuales!$H$19="Todos",'Plan mensual'!G74,0))+parametros_manuales!$G$19*('Plan mensual'!G71+IF(parametros_manuales!$H$19="Todos",'Plan mensual'!G75,0)))*parametros_manuales!$I$19*parametros_manuales!$J$19</f>
        <v>13299.523346765</v>
      </c>
      <c r="F170" s="14" t="n">
        <f aca="false">(parametros_manuales!$D$19*('Plan mensual'!H68+IF(parametros_manuales!$H$19="Todos",'Plan mensual'!H72,0))+parametros_manuales!$E$19*('Plan mensual'!H69+IF(parametros_manuales!$H$19="Todos",'Plan mensual'!H73,0))+parametros_manuales!$F$19*('Plan mensual'!H70+IF(parametros_manuales!$H$19="Todos",'Plan mensual'!H74,0))+parametros_manuales!$G$19*('Plan mensual'!H71+IF(parametros_manuales!$H$19="Todos",'Plan mensual'!H75,0)))*parametros_manuales!$I$19*parametros_manuales!$J$19</f>
        <v>12445.62600092</v>
      </c>
      <c r="G170" s="14" t="n">
        <f aca="false">(parametros_manuales!$D$19*('Plan mensual'!I68+IF(parametros_manuales!$H$19="Todos",'Plan mensual'!I72,0))+parametros_manuales!$E$19*('Plan mensual'!I69+IF(parametros_manuales!$H$19="Todos",'Plan mensual'!I73,0))+parametros_manuales!$F$19*('Plan mensual'!I70+IF(parametros_manuales!$H$19="Todos",'Plan mensual'!I74,0))+parametros_manuales!$G$19*('Plan mensual'!I71+IF(parametros_manuales!$H$19="Todos",'Plan mensual'!I75,0)))*parametros_manuales!$I$19*parametros_manuales!$J$19</f>
        <v>12200.094421375</v>
      </c>
      <c r="H170" s="14" t="n">
        <f aca="false">(parametros_manuales!$D$19*('Plan mensual'!J68+IF(parametros_manuales!$H$19="Todos",'Plan mensual'!J72,0))+parametros_manuales!$E$19*('Plan mensual'!J69+IF(parametros_manuales!$H$19="Todos",'Plan mensual'!J73,0))+parametros_manuales!$F$19*('Plan mensual'!J70+IF(parametros_manuales!$H$19="Todos",'Plan mensual'!J74,0))+parametros_manuales!$G$19*('Plan mensual'!J71+IF(parametros_manuales!$H$19="Todos",'Plan mensual'!J75,0)))*parametros_manuales!$I$19*parametros_manuales!$J$19</f>
        <v>13053.99176722</v>
      </c>
      <c r="I170" s="14" t="n">
        <f aca="false">(parametros_manuales!$D$19*('Plan mensual'!K68+IF(parametros_manuales!$H$19="Todos",'Plan mensual'!K72,0))+parametros_manuales!$E$19*('Plan mensual'!K69+IF(parametros_manuales!$H$19="Todos",'Plan mensual'!K73,0))+parametros_manuales!$F$19*('Plan mensual'!K70+IF(parametros_manuales!$H$19="Todos",'Plan mensual'!K74,0))+parametros_manuales!$G$19*('Plan mensual'!K71+IF(parametros_manuales!$H$19="Todos",'Plan mensual'!K75,0)))*parametros_manuales!$I$19*parametros_manuales!$J$19</f>
        <v>13053.99176722</v>
      </c>
      <c r="J170" s="14" t="n">
        <f aca="false">(parametros_manuales!$D$19*('Plan mensual'!L68+IF(parametros_manuales!$H$19="Todos",'Plan mensual'!L72,0))+parametros_manuales!$E$19*('Plan mensual'!L69+IF(parametros_manuales!$H$19="Todos",'Plan mensual'!L73,0))+parametros_manuales!$F$19*('Plan mensual'!L70+IF(parametros_manuales!$H$19="Todos",'Plan mensual'!L74,0))+parametros_manuales!$G$19*('Plan mensual'!L71+IF(parametros_manuales!$H$19="Todos",'Plan mensual'!L75,0)))*parametros_manuales!$I$19*parametros_manuales!$J$19</f>
        <v>13053.99176722</v>
      </c>
      <c r="K170" s="14" t="n">
        <f aca="false">(parametros_manuales!$D$19*('Plan mensual'!M68+IF(parametros_manuales!$H$19="Todos",'Plan mensual'!M72,0))+parametros_manuales!$E$19*('Plan mensual'!M69+IF(parametros_manuales!$H$19="Todos",'Plan mensual'!M73,0))+parametros_manuales!$F$19*('Plan mensual'!M70+IF(parametros_manuales!$H$19="Todos",'Plan mensual'!M74,0))+parametros_manuales!$G$19*('Plan mensual'!M71+IF(parametros_manuales!$H$19="Todos",'Plan mensual'!M75,0)))*parametros_manuales!$I$19*parametros_manuales!$J$19</f>
        <v>12808.460187675</v>
      </c>
      <c r="L170" s="14" t="n">
        <f aca="false">(parametros_manuales!$D$19*('Plan mensual'!N68+IF(parametros_manuales!$H$19="Todos",'Plan mensual'!N72,0))+parametros_manuales!$E$19*('Plan mensual'!N69+IF(parametros_manuales!$H$19="Todos",'Plan mensual'!N73,0))+parametros_manuales!$F$19*('Plan mensual'!N70+IF(parametros_manuales!$H$19="Todos",'Plan mensual'!N74,0))+parametros_manuales!$G$19*('Plan mensual'!N71+IF(parametros_manuales!$H$19="Todos",'Plan mensual'!N75,0)))*parametros_manuales!$I$19*parametros_manuales!$J$19</f>
        <v>12562.92860813</v>
      </c>
      <c r="M170" s="14" t="n">
        <f aca="false">(parametros_manuales!$D$19*('Plan mensual'!O68+IF(parametros_manuales!$H$19="Todos",'Plan mensual'!O72,0))+parametros_manuales!$E$19*('Plan mensual'!O69+IF(parametros_manuales!$H$19="Todos",'Plan mensual'!O73,0))+parametros_manuales!$F$19*('Plan mensual'!O70+IF(parametros_manuales!$H$19="Todos",'Plan mensual'!O74,0))+parametros_manuales!$G$19*('Plan mensual'!O71+IF(parametros_manuales!$H$19="Todos",'Plan mensual'!O75,0)))*parametros_manuales!$I$19*parametros_manuales!$J$19</f>
        <v>20002.47314119</v>
      </c>
      <c r="N170" s="14" t="n">
        <f aca="false">SUM(B170:M170)</f>
        <v>170779.469169</v>
      </c>
      <c r="O170" s="14" t="n">
        <f aca="false">MAX(B170:M170)</f>
        <v>20002.47314119</v>
      </c>
      <c r="P170" s="57" t="n">
        <f aca="false">O170/(parametros_manuales!$B$7)</f>
        <v>133.349820941267</v>
      </c>
      <c r="Q170" s="13" t="str">
        <f aca="false">IF(O170=0,"-",INDEX($B$169:$M$169,MATCH(O170,B170:M170,0)))</f>
        <v>Dic</v>
      </c>
    </row>
    <row r="171" customFormat="false" ht="14.25" hidden="false" customHeight="true" outlineLevel="0" collapsed="false">
      <c r="A171" s="13" t="str">
        <f aca="false">parametros_manuales!$B$20</f>
        <v>Corte de chapa — 1.er corte en franjas (guillotina 1, manuales + carros)</v>
      </c>
      <c r="B171" s="14" t="n">
        <f aca="false">(parametros_manuales!$D$20*('Plan mensual'!D68+IF(parametros_manuales!$H$20="Todos",'Plan mensual'!D72,0))+parametros_manuales!$E$20*('Plan mensual'!D69+IF(parametros_manuales!$H$20="Todos",'Plan mensual'!D73,0))+parametros_manuales!$F$20*('Plan mensual'!D70+IF(parametros_manuales!$H$20="Todos",'Plan mensual'!D74,0))+parametros_manuales!$G$20*('Plan mensual'!D71+IF(parametros_manuales!$H$20="Todos",'Plan mensual'!D75,0)))*parametros_manuales!$I$20*parametros_manuales!$J$20+parametros_manuales!$B$154</f>
        <v>20669.6458699537</v>
      </c>
      <c r="C171" s="14" t="n">
        <f aca="false">(parametros_manuales!$D$20*('Plan mensual'!E68+IF(parametros_manuales!$H$20="Todos",'Plan mensual'!E72,0))+parametros_manuales!$E$20*('Plan mensual'!E69+IF(parametros_manuales!$H$20="Todos",'Plan mensual'!E73,0))+parametros_manuales!$F$20*('Plan mensual'!E70+IF(parametros_manuales!$H$20="Todos",'Plan mensual'!E74,0))+parametros_manuales!$G$20*('Plan mensual'!E71+IF(parametros_manuales!$H$20="Todos",'Plan mensual'!E75,0)))*parametros_manuales!$I$20*parametros_manuales!$J$20+parametros_manuales!$C$154</f>
        <v>15901.0619083438</v>
      </c>
      <c r="D171" s="14" t="n">
        <f aca="false">(parametros_manuales!$D$20*('Plan mensual'!F68+IF(parametros_manuales!$H$20="Todos",'Plan mensual'!F72,0))+parametros_manuales!$E$20*('Plan mensual'!F69+IF(parametros_manuales!$H$20="Todos",'Plan mensual'!F73,0))+parametros_manuales!$F$20*('Plan mensual'!F70+IF(parametros_manuales!$H$20="Todos",'Plan mensual'!F74,0))+parametros_manuales!$G$20*('Plan mensual'!F71+IF(parametros_manuales!$H$20="Todos",'Plan mensual'!F75,0)))*parametros_manuales!$I$20*parametros_manuales!$J$20+parametros_manuales!$D$154</f>
        <v>15134.2565237336</v>
      </c>
      <c r="E171" s="14" t="n">
        <f aca="false">(parametros_manuales!$D$20*('Plan mensual'!G68+IF(parametros_manuales!$H$20="Todos",'Plan mensual'!G72,0))+parametros_manuales!$E$20*('Plan mensual'!G69+IF(parametros_manuales!$H$20="Todos",'Plan mensual'!G73,0))+parametros_manuales!$F$20*('Plan mensual'!G70+IF(parametros_manuales!$H$20="Todos",'Plan mensual'!G74,0))+parametros_manuales!$G$20*('Plan mensual'!G71+IF(parametros_manuales!$H$20="Todos",'Plan mensual'!G75,0)))*parametros_manuales!$I$20*parametros_manuales!$J$20+parametros_manuales!$E$154</f>
        <v>14525.8907574336</v>
      </c>
      <c r="F171" s="14" t="n">
        <f aca="false">(parametros_manuales!$D$20*('Plan mensual'!H68+IF(parametros_manuales!$H$20="Todos",'Plan mensual'!H72,0))+parametros_manuales!$E$20*('Plan mensual'!H69+IF(parametros_manuales!$H$20="Todos",'Plan mensual'!H73,0))+parametros_manuales!$F$20*('Plan mensual'!H70+IF(parametros_manuales!$H$20="Todos",'Plan mensual'!H74,0))+parametros_manuales!$G$20*('Plan mensual'!H71+IF(parametros_manuales!$H$20="Todos",'Plan mensual'!H75,0)))*parametros_manuales!$I$20*parametros_manuales!$J$20+parametros_manuales!$F$154</f>
        <v>13671.9934115886</v>
      </c>
      <c r="G171" s="14" t="n">
        <f aca="false">(parametros_manuales!$D$20*('Plan mensual'!I68+IF(parametros_manuales!$H$20="Todos",'Plan mensual'!I72,0))+parametros_manuales!$E$20*('Plan mensual'!I69+IF(parametros_manuales!$H$20="Todos",'Plan mensual'!I73,0))+parametros_manuales!$F$20*('Plan mensual'!I70+IF(parametros_manuales!$H$20="Todos",'Plan mensual'!I74,0))+parametros_manuales!$G$20*('Plan mensual'!I71+IF(parametros_manuales!$H$20="Todos",'Plan mensual'!I75,0)))*parametros_manuales!$I$20*parametros_manuales!$J$20+parametros_manuales!$G$154</f>
        <v>13290.1987864137</v>
      </c>
      <c r="H171" s="14" t="n">
        <f aca="false">(parametros_manuales!$D$20*('Plan mensual'!J68+IF(parametros_manuales!$H$20="Todos",'Plan mensual'!J72,0))+parametros_manuales!$E$20*('Plan mensual'!J69+IF(parametros_manuales!$H$20="Todos",'Plan mensual'!J73,0))+parametros_manuales!$F$20*('Plan mensual'!J70+IF(parametros_manuales!$H$20="Todos",'Plan mensual'!J74,0))+parametros_manuales!$G$20*('Plan mensual'!J71+IF(parametros_manuales!$H$20="Todos",'Plan mensual'!J75,0)))*parametros_manuales!$I$20*parametros_manuales!$J$20+parametros_manuales!$H$154</f>
        <v>14280.3591778886</v>
      </c>
      <c r="I171" s="14" t="n">
        <f aca="false">(parametros_manuales!$D$20*('Plan mensual'!K68+IF(parametros_manuales!$H$20="Todos",'Plan mensual'!K72,0))+parametros_manuales!$E$20*('Plan mensual'!K69+IF(parametros_manuales!$H$20="Todos",'Plan mensual'!K73,0))+parametros_manuales!$F$20*('Plan mensual'!K70+IF(parametros_manuales!$H$20="Todos",'Plan mensual'!K74,0))+parametros_manuales!$G$20*('Plan mensual'!K71+IF(parametros_manuales!$H$20="Todos",'Plan mensual'!K75,0)))*parametros_manuales!$I$20*parametros_manuales!$J$20+parametros_manuales!$I$154</f>
        <v>14280.3591778886</v>
      </c>
      <c r="J171" s="14" t="n">
        <f aca="false">(parametros_manuales!$D$20*('Plan mensual'!L68+IF(parametros_manuales!$H$20="Todos",'Plan mensual'!L72,0))+parametros_manuales!$E$20*('Plan mensual'!L69+IF(parametros_manuales!$H$20="Todos",'Plan mensual'!L73,0))+parametros_manuales!$F$20*('Plan mensual'!L70+IF(parametros_manuales!$H$20="Todos",'Plan mensual'!L74,0))+parametros_manuales!$G$20*('Plan mensual'!L71+IF(parametros_manuales!$H$20="Todos",'Plan mensual'!L75,0)))*parametros_manuales!$I$20*parametros_manuales!$J$20+parametros_manuales!$J$154</f>
        <v>14212.2276550737</v>
      </c>
      <c r="K171" s="14" t="n">
        <f aca="false">(parametros_manuales!$D$20*('Plan mensual'!M68+IF(parametros_manuales!$H$20="Todos",'Plan mensual'!M72,0))+parametros_manuales!$E$20*('Plan mensual'!M69+IF(parametros_manuales!$H$20="Todos",'Plan mensual'!M73,0))+parametros_manuales!$F$20*('Plan mensual'!M70+IF(parametros_manuales!$H$20="Todos",'Plan mensual'!M74,0))+parametros_manuales!$G$20*('Plan mensual'!M71+IF(parametros_manuales!$H$20="Todos",'Plan mensual'!M75,0)))*parametros_manuales!$I$20*parametros_manuales!$J$20+parametros_manuales!$K$154</f>
        <v>13830.4330298988</v>
      </c>
      <c r="L171" s="14" t="n">
        <f aca="false">(parametros_manuales!$D$20*('Plan mensual'!N68+IF(parametros_manuales!$H$20="Todos",'Plan mensual'!N72,0))+parametros_manuales!$E$20*('Plan mensual'!N69+IF(parametros_manuales!$H$20="Todos",'Plan mensual'!N73,0))+parametros_manuales!$F$20*('Plan mensual'!N70+IF(parametros_manuales!$H$20="Todos",'Plan mensual'!N74,0))+parametros_manuales!$G$20*('Plan mensual'!N71+IF(parametros_manuales!$H$20="Todos",'Plan mensual'!N75,0)))*parametros_manuales!$I$20*parametros_manuales!$J$20+parametros_manuales!$L$154</f>
        <v>13516.7699275389</v>
      </c>
      <c r="M171" s="14" t="n">
        <f aca="false">(parametros_manuales!$D$20*('Plan mensual'!O68+IF(parametros_manuales!$H$20="Todos",'Plan mensual'!O72,0))+parametros_manuales!$E$20*('Plan mensual'!O69+IF(parametros_manuales!$H$20="Todos",'Plan mensual'!O73,0))+parametros_manuales!$F$20*('Plan mensual'!O70+IF(parametros_manuales!$H$20="Todos",'Plan mensual'!O74,0))+parametros_manuales!$G$20*('Plan mensual'!O71+IF(parametros_manuales!$H$20="Todos",'Plan mensual'!O75,0)))*parametros_manuales!$I$20*parametros_manuales!$J$20+parametros_manuales!$M$154</f>
        <v>21092.5775062287</v>
      </c>
      <c r="N171" s="14" t="n">
        <f aca="false">SUM(B171:M171)</f>
        <v>184405.773731984</v>
      </c>
      <c r="O171" s="14" t="n">
        <f aca="false">MAX(B171:M171)</f>
        <v>21092.5775062287</v>
      </c>
      <c r="P171" s="57" t="n">
        <f aca="false">O171/(parametros_manuales!$B$7)</f>
        <v>140.617183374858</v>
      </c>
      <c r="Q171" s="13" t="str">
        <f aca="false">IF(O171=0,"-",INDEX($B$169:$M$169,MATCH(O171,B171:M171,0)))</f>
        <v>Dic</v>
      </c>
    </row>
    <row r="172" customFormat="false" ht="14.25" hidden="false" customHeight="true" outlineLevel="0" collapsed="false">
      <c r="A172" s="13" t="str">
        <f aca="false">parametros_manuales!$B$21</f>
        <v>Corte de chapa — 2.º corte en piezas (guillotina 2, manuales + carros)</v>
      </c>
      <c r="B172" s="14" t="n">
        <f aca="false">(parametros_manuales!$D$21*('Plan mensual'!D68+IF(parametros_manuales!$H$21="Todos",'Plan mensual'!D72,0))+parametros_manuales!$E$21*('Plan mensual'!D69+IF(parametros_manuales!$H$21="Todos",'Plan mensual'!D73,0))+parametros_manuales!$F$21*('Plan mensual'!D70+IF(parametros_manuales!$H$21="Todos",'Plan mensual'!D74,0))+parametros_manuales!$G$21*('Plan mensual'!D71+IF(parametros_manuales!$H$21="Todos",'Plan mensual'!D75,0)))*parametros_manuales!$I$21*parametros_manuales!$J$21+parametros_manuales!$B$166</f>
        <v>21014.623106062</v>
      </c>
      <c r="C172" s="14" t="n">
        <f aca="false">(parametros_manuales!$D$21*('Plan mensual'!E68+IF(parametros_manuales!$H$21="Todos",'Plan mensual'!E72,0))+parametros_manuales!$E$21*('Plan mensual'!E69+IF(parametros_manuales!$H$21="Todos",'Plan mensual'!E73,0))+parametros_manuales!$F$21*('Plan mensual'!E70+IF(parametros_manuales!$H$21="Todos",'Plan mensual'!E74,0))+parametros_manuales!$G$21*('Plan mensual'!E71+IF(parametros_manuales!$H$21="Todos",'Plan mensual'!E75,0)))*parametros_manuales!$I$21*parametros_manuales!$J$21+parametros_manuales!$C$166</f>
        <v>16205.4535872629</v>
      </c>
      <c r="D172" s="14" t="n">
        <f aca="false">(parametros_manuales!$D$21*('Plan mensual'!F68+IF(parametros_manuales!$H$21="Todos",'Plan mensual'!F72,0))+parametros_manuales!$E$21*('Plan mensual'!F69+IF(parametros_manuales!$H$21="Todos",'Plan mensual'!F73,0))+parametros_manuales!$F$21*('Plan mensual'!F70+IF(parametros_manuales!$H$21="Todos",'Plan mensual'!F74,0))+parametros_manuales!$G$21*('Plan mensual'!F71+IF(parametros_manuales!$H$21="Todos",'Plan mensual'!F75,0)))*parametros_manuales!$I$21*parametros_manuales!$J$21+parametros_manuales!$D$166</f>
        <v>15499.5265384365</v>
      </c>
      <c r="E172" s="14" t="n">
        <f aca="false">(parametros_manuales!$D$21*('Plan mensual'!G68+IF(parametros_manuales!$H$21="Todos",'Plan mensual'!G72,0))+parametros_manuales!$E$21*('Plan mensual'!G69+IF(parametros_manuales!$H$21="Todos",'Plan mensual'!G73,0))+parametros_manuales!$F$21*('Plan mensual'!G70+IF(parametros_manuales!$H$21="Todos",'Plan mensual'!G74,0))+parametros_manuales!$G$21*('Plan mensual'!G71+IF(parametros_manuales!$H$21="Todos",'Plan mensual'!G75,0)))*parametros_manuales!$I$21*parametros_manuales!$J$21+parametros_manuales!$E$166</f>
        <v>14891.1607721365</v>
      </c>
      <c r="F172" s="14" t="n">
        <f aca="false">(parametros_manuales!$D$21*('Plan mensual'!H68+IF(parametros_manuales!$H$21="Todos",'Plan mensual'!H72,0))+parametros_manuales!$E$21*('Plan mensual'!H69+IF(parametros_manuales!$H$21="Todos",'Plan mensual'!H73,0))+parametros_manuales!$F$21*('Plan mensual'!H70+IF(parametros_manuales!$H$21="Todos",'Plan mensual'!H74,0))+parametros_manuales!$G$21*('Plan mensual'!H71+IF(parametros_manuales!$H$21="Todos",'Plan mensual'!H75,0)))*parametros_manuales!$I$21*parametros_manuales!$J$21+parametros_manuales!$F$166</f>
        <v>14037.2634262915</v>
      </c>
      <c r="G172" s="14" t="n">
        <f aca="false">(parametros_manuales!$D$21*('Plan mensual'!I68+IF(parametros_manuales!$H$21="Todos",'Plan mensual'!I72,0))+parametros_manuales!$E$21*('Plan mensual'!I69+IF(parametros_manuales!$H$21="Todos",'Plan mensual'!I73,0))+parametros_manuales!$F$21*('Plan mensual'!I70+IF(parametros_manuales!$H$21="Todos",'Plan mensual'!I74,0))+parametros_manuales!$G$21*('Plan mensual'!I71+IF(parametros_manuales!$H$21="Todos",'Plan mensual'!I75,0)))*parametros_manuales!$I$21*parametros_manuales!$J$21+parametros_manuales!$G$166</f>
        <v>13614.8832439274</v>
      </c>
      <c r="H172" s="14" t="n">
        <f aca="false">(parametros_manuales!$D$21*('Plan mensual'!J68+IF(parametros_manuales!$H$21="Todos",'Plan mensual'!J72,0))+parametros_manuales!$E$21*('Plan mensual'!J69+IF(parametros_manuales!$H$21="Todos",'Plan mensual'!J73,0))+parametros_manuales!$F$21*('Plan mensual'!J70+IF(parametros_manuales!$H$21="Todos",'Plan mensual'!J74,0))+parametros_manuales!$G$21*('Plan mensual'!J71+IF(parametros_manuales!$H$21="Todos",'Plan mensual'!J75,0)))*parametros_manuales!$I$21*parametros_manuales!$J$21+parametros_manuales!$H$166</f>
        <v>14645.6291925915</v>
      </c>
      <c r="I172" s="14" t="n">
        <f aca="false">(parametros_manuales!$D$21*('Plan mensual'!K68+IF(parametros_manuales!$H$21="Todos",'Plan mensual'!K72,0))+parametros_manuales!$E$21*('Plan mensual'!K69+IF(parametros_manuales!$H$21="Todos",'Plan mensual'!K73,0))+parametros_manuales!$F$21*('Plan mensual'!K70+IF(parametros_manuales!$H$21="Todos",'Plan mensual'!K74,0))+parametros_manuales!$G$21*('Plan mensual'!K71+IF(parametros_manuales!$H$21="Todos",'Plan mensual'!K75,0)))*parametros_manuales!$I$21*parametros_manuales!$J$21+parametros_manuales!$I$166</f>
        <v>14645.6291925915</v>
      </c>
      <c r="J172" s="14" t="n">
        <f aca="false">(parametros_manuales!$D$21*('Plan mensual'!L68+IF(parametros_manuales!$H$21="Todos",'Plan mensual'!L72,0))+parametros_manuales!$E$21*('Plan mensual'!L69+IF(parametros_manuales!$H$21="Todos",'Plan mensual'!L73,0))+parametros_manuales!$F$21*('Plan mensual'!L70+IF(parametros_manuales!$H$21="Todos",'Plan mensual'!L74,0))+parametros_manuales!$G$21*('Plan mensual'!L71+IF(parametros_manuales!$H$21="Todos",'Plan mensual'!L75,0)))*parametros_manuales!$I$21*parametros_manuales!$J$21+parametros_manuales!$J$166</f>
        <v>14557.204891182</v>
      </c>
      <c r="K172" s="14" t="n">
        <f aca="false">(parametros_manuales!$D$21*('Plan mensual'!M68+IF(parametros_manuales!$H$21="Todos",'Plan mensual'!M72,0))+parametros_manuales!$E$21*('Plan mensual'!M69+IF(parametros_manuales!$H$21="Todos",'Plan mensual'!M73,0))+parametros_manuales!$F$21*('Plan mensual'!M70+IF(parametros_manuales!$H$21="Todos",'Plan mensual'!M74,0))+parametros_manuales!$G$21*('Plan mensual'!M71+IF(parametros_manuales!$H$21="Todos",'Plan mensual'!M75,0)))*parametros_manuales!$I$21*parametros_manuales!$J$21+parametros_manuales!$K$166</f>
        <v>14134.8247088179</v>
      </c>
      <c r="L172" s="14" t="n">
        <f aca="false">(parametros_manuales!$D$21*('Plan mensual'!N68+IF(parametros_manuales!$H$21="Todos",'Plan mensual'!N72,0))+parametros_manuales!$E$21*('Plan mensual'!N69+IF(parametros_manuales!$H$21="Todos",'Plan mensual'!N73,0))+parametros_manuales!$F$21*('Plan mensual'!N70+IF(parametros_manuales!$H$21="Todos",'Plan mensual'!N74,0))+parametros_manuales!$G$21*('Plan mensual'!N71+IF(parametros_manuales!$H$21="Todos",'Plan mensual'!N75,0)))*parametros_manuales!$I$21*parametros_manuales!$J$21+parametros_manuales!$L$166</f>
        <v>13800.8688278634</v>
      </c>
      <c r="M172" s="14" t="n">
        <f aca="false">(parametros_manuales!$D$21*('Plan mensual'!O68+IF(parametros_manuales!$H$21="Todos",'Plan mensual'!O72,0))+parametros_manuales!$E$21*('Plan mensual'!O69+IF(parametros_manuales!$H$21="Todos",'Plan mensual'!O73,0))+parametros_manuales!$F$21*('Plan mensual'!O70+IF(parametros_manuales!$H$21="Todos",'Plan mensual'!O74,0))+parametros_manuales!$G$21*('Plan mensual'!O71+IF(parametros_manuales!$H$21="Todos",'Plan mensual'!O75,0)))*parametros_manuales!$I$21*parametros_manuales!$J$21+parametros_manuales!$M$166</f>
        <v>21417.2619637424</v>
      </c>
      <c r="N172" s="14" t="n">
        <f aca="false">SUM(B172:M172)</f>
        <v>188464.329450905</v>
      </c>
      <c r="O172" s="14" t="n">
        <f aca="false">MAX(B172:M172)</f>
        <v>21417.2619637424</v>
      </c>
      <c r="P172" s="57" t="n">
        <f aca="false">O172/(parametros_manuales!$B$7)</f>
        <v>142.78174642495</v>
      </c>
      <c r="Q172" s="13" t="str">
        <f aca="false">IF(O172=0,"-",INDEX($B$169:$M$169,MATCH(O172,B172:M172,0)))</f>
        <v>Dic</v>
      </c>
    </row>
    <row r="173" customFormat="false" ht="14.25" hidden="false" customHeight="true" outlineLevel="0" collapsed="false">
      <c r="A173" s="13" t="str">
        <f aca="false">parametros_manuales!$B$22</f>
        <v>Corte de disco y embutido (cúpula y fondo)</v>
      </c>
      <c r="B173" s="14" t="n">
        <f aca="false">(parametros_manuales!$D$22*('Plan mensual'!D68+IF(parametros_manuales!$H$22="Todos",'Plan mensual'!D72,0))+parametros_manuales!$E$22*('Plan mensual'!D69+IF(parametros_manuales!$H$22="Todos",'Plan mensual'!D73,0))+parametros_manuales!$F$22*('Plan mensual'!D70+IF(parametros_manuales!$H$22="Todos",'Plan mensual'!D74,0))+parametros_manuales!$G$22*('Plan mensual'!D71+IF(parametros_manuales!$H$22="Todos",'Plan mensual'!D75,0)))*parametros_manuales!$I$22*parametros_manuales!$J$22</f>
        <v>39022.8199642</v>
      </c>
      <c r="C173" s="14" t="n">
        <f aca="false">(parametros_manuales!$D$22*('Plan mensual'!E68+IF(parametros_manuales!$H$22="Todos",'Plan mensual'!E72,0))+parametros_manuales!$E$22*('Plan mensual'!E69+IF(parametros_manuales!$H$22="Todos",'Plan mensual'!E73,0))+parametros_manuales!$F$22*('Plan mensual'!E70+IF(parametros_manuales!$H$22="Todos",'Plan mensual'!E74,0))+parametros_manuales!$G$22*('Plan mensual'!E71+IF(parametros_manuales!$H$22="Todos",'Plan mensual'!E75,0)))*parametros_manuales!$I$22*parametros_manuales!$J$22</f>
        <v>29758.17813224</v>
      </c>
      <c r="D173" s="14" t="n">
        <f aca="false">(parametros_manuales!$D$22*('Plan mensual'!F68+IF(parametros_manuales!$H$22="Todos",'Plan mensual'!F72,0))+parametros_manuales!$E$22*('Plan mensual'!F69+IF(parametros_manuales!$H$22="Todos",'Plan mensual'!F73,0))+parametros_manuales!$F$22*('Plan mensual'!F70+IF(parametros_manuales!$H$22="Todos",'Plan mensual'!F74,0))+parametros_manuales!$G$22*('Plan mensual'!F71+IF(parametros_manuales!$H$22="Todos",'Plan mensual'!F75,0)))*parametros_manuales!$I$22*parametros_manuales!$J$22</f>
        <v>27815.77822613</v>
      </c>
      <c r="E173" s="14" t="n">
        <f aca="false">(parametros_manuales!$D$22*('Plan mensual'!G68+IF(parametros_manuales!$H$22="Todos",'Plan mensual'!G72,0))+parametros_manuales!$E$22*('Plan mensual'!G69+IF(parametros_manuales!$H$22="Todos",'Plan mensual'!G73,0))+parametros_manuales!$F$22*('Plan mensual'!G70+IF(parametros_manuales!$H$22="Todos",'Plan mensual'!G74,0))+parametros_manuales!$G$22*('Plan mensual'!G71+IF(parametros_manuales!$H$22="Todos",'Plan mensual'!G75,0)))*parametros_manuales!$I$22*parametros_manuales!$J$22</f>
        <v>26599.04669353</v>
      </c>
      <c r="F173" s="14" t="n">
        <f aca="false">(parametros_manuales!$D$22*('Plan mensual'!H68+IF(parametros_manuales!$H$22="Todos",'Plan mensual'!H72,0))+parametros_manuales!$E$22*('Plan mensual'!H69+IF(parametros_manuales!$H$22="Todos",'Plan mensual'!H73,0))+parametros_manuales!$F$22*('Plan mensual'!H70+IF(parametros_manuales!$H$22="Todos",'Plan mensual'!H74,0))+parametros_manuales!$G$22*('Plan mensual'!H71+IF(parametros_manuales!$H$22="Todos",'Plan mensual'!H75,0)))*parametros_manuales!$I$22*parametros_manuales!$J$22</f>
        <v>24891.25200184</v>
      </c>
      <c r="G173" s="14" t="n">
        <f aca="false">(parametros_manuales!$D$22*('Plan mensual'!I68+IF(parametros_manuales!$H$22="Todos",'Plan mensual'!I72,0))+parametros_manuales!$E$22*('Plan mensual'!I69+IF(parametros_manuales!$H$22="Todos",'Plan mensual'!I73,0))+parametros_manuales!$F$22*('Plan mensual'!I70+IF(parametros_manuales!$H$22="Todos",'Plan mensual'!I74,0))+parametros_manuales!$G$22*('Plan mensual'!I71+IF(parametros_manuales!$H$22="Todos",'Plan mensual'!I75,0)))*parametros_manuales!$I$22*parametros_manuales!$J$22</f>
        <v>24400.18884275</v>
      </c>
      <c r="H173" s="14" t="n">
        <f aca="false">(parametros_manuales!$D$22*('Plan mensual'!J68+IF(parametros_manuales!$H$22="Todos",'Plan mensual'!J72,0))+parametros_manuales!$E$22*('Plan mensual'!J69+IF(parametros_manuales!$H$22="Todos",'Plan mensual'!J73,0))+parametros_manuales!$F$22*('Plan mensual'!J70+IF(parametros_manuales!$H$22="Todos",'Plan mensual'!J74,0))+parametros_manuales!$G$22*('Plan mensual'!J71+IF(parametros_manuales!$H$22="Todos",'Plan mensual'!J75,0)))*parametros_manuales!$I$22*parametros_manuales!$J$22</f>
        <v>26107.98353444</v>
      </c>
      <c r="I173" s="14" t="n">
        <f aca="false">(parametros_manuales!$D$22*('Plan mensual'!K68+IF(parametros_manuales!$H$22="Todos",'Plan mensual'!K72,0))+parametros_manuales!$E$22*('Plan mensual'!K69+IF(parametros_manuales!$H$22="Todos",'Plan mensual'!K73,0))+parametros_manuales!$F$22*('Plan mensual'!K70+IF(parametros_manuales!$H$22="Todos",'Plan mensual'!K74,0))+parametros_manuales!$G$22*('Plan mensual'!K71+IF(parametros_manuales!$H$22="Todos",'Plan mensual'!K75,0)))*parametros_manuales!$I$22*parametros_manuales!$J$22</f>
        <v>26107.98353444</v>
      </c>
      <c r="J173" s="14" t="n">
        <f aca="false">(parametros_manuales!$D$22*('Plan mensual'!L68+IF(parametros_manuales!$H$22="Todos",'Plan mensual'!L72,0))+parametros_manuales!$E$22*('Plan mensual'!L69+IF(parametros_manuales!$H$22="Todos",'Plan mensual'!L73,0))+parametros_manuales!$F$22*('Plan mensual'!L70+IF(parametros_manuales!$H$22="Todos",'Plan mensual'!L74,0))+parametros_manuales!$G$22*('Plan mensual'!L71+IF(parametros_manuales!$H$22="Todos",'Plan mensual'!L75,0)))*parametros_manuales!$I$22*parametros_manuales!$J$22</f>
        <v>26107.98353444</v>
      </c>
      <c r="K173" s="14" t="n">
        <f aca="false">(parametros_manuales!$D$22*('Plan mensual'!M68+IF(parametros_manuales!$H$22="Todos",'Plan mensual'!M72,0))+parametros_manuales!$E$22*('Plan mensual'!M69+IF(parametros_manuales!$H$22="Todos",'Plan mensual'!M73,0))+parametros_manuales!$F$22*('Plan mensual'!M70+IF(parametros_manuales!$H$22="Todos",'Plan mensual'!M74,0))+parametros_manuales!$G$22*('Plan mensual'!M71+IF(parametros_manuales!$H$22="Todos",'Plan mensual'!M75,0)))*parametros_manuales!$I$22*parametros_manuales!$J$22</f>
        <v>25616.92037535</v>
      </c>
      <c r="L173" s="14" t="n">
        <f aca="false">(parametros_manuales!$D$22*('Plan mensual'!N68+IF(parametros_manuales!$H$22="Todos",'Plan mensual'!N72,0))+parametros_manuales!$E$22*('Plan mensual'!N69+IF(parametros_manuales!$H$22="Todos",'Plan mensual'!N73,0))+parametros_manuales!$F$22*('Plan mensual'!N70+IF(parametros_manuales!$H$22="Todos",'Plan mensual'!N74,0))+parametros_manuales!$G$22*('Plan mensual'!N71+IF(parametros_manuales!$H$22="Todos",'Plan mensual'!N75,0)))*parametros_manuales!$I$22*parametros_manuales!$J$22</f>
        <v>25125.85721626</v>
      </c>
      <c r="M173" s="14" t="n">
        <f aca="false">(parametros_manuales!$D$22*('Plan mensual'!O68+IF(parametros_manuales!$H$22="Todos",'Plan mensual'!O72,0))+parametros_manuales!$E$22*('Plan mensual'!O69+IF(parametros_manuales!$H$22="Todos",'Plan mensual'!O73,0))+parametros_manuales!$F$22*('Plan mensual'!O70+IF(parametros_manuales!$H$22="Todos",'Plan mensual'!O74,0))+parametros_manuales!$G$22*('Plan mensual'!O71+IF(parametros_manuales!$H$22="Todos",'Plan mensual'!O75,0)))*parametros_manuales!$I$22*parametros_manuales!$J$22</f>
        <v>40004.94628238</v>
      </c>
      <c r="N173" s="14" t="n">
        <f aca="false">SUM(B173:M173)</f>
        <v>341558.938338</v>
      </c>
      <c r="O173" s="14" t="n">
        <f aca="false">MAX(B173:M173)</f>
        <v>40004.94628238</v>
      </c>
      <c r="P173" s="57" t="n">
        <f aca="false">O173/(parametros_manuales!$B$7)</f>
        <v>266.699641882533</v>
      </c>
      <c r="Q173" s="13" t="str">
        <f aca="false">IF(O173=0,"-",INDEX($B$169:$M$169,MATCH(O173,B173:M173,0)))</f>
        <v>Dic</v>
      </c>
    </row>
    <row r="174" customFormat="false" ht="14.25" hidden="false" customHeight="true" outlineLevel="0" collapsed="false">
      <c r="A174" s="13" t="str">
        <f aca="false">parametros_manuales!$B$23</f>
        <v>Preparación de cuello</v>
      </c>
      <c r="B174" s="14" t="n">
        <f aca="false">(parametros_manuales!$D$23*('Plan mensual'!D68+IF(parametros_manuales!$H$23="Todos",'Plan mensual'!D72,0))+parametros_manuales!$E$23*('Plan mensual'!D69+IF(parametros_manuales!$H$23="Todos",'Plan mensual'!D73,0))+parametros_manuales!$F$23*('Plan mensual'!D70+IF(parametros_manuales!$H$23="Todos",'Plan mensual'!D74,0))+parametros_manuales!$G$23*('Plan mensual'!D71+IF(parametros_manuales!$H$23="Todos",'Plan mensual'!D75,0)))*parametros_manuales!$I$23*parametros_manuales!$J$23</f>
        <v>19511.4099821</v>
      </c>
      <c r="C174" s="14" t="n">
        <f aca="false">(parametros_manuales!$D$23*('Plan mensual'!E68+IF(parametros_manuales!$H$23="Todos",'Plan mensual'!E72,0))+parametros_manuales!$E$23*('Plan mensual'!E69+IF(parametros_manuales!$H$23="Todos",'Plan mensual'!E73,0))+parametros_manuales!$F$23*('Plan mensual'!E70+IF(parametros_manuales!$H$23="Todos",'Plan mensual'!E74,0))+parametros_manuales!$G$23*('Plan mensual'!E71+IF(parametros_manuales!$H$23="Todos",'Plan mensual'!E75,0)))*parametros_manuales!$I$23*parametros_manuales!$J$23</f>
        <v>14879.08906612</v>
      </c>
      <c r="D174" s="14" t="n">
        <f aca="false">(parametros_manuales!$D$23*('Plan mensual'!F68+IF(parametros_manuales!$H$23="Todos",'Plan mensual'!F72,0))+parametros_manuales!$E$23*('Plan mensual'!F69+IF(parametros_manuales!$H$23="Todos",'Plan mensual'!F73,0))+parametros_manuales!$F$23*('Plan mensual'!F70+IF(parametros_manuales!$H$23="Todos",'Plan mensual'!F74,0))+parametros_manuales!$G$23*('Plan mensual'!F71+IF(parametros_manuales!$H$23="Todos",'Plan mensual'!F75,0)))*parametros_manuales!$I$23*parametros_manuales!$J$23</f>
        <v>13907.889113065</v>
      </c>
      <c r="E174" s="14" t="n">
        <f aca="false">(parametros_manuales!$D$23*('Plan mensual'!G68+IF(parametros_manuales!$H$23="Todos",'Plan mensual'!G72,0))+parametros_manuales!$E$23*('Plan mensual'!G69+IF(parametros_manuales!$H$23="Todos",'Plan mensual'!G73,0))+parametros_manuales!$F$23*('Plan mensual'!G70+IF(parametros_manuales!$H$23="Todos",'Plan mensual'!G74,0))+parametros_manuales!$G$23*('Plan mensual'!G71+IF(parametros_manuales!$H$23="Todos",'Plan mensual'!G75,0)))*parametros_manuales!$I$23*parametros_manuales!$J$23</f>
        <v>13299.523346765</v>
      </c>
      <c r="F174" s="14" t="n">
        <f aca="false">(parametros_manuales!$D$23*('Plan mensual'!H68+IF(parametros_manuales!$H$23="Todos",'Plan mensual'!H72,0))+parametros_manuales!$E$23*('Plan mensual'!H69+IF(parametros_manuales!$H$23="Todos",'Plan mensual'!H73,0))+parametros_manuales!$F$23*('Plan mensual'!H70+IF(parametros_manuales!$H$23="Todos",'Plan mensual'!H74,0))+parametros_manuales!$G$23*('Plan mensual'!H71+IF(parametros_manuales!$H$23="Todos",'Plan mensual'!H75,0)))*parametros_manuales!$I$23*parametros_manuales!$J$23</f>
        <v>12445.62600092</v>
      </c>
      <c r="G174" s="14" t="n">
        <f aca="false">(parametros_manuales!$D$23*('Plan mensual'!I68+IF(parametros_manuales!$H$23="Todos",'Plan mensual'!I72,0))+parametros_manuales!$E$23*('Plan mensual'!I69+IF(parametros_manuales!$H$23="Todos",'Plan mensual'!I73,0))+parametros_manuales!$F$23*('Plan mensual'!I70+IF(parametros_manuales!$H$23="Todos",'Plan mensual'!I74,0))+parametros_manuales!$G$23*('Plan mensual'!I71+IF(parametros_manuales!$H$23="Todos",'Plan mensual'!I75,0)))*parametros_manuales!$I$23*parametros_manuales!$J$23</f>
        <v>12200.094421375</v>
      </c>
      <c r="H174" s="14" t="n">
        <f aca="false">(parametros_manuales!$D$23*('Plan mensual'!J68+IF(parametros_manuales!$H$23="Todos",'Plan mensual'!J72,0))+parametros_manuales!$E$23*('Plan mensual'!J69+IF(parametros_manuales!$H$23="Todos",'Plan mensual'!J73,0))+parametros_manuales!$F$23*('Plan mensual'!J70+IF(parametros_manuales!$H$23="Todos",'Plan mensual'!J74,0))+parametros_manuales!$G$23*('Plan mensual'!J71+IF(parametros_manuales!$H$23="Todos",'Plan mensual'!J75,0)))*parametros_manuales!$I$23*parametros_manuales!$J$23</f>
        <v>13053.99176722</v>
      </c>
      <c r="I174" s="14" t="n">
        <f aca="false">(parametros_manuales!$D$23*('Plan mensual'!K68+IF(parametros_manuales!$H$23="Todos",'Plan mensual'!K72,0))+parametros_manuales!$E$23*('Plan mensual'!K69+IF(parametros_manuales!$H$23="Todos",'Plan mensual'!K73,0))+parametros_manuales!$F$23*('Plan mensual'!K70+IF(parametros_manuales!$H$23="Todos",'Plan mensual'!K74,0))+parametros_manuales!$G$23*('Plan mensual'!K71+IF(parametros_manuales!$H$23="Todos",'Plan mensual'!K75,0)))*parametros_manuales!$I$23*parametros_manuales!$J$23</f>
        <v>13053.99176722</v>
      </c>
      <c r="J174" s="14" t="n">
        <f aca="false">(parametros_manuales!$D$23*('Plan mensual'!L68+IF(parametros_manuales!$H$23="Todos",'Plan mensual'!L72,0))+parametros_manuales!$E$23*('Plan mensual'!L69+IF(parametros_manuales!$H$23="Todos",'Plan mensual'!L73,0))+parametros_manuales!$F$23*('Plan mensual'!L70+IF(parametros_manuales!$H$23="Todos",'Plan mensual'!L74,0))+parametros_manuales!$G$23*('Plan mensual'!L71+IF(parametros_manuales!$H$23="Todos",'Plan mensual'!L75,0)))*parametros_manuales!$I$23*parametros_manuales!$J$23</f>
        <v>13053.99176722</v>
      </c>
      <c r="K174" s="14" t="n">
        <f aca="false">(parametros_manuales!$D$23*('Plan mensual'!M68+IF(parametros_manuales!$H$23="Todos",'Plan mensual'!M72,0))+parametros_manuales!$E$23*('Plan mensual'!M69+IF(parametros_manuales!$H$23="Todos",'Plan mensual'!M73,0))+parametros_manuales!$F$23*('Plan mensual'!M70+IF(parametros_manuales!$H$23="Todos",'Plan mensual'!M74,0))+parametros_manuales!$G$23*('Plan mensual'!M71+IF(parametros_manuales!$H$23="Todos",'Plan mensual'!M75,0)))*parametros_manuales!$I$23*parametros_manuales!$J$23</f>
        <v>12808.460187675</v>
      </c>
      <c r="L174" s="14" t="n">
        <f aca="false">(parametros_manuales!$D$23*('Plan mensual'!N68+IF(parametros_manuales!$H$23="Todos",'Plan mensual'!N72,0))+parametros_manuales!$E$23*('Plan mensual'!N69+IF(parametros_manuales!$H$23="Todos",'Plan mensual'!N73,0))+parametros_manuales!$F$23*('Plan mensual'!N70+IF(parametros_manuales!$H$23="Todos",'Plan mensual'!N74,0))+parametros_manuales!$G$23*('Plan mensual'!N71+IF(parametros_manuales!$H$23="Todos",'Plan mensual'!N75,0)))*parametros_manuales!$I$23*parametros_manuales!$J$23</f>
        <v>12562.92860813</v>
      </c>
      <c r="M174" s="14" t="n">
        <f aca="false">(parametros_manuales!$D$23*('Plan mensual'!O68+IF(parametros_manuales!$H$23="Todos",'Plan mensual'!O72,0))+parametros_manuales!$E$23*('Plan mensual'!O69+IF(parametros_manuales!$H$23="Todos",'Plan mensual'!O73,0))+parametros_manuales!$F$23*('Plan mensual'!O70+IF(parametros_manuales!$H$23="Todos",'Plan mensual'!O74,0))+parametros_manuales!$G$23*('Plan mensual'!O71+IF(parametros_manuales!$H$23="Todos",'Plan mensual'!O75,0)))*parametros_manuales!$I$23*parametros_manuales!$J$23</f>
        <v>20002.47314119</v>
      </c>
      <c r="N174" s="14" t="n">
        <f aca="false">SUM(B174:M174)</f>
        <v>170779.469169</v>
      </c>
      <c r="O174" s="14" t="n">
        <f aca="false">MAX(B174:M174)</f>
        <v>20002.47314119</v>
      </c>
      <c r="P174" s="57" t="n">
        <f aca="false">O174/(parametros_manuales!$B$7)</f>
        <v>133.349820941267</v>
      </c>
      <c r="Q174" s="13" t="str">
        <f aca="false">IF(O174=0,"-",INDEX($B$169:$M$169,MATCH(O174,B174:M174,0)))</f>
        <v>Dic</v>
      </c>
    </row>
    <row r="175" customFormat="false" ht="14.25" hidden="false" customHeight="true" outlineLevel="0" collapsed="false">
      <c r="A175" s="13" t="str">
        <f aca="false">parametros_manuales!$B$24</f>
        <v>Numerado de cúpula</v>
      </c>
      <c r="B175" s="14" t="n">
        <f aca="false">(parametros_manuales!$D$24*('Plan mensual'!D68+IF(parametros_manuales!$H$24="Todos",'Plan mensual'!D72,0))+parametros_manuales!$E$24*('Plan mensual'!D69+IF(parametros_manuales!$H$24="Todos",'Plan mensual'!D73,0))+parametros_manuales!$F$24*('Plan mensual'!D70+IF(parametros_manuales!$H$24="Todos",'Plan mensual'!D74,0))+parametros_manuales!$G$24*('Plan mensual'!D71+IF(parametros_manuales!$H$24="Todos",'Plan mensual'!D75,0)))*parametros_manuales!$I$24*parametros_manuales!$J$24</f>
        <v>19511.4099821</v>
      </c>
      <c r="C175" s="14" t="n">
        <f aca="false">(parametros_manuales!$D$24*('Plan mensual'!E68+IF(parametros_manuales!$H$24="Todos",'Plan mensual'!E72,0))+parametros_manuales!$E$24*('Plan mensual'!E69+IF(parametros_manuales!$H$24="Todos",'Plan mensual'!E73,0))+parametros_manuales!$F$24*('Plan mensual'!E70+IF(parametros_manuales!$H$24="Todos",'Plan mensual'!E74,0))+parametros_manuales!$G$24*('Plan mensual'!E71+IF(parametros_manuales!$H$24="Todos",'Plan mensual'!E75,0)))*parametros_manuales!$I$24*parametros_manuales!$J$24</f>
        <v>14879.08906612</v>
      </c>
      <c r="D175" s="14" t="n">
        <f aca="false">(parametros_manuales!$D$24*('Plan mensual'!F68+IF(parametros_manuales!$H$24="Todos",'Plan mensual'!F72,0))+parametros_manuales!$E$24*('Plan mensual'!F69+IF(parametros_manuales!$H$24="Todos",'Plan mensual'!F73,0))+parametros_manuales!$F$24*('Plan mensual'!F70+IF(parametros_manuales!$H$24="Todos",'Plan mensual'!F74,0))+parametros_manuales!$G$24*('Plan mensual'!F71+IF(parametros_manuales!$H$24="Todos",'Plan mensual'!F75,0)))*parametros_manuales!$I$24*parametros_manuales!$J$24</f>
        <v>13907.889113065</v>
      </c>
      <c r="E175" s="14" t="n">
        <f aca="false">(parametros_manuales!$D$24*('Plan mensual'!G68+IF(parametros_manuales!$H$24="Todos",'Plan mensual'!G72,0))+parametros_manuales!$E$24*('Plan mensual'!G69+IF(parametros_manuales!$H$24="Todos",'Plan mensual'!G73,0))+parametros_manuales!$F$24*('Plan mensual'!G70+IF(parametros_manuales!$H$24="Todos",'Plan mensual'!G74,0))+parametros_manuales!$G$24*('Plan mensual'!G71+IF(parametros_manuales!$H$24="Todos",'Plan mensual'!G75,0)))*parametros_manuales!$I$24*parametros_manuales!$J$24</f>
        <v>13299.523346765</v>
      </c>
      <c r="F175" s="14" t="n">
        <f aca="false">(parametros_manuales!$D$24*('Plan mensual'!H68+IF(parametros_manuales!$H$24="Todos",'Plan mensual'!H72,0))+parametros_manuales!$E$24*('Plan mensual'!H69+IF(parametros_manuales!$H$24="Todos",'Plan mensual'!H73,0))+parametros_manuales!$F$24*('Plan mensual'!H70+IF(parametros_manuales!$H$24="Todos",'Plan mensual'!H74,0))+parametros_manuales!$G$24*('Plan mensual'!H71+IF(parametros_manuales!$H$24="Todos",'Plan mensual'!H75,0)))*parametros_manuales!$I$24*parametros_manuales!$J$24</f>
        <v>12445.62600092</v>
      </c>
      <c r="G175" s="14" t="n">
        <f aca="false">(parametros_manuales!$D$24*('Plan mensual'!I68+IF(parametros_manuales!$H$24="Todos",'Plan mensual'!I72,0))+parametros_manuales!$E$24*('Plan mensual'!I69+IF(parametros_manuales!$H$24="Todos",'Plan mensual'!I73,0))+parametros_manuales!$F$24*('Plan mensual'!I70+IF(parametros_manuales!$H$24="Todos",'Plan mensual'!I74,0))+parametros_manuales!$G$24*('Plan mensual'!I71+IF(parametros_manuales!$H$24="Todos",'Plan mensual'!I75,0)))*parametros_manuales!$I$24*parametros_manuales!$J$24</f>
        <v>12200.094421375</v>
      </c>
      <c r="H175" s="14" t="n">
        <f aca="false">(parametros_manuales!$D$24*('Plan mensual'!J68+IF(parametros_manuales!$H$24="Todos",'Plan mensual'!J72,0))+parametros_manuales!$E$24*('Plan mensual'!J69+IF(parametros_manuales!$H$24="Todos",'Plan mensual'!J73,0))+parametros_manuales!$F$24*('Plan mensual'!J70+IF(parametros_manuales!$H$24="Todos",'Plan mensual'!J74,0))+parametros_manuales!$G$24*('Plan mensual'!J71+IF(parametros_manuales!$H$24="Todos",'Plan mensual'!J75,0)))*parametros_manuales!$I$24*parametros_manuales!$J$24</f>
        <v>13053.99176722</v>
      </c>
      <c r="I175" s="14" t="n">
        <f aca="false">(parametros_manuales!$D$24*('Plan mensual'!K68+IF(parametros_manuales!$H$24="Todos",'Plan mensual'!K72,0))+parametros_manuales!$E$24*('Plan mensual'!K69+IF(parametros_manuales!$H$24="Todos",'Plan mensual'!K73,0))+parametros_manuales!$F$24*('Plan mensual'!K70+IF(parametros_manuales!$H$24="Todos",'Plan mensual'!K74,0))+parametros_manuales!$G$24*('Plan mensual'!K71+IF(parametros_manuales!$H$24="Todos",'Plan mensual'!K75,0)))*parametros_manuales!$I$24*parametros_manuales!$J$24</f>
        <v>13053.99176722</v>
      </c>
      <c r="J175" s="14" t="n">
        <f aca="false">(parametros_manuales!$D$24*('Plan mensual'!L68+IF(parametros_manuales!$H$24="Todos",'Plan mensual'!L72,0))+parametros_manuales!$E$24*('Plan mensual'!L69+IF(parametros_manuales!$H$24="Todos",'Plan mensual'!L73,0))+parametros_manuales!$F$24*('Plan mensual'!L70+IF(parametros_manuales!$H$24="Todos",'Plan mensual'!L74,0))+parametros_manuales!$G$24*('Plan mensual'!L71+IF(parametros_manuales!$H$24="Todos",'Plan mensual'!L75,0)))*parametros_manuales!$I$24*parametros_manuales!$J$24</f>
        <v>13053.99176722</v>
      </c>
      <c r="K175" s="14" t="n">
        <f aca="false">(parametros_manuales!$D$24*('Plan mensual'!M68+IF(parametros_manuales!$H$24="Todos",'Plan mensual'!M72,0))+parametros_manuales!$E$24*('Plan mensual'!M69+IF(parametros_manuales!$H$24="Todos",'Plan mensual'!M73,0))+parametros_manuales!$F$24*('Plan mensual'!M70+IF(parametros_manuales!$H$24="Todos",'Plan mensual'!M74,0))+parametros_manuales!$G$24*('Plan mensual'!M71+IF(parametros_manuales!$H$24="Todos",'Plan mensual'!M75,0)))*parametros_manuales!$I$24*parametros_manuales!$J$24</f>
        <v>12808.460187675</v>
      </c>
      <c r="L175" s="14" t="n">
        <f aca="false">(parametros_manuales!$D$24*('Plan mensual'!N68+IF(parametros_manuales!$H$24="Todos",'Plan mensual'!N72,0))+parametros_manuales!$E$24*('Plan mensual'!N69+IF(parametros_manuales!$H$24="Todos",'Plan mensual'!N73,0))+parametros_manuales!$F$24*('Plan mensual'!N70+IF(parametros_manuales!$H$24="Todos",'Plan mensual'!N74,0))+parametros_manuales!$G$24*('Plan mensual'!N71+IF(parametros_manuales!$H$24="Todos",'Plan mensual'!N75,0)))*parametros_manuales!$I$24*parametros_manuales!$J$24</f>
        <v>12562.92860813</v>
      </c>
      <c r="M175" s="14" t="n">
        <f aca="false">(parametros_manuales!$D$24*('Plan mensual'!O68+IF(parametros_manuales!$H$24="Todos",'Plan mensual'!O72,0))+parametros_manuales!$E$24*('Plan mensual'!O69+IF(parametros_manuales!$H$24="Todos",'Plan mensual'!O73,0))+parametros_manuales!$F$24*('Plan mensual'!O70+IF(parametros_manuales!$H$24="Todos",'Plan mensual'!O74,0))+parametros_manuales!$G$24*('Plan mensual'!O71+IF(parametros_manuales!$H$24="Todos",'Plan mensual'!O75,0)))*parametros_manuales!$I$24*parametros_manuales!$J$24</f>
        <v>20002.47314119</v>
      </c>
      <c r="N175" s="14" t="n">
        <f aca="false">SUM(B175:M175)</f>
        <v>170779.469169</v>
      </c>
      <c r="O175" s="14" t="n">
        <f aca="false">MAX(B175:M175)</f>
        <v>20002.47314119</v>
      </c>
      <c r="P175" s="57" t="n">
        <f aca="false">O175/(parametros_manuales!$B$7)</f>
        <v>133.349820941267</v>
      </c>
      <c r="Q175" s="13" t="str">
        <f aca="false">IF(O175=0,"-",INDEX($B$169:$M$169,MATCH(O175,B175:M175,0)))</f>
        <v>Dic</v>
      </c>
    </row>
    <row r="176" customFormat="false" ht="14.25" hidden="false" customHeight="true" outlineLevel="0" collapsed="false">
      <c r="A176" s="13" t="str">
        <f aca="false">parametros_manuales!$B$25</f>
        <v>Soldadura del cuello a la cúpula</v>
      </c>
      <c r="B176" s="14" t="n">
        <f aca="false">(parametros_manuales!$D$25*('Plan mensual'!D68+IF(parametros_manuales!$H$25="Todos",'Plan mensual'!D72,0))+parametros_manuales!$E$25*('Plan mensual'!D69+IF(parametros_manuales!$H$25="Todos",'Plan mensual'!D73,0))+parametros_manuales!$F$25*('Plan mensual'!D70+IF(parametros_manuales!$H$25="Todos",'Plan mensual'!D74,0))+parametros_manuales!$G$25*('Plan mensual'!D71+IF(parametros_manuales!$H$25="Todos",'Plan mensual'!D75,0)))*parametros_manuales!$I$25*parametros_manuales!$J$25</f>
        <v>19511.4099821</v>
      </c>
      <c r="C176" s="14" t="n">
        <f aca="false">(parametros_manuales!$D$25*('Plan mensual'!E68+IF(parametros_manuales!$H$25="Todos",'Plan mensual'!E72,0))+parametros_manuales!$E$25*('Plan mensual'!E69+IF(parametros_manuales!$H$25="Todos",'Plan mensual'!E73,0))+parametros_manuales!$F$25*('Plan mensual'!E70+IF(parametros_manuales!$H$25="Todos",'Plan mensual'!E74,0))+parametros_manuales!$G$25*('Plan mensual'!E71+IF(parametros_manuales!$H$25="Todos",'Plan mensual'!E75,0)))*parametros_manuales!$I$25*parametros_manuales!$J$25</f>
        <v>14879.08906612</v>
      </c>
      <c r="D176" s="14" t="n">
        <f aca="false">(parametros_manuales!$D$25*('Plan mensual'!F68+IF(parametros_manuales!$H$25="Todos",'Plan mensual'!F72,0))+parametros_manuales!$E$25*('Plan mensual'!F69+IF(parametros_manuales!$H$25="Todos",'Plan mensual'!F73,0))+parametros_manuales!$F$25*('Plan mensual'!F70+IF(parametros_manuales!$H$25="Todos",'Plan mensual'!F74,0))+parametros_manuales!$G$25*('Plan mensual'!F71+IF(parametros_manuales!$H$25="Todos",'Plan mensual'!F75,0)))*parametros_manuales!$I$25*parametros_manuales!$J$25</f>
        <v>13907.889113065</v>
      </c>
      <c r="E176" s="14" t="n">
        <f aca="false">(parametros_manuales!$D$25*('Plan mensual'!G68+IF(parametros_manuales!$H$25="Todos",'Plan mensual'!G72,0))+parametros_manuales!$E$25*('Plan mensual'!G69+IF(parametros_manuales!$H$25="Todos",'Plan mensual'!G73,0))+parametros_manuales!$F$25*('Plan mensual'!G70+IF(parametros_manuales!$H$25="Todos",'Plan mensual'!G74,0))+parametros_manuales!$G$25*('Plan mensual'!G71+IF(parametros_manuales!$H$25="Todos",'Plan mensual'!G75,0)))*parametros_manuales!$I$25*parametros_manuales!$J$25</f>
        <v>13299.523346765</v>
      </c>
      <c r="F176" s="14" t="n">
        <f aca="false">(parametros_manuales!$D$25*('Plan mensual'!H68+IF(parametros_manuales!$H$25="Todos",'Plan mensual'!H72,0))+parametros_manuales!$E$25*('Plan mensual'!H69+IF(parametros_manuales!$H$25="Todos",'Plan mensual'!H73,0))+parametros_manuales!$F$25*('Plan mensual'!H70+IF(parametros_manuales!$H$25="Todos",'Plan mensual'!H74,0))+parametros_manuales!$G$25*('Plan mensual'!H71+IF(parametros_manuales!$H$25="Todos",'Plan mensual'!H75,0)))*parametros_manuales!$I$25*parametros_manuales!$J$25</f>
        <v>12445.62600092</v>
      </c>
      <c r="G176" s="14" t="n">
        <f aca="false">(parametros_manuales!$D$25*('Plan mensual'!I68+IF(parametros_manuales!$H$25="Todos",'Plan mensual'!I72,0))+parametros_manuales!$E$25*('Plan mensual'!I69+IF(parametros_manuales!$H$25="Todos",'Plan mensual'!I73,0))+parametros_manuales!$F$25*('Plan mensual'!I70+IF(parametros_manuales!$H$25="Todos",'Plan mensual'!I74,0))+parametros_manuales!$G$25*('Plan mensual'!I71+IF(parametros_manuales!$H$25="Todos",'Plan mensual'!I75,0)))*parametros_manuales!$I$25*parametros_manuales!$J$25</f>
        <v>12200.094421375</v>
      </c>
      <c r="H176" s="14" t="n">
        <f aca="false">(parametros_manuales!$D$25*('Plan mensual'!J68+IF(parametros_manuales!$H$25="Todos",'Plan mensual'!J72,0))+parametros_manuales!$E$25*('Plan mensual'!J69+IF(parametros_manuales!$H$25="Todos",'Plan mensual'!J73,0))+parametros_manuales!$F$25*('Plan mensual'!J70+IF(parametros_manuales!$H$25="Todos",'Plan mensual'!J74,0))+parametros_manuales!$G$25*('Plan mensual'!J71+IF(parametros_manuales!$H$25="Todos",'Plan mensual'!J75,0)))*parametros_manuales!$I$25*parametros_manuales!$J$25</f>
        <v>13053.99176722</v>
      </c>
      <c r="I176" s="14" t="n">
        <f aca="false">(parametros_manuales!$D$25*('Plan mensual'!K68+IF(parametros_manuales!$H$25="Todos",'Plan mensual'!K72,0))+parametros_manuales!$E$25*('Plan mensual'!K69+IF(parametros_manuales!$H$25="Todos",'Plan mensual'!K73,0))+parametros_manuales!$F$25*('Plan mensual'!K70+IF(parametros_manuales!$H$25="Todos",'Plan mensual'!K74,0))+parametros_manuales!$G$25*('Plan mensual'!K71+IF(parametros_manuales!$H$25="Todos",'Plan mensual'!K75,0)))*parametros_manuales!$I$25*parametros_manuales!$J$25</f>
        <v>13053.99176722</v>
      </c>
      <c r="J176" s="14" t="n">
        <f aca="false">(parametros_manuales!$D$25*('Plan mensual'!L68+IF(parametros_manuales!$H$25="Todos",'Plan mensual'!L72,0))+parametros_manuales!$E$25*('Plan mensual'!L69+IF(parametros_manuales!$H$25="Todos",'Plan mensual'!L73,0))+parametros_manuales!$F$25*('Plan mensual'!L70+IF(parametros_manuales!$H$25="Todos",'Plan mensual'!L74,0))+parametros_manuales!$G$25*('Plan mensual'!L71+IF(parametros_manuales!$H$25="Todos",'Plan mensual'!L75,0)))*parametros_manuales!$I$25*parametros_manuales!$J$25</f>
        <v>13053.99176722</v>
      </c>
      <c r="K176" s="14" t="n">
        <f aca="false">(parametros_manuales!$D$25*('Plan mensual'!M68+IF(parametros_manuales!$H$25="Todos",'Plan mensual'!M72,0))+parametros_manuales!$E$25*('Plan mensual'!M69+IF(parametros_manuales!$H$25="Todos",'Plan mensual'!M73,0))+parametros_manuales!$F$25*('Plan mensual'!M70+IF(parametros_manuales!$H$25="Todos",'Plan mensual'!M74,0))+parametros_manuales!$G$25*('Plan mensual'!M71+IF(parametros_manuales!$H$25="Todos",'Plan mensual'!M75,0)))*parametros_manuales!$I$25*parametros_manuales!$J$25</f>
        <v>12808.460187675</v>
      </c>
      <c r="L176" s="14" t="n">
        <f aca="false">(parametros_manuales!$D$25*('Plan mensual'!N68+IF(parametros_manuales!$H$25="Todos",'Plan mensual'!N72,0))+parametros_manuales!$E$25*('Plan mensual'!N69+IF(parametros_manuales!$H$25="Todos",'Plan mensual'!N73,0))+parametros_manuales!$F$25*('Plan mensual'!N70+IF(parametros_manuales!$H$25="Todos",'Plan mensual'!N74,0))+parametros_manuales!$G$25*('Plan mensual'!N71+IF(parametros_manuales!$H$25="Todos",'Plan mensual'!N75,0)))*parametros_manuales!$I$25*parametros_manuales!$J$25</f>
        <v>12562.92860813</v>
      </c>
      <c r="M176" s="14" t="n">
        <f aca="false">(parametros_manuales!$D$25*('Plan mensual'!O68+IF(parametros_manuales!$H$25="Todos",'Plan mensual'!O72,0))+parametros_manuales!$E$25*('Plan mensual'!O69+IF(parametros_manuales!$H$25="Todos",'Plan mensual'!O73,0))+parametros_manuales!$F$25*('Plan mensual'!O70+IF(parametros_manuales!$H$25="Todos",'Plan mensual'!O74,0))+parametros_manuales!$G$25*('Plan mensual'!O71+IF(parametros_manuales!$H$25="Todos",'Plan mensual'!O75,0)))*parametros_manuales!$I$25*parametros_manuales!$J$25</f>
        <v>20002.47314119</v>
      </c>
      <c r="N176" s="14" t="n">
        <f aca="false">SUM(B176:M176)</f>
        <v>170779.469169</v>
      </c>
      <c r="O176" s="14" t="n">
        <f aca="false">MAX(B176:M176)</f>
        <v>20002.47314119</v>
      </c>
      <c r="P176" s="57" t="n">
        <f aca="false">O176/(parametros_manuales!$B$7)</f>
        <v>133.349820941267</v>
      </c>
      <c r="Q176" s="13" t="str">
        <f aca="false">IF(O176=0,"-",INDEX($B$169:$M$169,MATCH(O176,B176:M176,0)))</f>
        <v>Dic</v>
      </c>
    </row>
    <row r="177" customFormat="false" ht="14.25" hidden="false" customHeight="true" outlineLevel="0" collapsed="false">
      <c r="A177" s="13" t="str">
        <f aca="false">parametros_manuales!$B$26</f>
        <v>Cilindrado</v>
      </c>
      <c r="B177" s="14" t="n">
        <f aca="false">(parametros_manuales!$D$26*('Plan mensual'!D68+IF(parametros_manuales!$H$26="Todos",'Plan mensual'!D72,0))+parametros_manuales!$E$26*('Plan mensual'!D69+IF(parametros_manuales!$H$26="Todos",'Plan mensual'!D73,0))+parametros_manuales!$F$26*('Plan mensual'!D70+IF(parametros_manuales!$H$26="Todos",'Plan mensual'!D74,0))+parametros_manuales!$G$26*('Plan mensual'!D71+IF(parametros_manuales!$H$26="Todos",'Plan mensual'!D75,0)))*parametros_manuales!$I$26*parametros_manuales!$J$26</f>
        <v>19511.4099821</v>
      </c>
      <c r="C177" s="14" t="n">
        <f aca="false">(parametros_manuales!$D$26*('Plan mensual'!E68+IF(parametros_manuales!$H$26="Todos",'Plan mensual'!E72,0))+parametros_manuales!$E$26*('Plan mensual'!E69+IF(parametros_manuales!$H$26="Todos",'Plan mensual'!E73,0))+parametros_manuales!$F$26*('Plan mensual'!E70+IF(parametros_manuales!$H$26="Todos",'Plan mensual'!E74,0))+parametros_manuales!$G$26*('Plan mensual'!E71+IF(parametros_manuales!$H$26="Todos",'Plan mensual'!E75,0)))*parametros_manuales!$I$26*parametros_manuales!$J$26</f>
        <v>14879.08906612</v>
      </c>
      <c r="D177" s="14" t="n">
        <f aca="false">(parametros_manuales!$D$26*('Plan mensual'!F68+IF(parametros_manuales!$H$26="Todos",'Plan mensual'!F72,0))+parametros_manuales!$E$26*('Plan mensual'!F69+IF(parametros_manuales!$H$26="Todos",'Plan mensual'!F73,0))+parametros_manuales!$F$26*('Plan mensual'!F70+IF(parametros_manuales!$H$26="Todos",'Plan mensual'!F74,0))+parametros_manuales!$G$26*('Plan mensual'!F71+IF(parametros_manuales!$H$26="Todos",'Plan mensual'!F75,0)))*parametros_manuales!$I$26*parametros_manuales!$J$26</f>
        <v>13907.889113065</v>
      </c>
      <c r="E177" s="14" t="n">
        <f aca="false">(parametros_manuales!$D$26*('Plan mensual'!G68+IF(parametros_manuales!$H$26="Todos",'Plan mensual'!G72,0))+parametros_manuales!$E$26*('Plan mensual'!G69+IF(parametros_manuales!$H$26="Todos",'Plan mensual'!G73,0))+parametros_manuales!$F$26*('Plan mensual'!G70+IF(parametros_manuales!$H$26="Todos",'Plan mensual'!G74,0))+parametros_manuales!$G$26*('Plan mensual'!G71+IF(parametros_manuales!$H$26="Todos",'Plan mensual'!G75,0)))*parametros_manuales!$I$26*parametros_manuales!$J$26</f>
        <v>13299.523346765</v>
      </c>
      <c r="F177" s="14" t="n">
        <f aca="false">(parametros_manuales!$D$26*('Plan mensual'!H68+IF(parametros_manuales!$H$26="Todos",'Plan mensual'!H72,0))+parametros_manuales!$E$26*('Plan mensual'!H69+IF(parametros_manuales!$H$26="Todos",'Plan mensual'!H73,0))+parametros_manuales!$F$26*('Plan mensual'!H70+IF(parametros_manuales!$H$26="Todos",'Plan mensual'!H74,0))+parametros_manuales!$G$26*('Plan mensual'!H71+IF(parametros_manuales!$H$26="Todos",'Plan mensual'!H75,0)))*parametros_manuales!$I$26*parametros_manuales!$J$26</f>
        <v>12445.62600092</v>
      </c>
      <c r="G177" s="14" t="n">
        <f aca="false">(parametros_manuales!$D$26*('Plan mensual'!I68+IF(parametros_manuales!$H$26="Todos",'Plan mensual'!I72,0))+parametros_manuales!$E$26*('Plan mensual'!I69+IF(parametros_manuales!$H$26="Todos",'Plan mensual'!I73,0))+parametros_manuales!$F$26*('Plan mensual'!I70+IF(parametros_manuales!$H$26="Todos",'Plan mensual'!I74,0))+parametros_manuales!$G$26*('Plan mensual'!I71+IF(parametros_manuales!$H$26="Todos",'Plan mensual'!I75,0)))*parametros_manuales!$I$26*parametros_manuales!$J$26</f>
        <v>12200.094421375</v>
      </c>
      <c r="H177" s="14" t="n">
        <f aca="false">(parametros_manuales!$D$26*('Plan mensual'!J68+IF(parametros_manuales!$H$26="Todos",'Plan mensual'!J72,0))+parametros_manuales!$E$26*('Plan mensual'!J69+IF(parametros_manuales!$H$26="Todos",'Plan mensual'!J73,0))+parametros_manuales!$F$26*('Plan mensual'!J70+IF(parametros_manuales!$H$26="Todos",'Plan mensual'!J74,0))+parametros_manuales!$G$26*('Plan mensual'!J71+IF(parametros_manuales!$H$26="Todos",'Plan mensual'!J75,0)))*parametros_manuales!$I$26*parametros_manuales!$J$26</f>
        <v>13053.99176722</v>
      </c>
      <c r="I177" s="14" t="n">
        <f aca="false">(parametros_manuales!$D$26*('Plan mensual'!K68+IF(parametros_manuales!$H$26="Todos",'Plan mensual'!K72,0))+parametros_manuales!$E$26*('Plan mensual'!K69+IF(parametros_manuales!$H$26="Todos",'Plan mensual'!K73,0))+parametros_manuales!$F$26*('Plan mensual'!K70+IF(parametros_manuales!$H$26="Todos",'Plan mensual'!K74,0))+parametros_manuales!$G$26*('Plan mensual'!K71+IF(parametros_manuales!$H$26="Todos",'Plan mensual'!K75,0)))*parametros_manuales!$I$26*parametros_manuales!$J$26</f>
        <v>13053.99176722</v>
      </c>
      <c r="J177" s="14" t="n">
        <f aca="false">(parametros_manuales!$D$26*('Plan mensual'!L68+IF(parametros_manuales!$H$26="Todos",'Plan mensual'!L72,0))+parametros_manuales!$E$26*('Plan mensual'!L69+IF(parametros_manuales!$H$26="Todos",'Plan mensual'!L73,0))+parametros_manuales!$F$26*('Plan mensual'!L70+IF(parametros_manuales!$H$26="Todos",'Plan mensual'!L74,0))+parametros_manuales!$G$26*('Plan mensual'!L71+IF(parametros_manuales!$H$26="Todos",'Plan mensual'!L75,0)))*parametros_manuales!$I$26*parametros_manuales!$J$26</f>
        <v>13053.99176722</v>
      </c>
      <c r="K177" s="14" t="n">
        <f aca="false">(parametros_manuales!$D$26*('Plan mensual'!M68+IF(parametros_manuales!$H$26="Todos",'Plan mensual'!M72,0))+parametros_manuales!$E$26*('Plan mensual'!M69+IF(parametros_manuales!$H$26="Todos",'Plan mensual'!M73,0))+parametros_manuales!$F$26*('Plan mensual'!M70+IF(parametros_manuales!$H$26="Todos",'Plan mensual'!M74,0))+parametros_manuales!$G$26*('Plan mensual'!M71+IF(parametros_manuales!$H$26="Todos",'Plan mensual'!M75,0)))*parametros_manuales!$I$26*parametros_manuales!$J$26</f>
        <v>12808.460187675</v>
      </c>
      <c r="L177" s="14" t="n">
        <f aca="false">(parametros_manuales!$D$26*('Plan mensual'!N68+IF(parametros_manuales!$H$26="Todos",'Plan mensual'!N72,0))+parametros_manuales!$E$26*('Plan mensual'!N69+IF(parametros_manuales!$H$26="Todos",'Plan mensual'!N73,0))+parametros_manuales!$F$26*('Plan mensual'!N70+IF(parametros_manuales!$H$26="Todos",'Plan mensual'!N74,0))+parametros_manuales!$G$26*('Plan mensual'!N71+IF(parametros_manuales!$H$26="Todos",'Plan mensual'!N75,0)))*parametros_manuales!$I$26*parametros_manuales!$J$26</f>
        <v>12562.92860813</v>
      </c>
      <c r="M177" s="14" t="n">
        <f aca="false">(parametros_manuales!$D$26*('Plan mensual'!O68+IF(parametros_manuales!$H$26="Todos",'Plan mensual'!O72,0))+parametros_manuales!$E$26*('Plan mensual'!O69+IF(parametros_manuales!$H$26="Todos",'Plan mensual'!O73,0))+parametros_manuales!$F$26*('Plan mensual'!O70+IF(parametros_manuales!$H$26="Todos",'Plan mensual'!O74,0))+parametros_manuales!$G$26*('Plan mensual'!O71+IF(parametros_manuales!$H$26="Todos",'Plan mensual'!O75,0)))*parametros_manuales!$I$26*parametros_manuales!$J$26</f>
        <v>20002.47314119</v>
      </c>
      <c r="N177" s="14" t="n">
        <f aca="false">SUM(B177:M177)</f>
        <v>170779.469169</v>
      </c>
      <c r="O177" s="14" t="n">
        <f aca="false">MAX(B177:M177)</f>
        <v>20002.47314119</v>
      </c>
      <c r="P177" s="57" t="n">
        <f aca="false">O177/(parametros_manuales!$B$7)</f>
        <v>133.349820941267</v>
      </c>
      <c r="Q177" s="13" t="str">
        <f aca="false">IF(O177=0,"-",INDEX($B$169:$M$169,MATCH(O177,B177:M177,0)))</f>
        <v>Dic</v>
      </c>
    </row>
    <row r="178" customFormat="false" ht="14.25" hidden="false" customHeight="true" outlineLevel="0" collapsed="false">
      <c r="A178" s="13" t="str">
        <f aca="false">parametros_manuales!$B$27</f>
        <v>Soldadura longitudinal — 2,5 a 10 kg</v>
      </c>
      <c r="B178" s="14" t="n">
        <f aca="false">(parametros_manuales!$D$27*('Plan mensual'!D68+IF(parametros_manuales!$H$27="Todos",'Plan mensual'!D72,0))+parametros_manuales!$E$27*('Plan mensual'!D69+IF(parametros_manuales!$H$27="Todos",'Plan mensual'!D73,0))+parametros_manuales!$F$27*('Plan mensual'!D70+IF(parametros_manuales!$H$27="Todos",'Plan mensual'!D74,0))+parametros_manuales!$G$27*('Plan mensual'!D71+IF(parametros_manuales!$H$27="Todos",'Plan mensual'!D75,0)))*parametros_manuales!$I$27*parametros_manuales!$J$27</f>
        <v>4910.6315909</v>
      </c>
      <c r="C178" s="14" t="n">
        <f aca="false">(parametros_manuales!$D$27*('Plan mensual'!E68+IF(parametros_manuales!$H$27="Todos",'Plan mensual'!E72,0))+parametros_manuales!$E$27*('Plan mensual'!E69+IF(parametros_manuales!$H$27="Todos",'Plan mensual'!E73,0))+parametros_manuales!$F$27*('Plan mensual'!E70+IF(parametros_manuales!$H$27="Todos",'Plan mensual'!E74,0))+parametros_manuales!$G$27*('Plan mensual'!E71+IF(parametros_manuales!$H$27="Todos",'Plan mensual'!E75,0)))*parametros_manuales!$I$27*parametros_manuales!$J$27</f>
        <v>3928.50527272</v>
      </c>
      <c r="D178" s="14" t="n">
        <f aca="false">(parametros_manuales!$D$27*('Plan mensual'!F68+IF(parametros_manuales!$H$27="Todos",'Plan mensual'!F72,0))+parametros_manuales!$E$27*('Plan mensual'!F69+IF(parametros_manuales!$H$27="Todos",'Plan mensual'!F73,0))+parametros_manuales!$F$27*('Plan mensual'!F70+IF(parametros_manuales!$H$27="Todos",'Plan mensual'!F74,0))+parametros_manuales!$G$27*('Plan mensual'!F71+IF(parametros_manuales!$H$27="Todos",'Plan mensual'!F75,0)))*parametros_manuales!$I$27*parametros_manuales!$J$27</f>
        <v>4174.036852265</v>
      </c>
      <c r="E178" s="14" t="n">
        <f aca="false">(parametros_manuales!$D$27*('Plan mensual'!G68+IF(parametros_manuales!$H$27="Todos",'Plan mensual'!G72,0))+parametros_manuales!$E$27*('Plan mensual'!G69+IF(parametros_manuales!$H$27="Todos",'Plan mensual'!G73,0))+parametros_manuales!$F$27*('Plan mensual'!G70+IF(parametros_manuales!$H$27="Todos",'Plan mensual'!G74,0))+parametros_manuales!$G$27*('Plan mensual'!G71+IF(parametros_manuales!$H$27="Todos",'Plan mensual'!G75,0)))*parametros_manuales!$I$27*parametros_manuales!$J$27</f>
        <v>4174.036852265</v>
      </c>
      <c r="F178" s="14" t="n">
        <f aca="false">(parametros_manuales!$D$27*('Plan mensual'!H68+IF(parametros_manuales!$H$27="Todos",'Plan mensual'!H72,0))+parametros_manuales!$E$27*('Plan mensual'!H69+IF(parametros_manuales!$H$27="Todos",'Plan mensual'!H73,0))+parametros_manuales!$F$27*('Plan mensual'!H70+IF(parametros_manuales!$H$27="Todos",'Plan mensual'!H74,0))+parametros_manuales!$G$27*('Plan mensual'!H71+IF(parametros_manuales!$H$27="Todos",'Plan mensual'!H75,0)))*parametros_manuales!$I$27*parametros_manuales!$J$27</f>
        <v>3928.50527272</v>
      </c>
      <c r="G178" s="14" t="n">
        <f aca="false">(parametros_manuales!$D$27*('Plan mensual'!I68+IF(parametros_manuales!$H$27="Todos",'Plan mensual'!I72,0))+parametros_manuales!$E$27*('Plan mensual'!I69+IF(parametros_manuales!$H$27="Todos",'Plan mensual'!I73,0))+parametros_manuales!$F$27*('Plan mensual'!I70+IF(parametros_manuales!$H$27="Todos",'Plan mensual'!I74,0))+parametros_manuales!$G$27*('Plan mensual'!I71+IF(parametros_manuales!$H$27="Todos",'Plan mensual'!I75,0)))*parametros_manuales!$I$27*parametros_manuales!$J$27</f>
        <v>3682.973693175</v>
      </c>
      <c r="H178" s="14" t="n">
        <f aca="false">(parametros_manuales!$D$27*('Plan mensual'!J68+IF(parametros_manuales!$H$27="Todos",'Plan mensual'!J72,0))+parametros_manuales!$E$27*('Plan mensual'!J69+IF(parametros_manuales!$H$27="Todos",'Plan mensual'!J73,0))+parametros_manuales!$F$27*('Plan mensual'!J70+IF(parametros_manuales!$H$27="Todos",'Plan mensual'!J74,0))+parametros_manuales!$G$27*('Plan mensual'!J71+IF(parametros_manuales!$H$27="Todos",'Plan mensual'!J75,0)))*parametros_manuales!$I$27*parametros_manuales!$J$27</f>
        <v>3928.50527272</v>
      </c>
      <c r="I178" s="14" t="n">
        <f aca="false">(parametros_manuales!$D$27*('Plan mensual'!K68+IF(parametros_manuales!$H$27="Todos",'Plan mensual'!K72,0))+parametros_manuales!$E$27*('Plan mensual'!K69+IF(parametros_manuales!$H$27="Todos",'Plan mensual'!K73,0))+parametros_manuales!$F$27*('Plan mensual'!K70+IF(parametros_manuales!$H$27="Todos",'Plan mensual'!K74,0))+parametros_manuales!$G$27*('Plan mensual'!K71+IF(parametros_manuales!$H$27="Todos",'Plan mensual'!K75,0)))*parametros_manuales!$I$27*parametros_manuales!$J$27</f>
        <v>3928.50527272</v>
      </c>
      <c r="J178" s="14" t="n">
        <f aca="false">(parametros_manuales!$D$27*('Plan mensual'!L68+IF(parametros_manuales!$H$27="Todos",'Plan mensual'!L72,0))+parametros_manuales!$E$27*('Plan mensual'!L69+IF(parametros_manuales!$H$27="Todos",'Plan mensual'!L73,0))+parametros_manuales!$F$27*('Plan mensual'!L70+IF(parametros_manuales!$H$27="Todos",'Plan mensual'!L74,0))+parametros_manuales!$G$27*('Plan mensual'!L71+IF(parametros_manuales!$H$27="Todos",'Plan mensual'!L75,0)))*parametros_manuales!$I$27*parametros_manuales!$J$27</f>
        <v>3928.50527272</v>
      </c>
      <c r="K178" s="14" t="n">
        <f aca="false">(parametros_manuales!$D$27*('Plan mensual'!M68+IF(parametros_manuales!$H$27="Todos",'Plan mensual'!M72,0))+parametros_manuales!$E$27*('Plan mensual'!M69+IF(parametros_manuales!$H$27="Todos",'Plan mensual'!M73,0))+parametros_manuales!$F$27*('Plan mensual'!M70+IF(parametros_manuales!$H$27="Todos",'Plan mensual'!M74,0))+parametros_manuales!$G$27*('Plan mensual'!M71+IF(parametros_manuales!$H$27="Todos",'Plan mensual'!M75,0)))*parametros_manuales!$I$27*parametros_manuales!$J$27</f>
        <v>3682.973693175</v>
      </c>
      <c r="L178" s="14" t="n">
        <f aca="false">(parametros_manuales!$D$27*('Plan mensual'!N68+IF(parametros_manuales!$H$27="Todos",'Plan mensual'!N72,0))+parametros_manuales!$E$27*('Plan mensual'!N69+IF(parametros_manuales!$H$27="Todos",'Plan mensual'!N73,0))+parametros_manuales!$F$27*('Plan mensual'!N70+IF(parametros_manuales!$H$27="Todos",'Plan mensual'!N74,0))+parametros_manuales!$G$27*('Plan mensual'!N71+IF(parametros_manuales!$H$27="Todos",'Plan mensual'!N75,0)))*parametros_manuales!$I$27*parametros_manuales!$J$27</f>
        <v>3437.44211363</v>
      </c>
      <c r="M178" s="14" t="n">
        <f aca="false">(parametros_manuales!$D$27*('Plan mensual'!O68+IF(parametros_manuales!$H$27="Todos",'Plan mensual'!O72,0))+parametros_manuales!$E$27*('Plan mensual'!O69+IF(parametros_manuales!$H$27="Todos",'Plan mensual'!O73,0))+parametros_manuales!$F$27*('Plan mensual'!O70+IF(parametros_manuales!$H$27="Todos",'Plan mensual'!O74,0))+parametros_manuales!$G$27*('Plan mensual'!O71+IF(parametros_manuales!$H$27="Todos",'Plan mensual'!O75,0)))*parametros_manuales!$I$27*parametros_manuales!$J$27</f>
        <v>5401.69474999</v>
      </c>
      <c r="N178" s="14" t="n">
        <f aca="false">SUM(B178:M178)</f>
        <v>49106.315909</v>
      </c>
      <c r="O178" s="14" t="n">
        <f aca="false">MAX(B178:M178)</f>
        <v>5401.69474999</v>
      </c>
      <c r="P178" s="57" t="n">
        <f aca="false">O178/(parametros_manuales!$B$7)</f>
        <v>36.0112983332667</v>
      </c>
      <c r="Q178" s="13" t="str">
        <f aca="false">IF(O178=0,"-",INDEX($B$169:$M$169,MATCH(O178,B178:M178,0)))</f>
        <v>Dic</v>
      </c>
    </row>
    <row r="179" customFormat="false" ht="14.25" hidden="false" customHeight="true" outlineLevel="0" collapsed="false">
      <c r="A179" s="13" t="str">
        <f aca="false">parametros_manuales!$B$28</f>
        <v>Soldadura longitudinal TIG — 1 kg</v>
      </c>
      <c r="B179" s="14" t="n">
        <f aca="false">(parametros_manuales!$D$28*('Plan mensual'!D68+IF(parametros_manuales!$H$28="Todos",'Plan mensual'!D72,0))+parametros_manuales!$E$28*('Plan mensual'!D69+IF(parametros_manuales!$H$28="Todos",'Plan mensual'!D73,0))+parametros_manuales!$F$28*('Plan mensual'!D70+IF(parametros_manuales!$H$28="Todos",'Plan mensual'!D74,0))+parametros_manuales!$G$28*('Plan mensual'!D71+IF(parametros_manuales!$H$28="Todos",'Plan mensual'!D75,0)))*parametros_manuales!$I$28*parametros_manuales!$J$28</f>
        <v>14600.7783912</v>
      </c>
      <c r="C179" s="14" t="n">
        <f aca="false">(parametros_manuales!$D$28*('Plan mensual'!E68+IF(parametros_manuales!$H$28="Todos",'Plan mensual'!E72,0))+parametros_manuales!$E$28*('Plan mensual'!E69+IF(parametros_manuales!$H$28="Todos",'Plan mensual'!E73,0))+parametros_manuales!$F$28*('Plan mensual'!E70+IF(parametros_manuales!$H$28="Todos",'Plan mensual'!E74,0))+parametros_manuales!$G$28*('Plan mensual'!E71+IF(parametros_manuales!$H$28="Todos",'Plan mensual'!E75,0)))*parametros_manuales!$I$28*parametros_manuales!$J$28</f>
        <v>10950.5837934</v>
      </c>
      <c r="D179" s="14" t="n">
        <f aca="false">(parametros_manuales!$D$28*('Plan mensual'!F68+IF(parametros_manuales!$H$28="Todos",'Plan mensual'!F72,0))+parametros_manuales!$E$28*('Plan mensual'!F69+IF(parametros_manuales!$H$28="Todos",'Plan mensual'!F73,0))+parametros_manuales!$F$28*('Plan mensual'!F70+IF(parametros_manuales!$H$28="Todos",'Plan mensual'!F74,0))+parametros_manuales!$G$28*('Plan mensual'!F71+IF(parametros_manuales!$H$28="Todos",'Plan mensual'!F75,0)))*parametros_manuales!$I$28*parametros_manuales!$J$28</f>
        <v>9733.8522608</v>
      </c>
      <c r="E179" s="14" t="n">
        <f aca="false">(parametros_manuales!$D$28*('Plan mensual'!G68+IF(parametros_manuales!$H$28="Todos",'Plan mensual'!G72,0))+parametros_manuales!$E$28*('Plan mensual'!G69+IF(parametros_manuales!$H$28="Todos",'Plan mensual'!G73,0))+parametros_manuales!$F$28*('Plan mensual'!G70+IF(parametros_manuales!$H$28="Todos",'Plan mensual'!G74,0))+parametros_manuales!$G$28*('Plan mensual'!G71+IF(parametros_manuales!$H$28="Todos",'Plan mensual'!G75,0)))*parametros_manuales!$I$28*parametros_manuales!$J$28</f>
        <v>9125.4864945</v>
      </c>
      <c r="F179" s="14" t="n">
        <f aca="false">(parametros_manuales!$D$28*('Plan mensual'!H68+IF(parametros_manuales!$H$28="Todos",'Plan mensual'!H72,0))+parametros_manuales!$E$28*('Plan mensual'!H69+IF(parametros_manuales!$H$28="Todos",'Plan mensual'!H73,0))+parametros_manuales!$F$28*('Plan mensual'!H70+IF(parametros_manuales!$H$28="Todos",'Plan mensual'!H74,0))+parametros_manuales!$G$28*('Plan mensual'!H71+IF(parametros_manuales!$H$28="Todos",'Plan mensual'!H75,0)))*parametros_manuales!$I$28*parametros_manuales!$J$28</f>
        <v>8517.1207282</v>
      </c>
      <c r="G179" s="14" t="n">
        <f aca="false">(parametros_manuales!$D$28*('Plan mensual'!I68+IF(parametros_manuales!$H$28="Todos",'Plan mensual'!I72,0))+parametros_manuales!$E$28*('Plan mensual'!I69+IF(parametros_manuales!$H$28="Todos",'Plan mensual'!I73,0))+parametros_manuales!$F$28*('Plan mensual'!I70+IF(parametros_manuales!$H$28="Todos",'Plan mensual'!I74,0))+parametros_manuales!$G$28*('Plan mensual'!I71+IF(parametros_manuales!$H$28="Todos",'Plan mensual'!I75,0)))*parametros_manuales!$I$28*parametros_manuales!$J$28</f>
        <v>8517.1207282</v>
      </c>
      <c r="H179" s="14" t="n">
        <f aca="false">(parametros_manuales!$D$28*('Plan mensual'!J68+IF(parametros_manuales!$H$28="Todos",'Plan mensual'!J72,0))+parametros_manuales!$E$28*('Plan mensual'!J69+IF(parametros_manuales!$H$28="Todos",'Plan mensual'!J73,0))+parametros_manuales!$F$28*('Plan mensual'!J70+IF(parametros_manuales!$H$28="Todos",'Plan mensual'!J74,0))+parametros_manuales!$G$28*('Plan mensual'!J71+IF(parametros_manuales!$H$28="Todos",'Plan mensual'!J75,0)))*parametros_manuales!$I$28*parametros_manuales!$J$28</f>
        <v>9125.4864945</v>
      </c>
      <c r="I179" s="14" t="n">
        <f aca="false">(parametros_manuales!$D$28*('Plan mensual'!K68+IF(parametros_manuales!$H$28="Todos",'Plan mensual'!K72,0))+parametros_manuales!$E$28*('Plan mensual'!K69+IF(parametros_manuales!$H$28="Todos",'Plan mensual'!K73,0))+parametros_manuales!$F$28*('Plan mensual'!K70+IF(parametros_manuales!$H$28="Todos",'Plan mensual'!K74,0))+parametros_manuales!$G$28*('Plan mensual'!K71+IF(parametros_manuales!$H$28="Todos",'Plan mensual'!K75,0)))*parametros_manuales!$I$28*parametros_manuales!$J$28</f>
        <v>9125.4864945</v>
      </c>
      <c r="J179" s="14" t="n">
        <f aca="false">(parametros_manuales!$D$28*('Plan mensual'!L68+IF(parametros_manuales!$H$28="Todos",'Plan mensual'!L72,0))+parametros_manuales!$E$28*('Plan mensual'!L69+IF(parametros_manuales!$H$28="Todos",'Plan mensual'!L73,0))+parametros_manuales!$F$28*('Plan mensual'!L70+IF(parametros_manuales!$H$28="Todos",'Plan mensual'!L74,0))+parametros_manuales!$G$28*('Plan mensual'!L71+IF(parametros_manuales!$H$28="Todos",'Plan mensual'!L75,0)))*parametros_manuales!$I$28*parametros_manuales!$J$28</f>
        <v>9125.4864945</v>
      </c>
      <c r="K179" s="14" t="n">
        <f aca="false">(parametros_manuales!$D$28*('Plan mensual'!M68+IF(parametros_manuales!$H$28="Todos",'Plan mensual'!M72,0))+parametros_manuales!$E$28*('Plan mensual'!M69+IF(parametros_manuales!$H$28="Todos",'Plan mensual'!M73,0))+parametros_manuales!$F$28*('Plan mensual'!M70+IF(parametros_manuales!$H$28="Todos",'Plan mensual'!M74,0))+parametros_manuales!$G$28*('Plan mensual'!M71+IF(parametros_manuales!$H$28="Todos",'Plan mensual'!M75,0)))*parametros_manuales!$I$28*parametros_manuales!$J$28</f>
        <v>9125.4864945</v>
      </c>
      <c r="L179" s="14" t="n">
        <f aca="false">(parametros_manuales!$D$28*('Plan mensual'!N68+IF(parametros_manuales!$H$28="Todos",'Plan mensual'!N72,0))+parametros_manuales!$E$28*('Plan mensual'!N69+IF(parametros_manuales!$H$28="Todos",'Plan mensual'!N73,0))+parametros_manuales!$F$28*('Plan mensual'!N70+IF(parametros_manuales!$H$28="Todos",'Plan mensual'!N74,0))+parametros_manuales!$G$28*('Plan mensual'!N71+IF(parametros_manuales!$H$28="Todos",'Plan mensual'!N75,0)))*parametros_manuales!$I$28*parametros_manuales!$J$28</f>
        <v>9125.4864945</v>
      </c>
      <c r="M179" s="14" t="n">
        <f aca="false">(parametros_manuales!$D$28*('Plan mensual'!O68+IF(parametros_manuales!$H$28="Todos",'Plan mensual'!O72,0))+parametros_manuales!$E$28*('Plan mensual'!O69+IF(parametros_manuales!$H$28="Todos",'Plan mensual'!O73,0))+parametros_manuales!$F$28*('Plan mensual'!O70+IF(parametros_manuales!$H$28="Todos",'Plan mensual'!O74,0))+parametros_manuales!$G$28*('Plan mensual'!O71+IF(parametros_manuales!$H$28="Todos",'Plan mensual'!O75,0)))*parametros_manuales!$I$28*parametros_manuales!$J$28</f>
        <v>14600.7783912</v>
      </c>
      <c r="N179" s="14" t="n">
        <f aca="false">SUM(B179:M179)</f>
        <v>121673.15326</v>
      </c>
      <c r="O179" s="14" t="n">
        <f aca="false">MAX(B179:M179)</f>
        <v>14600.7783912</v>
      </c>
      <c r="P179" s="57" t="n">
        <f aca="false">O179/(parametros_manuales!$B$7)</f>
        <v>97.338522608</v>
      </c>
      <c r="Q179" s="13" t="str">
        <f aca="false">IF(O179=0,"-",INDEX($B$169:$M$169,MATCH(O179,B179:M179,0)))</f>
        <v>Ene</v>
      </c>
    </row>
    <row r="180" customFormat="false" ht="14.25" hidden="false" customHeight="true" outlineLevel="0" collapsed="false">
      <c r="A180" s="13" t="str">
        <f aca="false">parametros_manuales!$B$29</f>
        <v>Encastre de fondo</v>
      </c>
      <c r="B180" s="14" t="n">
        <f aca="false">(parametros_manuales!$D$29*('Plan mensual'!D68+IF(parametros_manuales!$H$29="Todos",'Plan mensual'!D72,0))+parametros_manuales!$E$29*('Plan mensual'!D69+IF(parametros_manuales!$H$29="Todos",'Plan mensual'!D73,0))+parametros_manuales!$F$29*('Plan mensual'!D70+IF(parametros_manuales!$H$29="Todos",'Plan mensual'!D74,0))+parametros_manuales!$G$29*('Plan mensual'!D71+IF(parametros_manuales!$H$29="Todos",'Plan mensual'!D75,0)))*parametros_manuales!$I$29*parametros_manuales!$J$29</f>
        <v>19511.4099821</v>
      </c>
      <c r="C180" s="14" t="n">
        <f aca="false">(parametros_manuales!$D$29*('Plan mensual'!E68+IF(parametros_manuales!$H$29="Todos",'Plan mensual'!E72,0))+parametros_manuales!$E$29*('Plan mensual'!E69+IF(parametros_manuales!$H$29="Todos",'Plan mensual'!E73,0))+parametros_manuales!$F$29*('Plan mensual'!E70+IF(parametros_manuales!$H$29="Todos",'Plan mensual'!E74,0))+parametros_manuales!$G$29*('Plan mensual'!E71+IF(parametros_manuales!$H$29="Todos",'Plan mensual'!E75,0)))*parametros_manuales!$I$29*parametros_manuales!$J$29</f>
        <v>14879.08906612</v>
      </c>
      <c r="D180" s="14" t="n">
        <f aca="false">(parametros_manuales!$D$29*('Plan mensual'!F68+IF(parametros_manuales!$H$29="Todos",'Plan mensual'!F72,0))+parametros_manuales!$E$29*('Plan mensual'!F69+IF(parametros_manuales!$H$29="Todos",'Plan mensual'!F73,0))+parametros_manuales!$F$29*('Plan mensual'!F70+IF(parametros_manuales!$H$29="Todos",'Plan mensual'!F74,0))+parametros_manuales!$G$29*('Plan mensual'!F71+IF(parametros_manuales!$H$29="Todos",'Plan mensual'!F75,0)))*parametros_manuales!$I$29*parametros_manuales!$J$29</f>
        <v>13907.889113065</v>
      </c>
      <c r="E180" s="14" t="n">
        <f aca="false">(parametros_manuales!$D$29*('Plan mensual'!G68+IF(parametros_manuales!$H$29="Todos",'Plan mensual'!G72,0))+parametros_manuales!$E$29*('Plan mensual'!G69+IF(parametros_manuales!$H$29="Todos",'Plan mensual'!G73,0))+parametros_manuales!$F$29*('Plan mensual'!G70+IF(parametros_manuales!$H$29="Todos",'Plan mensual'!G74,0))+parametros_manuales!$G$29*('Plan mensual'!G71+IF(parametros_manuales!$H$29="Todos",'Plan mensual'!G75,0)))*parametros_manuales!$I$29*parametros_manuales!$J$29</f>
        <v>13299.523346765</v>
      </c>
      <c r="F180" s="14" t="n">
        <f aca="false">(parametros_manuales!$D$29*('Plan mensual'!H68+IF(parametros_manuales!$H$29="Todos",'Plan mensual'!H72,0))+parametros_manuales!$E$29*('Plan mensual'!H69+IF(parametros_manuales!$H$29="Todos",'Plan mensual'!H73,0))+parametros_manuales!$F$29*('Plan mensual'!H70+IF(parametros_manuales!$H$29="Todos",'Plan mensual'!H74,0))+parametros_manuales!$G$29*('Plan mensual'!H71+IF(parametros_manuales!$H$29="Todos",'Plan mensual'!H75,0)))*parametros_manuales!$I$29*parametros_manuales!$J$29</f>
        <v>12445.62600092</v>
      </c>
      <c r="G180" s="14" t="n">
        <f aca="false">(parametros_manuales!$D$29*('Plan mensual'!I68+IF(parametros_manuales!$H$29="Todos",'Plan mensual'!I72,0))+parametros_manuales!$E$29*('Plan mensual'!I69+IF(parametros_manuales!$H$29="Todos",'Plan mensual'!I73,0))+parametros_manuales!$F$29*('Plan mensual'!I70+IF(parametros_manuales!$H$29="Todos",'Plan mensual'!I74,0))+parametros_manuales!$G$29*('Plan mensual'!I71+IF(parametros_manuales!$H$29="Todos",'Plan mensual'!I75,0)))*parametros_manuales!$I$29*parametros_manuales!$J$29</f>
        <v>12200.094421375</v>
      </c>
      <c r="H180" s="14" t="n">
        <f aca="false">(parametros_manuales!$D$29*('Plan mensual'!J68+IF(parametros_manuales!$H$29="Todos",'Plan mensual'!J72,0))+parametros_manuales!$E$29*('Plan mensual'!J69+IF(parametros_manuales!$H$29="Todos",'Plan mensual'!J73,0))+parametros_manuales!$F$29*('Plan mensual'!J70+IF(parametros_manuales!$H$29="Todos",'Plan mensual'!J74,0))+parametros_manuales!$G$29*('Plan mensual'!J71+IF(parametros_manuales!$H$29="Todos",'Plan mensual'!J75,0)))*parametros_manuales!$I$29*parametros_manuales!$J$29</f>
        <v>13053.99176722</v>
      </c>
      <c r="I180" s="14" t="n">
        <f aca="false">(parametros_manuales!$D$29*('Plan mensual'!K68+IF(parametros_manuales!$H$29="Todos",'Plan mensual'!K72,0))+parametros_manuales!$E$29*('Plan mensual'!K69+IF(parametros_manuales!$H$29="Todos",'Plan mensual'!K73,0))+parametros_manuales!$F$29*('Plan mensual'!K70+IF(parametros_manuales!$H$29="Todos",'Plan mensual'!K74,0))+parametros_manuales!$G$29*('Plan mensual'!K71+IF(parametros_manuales!$H$29="Todos",'Plan mensual'!K75,0)))*parametros_manuales!$I$29*parametros_manuales!$J$29</f>
        <v>13053.99176722</v>
      </c>
      <c r="J180" s="14" t="n">
        <f aca="false">(parametros_manuales!$D$29*('Plan mensual'!L68+IF(parametros_manuales!$H$29="Todos",'Plan mensual'!L72,0))+parametros_manuales!$E$29*('Plan mensual'!L69+IF(parametros_manuales!$H$29="Todos",'Plan mensual'!L73,0))+parametros_manuales!$F$29*('Plan mensual'!L70+IF(parametros_manuales!$H$29="Todos",'Plan mensual'!L74,0))+parametros_manuales!$G$29*('Plan mensual'!L71+IF(parametros_manuales!$H$29="Todos",'Plan mensual'!L75,0)))*parametros_manuales!$I$29*parametros_manuales!$J$29</f>
        <v>13053.99176722</v>
      </c>
      <c r="K180" s="14" t="n">
        <f aca="false">(parametros_manuales!$D$29*('Plan mensual'!M68+IF(parametros_manuales!$H$29="Todos",'Plan mensual'!M72,0))+parametros_manuales!$E$29*('Plan mensual'!M69+IF(parametros_manuales!$H$29="Todos",'Plan mensual'!M73,0))+parametros_manuales!$F$29*('Plan mensual'!M70+IF(parametros_manuales!$H$29="Todos",'Plan mensual'!M74,0))+parametros_manuales!$G$29*('Plan mensual'!M71+IF(parametros_manuales!$H$29="Todos",'Plan mensual'!M75,0)))*parametros_manuales!$I$29*parametros_manuales!$J$29</f>
        <v>12808.460187675</v>
      </c>
      <c r="L180" s="14" t="n">
        <f aca="false">(parametros_manuales!$D$29*('Plan mensual'!N68+IF(parametros_manuales!$H$29="Todos",'Plan mensual'!N72,0))+parametros_manuales!$E$29*('Plan mensual'!N69+IF(parametros_manuales!$H$29="Todos",'Plan mensual'!N73,0))+parametros_manuales!$F$29*('Plan mensual'!N70+IF(parametros_manuales!$H$29="Todos",'Plan mensual'!N74,0))+parametros_manuales!$G$29*('Plan mensual'!N71+IF(parametros_manuales!$H$29="Todos",'Plan mensual'!N75,0)))*parametros_manuales!$I$29*parametros_manuales!$J$29</f>
        <v>12562.92860813</v>
      </c>
      <c r="M180" s="14" t="n">
        <f aca="false">(parametros_manuales!$D$29*('Plan mensual'!O68+IF(parametros_manuales!$H$29="Todos",'Plan mensual'!O72,0))+parametros_manuales!$E$29*('Plan mensual'!O69+IF(parametros_manuales!$H$29="Todos",'Plan mensual'!O73,0))+parametros_manuales!$F$29*('Plan mensual'!O70+IF(parametros_manuales!$H$29="Todos",'Plan mensual'!O74,0))+parametros_manuales!$G$29*('Plan mensual'!O71+IF(parametros_manuales!$H$29="Todos",'Plan mensual'!O75,0)))*parametros_manuales!$I$29*parametros_manuales!$J$29</f>
        <v>20002.47314119</v>
      </c>
      <c r="N180" s="14" t="n">
        <f aca="false">SUM(B180:M180)</f>
        <v>170779.469169</v>
      </c>
      <c r="O180" s="14" t="n">
        <f aca="false">MAX(B180:M180)</f>
        <v>20002.47314119</v>
      </c>
      <c r="P180" s="57" t="n">
        <f aca="false">O180/(parametros_manuales!$B$7)</f>
        <v>133.349820941267</v>
      </c>
      <c r="Q180" s="13" t="str">
        <f aca="false">IF(O180=0,"-",INDEX($B$169:$M$169,MATCH(O180,B180:M180,0)))</f>
        <v>Dic</v>
      </c>
    </row>
    <row r="181" customFormat="false" ht="14.25" hidden="false" customHeight="true" outlineLevel="0" collapsed="false">
      <c r="A181" s="13" t="str">
        <f aca="false">parametros_manuales!$B$30</f>
        <v>Bordoneado</v>
      </c>
      <c r="B181" s="14" t="n">
        <f aca="false">(parametros_manuales!$D$30*('Plan mensual'!D68+IF(parametros_manuales!$H$30="Todos",'Plan mensual'!D72,0))+parametros_manuales!$E$30*('Plan mensual'!D69+IF(parametros_manuales!$H$30="Todos",'Plan mensual'!D73,0))+parametros_manuales!$F$30*('Plan mensual'!D70+IF(parametros_manuales!$H$30="Todos",'Plan mensual'!D74,0))+parametros_manuales!$G$30*('Plan mensual'!D71+IF(parametros_manuales!$H$30="Todos",'Plan mensual'!D75,0)))*parametros_manuales!$I$30*parametros_manuales!$J$30</f>
        <v>19511.4099821</v>
      </c>
      <c r="C181" s="14" t="n">
        <f aca="false">(parametros_manuales!$D$30*('Plan mensual'!E68+IF(parametros_manuales!$H$30="Todos",'Plan mensual'!E72,0))+parametros_manuales!$E$30*('Plan mensual'!E69+IF(parametros_manuales!$H$30="Todos",'Plan mensual'!E73,0))+parametros_manuales!$F$30*('Plan mensual'!E70+IF(parametros_manuales!$H$30="Todos",'Plan mensual'!E74,0))+parametros_manuales!$G$30*('Plan mensual'!E71+IF(parametros_manuales!$H$30="Todos",'Plan mensual'!E75,0)))*parametros_manuales!$I$30*parametros_manuales!$J$30</f>
        <v>14879.08906612</v>
      </c>
      <c r="D181" s="14" t="n">
        <f aca="false">(parametros_manuales!$D$30*('Plan mensual'!F68+IF(parametros_manuales!$H$30="Todos",'Plan mensual'!F72,0))+parametros_manuales!$E$30*('Plan mensual'!F69+IF(parametros_manuales!$H$30="Todos",'Plan mensual'!F73,0))+parametros_manuales!$F$30*('Plan mensual'!F70+IF(parametros_manuales!$H$30="Todos",'Plan mensual'!F74,0))+parametros_manuales!$G$30*('Plan mensual'!F71+IF(parametros_manuales!$H$30="Todos",'Plan mensual'!F75,0)))*parametros_manuales!$I$30*parametros_manuales!$J$30</f>
        <v>13907.889113065</v>
      </c>
      <c r="E181" s="14" t="n">
        <f aca="false">(parametros_manuales!$D$30*('Plan mensual'!G68+IF(parametros_manuales!$H$30="Todos",'Plan mensual'!G72,0))+parametros_manuales!$E$30*('Plan mensual'!G69+IF(parametros_manuales!$H$30="Todos",'Plan mensual'!G73,0))+parametros_manuales!$F$30*('Plan mensual'!G70+IF(parametros_manuales!$H$30="Todos",'Plan mensual'!G74,0))+parametros_manuales!$G$30*('Plan mensual'!G71+IF(parametros_manuales!$H$30="Todos",'Plan mensual'!G75,0)))*parametros_manuales!$I$30*parametros_manuales!$J$30</f>
        <v>13299.523346765</v>
      </c>
      <c r="F181" s="14" t="n">
        <f aca="false">(parametros_manuales!$D$30*('Plan mensual'!H68+IF(parametros_manuales!$H$30="Todos",'Plan mensual'!H72,0))+parametros_manuales!$E$30*('Plan mensual'!H69+IF(parametros_manuales!$H$30="Todos",'Plan mensual'!H73,0))+parametros_manuales!$F$30*('Plan mensual'!H70+IF(parametros_manuales!$H$30="Todos",'Plan mensual'!H74,0))+parametros_manuales!$G$30*('Plan mensual'!H71+IF(parametros_manuales!$H$30="Todos",'Plan mensual'!H75,0)))*parametros_manuales!$I$30*parametros_manuales!$J$30</f>
        <v>12445.62600092</v>
      </c>
      <c r="G181" s="14" t="n">
        <f aca="false">(parametros_manuales!$D$30*('Plan mensual'!I68+IF(parametros_manuales!$H$30="Todos",'Plan mensual'!I72,0))+parametros_manuales!$E$30*('Plan mensual'!I69+IF(parametros_manuales!$H$30="Todos",'Plan mensual'!I73,0))+parametros_manuales!$F$30*('Plan mensual'!I70+IF(parametros_manuales!$H$30="Todos",'Plan mensual'!I74,0))+parametros_manuales!$G$30*('Plan mensual'!I71+IF(parametros_manuales!$H$30="Todos",'Plan mensual'!I75,0)))*parametros_manuales!$I$30*parametros_manuales!$J$30</f>
        <v>12200.094421375</v>
      </c>
      <c r="H181" s="14" t="n">
        <f aca="false">(parametros_manuales!$D$30*('Plan mensual'!J68+IF(parametros_manuales!$H$30="Todos",'Plan mensual'!J72,0))+parametros_manuales!$E$30*('Plan mensual'!J69+IF(parametros_manuales!$H$30="Todos",'Plan mensual'!J73,0))+parametros_manuales!$F$30*('Plan mensual'!J70+IF(parametros_manuales!$H$30="Todos",'Plan mensual'!J74,0))+parametros_manuales!$G$30*('Plan mensual'!J71+IF(parametros_manuales!$H$30="Todos",'Plan mensual'!J75,0)))*parametros_manuales!$I$30*parametros_manuales!$J$30</f>
        <v>13053.99176722</v>
      </c>
      <c r="I181" s="14" t="n">
        <f aca="false">(parametros_manuales!$D$30*('Plan mensual'!K68+IF(parametros_manuales!$H$30="Todos",'Plan mensual'!K72,0))+parametros_manuales!$E$30*('Plan mensual'!K69+IF(parametros_manuales!$H$30="Todos",'Plan mensual'!K73,0))+parametros_manuales!$F$30*('Plan mensual'!K70+IF(parametros_manuales!$H$30="Todos",'Plan mensual'!K74,0))+parametros_manuales!$G$30*('Plan mensual'!K71+IF(parametros_manuales!$H$30="Todos",'Plan mensual'!K75,0)))*parametros_manuales!$I$30*parametros_manuales!$J$30</f>
        <v>13053.99176722</v>
      </c>
      <c r="J181" s="14" t="n">
        <f aca="false">(parametros_manuales!$D$30*('Plan mensual'!L68+IF(parametros_manuales!$H$30="Todos",'Plan mensual'!L72,0))+parametros_manuales!$E$30*('Plan mensual'!L69+IF(parametros_manuales!$H$30="Todos",'Plan mensual'!L73,0))+parametros_manuales!$F$30*('Plan mensual'!L70+IF(parametros_manuales!$H$30="Todos",'Plan mensual'!L74,0))+parametros_manuales!$G$30*('Plan mensual'!L71+IF(parametros_manuales!$H$30="Todos",'Plan mensual'!L75,0)))*parametros_manuales!$I$30*parametros_manuales!$J$30</f>
        <v>13053.99176722</v>
      </c>
      <c r="K181" s="14" t="n">
        <f aca="false">(parametros_manuales!$D$30*('Plan mensual'!M68+IF(parametros_manuales!$H$30="Todos",'Plan mensual'!M72,0))+parametros_manuales!$E$30*('Plan mensual'!M69+IF(parametros_manuales!$H$30="Todos",'Plan mensual'!M73,0))+parametros_manuales!$F$30*('Plan mensual'!M70+IF(parametros_manuales!$H$30="Todos",'Plan mensual'!M74,0))+parametros_manuales!$G$30*('Plan mensual'!M71+IF(parametros_manuales!$H$30="Todos",'Plan mensual'!M75,0)))*parametros_manuales!$I$30*parametros_manuales!$J$30</f>
        <v>12808.460187675</v>
      </c>
      <c r="L181" s="14" t="n">
        <f aca="false">(parametros_manuales!$D$30*('Plan mensual'!N68+IF(parametros_manuales!$H$30="Todos",'Plan mensual'!N72,0))+parametros_manuales!$E$30*('Plan mensual'!N69+IF(parametros_manuales!$H$30="Todos",'Plan mensual'!N73,0))+parametros_manuales!$F$30*('Plan mensual'!N70+IF(parametros_manuales!$H$30="Todos",'Plan mensual'!N74,0))+parametros_manuales!$G$30*('Plan mensual'!N71+IF(parametros_manuales!$H$30="Todos",'Plan mensual'!N75,0)))*parametros_manuales!$I$30*parametros_manuales!$J$30</f>
        <v>12562.92860813</v>
      </c>
      <c r="M181" s="14" t="n">
        <f aca="false">(parametros_manuales!$D$30*('Plan mensual'!O68+IF(parametros_manuales!$H$30="Todos",'Plan mensual'!O72,0))+parametros_manuales!$E$30*('Plan mensual'!O69+IF(parametros_manuales!$H$30="Todos",'Plan mensual'!O73,0))+parametros_manuales!$F$30*('Plan mensual'!O70+IF(parametros_manuales!$H$30="Todos",'Plan mensual'!O74,0))+parametros_manuales!$G$30*('Plan mensual'!O71+IF(parametros_manuales!$H$30="Todos",'Plan mensual'!O75,0)))*parametros_manuales!$I$30*parametros_manuales!$J$30</f>
        <v>20002.47314119</v>
      </c>
      <c r="N181" s="14" t="n">
        <f aca="false">SUM(B181:M181)</f>
        <v>170779.469169</v>
      </c>
      <c r="O181" s="14" t="n">
        <f aca="false">MAX(B181:M181)</f>
        <v>20002.47314119</v>
      </c>
      <c r="P181" s="57" t="n">
        <f aca="false">O181/(parametros_manuales!$B$7)</f>
        <v>133.349820941267</v>
      </c>
      <c r="Q181" s="13" t="str">
        <f aca="false">IF(O181=0,"-",INDEX($B$169:$M$169,MATCH(O181,B181:M181,0)))</f>
        <v>Dic</v>
      </c>
    </row>
    <row r="182" customFormat="false" ht="14.25" hidden="false" customHeight="true" outlineLevel="0" collapsed="false">
      <c r="A182" s="13" t="str">
        <f aca="false">parametros_manuales!$B$31</f>
        <v>Soldadura circunferencial de cúpula y fondo</v>
      </c>
      <c r="B182" s="14" t="n">
        <f aca="false">(parametros_manuales!$D$31*('Plan mensual'!D68+IF(parametros_manuales!$H$31="Todos",'Plan mensual'!D72,0))+parametros_manuales!$E$31*('Plan mensual'!D69+IF(parametros_manuales!$H$31="Todos",'Plan mensual'!D73,0))+parametros_manuales!$F$31*('Plan mensual'!D70+IF(parametros_manuales!$H$31="Todos",'Plan mensual'!D74,0))+parametros_manuales!$G$31*('Plan mensual'!D71+IF(parametros_manuales!$H$31="Todos",'Plan mensual'!D75,0)))*parametros_manuales!$I$31*parametros_manuales!$J$31</f>
        <v>19511.4099821</v>
      </c>
      <c r="C182" s="14" t="n">
        <f aca="false">(parametros_manuales!$D$31*('Plan mensual'!E68+IF(parametros_manuales!$H$31="Todos",'Plan mensual'!E72,0))+parametros_manuales!$E$31*('Plan mensual'!E69+IF(parametros_manuales!$H$31="Todos",'Plan mensual'!E73,0))+parametros_manuales!$F$31*('Plan mensual'!E70+IF(parametros_manuales!$H$31="Todos",'Plan mensual'!E74,0))+parametros_manuales!$G$31*('Plan mensual'!E71+IF(parametros_manuales!$H$31="Todos",'Plan mensual'!E75,0)))*parametros_manuales!$I$31*parametros_manuales!$J$31</f>
        <v>14879.08906612</v>
      </c>
      <c r="D182" s="14" t="n">
        <f aca="false">(parametros_manuales!$D$31*('Plan mensual'!F68+IF(parametros_manuales!$H$31="Todos",'Plan mensual'!F72,0))+parametros_manuales!$E$31*('Plan mensual'!F69+IF(parametros_manuales!$H$31="Todos",'Plan mensual'!F73,0))+parametros_manuales!$F$31*('Plan mensual'!F70+IF(parametros_manuales!$H$31="Todos",'Plan mensual'!F74,0))+parametros_manuales!$G$31*('Plan mensual'!F71+IF(parametros_manuales!$H$31="Todos",'Plan mensual'!F75,0)))*parametros_manuales!$I$31*parametros_manuales!$J$31</f>
        <v>13907.889113065</v>
      </c>
      <c r="E182" s="14" t="n">
        <f aca="false">(parametros_manuales!$D$31*('Plan mensual'!G68+IF(parametros_manuales!$H$31="Todos",'Plan mensual'!G72,0))+parametros_manuales!$E$31*('Plan mensual'!G69+IF(parametros_manuales!$H$31="Todos",'Plan mensual'!G73,0))+parametros_manuales!$F$31*('Plan mensual'!G70+IF(parametros_manuales!$H$31="Todos",'Plan mensual'!G74,0))+parametros_manuales!$G$31*('Plan mensual'!G71+IF(parametros_manuales!$H$31="Todos",'Plan mensual'!G75,0)))*parametros_manuales!$I$31*parametros_manuales!$J$31</f>
        <v>13299.523346765</v>
      </c>
      <c r="F182" s="14" t="n">
        <f aca="false">(parametros_manuales!$D$31*('Plan mensual'!H68+IF(parametros_manuales!$H$31="Todos",'Plan mensual'!H72,0))+parametros_manuales!$E$31*('Plan mensual'!H69+IF(parametros_manuales!$H$31="Todos",'Plan mensual'!H73,0))+parametros_manuales!$F$31*('Plan mensual'!H70+IF(parametros_manuales!$H$31="Todos",'Plan mensual'!H74,0))+parametros_manuales!$G$31*('Plan mensual'!H71+IF(parametros_manuales!$H$31="Todos",'Plan mensual'!H75,0)))*parametros_manuales!$I$31*parametros_manuales!$J$31</f>
        <v>12445.62600092</v>
      </c>
      <c r="G182" s="14" t="n">
        <f aca="false">(parametros_manuales!$D$31*('Plan mensual'!I68+IF(parametros_manuales!$H$31="Todos",'Plan mensual'!I72,0))+parametros_manuales!$E$31*('Plan mensual'!I69+IF(parametros_manuales!$H$31="Todos",'Plan mensual'!I73,0))+parametros_manuales!$F$31*('Plan mensual'!I70+IF(parametros_manuales!$H$31="Todos",'Plan mensual'!I74,0))+parametros_manuales!$G$31*('Plan mensual'!I71+IF(parametros_manuales!$H$31="Todos",'Plan mensual'!I75,0)))*parametros_manuales!$I$31*parametros_manuales!$J$31</f>
        <v>12200.094421375</v>
      </c>
      <c r="H182" s="14" t="n">
        <f aca="false">(parametros_manuales!$D$31*('Plan mensual'!J68+IF(parametros_manuales!$H$31="Todos",'Plan mensual'!J72,0))+parametros_manuales!$E$31*('Plan mensual'!J69+IF(parametros_manuales!$H$31="Todos",'Plan mensual'!J73,0))+parametros_manuales!$F$31*('Plan mensual'!J70+IF(parametros_manuales!$H$31="Todos",'Plan mensual'!J74,0))+parametros_manuales!$G$31*('Plan mensual'!J71+IF(parametros_manuales!$H$31="Todos",'Plan mensual'!J75,0)))*parametros_manuales!$I$31*parametros_manuales!$J$31</f>
        <v>13053.99176722</v>
      </c>
      <c r="I182" s="14" t="n">
        <f aca="false">(parametros_manuales!$D$31*('Plan mensual'!K68+IF(parametros_manuales!$H$31="Todos",'Plan mensual'!K72,0))+parametros_manuales!$E$31*('Plan mensual'!K69+IF(parametros_manuales!$H$31="Todos",'Plan mensual'!K73,0))+parametros_manuales!$F$31*('Plan mensual'!K70+IF(parametros_manuales!$H$31="Todos",'Plan mensual'!K74,0))+parametros_manuales!$G$31*('Plan mensual'!K71+IF(parametros_manuales!$H$31="Todos",'Plan mensual'!K75,0)))*parametros_manuales!$I$31*parametros_manuales!$J$31</f>
        <v>13053.99176722</v>
      </c>
      <c r="J182" s="14" t="n">
        <f aca="false">(parametros_manuales!$D$31*('Plan mensual'!L68+IF(parametros_manuales!$H$31="Todos",'Plan mensual'!L72,0))+parametros_manuales!$E$31*('Plan mensual'!L69+IF(parametros_manuales!$H$31="Todos",'Plan mensual'!L73,0))+parametros_manuales!$F$31*('Plan mensual'!L70+IF(parametros_manuales!$H$31="Todos",'Plan mensual'!L74,0))+parametros_manuales!$G$31*('Plan mensual'!L71+IF(parametros_manuales!$H$31="Todos",'Plan mensual'!L75,0)))*parametros_manuales!$I$31*parametros_manuales!$J$31</f>
        <v>13053.99176722</v>
      </c>
      <c r="K182" s="14" t="n">
        <f aca="false">(parametros_manuales!$D$31*('Plan mensual'!M68+IF(parametros_manuales!$H$31="Todos",'Plan mensual'!M72,0))+parametros_manuales!$E$31*('Plan mensual'!M69+IF(parametros_manuales!$H$31="Todos",'Plan mensual'!M73,0))+parametros_manuales!$F$31*('Plan mensual'!M70+IF(parametros_manuales!$H$31="Todos",'Plan mensual'!M74,0))+parametros_manuales!$G$31*('Plan mensual'!M71+IF(parametros_manuales!$H$31="Todos",'Plan mensual'!M75,0)))*parametros_manuales!$I$31*parametros_manuales!$J$31</f>
        <v>12808.460187675</v>
      </c>
      <c r="L182" s="14" t="n">
        <f aca="false">(parametros_manuales!$D$31*('Plan mensual'!N68+IF(parametros_manuales!$H$31="Todos",'Plan mensual'!N72,0))+parametros_manuales!$E$31*('Plan mensual'!N69+IF(parametros_manuales!$H$31="Todos",'Plan mensual'!N73,0))+parametros_manuales!$F$31*('Plan mensual'!N70+IF(parametros_manuales!$H$31="Todos",'Plan mensual'!N74,0))+parametros_manuales!$G$31*('Plan mensual'!N71+IF(parametros_manuales!$H$31="Todos",'Plan mensual'!N75,0)))*parametros_manuales!$I$31*parametros_manuales!$J$31</f>
        <v>12562.92860813</v>
      </c>
      <c r="M182" s="14" t="n">
        <f aca="false">(parametros_manuales!$D$31*('Plan mensual'!O68+IF(parametros_manuales!$H$31="Todos",'Plan mensual'!O72,0))+parametros_manuales!$E$31*('Plan mensual'!O69+IF(parametros_manuales!$H$31="Todos",'Plan mensual'!O73,0))+parametros_manuales!$F$31*('Plan mensual'!O70+IF(parametros_manuales!$H$31="Todos",'Plan mensual'!O74,0))+parametros_manuales!$G$31*('Plan mensual'!O71+IF(parametros_manuales!$H$31="Todos",'Plan mensual'!O75,0)))*parametros_manuales!$I$31*parametros_manuales!$J$31</f>
        <v>20002.47314119</v>
      </c>
      <c r="N182" s="14" t="n">
        <f aca="false">SUM(B182:M182)</f>
        <v>170779.469169</v>
      </c>
      <c r="O182" s="14" t="n">
        <f aca="false">MAX(B182:M182)</f>
        <v>20002.47314119</v>
      </c>
      <c r="P182" s="57" t="n">
        <f aca="false">O182/(parametros_manuales!$B$7)</f>
        <v>133.349820941267</v>
      </c>
      <c r="Q182" s="13" t="str">
        <f aca="false">IF(O182=0,"-",INDEX($B$169:$M$169,MATCH(O182,B182:M182,0)))</f>
        <v>Dic</v>
      </c>
    </row>
    <row r="183" customFormat="false" ht="14.25" hidden="false" customHeight="true" outlineLevel="0" collapsed="false">
      <c r="A183" s="13" t="str">
        <f aca="false">parametros_manuales!$B$32</f>
        <v>Control de calidad — Espesor</v>
      </c>
      <c r="B183" s="14" t="n">
        <f aca="false">(parametros_manuales!$D$32*('Plan mensual'!D68+IF(parametros_manuales!$H$32="Todos",'Plan mensual'!D72,0))+parametros_manuales!$E$32*('Plan mensual'!D69+IF(parametros_manuales!$H$32="Todos",'Plan mensual'!D73,0))+parametros_manuales!$F$32*('Plan mensual'!D70+IF(parametros_manuales!$H$32="Todos",'Plan mensual'!D74,0))+parametros_manuales!$G$32*('Plan mensual'!D71+IF(parametros_manuales!$H$32="Todos",'Plan mensual'!D75,0)))*parametros_manuales!$I$32*parametros_manuales!$J$32</f>
        <v>390.228199642</v>
      </c>
      <c r="C183" s="14" t="n">
        <f aca="false">(parametros_manuales!$D$32*('Plan mensual'!E68+IF(parametros_manuales!$H$32="Todos",'Plan mensual'!E72,0))+parametros_manuales!$E$32*('Plan mensual'!E69+IF(parametros_manuales!$H$32="Todos",'Plan mensual'!E73,0))+parametros_manuales!$F$32*('Plan mensual'!E70+IF(parametros_manuales!$H$32="Todos",'Plan mensual'!E74,0))+parametros_manuales!$G$32*('Plan mensual'!E71+IF(parametros_manuales!$H$32="Todos",'Plan mensual'!E75,0)))*parametros_manuales!$I$32*parametros_manuales!$J$32</f>
        <v>297.5817813224</v>
      </c>
      <c r="D183" s="14" t="n">
        <f aca="false">(parametros_manuales!$D$32*('Plan mensual'!F68+IF(parametros_manuales!$H$32="Todos",'Plan mensual'!F72,0))+parametros_manuales!$E$32*('Plan mensual'!F69+IF(parametros_manuales!$H$32="Todos",'Plan mensual'!F73,0))+parametros_manuales!$F$32*('Plan mensual'!F70+IF(parametros_manuales!$H$32="Todos",'Plan mensual'!F74,0))+parametros_manuales!$G$32*('Plan mensual'!F71+IF(parametros_manuales!$H$32="Todos",'Plan mensual'!F75,0)))*parametros_manuales!$I$32*parametros_manuales!$J$32</f>
        <v>278.1577822613</v>
      </c>
      <c r="E183" s="14" t="n">
        <f aca="false">(parametros_manuales!$D$32*('Plan mensual'!G68+IF(parametros_manuales!$H$32="Todos",'Plan mensual'!G72,0))+parametros_manuales!$E$32*('Plan mensual'!G69+IF(parametros_manuales!$H$32="Todos",'Plan mensual'!G73,0))+parametros_manuales!$F$32*('Plan mensual'!G70+IF(parametros_manuales!$H$32="Todos",'Plan mensual'!G74,0))+parametros_manuales!$G$32*('Plan mensual'!G71+IF(parametros_manuales!$H$32="Todos",'Plan mensual'!G75,0)))*parametros_manuales!$I$32*parametros_manuales!$J$32</f>
        <v>265.9904669353</v>
      </c>
      <c r="F183" s="14" t="n">
        <f aca="false">(parametros_manuales!$D$32*('Plan mensual'!H68+IF(parametros_manuales!$H$32="Todos",'Plan mensual'!H72,0))+parametros_manuales!$E$32*('Plan mensual'!H69+IF(parametros_manuales!$H$32="Todos",'Plan mensual'!H73,0))+parametros_manuales!$F$32*('Plan mensual'!H70+IF(parametros_manuales!$H$32="Todos",'Plan mensual'!H74,0))+parametros_manuales!$G$32*('Plan mensual'!H71+IF(parametros_manuales!$H$32="Todos",'Plan mensual'!H75,0)))*parametros_manuales!$I$32*parametros_manuales!$J$32</f>
        <v>248.9125200184</v>
      </c>
      <c r="G183" s="14" t="n">
        <f aca="false">(parametros_manuales!$D$32*('Plan mensual'!I68+IF(parametros_manuales!$H$32="Todos",'Plan mensual'!I72,0))+parametros_manuales!$E$32*('Plan mensual'!I69+IF(parametros_manuales!$H$32="Todos",'Plan mensual'!I73,0))+parametros_manuales!$F$32*('Plan mensual'!I70+IF(parametros_manuales!$H$32="Todos",'Plan mensual'!I74,0))+parametros_manuales!$G$32*('Plan mensual'!I71+IF(parametros_manuales!$H$32="Todos",'Plan mensual'!I75,0)))*parametros_manuales!$I$32*parametros_manuales!$J$32</f>
        <v>244.0018884275</v>
      </c>
      <c r="H183" s="14" t="n">
        <f aca="false">(parametros_manuales!$D$32*('Plan mensual'!J68+IF(parametros_manuales!$H$32="Todos",'Plan mensual'!J72,0))+parametros_manuales!$E$32*('Plan mensual'!J69+IF(parametros_manuales!$H$32="Todos",'Plan mensual'!J73,0))+parametros_manuales!$F$32*('Plan mensual'!J70+IF(parametros_manuales!$H$32="Todos",'Plan mensual'!J74,0))+parametros_manuales!$G$32*('Plan mensual'!J71+IF(parametros_manuales!$H$32="Todos",'Plan mensual'!J75,0)))*parametros_manuales!$I$32*parametros_manuales!$J$32</f>
        <v>261.0798353444</v>
      </c>
      <c r="I183" s="14" t="n">
        <f aca="false">(parametros_manuales!$D$32*('Plan mensual'!K68+IF(parametros_manuales!$H$32="Todos",'Plan mensual'!K72,0))+parametros_manuales!$E$32*('Plan mensual'!K69+IF(parametros_manuales!$H$32="Todos",'Plan mensual'!K73,0))+parametros_manuales!$F$32*('Plan mensual'!K70+IF(parametros_manuales!$H$32="Todos",'Plan mensual'!K74,0))+parametros_manuales!$G$32*('Plan mensual'!K71+IF(parametros_manuales!$H$32="Todos",'Plan mensual'!K75,0)))*parametros_manuales!$I$32*parametros_manuales!$J$32</f>
        <v>261.0798353444</v>
      </c>
      <c r="J183" s="14" t="n">
        <f aca="false">(parametros_manuales!$D$32*('Plan mensual'!L68+IF(parametros_manuales!$H$32="Todos",'Plan mensual'!L72,0))+parametros_manuales!$E$32*('Plan mensual'!L69+IF(parametros_manuales!$H$32="Todos",'Plan mensual'!L73,0))+parametros_manuales!$F$32*('Plan mensual'!L70+IF(parametros_manuales!$H$32="Todos",'Plan mensual'!L74,0))+parametros_manuales!$G$32*('Plan mensual'!L71+IF(parametros_manuales!$H$32="Todos",'Plan mensual'!L75,0)))*parametros_manuales!$I$32*parametros_manuales!$J$32</f>
        <v>261.0798353444</v>
      </c>
      <c r="K183" s="14" t="n">
        <f aca="false">(parametros_manuales!$D$32*('Plan mensual'!M68+IF(parametros_manuales!$H$32="Todos",'Plan mensual'!M72,0))+parametros_manuales!$E$32*('Plan mensual'!M69+IF(parametros_manuales!$H$32="Todos",'Plan mensual'!M73,0))+parametros_manuales!$F$32*('Plan mensual'!M70+IF(parametros_manuales!$H$32="Todos",'Plan mensual'!M74,0))+parametros_manuales!$G$32*('Plan mensual'!M71+IF(parametros_manuales!$H$32="Todos",'Plan mensual'!M75,0)))*parametros_manuales!$I$32*parametros_manuales!$J$32</f>
        <v>256.1692037535</v>
      </c>
      <c r="L183" s="14" t="n">
        <f aca="false">(parametros_manuales!$D$32*('Plan mensual'!N68+IF(parametros_manuales!$H$32="Todos",'Plan mensual'!N72,0))+parametros_manuales!$E$32*('Plan mensual'!N69+IF(parametros_manuales!$H$32="Todos",'Plan mensual'!N73,0))+parametros_manuales!$F$32*('Plan mensual'!N70+IF(parametros_manuales!$H$32="Todos",'Plan mensual'!N74,0))+parametros_manuales!$G$32*('Plan mensual'!N71+IF(parametros_manuales!$H$32="Todos",'Plan mensual'!N75,0)))*parametros_manuales!$I$32*parametros_manuales!$J$32</f>
        <v>251.2585721626</v>
      </c>
      <c r="M183" s="14" t="n">
        <f aca="false">(parametros_manuales!$D$32*('Plan mensual'!O68+IF(parametros_manuales!$H$32="Todos",'Plan mensual'!O72,0))+parametros_manuales!$E$32*('Plan mensual'!O69+IF(parametros_manuales!$H$32="Todos",'Plan mensual'!O73,0))+parametros_manuales!$F$32*('Plan mensual'!O70+IF(parametros_manuales!$H$32="Todos",'Plan mensual'!O74,0))+parametros_manuales!$G$32*('Plan mensual'!O71+IF(parametros_manuales!$H$32="Todos",'Plan mensual'!O75,0)))*parametros_manuales!$I$32*parametros_manuales!$J$32</f>
        <v>400.0494628238</v>
      </c>
      <c r="N183" s="14" t="n">
        <f aca="false">SUM(B183:M183)</f>
        <v>3415.58938338</v>
      </c>
      <c r="O183" s="14" t="n">
        <f aca="false">MAX(B183:M183)</f>
        <v>400.0494628238</v>
      </c>
      <c r="P183" s="57" t="n">
        <f aca="false">O183/(parametros_manuales!$B$7)</f>
        <v>2.66699641882533</v>
      </c>
      <c r="Q183" s="13" t="str">
        <f aca="false">IF(O183=0,"-",INDEX($B$169:$M$169,MATCH(O183,B183:M183,0)))</f>
        <v>Dic</v>
      </c>
    </row>
    <row r="184" customFormat="false" ht="14.25" hidden="false" customHeight="true" outlineLevel="0" collapsed="false">
      <c r="A184" s="13" t="str">
        <f aca="false">parametros_manuales!$B$33</f>
        <v>Prueba hidráulica</v>
      </c>
      <c r="B184" s="14" t="n">
        <f aca="false">(parametros_manuales!$D$33*('Plan mensual'!D68+IF(parametros_manuales!$H$33="Todos",'Plan mensual'!D72,0))+parametros_manuales!$E$33*('Plan mensual'!D69+IF(parametros_manuales!$H$33="Todos",'Plan mensual'!D73,0))+parametros_manuales!$F$33*('Plan mensual'!D70+IF(parametros_manuales!$H$33="Todos",'Plan mensual'!D74,0))+parametros_manuales!$G$33*('Plan mensual'!D71+IF(parametros_manuales!$H$33="Todos",'Plan mensual'!D75,0)))*parametros_manuales!$I$33*parametros_manuales!$J$33</f>
        <v>19511.4099821</v>
      </c>
      <c r="C184" s="14" t="n">
        <f aca="false">(parametros_manuales!$D$33*('Plan mensual'!E68+IF(parametros_manuales!$H$33="Todos",'Plan mensual'!E72,0))+parametros_manuales!$E$33*('Plan mensual'!E69+IF(parametros_manuales!$H$33="Todos",'Plan mensual'!E73,0))+parametros_manuales!$F$33*('Plan mensual'!E70+IF(parametros_manuales!$H$33="Todos",'Plan mensual'!E74,0))+parametros_manuales!$G$33*('Plan mensual'!E71+IF(parametros_manuales!$H$33="Todos",'Plan mensual'!E75,0)))*parametros_manuales!$I$33*parametros_manuales!$J$33</f>
        <v>14879.08906612</v>
      </c>
      <c r="D184" s="14" t="n">
        <f aca="false">(parametros_manuales!$D$33*('Plan mensual'!F68+IF(parametros_manuales!$H$33="Todos",'Plan mensual'!F72,0))+parametros_manuales!$E$33*('Plan mensual'!F69+IF(parametros_manuales!$H$33="Todos",'Plan mensual'!F73,0))+parametros_manuales!$F$33*('Plan mensual'!F70+IF(parametros_manuales!$H$33="Todos",'Plan mensual'!F74,0))+parametros_manuales!$G$33*('Plan mensual'!F71+IF(parametros_manuales!$H$33="Todos",'Plan mensual'!F75,0)))*parametros_manuales!$I$33*parametros_manuales!$J$33</f>
        <v>13907.889113065</v>
      </c>
      <c r="E184" s="14" t="n">
        <f aca="false">(parametros_manuales!$D$33*('Plan mensual'!G68+IF(parametros_manuales!$H$33="Todos",'Plan mensual'!G72,0))+parametros_manuales!$E$33*('Plan mensual'!G69+IF(parametros_manuales!$H$33="Todos",'Plan mensual'!G73,0))+parametros_manuales!$F$33*('Plan mensual'!G70+IF(parametros_manuales!$H$33="Todos",'Plan mensual'!G74,0))+parametros_manuales!$G$33*('Plan mensual'!G71+IF(parametros_manuales!$H$33="Todos",'Plan mensual'!G75,0)))*parametros_manuales!$I$33*parametros_manuales!$J$33</f>
        <v>13299.523346765</v>
      </c>
      <c r="F184" s="14" t="n">
        <f aca="false">(parametros_manuales!$D$33*('Plan mensual'!H68+IF(parametros_manuales!$H$33="Todos",'Plan mensual'!H72,0))+parametros_manuales!$E$33*('Plan mensual'!H69+IF(parametros_manuales!$H$33="Todos",'Plan mensual'!H73,0))+parametros_manuales!$F$33*('Plan mensual'!H70+IF(parametros_manuales!$H$33="Todos",'Plan mensual'!H74,0))+parametros_manuales!$G$33*('Plan mensual'!H71+IF(parametros_manuales!$H$33="Todos",'Plan mensual'!H75,0)))*parametros_manuales!$I$33*parametros_manuales!$J$33</f>
        <v>12445.62600092</v>
      </c>
      <c r="G184" s="14" t="n">
        <f aca="false">(parametros_manuales!$D$33*('Plan mensual'!I68+IF(parametros_manuales!$H$33="Todos",'Plan mensual'!I72,0))+parametros_manuales!$E$33*('Plan mensual'!I69+IF(parametros_manuales!$H$33="Todos",'Plan mensual'!I73,0))+parametros_manuales!$F$33*('Plan mensual'!I70+IF(parametros_manuales!$H$33="Todos",'Plan mensual'!I74,0))+parametros_manuales!$G$33*('Plan mensual'!I71+IF(parametros_manuales!$H$33="Todos",'Plan mensual'!I75,0)))*parametros_manuales!$I$33*parametros_manuales!$J$33</f>
        <v>12200.094421375</v>
      </c>
      <c r="H184" s="14" t="n">
        <f aca="false">(parametros_manuales!$D$33*('Plan mensual'!J68+IF(parametros_manuales!$H$33="Todos",'Plan mensual'!J72,0))+parametros_manuales!$E$33*('Plan mensual'!J69+IF(parametros_manuales!$H$33="Todos",'Plan mensual'!J73,0))+parametros_manuales!$F$33*('Plan mensual'!J70+IF(parametros_manuales!$H$33="Todos",'Plan mensual'!J74,0))+parametros_manuales!$G$33*('Plan mensual'!J71+IF(parametros_manuales!$H$33="Todos",'Plan mensual'!J75,0)))*parametros_manuales!$I$33*parametros_manuales!$J$33</f>
        <v>13053.99176722</v>
      </c>
      <c r="I184" s="14" t="n">
        <f aca="false">(parametros_manuales!$D$33*('Plan mensual'!K68+IF(parametros_manuales!$H$33="Todos",'Plan mensual'!K72,0))+parametros_manuales!$E$33*('Plan mensual'!K69+IF(parametros_manuales!$H$33="Todos",'Plan mensual'!K73,0))+parametros_manuales!$F$33*('Plan mensual'!K70+IF(parametros_manuales!$H$33="Todos",'Plan mensual'!K74,0))+parametros_manuales!$G$33*('Plan mensual'!K71+IF(parametros_manuales!$H$33="Todos",'Plan mensual'!K75,0)))*parametros_manuales!$I$33*parametros_manuales!$J$33</f>
        <v>13053.99176722</v>
      </c>
      <c r="J184" s="14" t="n">
        <f aca="false">(parametros_manuales!$D$33*('Plan mensual'!L68+IF(parametros_manuales!$H$33="Todos",'Plan mensual'!L72,0))+parametros_manuales!$E$33*('Plan mensual'!L69+IF(parametros_manuales!$H$33="Todos",'Plan mensual'!L73,0))+parametros_manuales!$F$33*('Plan mensual'!L70+IF(parametros_manuales!$H$33="Todos",'Plan mensual'!L74,0))+parametros_manuales!$G$33*('Plan mensual'!L71+IF(parametros_manuales!$H$33="Todos",'Plan mensual'!L75,0)))*parametros_manuales!$I$33*parametros_manuales!$J$33</f>
        <v>13053.99176722</v>
      </c>
      <c r="K184" s="14" t="n">
        <f aca="false">(parametros_manuales!$D$33*('Plan mensual'!M68+IF(parametros_manuales!$H$33="Todos",'Plan mensual'!M72,0))+parametros_manuales!$E$33*('Plan mensual'!M69+IF(parametros_manuales!$H$33="Todos",'Plan mensual'!M73,0))+parametros_manuales!$F$33*('Plan mensual'!M70+IF(parametros_manuales!$H$33="Todos",'Plan mensual'!M74,0))+parametros_manuales!$G$33*('Plan mensual'!M71+IF(parametros_manuales!$H$33="Todos",'Plan mensual'!M75,0)))*parametros_manuales!$I$33*parametros_manuales!$J$33</f>
        <v>12808.460187675</v>
      </c>
      <c r="L184" s="14" t="n">
        <f aca="false">(parametros_manuales!$D$33*('Plan mensual'!N68+IF(parametros_manuales!$H$33="Todos",'Plan mensual'!N72,0))+parametros_manuales!$E$33*('Plan mensual'!N69+IF(parametros_manuales!$H$33="Todos",'Plan mensual'!N73,0))+parametros_manuales!$F$33*('Plan mensual'!N70+IF(parametros_manuales!$H$33="Todos",'Plan mensual'!N74,0))+parametros_manuales!$G$33*('Plan mensual'!N71+IF(parametros_manuales!$H$33="Todos",'Plan mensual'!N75,0)))*parametros_manuales!$I$33*parametros_manuales!$J$33</f>
        <v>12562.92860813</v>
      </c>
      <c r="M184" s="14" t="n">
        <f aca="false">(parametros_manuales!$D$33*('Plan mensual'!O68+IF(parametros_manuales!$H$33="Todos",'Plan mensual'!O72,0))+parametros_manuales!$E$33*('Plan mensual'!O69+IF(parametros_manuales!$H$33="Todos",'Plan mensual'!O73,0))+parametros_manuales!$F$33*('Plan mensual'!O70+IF(parametros_manuales!$H$33="Todos",'Plan mensual'!O74,0))+parametros_manuales!$G$33*('Plan mensual'!O71+IF(parametros_manuales!$H$33="Todos",'Plan mensual'!O75,0)))*parametros_manuales!$I$33*parametros_manuales!$J$33</f>
        <v>20002.47314119</v>
      </c>
      <c r="N184" s="14" t="n">
        <f aca="false">SUM(B184:M184)</f>
        <v>170779.469169</v>
      </c>
      <c r="O184" s="14" t="n">
        <f aca="false">MAX(B184:M184)</f>
        <v>20002.47314119</v>
      </c>
      <c r="P184" s="57" t="n">
        <f aca="false">O184/(parametros_manuales!$B$7)</f>
        <v>133.349820941267</v>
      </c>
      <c r="Q184" s="13" t="str">
        <f aca="false">IF(O184=0,"-",INDEX($B$169:$M$169,MATCH(O184,B184:M184,0)))</f>
        <v>Dic</v>
      </c>
    </row>
    <row r="185" customFormat="false" ht="14.25" hidden="false" customHeight="true" outlineLevel="0" collapsed="false">
      <c r="A185" s="13" t="str">
        <f aca="false">parametros_manuales!$B$34</f>
        <v>Secado</v>
      </c>
      <c r="B185" s="14" t="n">
        <f aca="false">(parametros_manuales!$D$34*('Plan mensual'!D68+IF(parametros_manuales!$H$34="Todos",'Plan mensual'!D72,0))+parametros_manuales!$E$34*('Plan mensual'!D69+IF(parametros_manuales!$H$34="Todos",'Plan mensual'!D73,0))+parametros_manuales!$F$34*('Plan mensual'!D70+IF(parametros_manuales!$H$34="Todos",'Plan mensual'!D74,0))+parametros_manuales!$G$34*('Plan mensual'!D71+IF(parametros_manuales!$H$34="Todos",'Plan mensual'!D75,0)))*parametros_manuales!$I$34*parametros_manuales!$J$34</f>
        <v>19511.4099821</v>
      </c>
      <c r="C185" s="14" t="n">
        <f aca="false">(parametros_manuales!$D$34*('Plan mensual'!E68+IF(parametros_manuales!$H$34="Todos",'Plan mensual'!E72,0))+parametros_manuales!$E$34*('Plan mensual'!E69+IF(parametros_manuales!$H$34="Todos",'Plan mensual'!E73,0))+parametros_manuales!$F$34*('Plan mensual'!E70+IF(parametros_manuales!$H$34="Todos",'Plan mensual'!E74,0))+parametros_manuales!$G$34*('Plan mensual'!E71+IF(parametros_manuales!$H$34="Todos",'Plan mensual'!E75,0)))*parametros_manuales!$I$34*parametros_manuales!$J$34</f>
        <v>14879.08906612</v>
      </c>
      <c r="D185" s="14" t="n">
        <f aca="false">(parametros_manuales!$D$34*('Plan mensual'!F68+IF(parametros_manuales!$H$34="Todos",'Plan mensual'!F72,0))+parametros_manuales!$E$34*('Plan mensual'!F69+IF(parametros_manuales!$H$34="Todos",'Plan mensual'!F73,0))+parametros_manuales!$F$34*('Plan mensual'!F70+IF(parametros_manuales!$H$34="Todos",'Plan mensual'!F74,0))+parametros_manuales!$G$34*('Plan mensual'!F71+IF(parametros_manuales!$H$34="Todos",'Plan mensual'!F75,0)))*parametros_manuales!$I$34*parametros_manuales!$J$34</f>
        <v>13907.889113065</v>
      </c>
      <c r="E185" s="14" t="n">
        <f aca="false">(parametros_manuales!$D$34*('Plan mensual'!G68+IF(parametros_manuales!$H$34="Todos",'Plan mensual'!G72,0))+parametros_manuales!$E$34*('Plan mensual'!G69+IF(parametros_manuales!$H$34="Todos",'Plan mensual'!G73,0))+parametros_manuales!$F$34*('Plan mensual'!G70+IF(parametros_manuales!$H$34="Todos",'Plan mensual'!G74,0))+parametros_manuales!$G$34*('Plan mensual'!G71+IF(parametros_manuales!$H$34="Todos",'Plan mensual'!G75,0)))*parametros_manuales!$I$34*parametros_manuales!$J$34</f>
        <v>13299.523346765</v>
      </c>
      <c r="F185" s="14" t="n">
        <f aca="false">(parametros_manuales!$D$34*('Plan mensual'!H68+IF(parametros_manuales!$H$34="Todos",'Plan mensual'!H72,0))+parametros_manuales!$E$34*('Plan mensual'!H69+IF(parametros_manuales!$H$34="Todos",'Plan mensual'!H73,0))+parametros_manuales!$F$34*('Plan mensual'!H70+IF(parametros_manuales!$H$34="Todos",'Plan mensual'!H74,0))+parametros_manuales!$G$34*('Plan mensual'!H71+IF(parametros_manuales!$H$34="Todos",'Plan mensual'!H75,0)))*parametros_manuales!$I$34*parametros_manuales!$J$34</f>
        <v>12445.62600092</v>
      </c>
      <c r="G185" s="14" t="n">
        <f aca="false">(parametros_manuales!$D$34*('Plan mensual'!I68+IF(parametros_manuales!$H$34="Todos",'Plan mensual'!I72,0))+parametros_manuales!$E$34*('Plan mensual'!I69+IF(parametros_manuales!$H$34="Todos",'Plan mensual'!I73,0))+parametros_manuales!$F$34*('Plan mensual'!I70+IF(parametros_manuales!$H$34="Todos",'Plan mensual'!I74,0))+parametros_manuales!$G$34*('Plan mensual'!I71+IF(parametros_manuales!$H$34="Todos",'Plan mensual'!I75,0)))*parametros_manuales!$I$34*parametros_manuales!$J$34</f>
        <v>12200.094421375</v>
      </c>
      <c r="H185" s="14" t="n">
        <f aca="false">(parametros_manuales!$D$34*('Plan mensual'!J68+IF(parametros_manuales!$H$34="Todos",'Plan mensual'!J72,0))+parametros_manuales!$E$34*('Plan mensual'!J69+IF(parametros_manuales!$H$34="Todos",'Plan mensual'!J73,0))+parametros_manuales!$F$34*('Plan mensual'!J70+IF(parametros_manuales!$H$34="Todos",'Plan mensual'!J74,0))+parametros_manuales!$G$34*('Plan mensual'!J71+IF(parametros_manuales!$H$34="Todos",'Plan mensual'!J75,0)))*parametros_manuales!$I$34*parametros_manuales!$J$34</f>
        <v>13053.99176722</v>
      </c>
      <c r="I185" s="14" t="n">
        <f aca="false">(parametros_manuales!$D$34*('Plan mensual'!K68+IF(parametros_manuales!$H$34="Todos",'Plan mensual'!K72,0))+parametros_manuales!$E$34*('Plan mensual'!K69+IF(parametros_manuales!$H$34="Todos",'Plan mensual'!K73,0))+parametros_manuales!$F$34*('Plan mensual'!K70+IF(parametros_manuales!$H$34="Todos",'Plan mensual'!K74,0))+parametros_manuales!$G$34*('Plan mensual'!K71+IF(parametros_manuales!$H$34="Todos",'Plan mensual'!K75,0)))*parametros_manuales!$I$34*parametros_manuales!$J$34</f>
        <v>13053.99176722</v>
      </c>
      <c r="J185" s="14" t="n">
        <f aca="false">(parametros_manuales!$D$34*('Plan mensual'!L68+IF(parametros_manuales!$H$34="Todos",'Plan mensual'!L72,0))+parametros_manuales!$E$34*('Plan mensual'!L69+IF(parametros_manuales!$H$34="Todos",'Plan mensual'!L73,0))+parametros_manuales!$F$34*('Plan mensual'!L70+IF(parametros_manuales!$H$34="Todos",'Plan mensual'!L74,0))+parametros_manuales!$G$34*('Plan mensual'!L71+IF(parametros_manuales!$H$34="Todos",'Plan mensual'!L75,0)))*parametros_manuales!$I$34*parametros_manuales!$J$34</f>
        <v>13053.99176722</v>
      </c>
      <c r="K185" s="14" t="n">
        <f aca="false">(parametros_manuales!$D$34*('Plan mensual'!M68+IF(parametros_manuales!$H$34="Todos",'Plan mensual'!M72,0))+parametros_manuales!$E$34*('Plan mensual'!M69+IF(parametros_manuales!$H$34="Todos",'Plan mensual'!M73,0))+parametros_manuales!$F$34*('Plan mensual'!M70+IF(parametros_manuales!$H$34="Todos",'Plan mensual'!M74,0))+parametros_manuales!$G$34*('Plan mensual'!M71+IF(parametros_manuales!$H$34="Todos",'Plan mensual'!M75,0)))*parametros_manuales!$I$34*parametros_manuales!$J$34</f>
        <v>12808.460187675</v>
      </c>
      <c r="L185" s="14" t="n">
        <f aca="false">(parametros_manuales!$D$34*('Plan mensual'!N68+IF(parametros_manuales!$H$34="Todos",'Plan mensual'!N72,0))+parametros_manuales!$E$34*('Plan mensual'!N69+IF(parametros_manuales!$H$34="Todos",'Plan mensual'!N73,0))+parametros_manuales!$F$34*('Plan mensual'!N70+IF(parametros_manuales!$H$34="Todos",'Plan mensual'!N74,0))+parametros_manuales!$G$34*('Plan mensual'!N71+IF(parametros_manuales!$H$34="Todos",'Plan mensual'!N75,0)))*parametros_manuales!$I$34*parametros_manuales!$J$34</f>
        <v>12562.92860813</v>
      </c>
      <c r="M185" s="14" t="n">
        <f aca="false">(parametros_manuales!$D$34*('Plan mensual'!O68+IF(parametros_manuales!$H$34="Todos",'Plan mensual'!O72,0))+parametros_manuales!$E$34*('Plan mensual'!O69+IF(parametros_manuales!$H$34="Todos",'Plan mensual'!O73,0))+parametros_manuales!$F$34*('Plan mensual'!O70+IF(parametros_manuales!$H$34="Todos",'Plan mensual'!O74,0))+parametros_manuales!$G$34*('Plan mensual'!O71+IF(parametros_manuales!$H$34="Todos",'Plan mensual'!O75,0)))*parametros_manuales!$I$34*parametros_manuales!$J$34</f>
        <v>20002.47314119</v>
      </c>
      <c r="N185" s="14" t="n">
        <f aca="false">SUM(B185:M185)</f>
        <v>170779.469169</v>
      </c>
      <c r="O185" s="14" t="n">
        <f aca="false">MAX(B185:M185)</f>
        <v>20002.47314119</v>
      </c>
      <c r="P185" s="57" t="n">
        <f aca="false">O185/(parametros_manuales!$B$7)</f>
        <v>133.349820941267</v>
      </c>
      <c r="Q185" s="13" t="str">
        <f aca="false">IF(O185=0,"-",INDEX($B$169:$M$169,MATCH(O185,B185:M185,0)))</f>
        <v>Dic</v>
      </c>
    </row>
    <row r="186" customFormat="false" ht="14.25" hidden="false" customHeight="true" outlineLevel="0" collapsed="false">
      <c r="A186" s="13" t="str">
        <f aca="false">parametros_manuales!$B$35</f>
        <v>Granallado</v>
      </c>
      <c r="B186" s="14" t="n">
        <f aca="false">(parametros_manuales!$D$35*('Plan mensual'!D68+IF(parametros_manuales!$H$35="Todos",'Plan mensual'!D72,0))+parametros_manuales!$E$35*('Plan mensual'!D69+IF(parametros_manuales!$H$35="Todos",'Plan mensual'!D73,0))+parametros_manuales!$F$35*('Plan mensual'!D70+IF(parametros_manuales!$H$35="Todos",'Plan mensual'!D74,0))+parametros_manuales!$G$35*('Plan mensual'!D71+IF(parametros_manuales!$H$35="Todos",'Plan mensual'!D75,0)))*parametros_manuales!$I$35*parametros_manuales!$J$35</f>
        <v>19511.4099821</v>
      </c>
      <c r="C186" s="14" t="n">
        <f aca="false">(parametros_manuales!$D$35*('Plan mensual'!E68+IF(parametros_manuales!$H$35="Todos",'Plan mensual'!E72,0))+parametros_manuales!$E$35*('Plan mensual'!E69+IF(parametros_manuales!$H$35="Todos",'Plan mensual'!E73,0))+parametros_manuales!$F$35*('Plan mensual'!E70+IF(parametros_manuales!$H$35="Todos",'Plan mensual'!E74,0))+parametros_manuales!$G$35*('Plan mensual'!E71+IF(parametros_manuales!$H$35="Todos",'Plan mensual'!E75,0)))*parametros_manuales!$I$35*parametros_manuales!$J$35</f>
        <v>14879.08906612</v>
      </c>
      <c r="D186" s="14" t="n">
        <f aca="false">(parametros_manuales!$D$35*('Plan mensual'!F68+IF(parametros_manuales!$H$35="Todos",'Plan mensual'!F72,0))+parametros_manuales!$E$35*('Plan mensual'!F69+IF(parametros_manuales!$H$35="Todos",'Plan mensual'!F73,0))+parametros_manuales!$F$35*('Plan mensual'!F70+IF(parametros_manuales!$H$35="Todos",'Plan mensual'!F74,0))+parametros_manuales!$G$35*('Plan mensual'!F71+IF(parametros_manuales!$H$35="Todos",'Plan mensual'!F75,0)))*parametros_manuales!$I$35*parametros_manuales!$J$35</f>
        <v>13907.889113065</v>
      </c>
      <c r="E186" s="14" t="n">
        <f aca="false">(parametros_manuales!$D$35*('Plan mensual'!G68+IF(parametros_manuales!$H$35="Todos",'Plan mensual'!G72,0))+parametros_manuales!$E$35*('Plan mensual'!G69+IF(parametros_manuales!$H$35="Todos",'Plan mensual'!G73,0))+parametros_manuales!$F$35*('Plan mensual'!G70+IF(parametros_manuales!$H$35="Todos",'Plan mensual'!G74,0))+parametros_manuales!$G$35*('Plan mensual'!G71+IF(parametros_manuales!$H$35="Todos",'Plan mensual'!G75,0)))*parametros_manuales!$I$35*parametros_manuales!$J$35</f>
        <v>13299.523346765</v>
      </c>
      <c r="F186" s="14" t="n">
        <f aca="false">(parametros_manuales!$D$35*('Plan mensual'!H68+IF(parametros_manuales!$H$35="Todos",'Plan mensual'!H72,0))+parametros_manuales!$E$35*('Plan mensual'!H69+IF(parametros_manuales!$H$35="Todos",'Plan mensual'!H73,0))+parametros_manuales!$F$35*('Plan mensual'!H70+IF(parametros_manuales!$H$35="Todos",'Plan mensual'!H74,0))+parametros_manuales!$G$35*('Plan mensual'!H71+IF(parametros_manuales!$H$35="Todos",'Plan mensual'!H75,0)))*parametros_manuales!$I$35*parametros_manuales!$J$35</f>
        <v>12445.62600092</v>
      </c>
      <c r="G186" s="14" t="n">
        <f aca="false">(parametros_manuales!$D$35*('Plan mensual'!I68+IF(parametros_manuales!$H$35="Todos",'Plan mensual'!I72,0))+parametros_manuales!$E$35*('Plan mensual'!I69+IF(parametros_manuales!$H$35="Todos",'Plan mensual'!I73,0))+parametros_manuales!$F$35*('Plan mensual'!I70+IF(parametros_manuales!$H$35="Todos",'Plan mensual'!I74,0))+parametros_manuales!$G$35*('Plan mensual'!I71+IF(parametros_manuales!$H$35="Todos",'Plan mensual'!I75,0)))*parametros_manuales!$I$35*parametros_manuales!$J$35</f>
        <v>12200.094421375</v>
      </c>
      <c r="H186" s="14" t="n">
        <f aca="false">(parametros_manuales!$D$35*('Plan mensual'!J68+IF(parametros_manuales!$H$35="Todos",'Plan mensual'!J72,0))+parametros_manuales!$E$35*('Plan mensual'!J69+IF(parametros_manuales!$H$35="Todos",'Plan mensual'!J73,0))+parametros_manuales!$F$35*('Plan mensual'!J70+IF(parametros_manuales!$H$35="Todos",'Plan mensual'!J74,0))+parametros_manuales!$G$35*('Plan mensual'!J71+IF(parametros_manuales!$H$35="Todos",'Plan mensual'!J75,0)))*parametros_manuales!$I$35*parametros_manuales!$J$35</f>
        <v>13053.99176722</v>
      </c>
      <c r="I186" s="14" t="n">
        <f aca="false">(parametros_manuales!$D$35*('Plan mensual'!K68+IF(parametros_manuales!$H$35="Todos",'Plan mensual'!K72,0))+parametros_manuales!$E$35*('Plan mensual'!K69+IF(parametros_manuales!$H$35="Todos",'Plan mensual'!K73,0))+parametros_manuales!$F$35*('Plan mensual'!K70+IF(parametros_manuales!$H$35="Todos",'Plan mensual'!K74,0))+parametros_manuales!$G$35*('Plan mensual'!K71+IF(parametros_manuales!$H$35="Todos",'Plan mensual'!K75,0)))*parametros_manuales!$I$35*parametros_manuales!$J$35</f>
        <v>13053.99176722</v>
      </c>
      <c r="J186" s="14" t="n">
        <f aca="false">(parametros_manuales!$D$35*('Plan mensual'!L68+IF(parametros_manuales!$H$35="Todos",'Plan mensual'!L72,0))+parametros_manuales!$E$35*('Plan mensual'!L69+IF(parametros_manuales!$H$35="Todos",'Plan mensual'!L73,0))+parametros_manuales!$F$35*('Plan mensual'!L70+IF(parametros_manuales!$H$35="Todos",'Plan mensual'!L74,0))+parametros_manuales!$G$35*('Plan mensual'!L71+IF(parametros_manuales!$H$35="Todos",'Plan mensual'!L75,0)))*parametros_manuales!$I$35*parametros_manuales!$J$35</f>
        <v>13053.99176722</v>
      </c>
      <c r="K186" s="14" t="n">
        <f aca="false">(parametros_manuales!$D$35*('Plan mensual'!M68+IF(parametros_manuales!$H$35="Todos",'Plan mensual'!M72,0))+parametros_manuales!$E$35*('Plan mensual'!M69+IF(parametros_manuales!$H$35="Todos",'Plan mensual'!M73,0))+parametros_manuales!$F$35*('Plan mensual'!M70+IF(parametros_manuales!$H$35="Todos",'Plan mensual'!M74,0))+parametros_manuales!$G$35*('Plan mensual'!M71+IF(parametros_manuales!$H$35="Todos",'Plan mensual'!M75,0)))*parametros_manuales!$I$35*parametros_manuales!$J$35</f>
        <v>12808.460187675</v>
      </c>
      <c r="L186" s="14" t="n">
        <f aca="false">(parametros_manuales!$D$35*('Plan mensual'!N68+IF(parametros_manuales!$H$35="Todos",'Plan mensual'!N72,0))+parametros_manuales!$E$35*('Plan mensual'!N69+IF(parametros_manuales!$H$35="Todos",'Plan mensual'!N73,0))+parametros_manuales!$F$35*('Plan mensual'!N70+IF(parametros_manuales!$H$35="Todos",'Plan mensual'!N74,0))+parametros_manuales!$G$35*('Plan mensual'!N71+IF(parametros_manuales!$H$35="Todos",'Plan mensual'!N75,0)))*parametros_manuales!$I$35*parametros_manuales!$J$35</f>
        <v>12562.92860813</v>
      </c>
      <c r="M186" s="14" t="n">
        <f aca="false">(parametros_manuales!$D$35*('Plan mensual'!O68+IF(parametros_manuales!$H$35="Todos",'Plan mensual'!O72,0))+parametros_manuales!$E$35*('Plan mensual'!O69+IF(parametros_manuales!$H$35="Todos",'Plan mensual'!O73,0))+parametros_manuales!$F$35*('Plan mensual'!O70+IF(parametros_manuales!$H$35="Todos",'Plan mensual'!O74,0))+parametros_manuales!$G$35*('Plan mensual'!O71+IF(parametros_manuales!$H$35="Todos",'Plan mensual'!O75,0)))*parametros_manuales!$I$35*parametros_manuales!$J$35</f>
        <v>20002.47314119</v>
      </c>
      <c r="N186" s="14" t="n">
        <f aca="false">SUM(B186:M186)</f>
        <v>170779.469169</v>
      </c>
      <c r="O186" s="14" t="n">
        <f aca="false">MAX(B186:M186)</f>
        <v>20002.47314119</v>
      </c>
      <c r="P186" s="57" t="n">
        <f aca="false">O186/(parametros_manuales!$B$7)</f>
        <v>133.349820941267</v>
      </c>
      <c r="Q186" s="13" t="str">
        <f aca="false">IF(O186=0,"-",INDEX($B$169:$M$169,MATCH(O186,B186:M186,0)))</f>
        <v>Dic</v>
      </c>
    </row>
    <row r="187" customFormat="false" ht="14.25" hidden="false" customHeight="true" outlineLevel="0" collapsed="false">
      <c r="A187" s="13" t="str">
        <f aca="false">parametros_manuales!$B$36</f>
        <v>Detección de defectos</v>
      </c>
      <c r="B187" s="14" t="n">
        <f aca="false">(parametros_manuales!$D$36*('Plan mensual'!D68+IF(parametros_manuales!$H$36="Todos",'Plan mensual'!D72,0))+parametros_manuales!$E$36*('Plan mensual'!D69+IF(parametros_manuales!$H$36="Todos",'Plan mensual'!D73,0))+parametros_manuales!$F$36*('Plan mensual'!D70+IF(parametros_manuales!$H$36="Todos",'Plan mensual'!D74,0))+parametros_manuales!$G$36*('Plan mensual'!D71+IF(parametros_manuales!$H$36="Todos",'Plan mensual'!D75,0)))*parametros_manuales!$I$36*parametros_manuales!$J$36</f>
        <v>19511.4099821</v>
      </c>
      <c r="C187" s="14" t="n">
        <f aca="false">(parametros_manuales!$D$36*('Plan mensual'!E68+IF(parametros_manuales!$H$36="Todos",'Plan mensual'!E72,0))+parametros_manuales!$E$36*('Plan mensual'!E69+IF(parametros_manuales!$H$36="Todos",'Plan mensual'!E73,0))+parametros_manuales!$F$36*('Plan mensual'!E70+IF(parametros_manuales!$H$36="Todos",'Plan mensual'!E74,0))+parametros_manuales!$G$36*('Plan mensual'!E71+IF(parametros_manuales!$H$36="Todos",'Plan mensual'!E75,0)))*parametros_manuales!$I$36*parametros_manuales!$J$36</f>
        <v>14879.08906612</v>
      </c>
      <c r="D187" s="14" t="n">
        <f aca="false">(parametros_manuales!$D$36*('Plan mensual'!F68+IF(parametros_manuales!$H$36="Todos",'Plan mensual'!F72,0))+parametros_manuales!$E$36*('Plan mensual'!F69+IF(parametros_manuales!$H$36="Todos",'Plan mensual'!F73,0))+parametros_manuales!$F$36*('Plan mensual'!F70+IF(parametros_manuales!$H$36="Todos",'Plan mensual'!F74,0))+parametros_manuales!$G$36*('Plan mensual'!F71+IF(parametros_manuales!$H$36="Todos",'Plan mensual'!F75,0)))*parametros_manuales!$I$36*parametros_manuales!$J$36</f>
        <v>13907.889113065</v>
      </c>
      <c r="E187" s="14" t="n">
        <f aca="false">(parametros_manuales!$D$36*('Plan mensual'!G68+IF(parametros_manuales!$H$36="Todos",'Plan mensual'!G72,0))+parametros_manuales!$E$36*('Plan mensual'!G69+IF(parametros_manuales!$H$36="Todos",'Plan mensual'!G73,0))+parametros_manuales!$F$36*('Plan mensual'!G70+IF(parametros_manuales!$H$36="Todos",'Plan mensual'!G74,0))+parametros_manuales!$G$36*('Plan mensual'!G71+IF(parametros_manuales!$H$36="Todos",'Plan mensual'!G75,0)))*parametros_manuales!$I$36*parametros_manuales!$J$36</f>
        <v>13299.523346765</v>
      </c>
      <c r="F187" s="14" t="n">
        <f aca="false">(parametros_manuales!$D$36*('Plan mensual'!H68+IF(parametros_manuales!$H$36="Todos",'Plan mensual'!H72,0))+parametros_manuales!$E$36*('Plan mensual'!H69+IF(parametros_manuales!$H$36="Todos",'Plan mensual'!H73,0))+parametros_manuales!$F$36*('Plan mensual'!H70+IF(parametros_manuales!$H$36="Todos",'Plan mensual'!H74,0))+parametros_manuales!$G$36*('Plan mensual'!H71+IF(parametros_manuales!$H$36="Todos",'Plan mensual'!H75,0)))*parametros_manuales!$I$36*parametros_manuales!$J$36</f>
        <v>12445.62600092</v>
      </c>
      <c r="G187" s="14" t="n">
        <f aca="false">(parametros_manuales!$D$36*('Plan mensual'!I68+IF(parametros_manuales!$H$36="Todos",'Plan mensual'!I72,0))+parametros_manuales!$E$36*('Plan mensual'!I69+IF(parametros_manuales!$H$36="Todos",'Plan mensual'!I73,0))+parametros_manuales!$F$36*('Plan mensual'!I70+IF(parametros_manuales!$H$36="Todos",'Plan mensual'!I74,0))+parametros_manuales!$G$36*('Plan mensual'!I71+IF(parametros_manuales!$H$36="Todos",'Plan mensual'!I75,0)))*parametros_manuales!$I$36*parametros_manuales!$J$36</f>
        <v>12200.094421375</v>
      </c>
      <c r="H187" s="14" t="n">
        <f aca="false">(parametros_manuales!$D$36*('Plan mensual'!J68+IF(parametros_manuales!$H$36="Todos",'Plan mensual'!J72,0))+parametros_manuales!$E$36*('Plan mensual'!J69+IF(parametros_manuales!$H$36="Todos",'Plan mensual'!J73,0))+parametros_manuales!$F$36*('Plan mensual'!J70+IF(parametros_manuales!$H$36="Todos",'Plan mensual'!J74,0))+parametros_manuales!$G$36*('Plan mensual'!J71+IF(parametros_manuales!$H$36="Todos",'Plan mensual'!J75,0)))*parametros_manuales!$I$36*parametros_manuales!$J$36</f>
        <v>13053.99176722</v>
      </c>
      <c r="I187" s="14" t="n">
        <f aca="false">(parametros_manuales!$D$36*('Plan mensual'!K68+IF(parametros_manuales!$H$36="Todos",'Plan mensual'!K72,0))+parametros_manuales!$E$36*('Plan mensual'!K69+IF(parametros_manuales!$H$36="Todos",'Plan mensual'!K73,0))+parametros_manuales!$F$36*('Plan mensual'!K70+IF(parametros_manuales!$H$36="Todos",'Plan mensual'!K74,0))+parametros_manuales!$G$36*('Plan mensual'!K71+IF(parametros_manuales!$H$36="Todos",'Plan mensual'!K75,0)))*parametros_manuales!$I$36*parametros_manuales!$J$36</f>
        <v>13053.99176722</v>
      </c>
      <c r="J187" s="14" t="n">
        <f aca="false">(parametros_manuales!$D$36*('Plan mensual'!L68+IF(parametros_manuales!$H$36="Todos",'Plan mensual'!L72,0))+parametros_manuales!$E$36*('Plan mensual'!L69+IF(parametros_manuales!$H$36="Todos",'Plan mensual'!L73,0))+parametros_manuales!$F$36*('Plan mensual'!L70+IF(parametros_manuales!$H$36="Todos",'Plan mensual'!L74,0))+parametros_manuales!$G$36*('Plan mensual'!L71+IF(parametros_manuales!$H$36="Todos",'Plan mensual'!L75,0)))*parametros_manuales!$I$36*parametros_manuales!$J$36</f>
        <v>13053.99176722</v>
      </c>
      <c r="K187" s="14" t="n">
        <f aca="false">(parametros_manuales!$D$36*('Plan mensual'!M68+IF(parametros_manuales!$H$36="Todos",'Plan mensual'!M72,0))+parametros_manuales!$E$36*('Plan mensual'!M69+IF(parametros_manuales!$H$36="Todos",'Plan mensual'!M73,0))+parametros_manuales!$F$36*('Plan mensual'!M70+IF(parametros_manuales!$H$36="Todos",'Plan mensual'!M74,0))+parametros_manuales!$G$36*('Plan mensual'!M71+IF(parametros_manuales!$H$36="Todos",'Plan mensual'!M75,0)))*parametros_manuales!$I$36*parametros_manuales!$J$36</f>
        <v>12808.460187675</v>
      </c>
      <c r="L187" s="14" t="n">
        <f aca="false">(parametros_manuales!$D$36*('Plan mensual'!N68+IF(parametros_manuales!$H$36="Todos",'Plan mensual'!N72,0))+parametros_manuales!$E$36*('Plan mensual'!N69+IF(parametros_manuales!$H$36="Todos",'Plan mensual'!N73,0))+parametros_manuales!$F$36*('Plan mensual'!N70+IF(parametros_manuales!$H$36="Todos",'Plan mensual'!N74,0))+parametros_manuales!$G$36*('Plan mensual'!N71+IF(parametros_manuales!$H$36="Todos",'Plan mensual'!N75,0)))*parametros_manuales!$I$36*parametros_manuales!$J$36</f>
        <v>12562.92860813</v>
      </c>
      <c r="M187" s="14" t="n">
        <f aca="false">(parametros_manuales!$D$36*('Plan mensual'!O68+IF(parametros_manuales!$H$36="Todos",'Plan mensual'!O72,0))+parametros_manuales!$E$36*('Plan mensual'!O69+IF(parametros_manuales!$H$36="Todos",'Plan mensual'!O73,0))+parametros_manuales!$F$36*('Plan mensual'!O70+IF(parametros_manuales!$H$36="Todos",'Plan mensual'!O74,0))+parametros_manuales!$G$36*('Plan mensual'!O71+IF(parametros_manuales!$H$36="Todos",'Plan mensual'!O75,0)))*parametros_manuales!$I$36*parametros_manuales!$J$36</f>
        <v>20002.47314119</v>
      </c>
      <c r="N187" s="14" t="n">
        <f aca="false">SUM(B187:M187)</f>
        <v>170779.469169</v>
      </c>
      <c r="O187" s="14" t="n">
        <f aca="false">MAX(B187:M187)</f>
        <v>20002.47314119</v>
      </c>
      <c r="P187" s="57" t="n">
        <f aca="false">O187/(parametros_manuales!$B$7)</f>
        <v>133.349820941267</v>
      </c>
      <c r="Q187" s="13" t="str">
        <f aca="false">IF(O187=0,"-",INDEX($B$169:$M$169,MATCH(O187,B187:M187,0)))</f>
        <v>Dic</v>
      </c>
    </row>
    <row r="188" customFormat="false" ht="14.25" hidden="false" customHeight="true" outlineLevel="0" collapsed="false">
      <c r="A188" s="13" t="str">
        <f aca="false">parametros_manuales!$B$37</f>
        <v>Corrección de defectos</v>
      </c>
      <c r="B188" s="14" t="n">
        <f aca="false">(parametros_manuales!$D$37*('Plan mensual'!D68+IF(parametros_manuales!$H$37="Todos",'Plan mensual'!D72,0))+parametros_manuales!$E$37*('Plan mensual'!D69+IF(parametros_manuales!$H$37="Todos",'Plan mensual'!D73,0))+parametros_manuales!$F$37*('Plan mensual'!D70+IF(parametros_manuales!$H$37="Todos",'Plan mensual'!D74,0))+parametros_manuales!$G$37*('Plan mensual'!D71+IF(parametros_manuales!$H$37="Todos",'Plan mensual'!D75,0)))*parametros_manuales!$I$37*parametros_manuales!$J$37</f>
        <v>975.570499105</v>
      </c>
      <c r="C188" s="14" t="n">
        <f aca="false">(parametros_manuales!$D$37*('Plan mensual'!E68+IF(parametros_manuales!$H$37="Todos",'Plan mensual'!E72,0))+parametros_manuales!$E$37*('Plan mensual'!E69+IF(parametros_manuales!$H$37="Todos",'Plan mensual'!E73,0))+parametros_manuales!$F$37*('Plan mensual'!E70+IF(parametros_manuales!$H$37="Todos",'Plan mensual'!E74,0))+parametros_manuales!$G$37*('Plan mensual'!E71+IF(parametros_manuales!$H$37="Todos",'Plan mensual'!E75,0)))*parametros_manuales!$I$37*parametros_manuales!$J$37</f>
        <v>743.954453306</v>
      </c>
      <c r="D188" s="14" t="n">
        <f aca="false">(parametros_manuales!$D$37*('Plan mensual'!F68+IF(parametros_manuales!$H$37="Todos",'Plan mensual'!F72,0))+parametros_manuales!$E$37*('Plan mensual'!F69+IF(parametros_manuales!$H$37="Todos",'Plan mensual'!F73,0))+parametros_manuales!$F$37*('Plan mensual'!F70+IF(parametros_manuales!$H$37="Todos",'Plan mensual'!F74,0))+parametros_manuales!$G$37*('Plan mensual'!F71+IF(parametros_manuales!$H$37="Todos",'Plan mensual'!F75,0)))*parametros_manuales!$I$37*parametros_manuales!$J$37</f>
        <v>695.39445565325</v>
      </c>
      <c r="E188" s="14" t="n">
        <f aca="false">(parametros_manuales!$D$37*('Plan mensual'!G68+IF(parametros_manuales!$H$37="Todos",'Plan mensual'!G72,0))+parametros_manuales!$E$37*('Plan mensual'!G69+IF(parametros_manuales!$H$37="Todos",'Plan mensual'!G73,0))+parametros_manuales!$F$37*('Plan mensual'!G70+IF(parametros_manuales!$H$37="Todos",'Plan mensual'!G74,0))+parametros_manuales!$G$37*('Plan mensual'!G71+IF(parametros_manuales!$H$37="Todos",'Plan mensual'!G75,0)))*parametros_manuales!$I$37*parametros_manuales!$J$37</f>
        <v>664.97616733825</v>
      </c>
      <c r="F188" s="14" t="n">
        <f aca="false">(parametros_manuales!$D$37*('Plan mensual'!H68+IF(parametros_manuales!$H$37="Todos",'Plan mensual'!H72,0))+parametros_manuales!$E$37*('Plan mensual'!H69+IF(parametros_manuales!$H$37="Todos",'Plan mensual'!H73,0))+parametros_manuales!$F$37*('Plan mensual'!H70+IF(parametros_manuales!$H$37="Todos",'Plan mensual'!H74,0))+parametros_manuales!$G$37*('Plan mensual'!H71+IF(parametros_manuales!$H$37="Todos",'Plan mensual'!H75,0)))*parametros_manuales!$I$37*parametros_manuales!$J$37</f>
        <v>622.281300046</v>
      </c>
      <c r="G188" s="14" t="n">
        <f aca="false">(parametros_manuales!$D$37*('Plan mensual'!I68+IF(parametros_manuales!$H$37="Todos",'Plan mensual'!I72,0))+parametros_manuales!$E$37*('Plan mensual'!I69+IF(parametros_manuales!$H$37="Todos",'Plan mensual'!I73,0))+parametros_manuales!$F$37*('Plan mensual'!I70+IF(parametros_manuales!$H$37="Todos",'Plan mensual'!I74,0))+parametros_manuales!$G$37*('Plan mensual'!I71+IF(parametros_manuales!$H$37="Todos",'Plan mensual'!I75,0)))*parametros_manuales!$I$37*parametros_manuales!$J$37</f>
        <v>610.00472106875</v>
      </c>
      <c r="H188" s="14" t="n">
        <f aca="false">(parametros_manuales!$D$37*('Plan mensual'!J68+IF(parametros_manuales!$H$37="Todos",'Plan mensual'!J72,0))+parametros_manuales!$E$37*('Plan mensual'!J69+IF(parametros_manuales!$H$37="Todos",'Plan mensual'!J73,0))+parametros_manuales!$F$37*('Plan mensual'!J70+IF(parametros_manuales!$H$37="Todos",'Plan mensual'!J74,0))+parametros_manuales!$G$37*('Plan mensual'!J71+IF(parametros_manuales!$H$37="Todos",'Plan mensual'!J75,0)))*parametros_manuales!$I$37*parametros_manuales!$J$37</f>
        <v>652.699588361</v>
      </c>
      <c r="I188" s="14" t="n">
        <f aca="false">(parametros_manuales!$D$37*('Plan mensual'!K68+IF(parametros_manuales!$H$37="Todos",'Plan mensual'!K72,0))+parametros_manuales!$E$37*('Plan mensual'!K69+IF(parametros_manuales!$H$37="Todos",'Plan mensual'!K73,0))+parametros_manuales!$F$37*('Plan mensual'!K70+IF(parametros_manuales!$H$37="Todos",'Plan mensual'!K74,0))+parametros_manuales!$G$37*('Plan mensual'!K71+IF(parametros_manuales!$H$37="Todos",'Plan mensual'!K75,0)))*parametros_manuales!$I$37*parametros_manuales!$J$37</f>
        <v>652.699588361</v>
      </c>
      <c r="J188" s="14" t="n">
        <f aca="false">(parametros_manuales!$D$37*('Plan mensual'!L68+IF(parametros_manuales!$H$37="Todos",'Plan mensual'!L72,0))+parametros_manuales!$E$37*('Plan mensual'!L69+IF(parametros_manuales!$H$37="Todos",'Plan mensual'!L73,0))+parametros_manuales!$F$37*('Plan mensual'!L70+IF(parametros_manuales!$H$37="Todos",'Plan mensual'!L74,0))+parametros_manuales!$G$37*('Plan mensual'!L71+IF(parametros_manuales!$H$37="Todos",'Plan mensual'!L75,0)))*parametros_manuales!$I$37*parametros_manuales!$J$37</f>
        <v>652.699588361</v>
      </c>
      <c r="K188" s="14" t="n">
        <f aca="false">(parametros_manuales!$D$37*('Plan mensual'!M68+IF(parametros_manuales!$H$37="Todos",'Plan mensual'!M72,0))+parametros_manuales!$E$37*('Plan mensual'!M69+IF(parametros_manuales!$H$37="Todos",'Plan mensual'!M73,0))+parametros_manuales!$F$37*('Plan mensual'!M70+IF(parametros_manuales!$H$37="Todos",'Plan mensual'!M74,0))+parametros_manuales!$G$37*('Plan mensual'!M71+IF(parametros_manuales!$H$37="Todos",'Plan mensual'!M75,0)))*parametros_manuales!$I$37*parametros_manuales!$J$37</f>
        <v>640.42300938375</v>
      </c>
      <c r="L188" s="14" t="n">
        <f aca="false">(parametros_manuales!$D$37*('Plan mensual'!N68+IF(parametros_manuales!$H$37="Todos",'Plan mensual'!N72,0))+parametros_manuales!$E$37*('Plan mensual'!N69+IF(parametros_manuales!$H$37="Todos",'Plan mensual'!N73,0))+parametros_manuales!$F$37*('Plan mensual'!N70+IF(parametros_manuales!$H$37="Todos",'Plan mensual'!N74,0))+parametros_manuales!$G$37*('Plan mensual'!N71+IF(parametros_manuales!$H$37="Todos",'Plan mensual'!N75,0)))*parametros_manuales!$I$37*parametros_manuales!$J$37</f>
        <v>628.1464304065</v>
      </c>
      <c r="M188" s="14" t="n">
        <f aca="false">(parametros_manuales!$D$37*('Plan mensual'!O68+IF(parametros_manuales!$H$37="Todos",'Plan mensual'!O72,0))+parametros_manuales!$E$37*('Plan mensual'!O69+IF(parametros_manuales!$H$37="Todos",'Plan mensual'!O73,0))+parametros_manuales!$F$37*('Plan mensual'!O70+IF(parametros_manuales!$H$37="Todos",'Plan mensual'!O74,0))+parametros_manuales!$G$37*('Plan mensual'!O71+IF(parametros_manuales!$H$37="Todos",'Plan mensual'!O75,0)))*parametros_manuales!$I$37*parametros_manuales!$J$37</f>
        <v>1000.1236570595</v>
      </c>
      <c r="N188" s="14" t="n">
        <f aca="false">SUM(B188:M188)</f>
        <v>8538.97345845</v>
      </c>
      <c r="O188" s="14" t="n">
        <f aca="false">MAX(B188:M188)</f>
        <v>1000.1236570595</v>
      </c>
      <c r="P188" s="57" t="n">
        <f aca="false">O188/(parametros_manuales!$B$7)</f>
        <v>6.66749104706333</v>
      </c>
      <c r="Q188" s="13" t="str">
        <f aca="false">IF(O188=0,"-",INDEX($B$169:$M$169,MATCH(O188,B188:M188,0)))</f>
        <v>Dic</v>
      </c>
    </row>
    <row r="189" customFormat="false" ht="14.25" hidden="false" customHeight="true" outlineLevel="0" collapsed="false">
      <c r="A189" s="13" t="str">
        <f aca="false">parametros_manuales!$B$38</f>
        <v>Pintura en polvo + horno</v>
      </c>
      <c r="B189" s="14" t="n">
        <f aca="false">(parametros_manuales!$D$38*('Plan mensual'!D68+IF(parametros_manuales!$H$38="Todos",'Plan mensual'!D72,0))+parametros_manuales!$E$38*('Plan mensual'!D69+IF(parametros_manuales!$H$38="Todos",'Plan mensual'!D73,0))+parametros_manuales!$F$38*('Plan mensual'!D70+IF(parametros_manuales!$H$38="Todos",'Plan mensual'!D74,0))+parametros_manuales!$G$38*('Plan mensual'!D71+IF(parametros_manuales!$H$38="Todos",'Plan mensual'!D75,0)))*parametros_manuales!$I$38*parametros_manuales!$J$38</f>
        <v>19511.4099821</v>
      </c>
      <c r="C189" s="14" t="n">
        <f aca="false">(parametros_manuales!$D$38*('Plan mensual'!E68+IF(parametros_manuales!$H$38="Todos",'Plan mensual'!E72,0))+parametros_manuales!$E$38*('Plan mensual'!E69+IF(parametros_manuales!$H$38="Todos",'Plan mensual'!E73,0))+parametros_manuales!$F$38*('Plan mensual'!E70+IF(parametros_manuales!$H$38="Todos",'Plan mensual'!E74,0))+parametros_manuales!$G$38*('Plan mensual'!E71+IF(parametros_manuales!$H$38="Todos",'Plan mensual'!E75,0)))*parametros_manuales!$I$38*parametros_manuales!$J$38</f>
        <v>14879.08906612</v>
      </c>
      <c r="D189" s="14" t="n">
        <f aca="false">(parametros_manuales!$D$38*('Plan mensual'!F68+IF(parametros_manuales!$H$38="Todos",'Plan mensual'!F72,0))+parametros_manuales!$E$38*('Plan mensual'!F69+IF(parametros_manuales!$H$38="Todos",'Plan mensual'!F73,0))+parametros_manuales!$F$38*('Plan mensual'!F70+IF(parametros_manuales!$H$38="Todos",'Plan mensual'!F74,0))+parametros_manuales!$G$38*('Plan mensual'!F71+IF(parametros_manuales!$H$38="Todos",'Plan mensual'!F75,0)))*parametros_manuales!$I$38*parametros_manuales!$J$38</f>
        <v>13907.889113065</v>
      </c>
      <c r="E189" s="14" t="n">
        <f aca="false">(parametros_manuales!$D$38*('Plan mensual'!G68+IF(parametros_manuales!$H$38="Todos",'Plan mensual'!G72,0))+parametros_manuales!$E$38*('Plan mensual'!G69+IF(parametros_manuales!$H$38="Todos",'Plan mensual'!G73,0))+parametros_manuales!$F$38*('Plan mensual'!G70+IF(parametros_manuales!$H$38="Todos",'Plan mensual'!G74,0))+parametros_manuales!$G$38*('Plan mensual'!G71+IF(parametros_manuales!$H$38="Todos",'Plan mensual'!G75,0)))*parametros_manuales!$I$38*parametros_manuales!$J$38</f>
        <v>13299.523346765</v>
      </c>
      <c r="F189" s="14" t="n">
        <f aca="false">(parametros_manuales!$D$38*('Plan mensual'!H68+IF(parametros_manuales!$H$38="Todos",'Plan mensual'!H72,0))+parametros_manuales!$E$38*('Plan mensual'!H69+IF(parametros_manuales!$H$38="Todos",'Plan mensual'!H73,0))+parametros_manuales!$F$38*('Plan mensual'!H70+IF(parametros_manuales!$H$38="Todos",'Plan mensual'!H74,0))+parametros_manuales!$G$38*('Plan mensual'!H71+IF(parametros_manuales!$H$38="Todos",'Plan mensual'!H75,0)))*parametros_manuales!$I$38*parametros_manuales!$J$38</f>
        <v>12445.62600092</v>
      </c>
      <c r="G189" s="14" t="n">
        <f aca="false">(parametros_manuales!$D$38*('Plan mensual'!I68+IF(parametros_manuales!$H$38="Todos",'Plan mensual'!I72,0))+parametros_manuales!$E$38*('Plan mensual'!I69+IF(parametros_manuales!$H$38="Todos",'Plan mensual'!I73,0))+parametros_manuales!$F$38*('Plan mensual'!I70+IF(parametros_manuales!$H$38="Todos",'Plan mensual'!I74,0))+parametros_manuales!$G$38*('Plan mensual'!I71+IF(parametros_manuales!$H$38="Todos",'Plan mensual'!I75,0)))*parametros_manuales!$I$38*parametros_manuales!$J$38</f>
        <v>12200.094421375</v>
      </c>
      <c r="H189" s="14" t="n">
        <f aca="false">(parametros_manuales!$D$38*('Plan mensual'!J68+IF(parametros_manuales!$H$38="Todos",'Plan mensual'!J72,0))+parametros_manuales!$E$38*('Plan mensual'!J69+IF(parametros_manuales!$H$38="Todos",'Plan mensual'!J73,0))+parametros_manuales!$F$38*('Plan mensual'!J70+IF(parametros_manuales!$H$38="Todos",'Plan mensual'!J74,0))+parametros_manuales!$G$38*('Plan mensual'!J71+IF(parametros_manuales!$H$38="Todos",'Plan mensual'!J75,0)))*parametros_manuales!$I$38*parametros_manuales!$J$38</f>
        <v>13053.99176722</v>
      </c>
      <c r="I189" s="14" t="n">
        <f aca="false">(parametros_manuales!$D$38*('Plan mensual'!K68+IF(parametros_manuales!$H$38="Todos",'Plan mensual'!K72,0))+parametros_manuales!$E$38*('Plan mensual'!K69+IF(parametros_manuales!$H$38="Todos",'Plan mensual'!K73,0))+parametros_manuales!$F$38*('Plan mensual'!K70+IF(parametros_manuales!$H$38="Todos",'Plan mensual'!K74,0))+parametros_manuales!$G$38*('Plan mensual'!K71+IF(parametros_manuales!$H$38="Todos",'Plan mensual'!K75,0)))*parametros_manuales!$I$38*parametros_manuales!$J$38</f>
        <v>13053.99176722</v>
      </c>
      <c r="J189" s="14" t="n">
        <f aca="false">(parametros_manuales!$D$38*('Plan mensual'!L68+IF(parametros_manuales!$H$38="Todos",'Plan mensual'!L72,0))+parametros_manuales!$E$38*('Plan mensual'!L69+IF(parametros_manuales!$H$38="Todos",'Plan mensual'!L73,0))+parametros_manuales!$F$38*('Plan mensual'!L70+IF(parametros_manuales!$H$38="Todos",'Plan mensual'!L74,0))+parametros_manuales!$G$38*('Plan mensual'!L71+IF(parametros_manuales!$H$38="Todos",'Plan mensual'!L75,0)))*parametros_manuales!$I$38*parametros_manuales!$J$38</f>
        <v>13053.99176722</v>
      </c>
      <c r="K189" s="14" t="n">
        <f aca="false">(parametros_manuales!$D$38*('Plan mensual'!M68+IF(parametros_manuales!$H$38="Todos",'Plan mensual'!M72,0))+parametros_manuales!$E$38*('Plan mensual'!M69+IF(parametros_manuales!$H$38="Todos",'Plan mensual'!M73,0))+parametros_manuales!$F$38*('Plan mensual'!M70+IF(parametros_manuales!$H$38="Todos",'Plan mensual'!M74,0))+parametros_manuales!$G$38*('Plan mensual'!M71+IF(parametros_manuales!$H$38="Todos",'Plan mensual'!M75,0)))*parametros_manuales!$I$38*parametros_manuales!$J$38</f>
        <v>12808.460187675</v>
      </c>
      <c r="L189" s="14" t="n">
        <f aca="false">(parametros_manuales!$D$38*('Plan mensual'!N68+IF(parametros_manuales!$H$38="Todos",'Plan mensual'!N72,0))+parametros_manuales!$E$38*('Plan mensual'!N69+IF(parametros_manuales!$H$38="Todos",'Plan mensual'!N73,0))+parametros_manuales!$F$38*('Plan mensual'!N70+IF(parametros_manuales!$H$38="Todos",'Plan mensual'!N74,0))+parametros_manuales!$G$38*('Plan mensual'!N71+IF(parametros_manuales!$H$38="Todos",'Plan mensual'!N75,0)))*parametros_manuales!$I$38*parametros_manuales!$J$38</f>
        <v>12562.92860813</v>
      </c>
      <c r="M189" s="14" t="n">
        <f aca="false">(parametros_manuales!$D$38*('Plan mensual'!O68+IF(parametros_manuales!$H$38="Todos",'Plan mensual'!O72,0))+parametros_manuales!$E$38*('Plan mensual'!O69+IF(parametros_manuales!$H$38="Todos",'Plan mensual'!O73,0))+parametros_manuales!$F$38*('Plan mensual'!O70+IF(parametros_manuales!$H$38="Todos",'Plan mensual'!O74,0))+parametros_manuales!$G$38*('Plan mensual'!O71+IF(parametros_manuales!$H$38="Todos",'Plan mensual'!O75,0)))*parametros_manuales!$I$38*parametros_manuales!$J$38</f>
        <v>20002.47314119</v>
      </c>
      <c r="N189" s="14" t="n">
        <f aca="false">SUM(B189:M189)</f>
        <v>170779.469169</v>
      </c>
      <c r="O189" s="14" t="n">
        <f aca="false">MAX(B189:M189)</f>
        <v>20002.47314119</v>
      </c>
      <c r="P189" s="57" t="n">
        <f aca="false">O189/(parametros_manuales!$B$7)</f>
        <v>133.349820941267</v>
      </c>
      <c r="Q189" s="13" t="str">
        <f aca="false">IF(O189=0,"-",INDEX($B$169:$M$169,MATCH(O189,B189:M189,0)))</f>
        <v>Dic</v>
      </c>
    </row>
    <row r="190" customFormat="false" ht="14.25" hidden="false" customHeight="true" outlineLevel="0" collapsed="false">
      <c r="A190" s="13" t="str">
        <f aca="false">parametros_manuales!$B$39</f>
        <v>Carga de polvo</v>
      </c>
      <c r="B190" s="14" t="n">
        <f aca="false">(parametros_manuales!$D$39*('Plan mensual'!D68+IF(parametros_manuales!$H$39="Todos",'Plan mensual'!D72,0))+parametros_manuales!$E$39*('Plan mensual'!D69+IF(parametros_manuales!$H$39="Todos",'Plan mensual'!D73,0))+parametros_manuales!$F$39*('Plan mensual'!D70+IF(parametros_manuales!$H$39="Todos",'Plan mensual'!D74,0))+parametros_manuales!$G$39*('Plan mensual'!D71+IF(parametros_manuales!$H$39="Todos",'Plan mensual'!D75,0)))*parametros_manuales!$I$39*parametros_manuales!$J$39</f>
        <v>4860.2179821</v>
      </c>
      <c r="C190" s="14" t="n">
        <f aca="false">(parametros_manuales!$D$39*('Plan mensual'!E68+IF(parametros_manuales!$H$39="Todos",'Plan mensual'!E72,0))+parametros_manuales!$E$39*('Plan mensual'!E69+IF(parametros_manuales!$H$39="Todos",'Plan mensual'!E73,0))+parametros_manuales!$F$39*('Plan mensual'!E70+IF(parametros_manuales!$H$39="Todos",'Plan mensual'!E74,0))+parametros_manuales!$G$39*('Plan mensual'!E71+IF(parametros_manuales!$H$39="Todos",'Plan mensual'!E75,0)))*parametros_manuales!$I$39*parametros_manuales!$J$39</f>
        <v>3766.17906612</v>
      </c>
      <c r="D190" s="14" t="n">
        <f aca="false">(parametros_manuales!$D$39*('Plan mensual'!F68+IF(parametros_manuales!$H$39="Todos",'Plan mensual'!F72,0))+parametros_manuales!$E$39*('Plan mensual'!F69+IF(parametros_manuales!$H$39="Todos",'Plan mensual'!F73,0))+parametros_manuales!$F$39*('Plan mensual'!F70+IF(parametros_manuales!$H$39="Todos",'Plan mensual'!F74,0))+parametros_manuales!$G$39*('Plan mensual'!F71+IF(parametros_manuales!$H$39="Todos",'Plan mensual'!F75,0)))*parametros_manuales!$I$39*parametros_manuales!$J$39</f>
        <v>3683.869113065</v>
      </c>
      <c r="E190" s="14" t="n">
        <f aca="false">(parametros_manuales!$D$39*('Plan mensual'!G68+IF(parametros_manuales!$H$39="Todos",'Plan mensual'!G72,0))+parametros_manuales!$E$39*('Plan mensual'!G69+IF(parametros_manuales!$H$39="Todos",'Plan mensual'!G73,0))+parametros_manuales!$F$39*('Plan mensual'!G70+IF(parametros_manuales!$H$39="Todos",'Plan mensual'!G74,0))+parametros_manuales!$G$39*('Plan mensual'!G71+IF(parametros_manuales!$H$39="Todos",'Plan mensual'!G75,0)))*parametros_manuales!$I$39*parametros_manuales!$J$39</f>
        <v>3582.206346765</v>
      </c>
      <c r="F190" s="14" t="n">
        <f aca="false">(parametros_manuales!$D$39*('Plan mensual'!H68+IF(parametros_manuales!$H$39="Todos",'Plan mensual'!H72,0))+parametros_manuales!$E$39*('Plan mensual'!H69+IF(parametros_manuales!$H$39="Todos",'Plan mensual'!H73,0))+parametros_manuales!$F$39*('Plan mensual'!H70+IF(parametros_manuales!$H$39="Todos",'Plan mensual'!H74,0))+parametros_manuales!$G$39*('Plan mensual'!H71+IF(parametros_manuales!$H$39="Todos",'Plan mensual'!H75,0)))*parametros_manuales!$I$39*parametros_manuales!$J$39</f>
        <v>3359.52800092</v>
      </c>
      <c r="G190" s="14" t="n">
        <f aca="false">(parametros_manuales!$D$39*('Plan mensual'!I68+IF(parametros_manuales!$H$39="Todos",'Plan mensual'!I72,0))+parametros_manuales!$E$39*('Plan mensual'!I69+IF(parametros_manuales!$H$39="Todos",'Plan mensual'!I73,0))+parametros_manuales!$F$39*('Plan mensual'!I70+IF(parametros_manuales!$H$39="Todos",'Plan mensual'!I74,0))+parametros_manuales!$G$39*('Plan mensual'!I71+IF(parametros_manuales!$H$39="Todos",'Plan mensual'!I75,0)))*parametros_manuales!$I$39*parametros_manuales!$J$39</f>
        <v>3238.512421375</v>
      </c>
      <c r="H190" s="14" t="n">
        <f aca="false">(parametros_manuales!$D$39*('Plan mensual'!J68+IF(parametros_manuales!$H$39="Todos",'Plan mensual'!J72,0))+parametros_manuales!$E$39*('Plan mensual'!J69+IF(parametros_manuales!$H$39="Todos",'Plan mensual'!J73,0))+parametros_manuales!$F$39*('Plan mensual'!J70+IF(parametros_manuales!$H$39="Todos",'Plan mensual'!J74,0))+parametros_manuales!$G$39*('Plan mensual'!J71+IF(parametros_manuales!$H$39="Todos",'Plan mensual'!J75,0)))*parametros_manuales!$I$39*parametros_manuales!$J$39</f>
        <v>3461.19076722</v>
      </c>
      <c r="I190" s="14" t="n">
        <f aca="false">(parametros_manuales!$D$39*('Plan mensual'!K68+IF(parametros_manuales!$H$39="Todos",'Plan mensual'!K72,0))+parametros_manuales!$E$39*('Plan mensual'!K69+IF(parametros_manuales!$H$39="Todos",'Plan mensual'!K73,0))+parametros_manuales!$F$39*('Plan mensual'!K70+IF(parametros_manuales!$H$39="Todos",'Plan mensual'!K74,0))+parametros_manuales!$G$39*('Plan mensual'!K71+IF(parametros_manuales!$H$39="Todos",'Plan mensual'!K75,0)))*parametros_manuales!$I$39*parametros_manuales!$J$39</f>
        <v>3461.19076722</v>
      </c>
      <c r="J190" s="14" t="n">
        <f aca="false">(parametros_manuales!$D$39*('Plan mensual'!L68+IF(parametros_manuales!$H$39="Todos",'Plan mensual'!L72,0))+parametros_manuales!$E$39*('Plan mensual'!L69+IF(parametros_manuales!$H$39="Todos",'Plan mensual'!L73,0))+parametros_manuales!$F$39*('Plan mensual'!L70+IF(parametros_manuales!$H$39="Todos",'Plan mensual'!L74,0))+parametros_manuales!$G$39*('Plan mensual'!L71+IF(parametros_manuales!$H$39="Todos",'Plan mensual'!L75,0)))*parametros_manuales!$I$39*parametros_manuales!$J$39</f>
        <v>3461.19076722</v>
      </c>
      <c r="K190" s="14" t="n">
        <f aca="false">(parametros_manuales!$D$39*('Plan mensual'!M68+IF(parametros_manuales!$H$39="Todos",'Plan mensual'!M72,0))+parametros_manuales!$E$39*('Plan mensual'!M69+IF(parametros_manuales!$H$39="Todos",'Plan mensual'!M73,0))+parametros_manuales!$F$39*('Plan mensual'!M70+IF(parametros_manuales!$H$39="Todos",'Plan mensual'!M74,0))+parametros_manuales!$G$39*('Plan mensual'!M71+IF(parametros_manuales!$H$39="Todos",'Plan mensual'!M75,0)))*parametros_manuales!$I$39*parametros_manuales!$J$39</f>
        <v>3340.175187675</v>
      </c>
      <c r="L190" s="14" t="n">
        <f aca="false">(parametros_manuales!$D$39*('Plan mensual'!N68+IF(parametros_manuales!$H$39="Todos",'Plan mensual'!N72,0))+parametros_manuales!$E$39*('Plan mensual'!N69+IF(parametros_manuales!$H$39="Todos",'Plan mensual'!N73,0))+parametros_manuales!$F$39*('Plan mensual'!N70+IF(parametros_manuales!$H$39="Todos",'Plan mensual'!N74,0))+parametros_manuales!$G$39*('Plan mensual'!N71+IF(parametros_manuales!$H$39="Todos",'Plan mensual'!N75,0)))*parametros_manuales!$I$39*parametros_manuales!$J$39</f>
        <v>3219.15960813</v>
      </c>
      <c r="M190" s="14" t="n">
        <f aca="false">(parametros_manuales!$D$39*('Plan mensual'!O68+IF(parametros_manuales!$H$39="Todos",'Plan mensual'!O72,0))+parametros_manuales!$E$39*('Plan mensual'!O69+IF(parametros_manuales!$H$39="Todos",'Plan mensual'!O73,0))+parametros_manuales!$F$39*('Plan mensual'!O70+IF(parametros_manuales!$H$39="Todos",'Plan mensual'!O74,0))+parametros_manuales!$G$39*('Plan mensual'!O71+IF(parametros_manuales!$H$39="Todos",'Plan mensual'!O75,0)))*parametros_manuales!$I$39*parametros_manuales!$J$39</f>
        <v>5102.24914119</v>
      </c>
      <c r="N190" s="14" t="n">
        <f aca="false">SUM(B190:M190)</f>
        <v>44535.669169</v>
      </c>
      <c r="O190" s="14" t="n">
        <f aca="false">MAX(B190:M190)</f>
        <v>5102.24914119</v>
      </c>
      <c r="P190" s="57" t="n">
        <f aca="false">O190/(parametros_manuales!$B$7)</f>
        <v>34.0149942746</v>
      </c>
      <c r="Q190" s="13" t="str">
        <f aca="false">IF(O190=0,"-",INDEX($B$169:$M$169,MATCH(O190,B190:M190,0)))</f>
        <v>Dic</v>
      </c>
    </row>
    <row r="191" customFormat="false" ht="14.25" hidden="false" customHeight="true" outlineLevel="0" collapsed="false">
      <c r="A191" s="13" t="str">
        <f aca="false">parametros_manuales!$B$40</f>
        <v>Ensamblaje</v>
      </c>
      <c r="B191" s="14" t="n">
        <f aca="false">(parametros_manuales!$D$40*('Plan mensual'!D68+IF(parametros_manuales!$H$40="Todos",'Plan mensual'!D72,0))+parametros_manuales!$E$40*('Plan mensual'!D69+IF(parametros_manuales!$H$40="Todos",'Plan mensual'!D73,0))+parametros_manuales!$F$40*('Plan mensual'!D70+IF(parametros_manuales!$H$40="Todos",'Plan mensual'!D74,0))+parametros_manuales!$G$40*('Plan mensual'!D71+IF(parametros_manuales!$H$40="Todos",'Plan mensual'!D75,0)))*parametros_manuales!$I$40*parametros_manuales!$J$40</f>
        <v>4860.2179821</v>
      </c>
      <c r="C191" s="14" t="n">
        <f aca="false">(parametros_manuales!$D$40*('Plan mensual'!E68+IF(parametros_manuales!$H$40="Todos",'Plan mensual'!E72,0))+parametros_manuales!$E$40*('Plan mensual'!E69+IF(parametros_manuales!$H$40="Todos",'Plan mensual'!E73,0))+parametros_manuales!$F$40*('Plan mensual'!E70+IF(parametros_manuales!$H$40="Todos",'Plan mensual'!E74,0))+parametros_manuales!$G$40*('Plan mensual'!E71+IF(parametros_manuales!$H$40="Todos",'Plan mensual'!E75,0)))*parametros_manuales!$I$40*parametros_manuales!$J$40</f>
        <v>3766.17906612</v>
      </c>
      <c r="D191" s="14" t="n">
        <f aca="false">(parametros_manuales!$D$40*('Plan mensual'!F68+IF(parametros_manuales!$H$40="Todos",'Plan mensual'!F72,0))+parametros_manuales!$E$40*('Plan mensual'!F69+IF(parametros_manuales!$H$40="Todos",'Plan mensual'!F73,0))+parametros_manuales!$F$40*('Plan mensual'!F70+IF(parametros_manuales!$H$40="Todos",'Plan mensual'!F74,0))+parametros_manuales!$G$40*('Plan mensual'!F71+IF(parametros_manuales!$H$40="Todos",'Plan mensual'!F75,0)))*parametros_manuales!$I$40*parametros_manuales!$J$40</f>
        <v>3683.869113065</v>
      </c>
      <c r="E191" s="14" t="n">
        <f aca="false">(parametros_manuales!$D$40*('Plan mensual'!G68+IF(parametros_manuales!$H$40="Todos",'Plan mensual'!G72,0))+parametros_manuales!$E$40*('Plan mensual'!G69+IF(parametros_manuales!$H$40="Todos",'Plan mensual'!G73,0))+parametros_manuales!$F$40*('Plan mensual'!G70+IF(parametros_manuales!$H$40="Todos",'Plan mensual'!G74,0))+parametros_manuales!$G$40*('Plan mensual'!G71+IF(parametros_manuales!$H$40="Todos",'Plan mensual'!G75,0)))*parametros_manuales!$I$40*parametros_manuales!$J$40</f>
        <v>3582.206346765</v>
      </c>
      <c r="F191" s="14" t="n">
        <f aca="false">(parametros_manuales!$D$40*('Plan mensual'!H68+IF(parametros_manuales!$H$40="Todos",'Plan mensual'!H72,0))+parametros_manuales!$E$40*('Plan mensual'!H69+IF(parametros_manuales!$H$40="Todos",'Plan mensual'!H73,0))+parametros_manuales!$F$40*('Plan mensual'!H70+IF(parametros_manuales!$H$40="Todos",'Plan mensual'!H74,0))+parametros_manuales!$G$40*('Plan mensual'!H71+IF(parametros_manuales!$H$40="Todos",'Plan mensual'!H75,0)))*parametros_manuales!$I$40*parametros_manuales!$J$40</f>
        <v>3359.52800092</v>
      </c>
      <c r="G191" s="14" t="n">
        <f aca="false">(parametros_manuales!$D$40*('Plan mensual'!I68+IF(parametros_manuales!$H$40="Todos",'Plan mensual'!I72,0))+parametros_manuales!$E$40*('Plan mensual'!I69+IF(parametros_manuales!$H$40="Todos",'Plan mensual'!I73,0))+parametros_manuales!$F$40*('Plan mensual'!I70+IF(parametros_manuales!$H$40="Todos",'Plan mensual'!I74,0))+parametros_manuales!$G$40*('Plan mensual'!I71+IF(parametros_manuales!$H$40="Todos",'Plan mensual'!I75,0)))*parametros_manuales!$I$40*parametros_manuales!$J$40</f>
        <v>3238.512421375</v>
      </c>
      <c r="H191" s="14" t="n">
        <f aca="false">(parametros_manuales!$D$40*('Plan mensual'!J68+IF(parametros_manuales!$H$40="Todos",'Plan mensual'!J72,0))+parametros_manuales!$E$40*('Plan mensual'!J69+IF(parametros_manuales!$H$40="Todos",'Plan mensual'!J73,0))+parametros_manuales!$F$40*('Plan mensual'!J70+IF(parametros_manuales!$H$40="Todos",'Plan mensual'!J74,0))+parametros_manuales!$G$40*('Plan mensual'!J71+IF(parametros_manuales!$H$40="Todos",'Plan mensual'!J75,0)))*parametros_manuales!$I$40*parametros_manuales!$J$40</f>
        <v>3461.19076722</v>
      </c>
      <c r="I191" s="14" t="n">
        <f aca="false">(parametros_manuales!$D$40*('Plan mensual'!K68+IF(parametros_manuales!$H$40="Todos",'Plan mensual'!K72,0))+parametros_manuales!$E$40*('Plan mensual'!K69+IF(parametros_manuales!$H$40="Todos",'Plan mensual'!K73,0))+parametros_manuales!$F$40*('Plan mensual'!K70+IF(parametros_manuales!$H$40="Todos",'Plan mensual'!K74,0))+parametros_manuales!$G$40*('Plan mensual'!K71+IF(parametros_manuales!$H$40="Todos",'Plan mensual'!K75,0)))*parametros_manuales!$I$40*parametros_manuales!$J$40</f>
        <v>3461.19076722</v>
      </c>
      <c r="J191" s="14" t="n">
        <f aca="false">(parametros_manuales!$D$40*('Plan mensual'!L68+IF(parametros_manuales!$H$40="Todos",'Plan mensual'!L72,0))+parametros_manuales!$E$40*('Plan mensual'!L69+IF(parametros_manuales!$H$40="Todos",'Plan mensual'!L73,0))+parametros_manuales!$F$40*('Plan mensual'!L70+IF(parametros_manuales!$H$40="Todos",'Plan mensual'!L74,0))+parametros_manuales!$G$40*('Plan mensual'!L71+IF(parametros_manuales!$H$40="Todos",'Plan mensual'!L75,0)))*parametros_manuales!$I$40*parametros_manuales!$J$40</f>
        <v>3461.19076722</v>
      </c>
      <c r="K191" s="14" t="n">
        <f aca="false">(parametros_manuales!$D$40*('Plan mensual'!M68+IF(parametros_manuales!$H$40="Todos",'Plan mensual'!M72,0))+parametros_manuales!$E$40*('Plan mensual'!M69+IF(parametros_manuales!$H$40="Todos",'Plan mensual'!M73,0))+parametros_manuales!$F$40*('Plan mensual'!M70+IF(parametros_manuales!$H$40="Todos",'Plan mensual'!M74,0))+parametros_manuales!$G$40*('Plan mensual'!M71+IF(parametros_manuales!$H$40="Todos",'Plan mensual'!M75,0)))*parametros_manuales!$I$40*parametros_manuales!$J$40</f>
        <v>3340.175187675</v>
      </c>
      <c r="L191" s="14" t="n">
        <f aca="false">(parametros_manuales!$D$40*('Plan mensual'!N68+IF(parametros_manuales!$H$40="Todos",'Plan mensual'!N72,0))+parametros_manuales!$E$40*('Plan mensual'!N69+IF(parametros_manuales!$H$40="Todos",'Plan mensual'!N73,0))+parametros_manuales!$F$40*('Plan mensual'!N70+IF(parametros_manuales!$H$40="Todos",'Plan mensual'!N74,0))+parametros_manuales!$G$40*('Plan mensual'!N71+IF(parametros_manuales!$H$40="Todos",'Plan mensual'!N75,0)))*parametros_manuales!$I$40*parametros_manuales!$J$40</f>
        <v>3219.15960813</v>
      </c>
      <c r="M191" s="14" t="n">
        <f aca="false">(parametros_manuales!$D$40*('Plan mensual'!O68+IF(parametros_manuales!$H$40="Todos",'Plan mensual'!O72,0))+parametros_manuales!$E$40*('Plan mensual'!O69+IF(parametros_manuales!$H$40="Todos",'Plan mensual'!O73,0))+parametros_manuales!$F$40*('Plan mensual'!O70+IF(parametros_manuales!$H$40="Todos",'Plan mensual'!O74,0))+parametros_manuales!$G$40*('Plan mensual'!O71+IF(parametros_manuales!$H$40="Todos",'Plan mensual'!O75,0)))*parametros_manuales!$I$40*parametros_manuales!$J$40</f>
        <v>5102.24914119</v>
      </c>
      <c r="N191" s="14" t="n">
        <f aca="false">SUM(B191:M191)</f>
        <v>44535.669169</v>
      </c>
      <c r="O191" s="14" t="n">
        <f aca="false">MAX(B191:M191)</f>
        <v>5102.24914119</v>
      </c>
      <c r="P191" s="57" t="n">
        <f aca="false">O191/(parametros_manuales!$B$7)</f>
        <v>34.0149942746</v>
      </c>
      <c r="Q191" s="13" t="str">
        <f aca="false">IF(O191=0,"-",INDEX($B$169:$M$169,MATCH(O191,B191:M191,0)))</f>
        <v>Dic</v>
      </c>
    </row>
    <row r="192" customFormat="false" ht="14.25" hidden="false" customHeight="true" outlineLevel="0" collapsed="false">
      <c r="A192" s="13" t="str">
        <f aca="false">parametros_manuales!$B$41</f>
        <v>Presurización</v>
      </c>
      <c r="B192" s="14" t="n">
        <f aca="false">(parametros_manuales!$D$41*('Plan mensual'!D68+IF(parametros_manuales!$H$41="Todos",'Plan mensual'!D72,0))+parametros_manuales!$E$41*('Plan mensual'!D69+IF(parametros_manuales!$H$41="Todos",'Plan mensual'!D73,0))+parametros_manuales!$F$41*('Plan mensual'!D70+IF(parametros_manuales!$H$41="Todos",'Plan mensual'!D74,0))+parametros_manuales!$G$41*('Plan mensual'!D71+IF(parametros_manuales!$H$41="Todos",'Plan mensual'!D75,0)))*parametros_manuales!$I$41*parametros_manuales!$J$41</f>
        <v>4860.2179821</v>
      </c>
      <c r="C192" s="14" t="n">
        <f aca="false">(parametros_manuales!$D$41*('Plan mensual'!E68+IF(parametros_manuales!$H$41="Todos",'Plan mensual'!E72,0))+parametros_manuales!$E$41*('Plan mensual'!E69+IF(parametros_manuales!$H$41="Todos",'Plan mensual'!E73,0))+parametros_manuales!$F$41*('Plan mensual'!E70+IF(parametros_manuales!$H$41="Todos",'Plan mensual'!E74,0))+parametros_manuales!$G$41*('Plan mensual'!E71+IF(parametros_manuales!$H$41="Todos",'Plan mensual'!E75,0)))*parametros_manuales!$I$41*parametros_manuales!$J$41</f>
        <v>3766.17906612</v>
      </c>
      <c r="D192" s="14" t="n">
        <f aca="false">(parametros_manuales!$D$41*('Plan mensual'!F68+IF(parametros_manuales!$H$41="Todos",'Plan mensual'!F72,0))+parametros_manuales!$E$41*('Plan mensual'!F69+IF(parametros_manuales!$H$41="Todos",'Plan mensual'!F73,0))+parametros_manuales!$F$41*('Plan mensual'!F70+IF(parametros_manuales!$H$41="Todos",'Plan mensual'!F74,0))+parametros_manuales!$G$41*('Plan mensual'!F71+IF(parametros_manuales!$H$41="Todos",'Plan mensual'!F75,0)))*parametros_manuales!$I$41*parametros_manuales!$J$41</f>
        <v>3683.869113065</v>
      </c>
      <c r="E192" s="14" t="n">
        <f aca="false">(parametros_manuales!$D$41*('Plan mensual'!G68+IF(parametros_manuales!$H$41="Todos",'Plan mensual'!G72,0))+parametros_manuales!$E$41*('Plan mensual'!G69+IF(parametros_manuales!$H$41="Todos",'Plan mensual'!G73,0))+parametros_manuales!$F$41*('Plan mensual'!G70+IF(parametros_manuales!$H$41="Todos",'Plan mensual'!G74,0))+parametros_manuales!$G$41*('Plan mensual'!G71+IF(parametros_manuales!$H$41="Todos",'Plan mensual'!G75,0)))*parametros_manuales!$I$41*parametros_manuales!$J$41</f>
        <v>3582.206346765</v>
      </c>
      <c r="F192" s="14" t="n">
        <f aca="false">(parametros_manuales!$D$41*('Plan mensual'!H68+IF(parametros_manuales!$H$41="Todos",'Plan mensual'!H72,0))+parametros_manuales!$E$41*('Plan mensual'!H69+IF(parametros_manuales!$H$41="Todos",'Plan mensual'!H73,0))+parametros_manuales!$F$41*('Plan mensual'!H70+IF(parametros_manuales!$H$41="Todos",'Plan mensual'!H74,0))+parametros_manuales!$G$41*('Plan mensual'!H71+IF(parametros_manuales!$H$41="Todos",'Plan mensual'!H75,0)))*parametros_manuales!$I$41*parametros_manuales!$J$41</f>
        <v>3359.52800092</v>
      </c>
      <c r="G192" s="14" t="n">
        <f aca="false">(parametros_manuales!$D$41*('Plan mensual'!I68+IF(parametros_manuales!$H$41="Todos",'Plan mensual'!I72,0))+parametros_manuales!$E$41*('Plan mensual'!I69+IF(parametros_manuales!$H$41="Todos",'Plan mensual'!I73,0))+parametros_manuales!$F$41*('Plan mensual'!I70+IF(parametros_manuales!$H$41="Todos",'Plan mensual'!I74,0))+parametros_manuales!$G$41*('Plan mensual'!I71+IF(parametros_manuales!$H$41="Todos",'Plan mensual'!I75,0)))*parametros_manuales!$I$41*parametros_manuales!$J$41</f>
        <v>3238.512421375</v>
      </c>
      <c r="H192" s="14" t="n">
        <f aca="false">(parametros_manuales!$D$41*('Plan mensual'!J68+IF(parametros_manuales!$H$41="Todos",'Plan mensual'!J72,0))+parametros_manuales!$E$41*('Plan mensual'!J69+IF(parametros_manuales!$H$41="Todos",'Plan mensual'!J73,0))+parametros_manuales!$F$41*('Plan mensual'!J70+IF(parametros_manuales!$H$41="Todos",'Plan mensual'!J74,0))+parametros_manuales!$G$41*('Plan mensual'!J71+IF(parametros_manuales!$H$41="Todos",'Plan mensual'!J75,0)))*parametros_manuales!$I$41*parametros_manuales!$J$41</f>
        <v>3461.19076722</v>
      </c>
      <c r="I192" s="14" t="n">
        <f aca="false">(parametros_manuales!$D$41*('Plan mensual'!K68+IF(parametros_manuales!$H$41="Todos",'Plan mensual'!K72,0))+parametros_manuales!$E$41*('Plan mensual'!K69+IF(parametros_manuales!$H$41="Todos",'Plan mensual'!K73,0))+parametros_manuales!$F$41*('Plan mensual'!K70+IF(parametros_manuales!$H$41="Todos",'Plan mensual'!K74,0))+parametros_manuales!$G$41*('Plan mensual'!K71+IF(parametros_manuales!$H$41="Todos",'Plan mensual'!K75,0)))*parametros_manuales!$I$41*parametros_manuales!$J$41</f>
        <v>3461.19076722</v>
      </c>
      <c r="J192" s="14" t="n">
        <f aca="false">(parametros_manuales!$D$41*('Plan mensual'!L68+IF(parametros_manuales!$H$41="Todos",'Plan mensual'!L72,0))+parametros_manuales!$E$41*('Plan mensual'!L69+IF(parametros_manuales!$H$41="Todos",'Plan mensual'!L73,0))+parametros_manuales!$F$41*('Plan mensual'!L70+IF(parametros_manuales!$H$41="Todos",'Plan mensual'!L74,0))+parametros_manuales!$G$41*('Plan mensual'!L71+IF(parametros_manuales!$H$41="Todos",'Plan mensual'!L75,0)))*parametros_manuales!$I$41*parametros_manuales!$J$41</f>
        <v>3461.19076722</v>
      </c>
      <c r="K192" s="14" t="n">
        <f aca="false">(parametros_manuales!$D$41*('Plan mensual'!M68+IF(parametros_manuales!$H$41="Todos",'Plan mensual'!M72,0))+parametros_manuales!$E$41*('Plan mensual'!M69+IF(parametros_manuales!$H$41="Todos",'Plan mensual'!M73,0))+parametros_manuales!$F$41*('Plan mensual'!M70+IF(parametros_manuales!$H$41="Todos",'Plan mensual'!M74,0))+parametros_manuales!$G$41*('Plan mensual'!M71+IF(parametros_manuales!$H$41="Todos",'Plan mensual'!M75,0)))*parametros_manuales!$I$41*parametros_manuales!$J$41</f>
        <v>3340.175187675</v>
      </c>
      <c r="L192" s="14" t="n">
        <f aca="false">(parametros_manuales!$D$41*('Plan mensual'!N68+IF(parametros_manuales!$H$41="Todos",'Plan mensual'!N72,0))+parametros_manuales!$E$41*('Plan mensual'!N69+IF(parametros_manuales!$H$41="Todos",'Plan mensual'!N73,0))+parametros_manuales!$F$41*('Plan mensual'!N70+IF(parametros_manuales!$H$41="Todos",'Plan mensual'!N74,0))+parametros_manuales!$G$41*('Plan mensual'!N71+IF(parametros_manuales!$H$41="Todos",'Plan mensual'!N75,0)))*parametros_manuales!$I$41*parametros_manuales!$J$41</f>
        <v>3219.15960813</v>
      </c>
      <c r="M192" s="14" t="n">
        <f aca="false">(parametros_manuales!$D$41*('Plan mensual'!O68+IF(parametros_manuales!$H$41="Todos",'Plan mensual'!O72,0))+parametros_manuales!$E$41*('Plan mensual'!O69+IF(parametros_manuales!$H$41="Todos",'Plan mensual'!O73,0))+parametros_manuales!$F$41*('Plan mensual'!O70+IF(parametros_manuales!$H$41="Todos",'Plan mensual'!O74,0))+parametros_manuales!$G$41*('Plan mensual'!O71+IF(parametros_manuales!$H$41="Todos",'Plan mensual'!O75,0)))*parametros_manuales!$I$41*parametros_manuales!$J$41</f>
        <v>5102.24914119</v>
      </c>
      <c r="N192" s="14" t="n">
        <f aca="false">SUM(B192:M192)</f>
        <v>44535.669169</v>
      </c>
      <c r="O192" s="14" t="n">
        <f aca="false">MAX(B192:M192)</f>
        <v>5102.24914119</v>
      </c>
      <c r="P192" s="57" t="n">
        <f aca="false">O192/(parametros_manuales!$B$7)</f>
        <v>34.0149942746</v>
      </c>
      <c r="Q192" s="13" t="str">
        <f aca="false">IF(O192=0,"-",INDEX($B$169:$M$169,MATCH(O192,B192:M192,0)))</f>
        <v>Dic</v>
      </c>
    </row>
    <row r="193" customFormat="false" ht="14.25" hidden="false" customHeight="true" outlineLevel="0" collapsed="false">
      <c r="A193" s="13" t="str">
        <f aca="false">parametros_manuales!$B$42</f>
        <v>Control de calidad — Ensayo de pérdidas</v>
      </c>
      <c r="B193" s="14" t="n">
        <f aca="false">(parametros_manuales!$D$42*('Plan mensual'!D68+IF(parametros_manuales!$H$42="Todos",'Plan mensual'!D72,0))+parametros_manuales!$E$42*('Plan mensual'!D69+IF(parametros_manuales!$H$42="Todos",'Plan mensual'!D73,0))+parametros_manuales!$F$42*('Plan mensual'!D70+IF(parametros_manuales!$H$42="Todos",'Plan mensual'!D74,0))+parametros_manuales!$G$42*('Plan mensual'!D71+IF(parametros_manuales!$H$42="Todos",'Plan mensual'!D75,0)))*parametros_manuales!$I$42*parametros_manuales!$J$42</f>
        <v>4860.2179821</v>
      </c>
      <c r="C193" s="14" t="n">
        <f aca="false">(parametros_manuales!$D$42*('Plan mensual'!E68+IF(parametros_manuales!$H$42="Todos",'Plan mensual'!E72,0))+parametros_manuales!$E$42*('Plan mensual'!E69+IF(parametros_manuales!$H$42="Todos",'Plan mensual'!E73,0))+parametros_manuales!$F$42*('Plan mensual'!E70+IF(parametros_manuales!$H$42="Todos",'Plan mensual'!E74,0))+parametros_manuales!$G$42*('Plan mensual'!E71+IF(parametros_manuales!$H$42="Todos",'Plan mensual'!E75,0)))*parametros_manuales!$I$42*parametros_manuales!$J$42</f>
        <v>3766.17906612</v>
      </c>
      <c r="D193" s="14" t="n">
        <f aca="false">(parametros_manuales!$D$42*('Plan mensual'!F68+IF(parametros_manuales!$H$42="Todos",'Plan mensual'!F72,0))+parametros_manuales!$E$42*('Plan mensual'!F69+IF(parametros_manuales!$H$42="Todos",'Plan mensual'!F73,0))+parametros_manuales!$F$42*('Plan mensual'!F70+IF(parametros_manuales!$H$42="Todos",'Plan mensual'!F74,0))+parametros_manuales!$G$42*('Plan mensual'!F71+IF(parametros_manuales!$H$42="Todos",'Plan mensual'!F75,0)))*parametros_manuales!$I$42*parametros_manuales!$J$42</f>
        <v>3683.869113065</v>
      </c>
      <c r="E193" s="14" t="n">
        <f aca="false">(parametros_manuales!$D$42*('Plan mensual'!G68+IF(parametros_manuales!$H$42="Todos",'Plan mensual'!G72,0))+parametros_manuales!$E$42*('Plan mensual'!G69+IF(parametros_manuales!$H$42="Todos",'Plan mensual'!G73,0))+parametros_manuales!$F$42*('Plan mensual'!G70+IF(parametros_manuales!$H$42="Todos",'Plan mensual'!G74,0))+parametros_manuales!$G$42*('Plan mensual'!G71+IF(parametros_manuales!$H$42="Todos",'Plan mensual'!G75,0)))*parametros_manuales!$I$42*parametros_manuales!$J$42</f>
        <v>3582.206346765</v>
      </c>
      <c r="F193" s="14" t="n">
        <f aca="false">(parametros_manuales!$D$42*('Plan mensual'!H68+IF(parametros_manuales!$H$42="Todos",'Plan mensual'!H72,0))+parametros_manuales!$E$42*('Plan mensual'!H69+IF(parametros_manuales!$H$42="Todos",'Plan mensual'!H73,0))+parametros_manuales!$F$42*('Plan mensual'!H70+IF(parametros_manuales!$H$42="Todos",'Plan mensual'!H74,0))+parametros_manuales!$G$42*('Plan mensual'!H71+IF(parametros_manuales!$H$42="Todos",'Plan mensual'!H75,0)))*parametros_manuales!$I$42*parametros_manuales!$J$42</f>
        <v>3359.52800092</v>
      </c>
      <c r="G193" s="14" t="n">
        <f aca="false">(parametros_manuales!$D$42*('Plan mensual'!I68+IF(parametros_manuales!$H$42="Todos",'Plan mensual'!I72,0))+parametros_manuales!$E$42*('Plan mensual'!I69+IF(parametros_manuales!$H$42="Todos",'Plan mensual'!I73,0))+parametros_manuales!$F$42*('Plan mensual'!I70+IF(parametros_manuales!$H$42="Todos",'Plan mensual'!I74,0))+parametros_manuales!$G$42*('Plan mensual'!I71+IF(parametros_manuales!$H$42="Todos",'Plan mensual'!I75,0)))*parametros_manuales!$I$42*parametros_manuales!$J$42</f>
        <v>3238.512421375</v>
      </c>
      <c r="H193" s="14" t="n">
        <f aca="false">(parametros_manuales!$D$42*('Plan mensual'!J68+IF(parametros_manuales!$H$42="Todos",'Plan mensual'!J72,0))+parametros_manuales!$E$42*('Plan mensual'!J69+IF(parametros_manuales!$H$42="Todos",'Plan mensual'!J73,0))+parametros_manuales!$F$42*('Plan mensual'!J70+IF(parametros_manuales!$H$42="Todos",'Plan mensual'!J74,0))+parametros_manuales!$G$42*('Plan mensual'!J71+IF(parametros_manuales!$H$42="Todos",'Plan mensual'!J75,0)))*parametros_manuales!$I$42*parametros_manuales!$J$42</f>
        <v>3461.19076722</v>
      </c>
      <c r="I193" s="14" t="n">
        <f aca="false">(parametros_manuales!$D$42*('Plan mensual'!K68+IF(parametros_manuales!$H$42="Todos",'Plan mensual'!K72,0))+parametros_manuales!$E$42*('Plan mensual'!K69+IF(parametros_manuales!$H$42="Todos",'Plan mensual'!K73,0))+parametros_manuales!$F$42*('Plan mensual'!K70+IF(parametros_manuales!$H$42="Todos",'Plan mensual'!K74,0))+parametros_manuales!$G$42*('Plan mensual'!K71+IF(parametros_manuales!$H$42="Todos",'Plan mensual'!K75,0)))*parametros_manuales!$I$42*parametros_manuales!$J$42</f>
        <v>3461.19076722</v>
      </c>
      <c r="J193" s="14" t="n">
        <f aca="false">(parametros_manuales!$D$42*('Plan mensual'!L68+IF(parametros_manuales!$H$42="Todos",'Plan mensual'!L72,0))+parametros_manuales!$E$42*('Plan mensual'!L69+IF(parametros_manuales!$H$42="Todos",'Plan mensual'!L73,0))+parametros_manuales!$F$42*('Plan mensual'!L70+IF(parametros_manuales!$H$42="Todos",'Plan mensual'!L74,0))+parametros_manuales!$G$42*('Plan mensual'!L71+IF(parametros_manuales!$H$42="Todos",'Plan mensual'!L75,0)))*parametros_manuales!$I$42*parametros_manuales!$J$42</f>
        <v>3461.19076722</v>
      </c>
      <c r="K193" s="14" t="n">
        <f aca="false">(parametros_manuales!$D$42*('Plan mensual'!M68+IF(parametros_manuales!$H$42="Todos",'Plan mensual'!M72,0))+parametros_manuales!$E$42*('Plan mensual'!M69+IF(parametros_manuales!$H$42="Todos",'Plan mensual'!M73,0))+parametros_manuales!$F$42*('Plan mensual'!M70+IF(parametros_manuales!$H$42="Todos",'Plan mensual'!M74,0))+parametros_manuales!$G$42*('Plan mensual'!M71+IF(parametros_manuales!$H$42="Todos",'Plan mensual'!M75,0)))*parametros_manuales!$I$42*parametros_manuales!$J$42</f>
        <v>3340.175187675</v>
      </c>
      <c r="L193" s="14" t="n">
        <f aca="false">(parametros_manuales!$D$42*('Plan mensual'!N68+IF(parametros_manuales!$H$42="Todos",'Plan mensual'!N72,0))+parametros_manuales!$E$42*('Plan mensual'!N69+IF(parametros_manuales!$H$42="Todos",'Plan mensual'!N73,0))+parametros_manuales!$F$42*('Plan mensual'!N70+IF(parametros_manuales!$H$42="Todos",'Plan mensual'!N74,0))+parametros_manuales!$G$42*('Plan mensual'!N71+IF(parametros_manuales!$H$42="Todos",'Plan mensual'!N75,0)))*parametros_manuales!$I$42*parametros_manuales!$J$42</f>
        <v>3219.15960813</v>
      </c>
      <c r="M193" s="14" t="n">
        <f aca="false">(parametros_manuales!$D$42*('Plan mensual'!O68+IF(parametros_manuales!$H$42="Todos",'Plan mensual'!O72,0))+parametros_manuales!$E$42*('Plan mensual'!O69+IF(parametros_manuales!$H$42="Todos",'Plan mensual'!O73,0))+parametros_manuales!$F$42*('Plan mensual'!O70+IF(parametros_manuales!$H$42="Todos",'Plan mensual'!O74,0))+parametros_manuales!$G$42*('Plan mensual'!O71+IF(parametros_manuales!$H$42="Todos",'Plan mensual'!O75,0)))*parametros_manuales!$I$42*parametros_manuales!$J$42</f>
        <v>5102.24914119</v>
      </c>
      <c r="N193" s="14" t="n">
        <f aca="false">SUM(B193:M193)</f>
        <v>44535.669169</v>
      </c>
      <c r="O193" s="14" t="n">
        <f aca="false">MAX(B193:M193)</f>
        <v>5102.24914119</v>
      </c>
      <c r="P193" s="57" t="n">
        <f aca="false">O193/(parametros_manuales!$B$7)</f>
        <v>34.0149942746</v>
      </c>
      <c r="Q193" s="13" t="str">
        <f aca="false">IF(O193=0,"-",INDEX($B$169:$M$169,MATCH(O193,B193:M193,0)))</f>
        <v>Dic</v>
      </c>
    </row>
    <row r="194" customFormat="false" ht="14.25" hidden="false" customHeight="true" outlineLevel="0" collapsed="false">
      <c r="A194" s="13" t="str">
        <f aca="false">parametros_manuales!$B$43</f>
        <v>Etiquetado</v>
      </c>
      <c r="B194" s="14" t="n">
        <f aca="false">(parametros_manuales!$D$43*('Plan mensual'!D68+IF(parametros_manuales!$H$43="Todos",'Plan mensual'!D72,0))+parametros_manuales!$E$43*('Plan mensual'!D69+IF(parametros_manuales!$H$43="Todos",'Plan mensual'!D73,0))+parametros_manuales!$F$43*('Plan mensual'!D70+IF(parametros_manuales!$H$43="Todos",'Plan mensual'!D74,0))+parametros_manuales!$G$43*('Plan mensual'!D71+IF(parametros_manuales!$H$43="Todos",'Plan mensual'!D75,0)))*parametros_manuales!$I$43*parametros_manuales!$J$43</f>
        <v>4860.2179821</v>
      </c>
      <c r="C194" s="14" t="n">
        <f aca="false">(parametros_manuales!$D$43*('Plan mensual'!E68+IF(parametros_manuales!$H$43="Todos",'Plan mensual'!E72,0))+parametros_manuales!$E$43*('Plan mensual'!E69+IF(parametros_manuales!$H$43="Todos",'Plan mensual'!E73,0))+parametros_manuales!$F$43*('Plan mensual'!E70+IF(parametros_manuales!$H$43="Todos",'Plan mensual'!E74,0))+parametros_manuales!$G$43*('Plan mensual'!E71+IF(parametros_manuales!$H$43="Todos",'Plan mensual'!E75,0)))*parametros_manuales!$I$43*parametros_manuales!$J$43</f>
        <v>3766.17906612</v>
      </c>
      <c r="D194" s="14" t="n">
        <f aca="false">(parametros_manuales!$D$43*('Plan mensual'!F68+IF(parametros_manuales!$H$43="Todos",'Plan mensual'!F72,0))+parametros_manuales!$E$43*('Plan mensual'!F69+IF(parametros_manuales!$H$43="Todos",'Plan mensual'!F73,0))+parametros_manuales!$F$43*('Plan mensual'!F70+IF(parametros_manuales!$H$43="Todos",'Plan mensual'!F74,0))+parametros_manuales!$G$43*('Plan mensual'!F71+IF(parametros_manuales!$H$43="Todos",'Plan mensual'!F75,0)))*parametros_manuales!$I$43*parametros_manuales!$J$43</f>
        <v>3683.869113065</v>
      </c>
      <c r="E194" s="14" t="n">
        <f aca="false">(parametros_manuales!$D$43*('Plan mensual'!G68+IF(parametros_manuales!$H$43="Todos",'Plan mensual'!G72,0))+parametros_manuales!$E$43*('Plan mensual'!G69+IF(parametros_manuales!$H$43="Todos",'Plan mensual'!G73,0))+parametros_manuales!$F$43*('Plan mensual'!G70+IF(parametros_manuales!$H$43="Todos",'Plan mensual'!G74,0))+parametros_manuales!$G$43*('Plan mensual'!G71+IF(parametros_manuales!$H$43="Todos",'Plan mensual'!G75,0)))*parametros_manuales!$I$43*parametros_manuales!$J$43</f>
        <v>3582.206346765</v>
      </c>
      <c r="F194" s="14" t="n">
        <f aca="false">(parametros_manuales!$D$43*('Plan mensual'!H68+IF(parametros_manuales!$H$43="Todos",'Plan mensual'!H72,0))+parametros_manuales!$E$43*('Plan mensual'!H69+IF(parametros_manuales!$H$43="Todos",'Plan mensual'!H73,0))+parametros_manuales!$F$43*('Plan mensual'!H70+IF(parametros_manuales!$H$43="Todos",'Plan mensual'!H74,0))+parametros_manuales!$G$43*('Plan mensual'!H71+IF(parametros_manuales!$H$43="Todos",'Plan mensual'!H75,0)))*parametros_manuales!$I$43*parametros_manuales!$J$43</f>
        <v>3359.52800092</v>
      </c>
      <c r="G194" s="14" t="n">
        <f aca="false">(parametros_manuales!$D$43*('Plan mensual'!I68+IF(parametros_manuales!$H$43="Todos",'Plan mensual'!I72,0))+parametros_manuales!$E$43*('Plan mensual'!I69+IF(parametros_manuales!$H$43="Todos",'Plan mensual'!I73,0))+parametros_manuales!$F$43*('Plan mensual'!I70+IF(parametros_manuales!$H$43="Todos",'Plan mensual'!I74,0))+parametros_manuales!$G$43*('Plan mensual'!I71+IF(parametros_manuales!$H$43="Todos",'Plan mensual'!I75,0)))*parametros_manuales!$I$43*parametros_manuales!$J$43</f>
        <v>3238.512421375</v>
      </c>
      <c r="H194" s="14" t="n">
        <f aca="false">(parametros_manuales!$D$43*('Plan mensual'!J68+IF(parametros_manuales!$H$43="Todos",'Plan mensual'!J72,0))+parametros_manuales!$E$43*('Plan mensual'!J69+IF(parametros_manuales!$H$43="Todos",'Plan mensual'!J73,0))+parametros_manuales!$F$43*('Plan mensual'!J70+IF(parametros_manuales!$H$43="Todos",'Plan mensual'!J74,0))+parametros_manuales!$G$43*('Plan mensual'!J71+IF(parametros_manuales!$H$43="Todos",'Plan mensual'!J75,0)))*parametros_manuales!$I$43*parametros_manuales!$J$43</f>
        <v>3461.19076722</v>
      </c>
      <c r="I194" s="14" t="n">
        <f aca="false">(parametros_manuales!$D$43*('Plan mensual'!K68+IF(parametros_manuales!$H$43="Todos",'Plan mensual'!K72,0))+parametros_manuales!$E$43*('Plan mensual'!K69+IF(parametros_manuales!$H$43="Todos",'Plan mensual'!K73,0))+parametros_manuales!$F$43*('Plan mensual'!K70+IF(parametros_manuales!$H$43="Todos",'Plan mensual'!K74,0))+parametros_manuales!$G$43*('Plan mensual'!K71+IF(parametros_manuales!$H$43="Todos",'Plan mensual'!K75,0)))*parametros_manuales!$I$43*parametros_manuales!$J$43</f>
        <v>3461.19076722</v>
      </c>
      <c r="J194" s="14" t="n">
        <f aca="false">(parametros_manuales!$D$43*('Plan mensual'!L68+IF(parametros_manuales!$H$43="Todos",'Plan mensual'!L72,0))+parametros_manuales!$E$43*('Plan mensual'!L69+IF(parametros_manuales!$H$43="Todos",'Plan mensual'!L73,0))+parametros_manuales!$F$43*('Plan mensual'!L70+IF(parametros_manuales!$H$43="Todos",'Plan mensual'!L74,0))+parametros_manuales!$G$43*('Plan mensual'!L71+IF(parametros_manuales!$H$43="Todos",'Plan mensual'!L75,0)))*parametros_manuales!$I$43*parametros_manuales!$J$43</f>
        <v>3461.19076722</v>
      </c>
      <c r="K194" s="14" t="n">
        <f aca="false">(parametros_manuales!$D$43*('Plan mensual'!M68+IF(parametros_manuales!$H$43="Todos",'Plan mensual'!M72,0))+parametros_manuales!$E$43*('Plan mensual'!M69+IF(parametros_manuales!$H$43="Todos",'Plan mensual'!M73,0))+parametros_manuales!$F$43*('Plan mensual'!M70+IF(parametros_manuales!$H$43="Todos",'Plan mensual'!M74,0))+parametros_manuales!$G$43*('Plan mensual'!M71+IF(parametros_manuales!$H$43="Todos",'Plan mensual'!M75,0)))*parametros_manuales!$I$43*parametros_manuales!$J$43</f>
        <v>3340.175187675</v>
      </c>
      <c r="L194" s="14" t="n">
        <f aca="false">(parametros_manuales!$D$43*('Plan mensual'!N68+IF(parametros_manuales!$H$43="Todos",'Plan mensual'!N72,0))+parametros_manuales!$E$43*('Plan mensual'!N69+IF(parametros_manuales!$H$43="Todos",'Plan mensual'!N73,0))+parametros_manuales!$F$43*('Plan mensual'!N70+IF(parametros_manuales!$H$43="Todos",'Plan mensual'!N74,0))+parametros_manuales!$G$43*('Plan mensual'!N71+IF(parametros_manuales!$H$43="Todos",'Plan mensual'!N75,0)))*parametros_manuales!$I$43*parametros_manuales!$J$43</f>
        <v>3219.15960813</v>
      </c>
      <c r="M194" s="14" t="n">
        <f aca="false">(parametros_manuales!$D$43*('Plan mensual'!O68+IF(parametros_manuales!$H$43="Todos",'Plan mensual'!O72,0))+parametros_manuales!$E$43*('Plan mensual'!O69+IF(parametros_manuales!$H$43="Todos",'Plan mensual'!O73,0))+parametros_manuales!$F$43*('Plan mensual'!O70+IF(parametros_manuales!$H$43="Todos",'Plan mensual'!O74,0))+parametros_manuales!$G$43*('Plan mensual'!O71+IF(parametros_manuales!$H$43="Todos",'Plan mensual'!O75,0)))*parametros_manuales!$I$43*parametros_manuales!$J$43</f>
        <v>5102.24914119</v>
      </c>
      <c r="N194" s="14" t="n">
        <f aca="false">SUM(B194:M194)</f>
        <v>44535.669169</v>
      </c>
      <c r="O194" s="14" t="n">
        <f aca="false">MAX(B194:M194)</f>
        <v>5102.24914119</v>
      </c>
      <c r="P194" s="57" t="n">
        <f aca="false">O194/(parametros_manuales!$B$7)</f>
        <v>34.0149942746</v>
      </c>
      <c r="Q194" s="13" t="str">
        <f aca="false">IF(O194=0,"-",INDEX($B$169:$M$169,MATCH(O194,B194:M194,0)))</f>
        <v>Dic</v>
      </c>
    </row>
    <row r="195" customFormat="false" ht="14.25" hidden="false" customHeight="true" outlineLevel="0" collapsed="false">
      <c r="A195" s="13" t="str">
        <f aca="false">parametros_manuales!$B$44</f>
        <v>Embalaje y paletizado</v>
      </c>
      <c r="B195" s="14" t="n">
        <f aca="false">(parametros_manuales!$D$44*('Plan mensual'!D68+IF(parametros_manuales!$H$44="Todos",'Plan mensual'!D72,0))+parametros_manuales!$E$44*('Plan mensual'!D69+IF(parametros_manuales!$H$44="Todos",'Plan mensual'!D73,0))+parametros_manuales!$F$44*('Plan mensual'!D70+IF(parametros_manuales!$H$44="Todos",'Plan mensual'!D74,0))+parametros_manuales!$G$44*('Plan mensual'!D71+IF(parametros_manuales!$H$44="Todos",'Plan mensual'!D75,0)))*parametros_manuales!$I$44*parametros_manuales!$J$44</f>
        <v>19511.4099821</v>
      </c>
      <c r="C195" s="14" t="n">
        <f aca="false">(parametros_manuales!$D$44*('Plan mensual'!E68+IF(parametros_manuales!$H$44="Todos",'Plan mensual'!E72,0))+parametros_manuales!$E$44*('Plan mensual'!E69+IF(parametros_manuales!$H$44="Todos",'Plan mensual'!E73,0))+parametros_manuales!$F$44*('Plan mensual'!E70+IF(parametros_manuales!$H$44="Todos",'Plan mensual'!E74,0))+parametros_manuales!$G$44*('Plan mensual'!E71+IF(parametros_manuales!$H$44="Todos",'Plan mensual'!E75,0)))*parametros_manuales!$I$44*parametros_manuales!$J$44</f>
        <v>14879.08906612</v>
      </c>
      <c r="D195" s="14" t="n">
        <f aca="false">(parametros_manuales!$D$44*('Plan mensual'!F68+IF(parametros_manuales!$H$44="Todos",'Plan mensual'!F72,0))+parametros_manuales!$E$44*('Plan mensual'!F69+IF(parametros_manuales!$H$44="Todos",'Plan mensual'!F73,0))+parametros_manuales!$F$44*('Plan mensual'!F70+IF(parametros_manuales!$H$44="Todos",'Plan mensual'!F74,0))+parametros_manuales!$G$44*('Plan mensual'!F71+IF(parametros_manuales!$H$44="Todos",'Plan mensual'!F75,0)))*parametros_manuales!$I$44*parametros_manuales!$J$44</f>
        <v>13907.889113065</v>
      </c>
      <c r="E195" s="14" t="n">
        <f aca="false">(parametros_manuales!$D$44*('Plan mensual'!G68+IF(parametros_manuales!$H$44="Todos",'Plan mensual'!G72,0))+parametros_manuales!$E$44*('Plan mensual'!G69+IF(parametros_manuales!$H$44="Todos",'Plan mensual'!G73,0))+parametros_manuales!$F$44*('Plan mensual'!G70+IF(parametros_manuales!$H$44="Todos",'Plan mensual'!G74,0))+parametros_manuales!$G$44*('Plan mensual'!G71+IF(parametros_manuales!$H$44="Todos",'Plan mensual'!G75,0)))*parametros_manuales!$I$44*parametros_manuales!$J$44</f>
        <v>13299.523346765</v>
      </c>
      <c r="F195" s="14" t="n">
        <f aca="false">(parametros_manuales!$D$44*('Plan mensual'!H68+IF(parametros_manuales!$H$44="Todos",'Plan mensual'!H72,0))+parametros_manuales!$E$44*('Plan mensual'!H69+IF(parametros_manuales!$H$44="Todos",'Plan mensual'!H73,0))+parametros_manuales!$F$44*('Plan mensual'!H70+IF(parametros_manuales!$H$44="Todos",'Plan mensual'!H74,0))+parametros_manuales!$G$44*('Plan mensual'!H71+IF(parametros_manuales!$H$44="Todos",'Plan mensual'!H75,0)))*parametros_manuales!$I$44*parametros_manuales!$J$44</f>
        <v>12445.62600092</v>
      </c>
      <c r="G195" s="14" t="n">
        <f aca="false">(parametros_manuales!$D$44*('Plan mensual'!I68+IF(parametros_manuales!$H$44="Todos",'Plan mensual'!I72,0))+parametros_manuales!$E$44*('Plan mensual'!I69+IF(parametros_manuales!$H$44="Todos",'Plan mensual'!I73,0))+parametros_manuales!$F$44*('Plan mensual'!I70+IF(parametros_manuales!$H$44="Todos",'Plan mensual'!I74,0))+parametros_manuales!$G$44*('Plan mensual'!I71+IF(parametros_manuales!$H$44="Todos",'Plan mensual'!I75,0)))*parametros_manuales!$I$44*parametros_manuales!$J$44</f>
        <v>12200.094421375</v>
      </c>
      <c r="H195" s="14" t="n">
        <f aca="false">(parametros_manuales!$D$44*('Plan mensual'!J68+IF(parametros_manuales!$H$44="Todos",'Plan mensual'!J72,0))+parametros_manuales!$E$44*('Plan mensual'!J69+IF(parametros_manuales!$H$44="Todos",'Plan mensual'!J73,0))+parametros_manuales!$F$44*('Plan mensual'!J70+IF(parametros_manuales!$H$44="Todos",'Plan mensual'!J74,0))+parametros_manuales!$G$44*('Plan mensual'!J71+IF(parametros_manuales!$H$44="Todos",'Plan mensual'!J75,0)))*parametros_manuales!$I$44*parametros_manuales!$J$44</f>
        <v>13053.99176722</v>
      </c>
      <c r="I195" s="14" t="n">
        <f aca="false">(parametros_manuales!$D$44*('Plan mensual'!K68+IF(parametros_manuales!$H$44="Todos",'Plan mensual'!K72,0))+parametros_manuales!$E$44*('Plan mensual'!K69+IF(parametros_manuales!$H$44="Todos",'Plan mensual'!K73,0))+parametros_manuales!$F$44*('Plan mensual'!K70+IF(parametros_manuales!$H$44="Todos",'Plan mensual'!K74,0))+parametros_manuales!$G$44*('Plan mensual'!K71+IF(parametros_manuales!$H$44="Todos",'Plan mensual'!K75,0)))*parametros_manuales!$I$44*parametros_manuales!$J$44</f>
        <v>13053.99176722</v>
      </c>
      <c r="J195" s="14" t="n">
        <f aca="false">(parametros_manuales!$D$44*('Plan mensual'!L68+IF(parametros_manuales!$H$44="Todos",'Plan mensual'!L72,0))+parametros_manuales!$E$44*('Plan mensual'!L69+IF(parametros_manuales!$H$44="Todos",'Plan mensual'!L73,0))+parametros_manuales!$F$44*('Plan mensual'!L70+IF(parametros_manuales!$H$44="Todos",'Plan mensual'!L74,0))+parametros_manuales!$G$44*('Plan mensual'!L71+IF(parametros_manuales!$H$44="Todos",'Plan mensual'!L75,0)))*parametros_manuales!$I$44*parametros_manuales!$J$44</f>
        <v>13053.99176722</v>
      </c>
      <c r="K195" s="14" t="n">
        <f aca="false">(parametros_manuales!$D$44*('Plan mensual'!M68+IF(parametros_manuales!$H$44="Todos",'Plan mensual'!M72,0))+parametros_manuales!$E$44*('Plan mensual'!M69+IF(parametros_manuales!$H$44="Todos",'Plan mensual'!M73,0))+parametros_manuales!$F$44*('Plan mensual'!M70+IF(parametros_manuales!$H$44="Todos",'Plan mensual'!M74,0))+parametros_manuales!$G$44*('Plan mensual'!M71+IF(parametros_manuales!$H$44="Todos",'Plan mensual'!M75,0)))*parametros_manuales!$I$44*parametros_manuales!$J$44</f>
        <v>12808.460187675</v>
      </c>
      <c r="L195" s="14" t="n">
        <f aca="false">(parametros_manuales!$D$44*('Plan mensual'!N68+IF(parametros_manuales!$H$44="Todos",'Plan mensual'!N72,0))+parametros_manuales!$E$44*('Plan mensual'!N69+IF(parametros_manuales!$H$44="Todos",'Plan mensual'!N73,0))+parametros_manuales!$F$44*('Plan mensual'!N70+IF(parametros_manuales!$H$44="Todos",'Plan mensual'!N74,0))+parametros_manuales!$G$44*('Plan mensual'!N71+IF(parametros_manuales!$H$44="Todos",'Plan mensual'!N75,0)))*parametros_manuales!$I$44*parametros_manuales!$J$44</f>
        <v>12562.92860813</v>
      </c>
      <c r="M195" s="14" t="n">
        <f aca="false">(parametros_manuales!$D$44*('Plan mensual'!O68+IF(parametros_manuales!$H$44="Todos",'Plan mensual'!O72,0))+parametros_manuales!$E$44*('Plan mensual'!O69+IF(parametros_manuales!$H$44="Todos",'Plan mensual'!O73,0))+parametros_manuales!$F$44*('Plan mensual'!O70+IF(parametros_manuales!$H$44="Todos",'Plan mensual'!O74,0))+parametros_manuales!$G$44*('Plan mensual'!O71+IF(parametros_manuales!$H$44="Todos",'Plan mensual'!O75,0)))*parametros_manuales!$I$44*parametros_manuales!$J$44</f>
        <v>20002.47314119</v>
      </c>
      <c r="N195" s="14" t="n">
        <f aca="false">SUM(B195:M195)</f>
        <v>170779.469169</v>
      </c>
      <c r="O195" s="14" t="n">
        <f aca="false">MAX(B195:M195)</f>
        <v>20002.47314119</v>
      </c>
      <c r="P195" s="57" t="n">
        <f aca="false">O195/(parametros_manuales!$B$7)</f>
        <v>133.349820941267</v>
      </c>
      <c r="Q195" s="13" t="str">
        <f aca="false">IF(O195=0,"-",INDEX($B$169:$M$169,MATCH(O195,B195:M195,0)))</f>
        <v>Dic</v>
      </c>
    </row>
    <row r="196" customFormat="false" ht="14.25" hidden="false" customHeight="true" outlineLevel="0" collapsed="false"/>
    <row r="197" customFormat="false" ht="14.25" hidden="false" customHeight="true" outlineLevel="0" collapsed="false">
      <c r="A197" s="12" t="s">
        <v>275</v>
      </c>
      <c r="B197" s="12" t="s">
        <v>37</v>
      </c>
      <c r="C197" s="12" t="s">
        <v>38</v>
      </c>
      <c r="D197" s="12" t="s">
        <v>39</v>
      </c>
      <c r="E197" s="12" t="s">
        <v>40</v>
      </c>
      <c r="F197" s="12" t="s">
        <v>41</v>
      </c>
      <c r="G197" s="12" t="s">
        <v>42</v>
      </c>
      <c r="H197" s="12" t="s">
        <v>43</v>
      </c>
      <c r="I197" s="12" t="s">
        <v>44</v>
      </c>
      <c r="J197" s="12" t="s">
        <v>45</v>
      </c>
      <c r="K197" s="12" t="s">
        <v>46</v>
      </c>
      <c r="L197" s="12" t="s">
        <v>47</v>
      </c>
      <c r="M197" s="12" t="s">
        <v>48</v>
      </c>
      <c r="N197" s="12" t="s">
        <v>261</v>
      </c>
      <c r="O197" s="12" t="s">
        <v>266</v>
      </c>
      <c r="P197" s="12" t="s">
        <v>267</v>
      </c>
      <c r="Q197" s="12" t="s">
        <v>268</v>
      </c>
    </row>
    <row r="198" customFormat="false" ht="14.25" hidden="false" customHeight="true" outlineLevel="0" collapsed="false">
      <c r="A198" s="13" t="str">
        <f aca="false">parametros_manuales!$B$19</f>
        <v>Recepción de materia prima</v>
      </c>
      <c r="B198" s="14" t="n">
        <f aca="false">(parametros_manuales!$D$19*('Plan mensual'!D79+IF(parametros_manuales!$H$19="Todos",'Plan mensual'!D83,0))+parametros_manuales!$E$19*('Plan mensual'!D80+IF(parametros_manuales!$H$19="Todos",'Plan mensual'!D84,0))+parametros_manuales!$F$19*('Plan mensual'!D81+IF(parametros_manuales!$H$19="Todos",'Plan mensual'!D85,0))+parametros_manuales!$G$19*('Plan mensual'!D82+IF(parametros_manuales!$H$19="Todos",'Plan mensual'!D86,0)))*parametros_manuales!$I$19*parametros_manuales!$J$19</f>
        <v>24941.2551945</v>
      </c>
      <c r="C198" s="14" t="n">
        <f aca="false">(parametros_manuales!$D$19*('Plan mensual'!E79+IF(parametros_manuales!$H$19="Todos",'Plan mensual'!E83,0))+parametros_manuales!$E$19*('Plan mensual'!E80+IF(parametros_manuales!$H$19="Todos",'Plan mensual'!E84,0))+parametros_manuales!$F$19*('Plan mensual'!E81+IF(parametros_manuales!$H$19="Todos",'Plan mensual'!E85,0))+parametros_manuales!$G$19*('Plan mensual'!E82+IF(parametros_manuales!$H$19="Todos",'Plan mensual'!E86,0)))*parametros_manuales!$I$19*parametros_manuales!$J$19</f>
        <v>19016.20568472</v>
      </c>
      <c r="D198" s="14" t="n">
        <f aca="false">(parametros_manuales!$D$19*('Plan mensual'!F79+IF(parametros_manuales!$H$19="Todos",'Plan mensual'!F83,0))+parametros_manuales!$E$19*('Plan mensual'!F80+IF(parametros_manuales!$H$19="Todos",'Plan mensual'!F84,0))+parametros_manuales!$F$19*('Plan mensual'!F81+IF(parametros_manuales!$H$19="Todos",'Plan mensual'!F85,0))+parametros_manuales!$G$19*('Plan mensual'!F82+IF(parametros_manuales!$H$19="Todos",'Plan mensual'!F86,0)))*parametros_manuales!$I$19*parametros_manuales!$J$19</f>
        <v>17765.139188765</v>
      </c>
      <c r="E198" s="14" t="n">
        <f aca="false">(parametros_manuales!$D$19*('Plan mensual'!G79+IF(parametros_manuales!$H$19="Todos",'Plan mensual'!G83,0))+parametros_manuales!$E$19*('Plan mensual'!G80+IF(parametros_manuales!$H$19="Todos",'Plan mensual'!G84,0))+parametros_manuales!$F$19*('Plan mensual'!G81+IF(parametros_manuales!$H$19="Todos",'Plan mensual'!G85,0))+parametros_manuales!$G$19*('Plan mensual'!G82+IF(parametros_manuales!$H$19="Todos",'Plan mensual'!G86,0)))*parametros_manuales!$I$19*parametros_manuales!$J$19</f>
        <v>16984.473796365</v>
      </c>
      <c r="F198" s="14" t="n">
        <f aca="false">(parametros_manuales!$D$19*('Plan mensual'!H79+IF(parametros_manuales!$H$19="Todos",'Plan mensual'!H83,0))+parametros_manuales!$E$19*('Plan mensual'!H80+IF(parametros_manuales!$H$19="Todos",'Plan mensual'!H84,0))+parametros_manuales!$F$19*('Plan mensual'!H81+IF(parametros_manuales!$H$19="Todos",'Plan mensual'!H85,0))+parametros_manuales!$G$19*('Plan mensual'!H82+IF(parametros_manuales!$H$19="Todos",'Plan mensual'!H86,0)))*parametros_manuales!$I$19*parametros_manuales!$J$19</f>
        <v>15893.54411512</v>
      </c>
      <c r="G198" s="14" t="n">
        <f aca="false">(parametros_manuales!$D$19*('Plan mensual'!I79+IF(parametros_manuales!$H$19="Todos",'Plan mensual'!I83,0))+parametros_manuales!$E$19*('Plan mensual'!I80+IF(parametros_manuales!$H$19="Todos",'Plan mensual'!I84,0))+parametros_manuales!$F$19*('Plan mensual'!I81+IF(parametros_manuales!$H$19="Todos",'Plan mensual'!I85,0))+parametros_manuales!$G$19*('Plan mensual'!I82+IF(parametros_manuales!$H$19="Todos",'Plan mensual'!I86,0)))*parametros_manuales!$I$19*parametros_manuales!$J$19</f>
        <v>15583.279826275</v>
      </c>
      <c r="H198" s="14" t="n">
        <f aca="false">(parametros_manuales!$D$19*('Plan mensual'!J79+IF(parametros_manuales!$H$19="Todos",'Plan mensual'!J83,0))+parametros_manuales!$E$19*('Plan mensual'!J80+IF(parametros_manuales!$H$19="Todos",'Plan mensual'!J84,0))+parametros_manuales!$F$19*('Plan mensual'!J81+IF(parametros_manuales!$H$19="Todos",'Plan mensual'!J85,0))+parametros_manuales!$G$19*('Plan mensual'!J82+IF(parametros_manuales!$H$19="Todos",'Plan mensual'!J86,0)))*parametros_manuales!$I$19*parametros_manuales!$J$19</f>
        <v>16674.20950752</v>
      </c>
      <c r="I198" s="14" t="n">
        <f aca="false">(parametros_manuales!$D$19*('Plan mensual'!K79+IF(parametros_manuales!$H$19="Todos",'Plan mensual'!K83,0))+parametros_manuales!$E$19*('Plan mensual'!K80+IF(parametros_manuales!$H$19="Todos",'Plan mensual'!K84,0))+parametros_manuales!$F$19*('Plan mensual'!K81+IF(parametros_manuales!$H$19="Todos",'Plan mensual'!K85,0))+parametros_manuales!$G$19*('Plan mensual'!K82+IF(parametros_manuales!$H$19="Todos",'Plan mensual'!K86,0)))*parametros_manuales!$I$19*parametros_manuales!$J$19</f>
        <v>16674.20950752</v>
      </c>
      <c r="J198" s="14" t="n">
        <f aca="false">(parametros_manuales!$D$19*('Plan mensual'!L79+IF(parametros_manuales!$H$19="Todos",'Plan mensual'!L83,0))+parametros_manuales!$E$19*('Plan mensual'!L80+IF(parametros_manuales!$H$19="Todos",'Plan mensual'!L84,0))+parametros_manuales!$F$19*('Plan mensual'!L81+IF(parametros_manuales!$H$19="Todos",'Plan mensual'!L85,0))+parametros_manuales!$G$19*('Plan mensual'!L82+IF(parametros_manuales!$H$19="Todos",'Plan mensual'!L86,0)))*parametros_manuales!$I$19*parametros_manuales!$J$19</f>
        <v>16674.20950752</v>
      </c>
      <c r="K198" s="14" t="n">
        <f aca="false">(parametros_manuales!$D$19*('Plan mensual'!M79+IF(parametros_manuales!$H$19="Todos",'Plan mensual'!M83,0))+parametros_manuales!$E$19*('Plan mensual'!M80+IF(parametros_manuales!$H$19="Todos",'Plan mensual'!M84,0))+parametros_manuales!$F$19*('Plan mensual'!M81+IF(parametros_manuales!$H$19="Todos",'Plan mensual'!M85,0))+parametros_manuales!$G$19*('Plan mensual'!M82+IF(parametros_manuales!$H$19="Todos",'Plan mensual'!M86,0)))*parametros_manuales!$I$19*parametros_manuales!$J$19</f>
        <v>16363.945218675</v>
      </c>
      <c r="L198" s="14" t="n">
        <f aca="false">(parametros_manuales!$D$19*('Plan mensual'!N79+IF(parametros_manuales!$H$19="Todos",'Plan mensual'!N83,0))+parametros_manuales!$E$19*('Plan mensual'!N80+IF(parametros_manuales!$H$19="Todos",'Plan mensual'!N84,0))+parametros_manuales!$F$19*('Plan mensual'!N81+IF(parametros_manuales!$H$19="Todos",'Plan mensual'!N85,0))+parametros_manuales!$G$19*('Plan mensual'!N82+IF(parametros_manuales!$H$19="Todos",'Plan mensual'!N86,0)))*parametros_manuales!$I$19*parametros_manuales!$J$19</f>
        <v>16053.68092983</v>
      </c>
      <c r="M198" s="14" t="n">
        <f aca="false">(parametros_manuales!$D$19*('Plan mensual'!O79+IF(parametros_manuales!$H$19="Todos",'Plan mensual'!O83,0))+parametros_manuales!$E$19*('Plan mensual'!O80+IF(parametros_manuales!$H$19="Todos",'Plan mensual'!O84,0))+parametros_manuales!$F$19*('Plan mensual'!O81+IF(parametros_manuales!$H$19="Todos",'Plan mensual'!O85,0))+parametros_manuales!$G$19*('Plan mensual'!O82+IF(parametros_manuales!$H$19="Todos",'Plan mensual'!O86,0)))*parametros_manuales!$I$19*parametros_manuales!$J$19</f>
        <v>25561.78377219</v>
      </c>
      <c r="N198" s="14" t="n">
        <f aca="false">SUM(B198:M198)</f>
        <v>218185.936249</v>
      </c>
      <c r="O198" s="14" t="n">
        <f aca="false">MAX(B198:M198)</f>
        <v>25561.78377219</v>
      </c>
      <c r="P198" s="57" t="n">
        <f aca="false">O198/(parametros_manuales!$B$7)</f>
        <v>170.4118918146</v>
      </c>
      <c r="Q198" s="13" t="str">
        <f aca="false">IF(O198=0,"-",INDEX($B$197:$M$197,MATCH(O198,B198:M198,0)))</f>
        <v>Dic</v>
      </c>
    </row>
    <row r="199" customFormat="false" ht="14.25" hidden="false" customHeight="true" outlineLevel="0" collapsed="false">
      <c r="A199" s="13" t="str">
        <f aca="false">parametros_manuales!$B$20</f>
        <v>Corte de chapa — 1.er corte en franjas (guillotina 1, manuales + carros)</v>
      </c>
      <c r="B199" s="14" t="n">
        <f aca="false">(parametros_manuales!$D$20*('Plan mensual'!D79+IF(parametros_manuales!$H$20="Todos",'Plan mensual'!D83,0))+parametros_manuales!$E$20*('Plan mensual'!D80+IF(parametros_manuales!$H$20="Todos",'Plan mensual'!D84,0))+parametros_manuales!$F$20*('Plan mensual'!D81+IF(parametros_manuales!$H$20="Todos",'Plan mensual'!D85,0))+parametros_manuales!$G$20*('Plan mensual'!D82+IF(parametros_manuales!$H$20="Todos",'Plan mensual'!D86,0)))*parametros_manuales!$I$20*parametros_manuales!$J$20+parametros_manuales!$B$155</f>
        <v>26395.8592536841</v>
      </c>
      <c r="C199" s="14" t="n">
        <f aca="false">(parametros_manuales!$D$20*('Plan mensual'!E79+IF(parametros_manuales!$H$20="Todos",'Plan mensual'!E83,0))+parametros_manuales!$E$20*('Plan mensual'!E80+IF(parametros_manuales!$H$20="Todos",'Plan mensual'!E84,0))+parametros_manuales!$F$20*('Plan mensual'!E81+IF(parametros_manuales!$H$20="Todos",'Plan mensual'!E85,0))+parametros_manuales!$G$20*('Plan mensual'!E82+IF(parametros_manuales!$H$20="Todos",'Plan mensual'!E86,0)))*parametros_manuales!$I$20*parametros_manuales!$J$20+parametros_manuales!$C$155</f>
        <v>20299.6798545883</v>
      </c>
      <c r="D199" s="14" t="n">
        <f aca="false">(parametros_manuales!$D$20*('Plan mensual'!F79+IF(parametros_manuales!$H$20="Todos",'Plan mensual'!F83,0))+parametros_manuales!$E$20*('Plan mensual'!F80+IF(parametros_manuales!$H$20="Todos",'Plan mensual'!F84,0))+parametros_manuales!$F$20*('Plan mensual'!F81+IF(parametros_manuales!$H$20="Todos",'Plan mensual'!F85,0))+parametros_manuales!$G$20*('Plan mensual'!F82+IF(parametros_manuales!$H$20="Todos",'Plan mensual'!F86,0)))*parametros_manuales!$I$20*parametros_manuales!$J$20+parametros_manuales!$D$155</f>
        <v>19305.308192607</v>
      </c>
      <c r="E199" s="14" t="n">
        <f aca="false">(parametros_manuales!$D$20*('Plan mensual'!G79+IF(parametros_manuales!$H$20="Todos",'Plan mensual'!G83,0))+parametros_manuales!$E$20*('Plan mensual'!G80+IF(parametros_manuales!$H$20="Todos",'Plan mensual'!G84,0))+parametros_manuales!$F$20*('Plan mensual'!G81+IF(parametros_manuales!$H$20="Todos",'Plan mensual'!G85,0))+parametros_manuales!$G$20*('Plan mensual'!G82+IF(parametros_manuales!$H$20="Todos",'Plan mensual'!G86,0)))*parametros_manuales!$I$20*parametros_manuales!$J$20+parametros_manuales!$E$155</f>
        <v>18524.642800207</v>
      </c>
      <c r="F199" s="14" t="n">
        <f aca="false">(parametros_manuales!$D$20*('Plan mensual'!H79+IF(parametros_manuales!$H$20="Todos",'Plan mensual'!H83,0))+parametros_manuales!$E$20*('Plan mensual'!H80+IF(parametros_manuales!$H$20="Todos",'Plan mensual'!H84,0))+parametros_manuales!$F$20*('Plan mensual'!H81+IF(parametros_manuales!$H$20="Todos",'Plan mensual'!H85,0))+parametros_manuales!$G$20*('Plan mensual'!H82+IF(parametros_manuales!$H$20="Todos",'Plan mensual'!H86,0)))*parametros_manuales!$I$20*parametros_manuales!$J$20+parametros_manuales!$F$155</f>
        <v>17433.713118962</v>
      </c>
      <c r="G199" s="14" t="n">
        <f aca="false">(parametros_manuales!$D$20*('Plan mensual'!I79+IF(parametros_manuales!$H$20="Todos",'Plan mensual'!I83,0))+parametros_manuales!$E$20*('Plan mensual'!I80+IF(parametros_manuales!$H$20="Todos",'Plan mensual'!I84,0))+parametros_manuales!$F$20*('Plan mensual'!I81+IF(parametros_manuales!$H$20="Todos",'Plan mensual'!I85,0))+parametros_manuales!$G$20*('Plan mensual'!I82+IF(parametros_manuales!$H$20="Todos",'Plan mensual'!I86,0)))*parametros_manuales!$I$20*parametros_manuales!$J$20+parametros_manuales!$G$155</f>
        <v>16952.3189408012</v>
      </c>
      <c r="H199" s="14" t="n">
        <f aca="false">(parametros_manuales!$D$20*('Plan mensual'!J79+IF(parametros_manuales!$H$20="Todos",'Plan mensual'!J83,0))+parametros_manuales!$E$20*('Plan mensual'!J80+IF(parametros_manuales!$H$20="Todos",'Plan mensual'!J84,0))+parametros_manuales!$F$20*('Plan mensual'!J81+IF(parametros_manuales!$H$20="Todos",'Plan mensual'!J85,0))+parametros_manuales!$G$20*('Plan mensual'!J82+IF(parametros_manuales!$H$20="Todos",'Plan mensual'!J86,0)))*parametros_manuales!$I$20*parametros_manuales!$J$20+parametros_manuales!$H$155</f>
        <v>18214.378511362</v>
      </c>
      <c r="I199" s="14" t="n">
        <f aca="false">(parametros_manuales!$D$20*('Plan mensual'!K79+IF(parametros_manuales!$H$20="Todos",'Plan mensual'!K83,0))+parametros_manuales!$E$20*('Plan mensual'!K80+IF(parametros_manuales!$H$20="Todos",'Plan mensual'!K84,0))+parametros_manuales!$F$20*('Plan mensual'!K81+IF(parametros_manuales!$H$20="Todos",'Plan mensual'!K85,0))+parametros_manuales!$G$20*('Plan mensual'!K82+IF(parametros_manuales!$H$20="Todos",'Plan mensual'!K86,0)))*parametros_manuales!$I$20*parametros_manuales!$J$20+parametros_manuales!$I$155</f>
        <v>18214.378511362</v>
      </c>
      <c r="J199" s="14" t="n">
        <f aca="false">(parametros_manuales!$D$20*('Plan mensual'!L79+IF(parametros_manuales!$H$20="Todos",'Plan mensual'!L83,0))+parametros_manuales!$E$20*('Plan mensual'!L80+IF(parametros_manuales!$H$20="Todos",'Plan mensual'!L84,0))+parametros_manuales!$F$20*('Plan mensual'!L81+IF(parametros_manuales!$H$20="Todos",'Plan mensual'!L85,0))+parametros_manuales!$G$20*('Plan mensual'!L82+IF(parametros_manuales!$H$20="Todos",'Plan mensual'!L86,0)))*parametros_manuales!$I$20*parametros_manuales!$J$20+parametros_manuales!$J$155</f>
        <v>18128.8135667041</v>
      </c>
      <c r="K199" s="14" t="n">
        <f aca="false">(parametros_manuales!$D$20*('Plan mensual'!M79+IF(parametros_manuales!$H$20="Todos",'Plan mensual'!M83,0))+parametros_manuales!$E$20*('Plan mensual'!M80+IF(parametros_manuales!$H$20="Todos",'Plan mensual'!M84,0))+parametros_manuales!$F$20*('Plan mensual'!M81+IF(parametros_manuales!$H$20="Todos",'Plan mensual'!M85,0))+parametros_manuales!$G$20*('Plan mensual'!M82+IF(parametros_manuales!$H$20="Todos",'Plan mensual'!M86,0)))*parametros_manuales!$I$20*parametros_manuales!$J$20+parametros_manuales!$K$155</f>
        <v>17647.4193885433</v>
      </c>
      <c r="L199" s="14" t="n">
        <f aca="false">(parametros_manuales!$D$20*('Plan mensual'!N79+IF(parametros_manuales!$H$20="Todos",'Plan mensual'!N83,0))+parametros_manuales!$E$20*('Plan mensual'!N80+IF(parametros_manuales!$H$20="Todos",'Plan mensual'!N84,0))+parametros_manuales!$F$20*('Plan mensual'!N81+IF(parametros_manuales!$H$20="Todos",'Plan mensual'!N85,0))+parametros_manuales!$G$20*('Plan mensual'!N82+IF(parametros_manuales!$H$20="Todos",'Plan mensual'!N86,0)))*parametros_manuales!$I$20*parametros_manuales!$J$20+parametros_manuales!$L$155</f>
        <v>17251.5901550404</v>
      </c>
      <c r="M199" s="14" t="n">
        <f aca="false">(parametros_manuales!$D$20*('Plan mensual'!O79+IF(parametros_manuales!$H$20="Todos",'Plan mensual'!O83,0))+parametros_manuales!$E$20*('Plan mensual'!O80+IF(parametros_manuales!$H$20="Todos",'Plan mensual'!O84,0))+parametros_manuales!$F$20*('Plan mensual'!O81+IF(parametros_manuales!$H$20="Todos",'Plan mensual'!O85,0))+parametros_manuales!$G$20*('Plan mensual'!O82+IF(parametros_manuales!$H$20="Todos",'Plan mensual'!O86,0)))*parametros_manuales!$I$20*parametros_manuales!$J$20+parametros_manuales!$M$155</f>
        <v>26930.8228867162</v>
      </c>
      <c r="N199" s="14" t="n">
        <f aca="false">SUM(B199:M199)</f>
        <v>235298.925180578</v>
      </c>
      <c r="O199" s="14" t="n">
        <f aca="false">MAX(B199:M199)</f>
        <v>26930.8228867162</v>
      </c>
      <c r="P199" s="57" t="n">
        <f aca="false">O199/(parametros_manuales!$B$7)</f>
        <v>179.538819244775</v>
      </c>
      <c r="Q199" s="13" t="str">
        <f aca="false">IF(O199=0,"-",INDEX($B$197:$M$197,MATCH(O199,B199:M199,0)))</f>
        <v>Dic</v>
      </c>
    </row>
    <row r="200" customFormat="false" ht="14.25" hidden="false" customHeight="true" outlineLevel="0" collapsed="false">
      <c r="A200" s="13" t="str">
        <f aca="false">parametros_manuales!$B$21</f>
        <v>Corte de chapa — 2.º corte en piezas (guillotina 2, manuales + carros)</v>
      </c>
      <c r="B200" s="14" t="n">
        <f aca="false">(parametros_manuales!$D$21*('Plan mensual'!D79+IF(parametros_manuales!$H$21="Todos",'Plan mensual'!D83,0))+parametros_manuales!$E$21*('Plan mensual'!D80+IF(parametros_manuales!$H$21="Todos",'Plan mensual'!D84,0))+parametros_manuales!$F$21*('Plan mensual'!D81+IF(parametros_manuales!$H$21="Todos",'Plan mensual'!D85,0))+parametros_manuales!$G$21*('Plan mensual'!D82+IF(parametros_manuales!$H$21="Todos",'Plan mensual'!D86,0)))*parametros_manuales!$I$21*parametros_manuales!$J$21+parametros_manuales!$B$167</f>
        <v>26830.3839743049</v>
      </c>
      <c r="C200" s="14" t="n">
        <f aca="false">(parametros_manuales!$D$21*('Plan mensual'!E79+IF(parametros_manuales!$H$21="Todos",'Plan mensual'!E83,0))+parametros_manuales!$E$21*('Plan mensual'!E80+IF(parametros_manuales!$H$21="Todos",'Plan mensual'!E84,0))+parametros_manuales!$F$21*('Plan mensual'!E81+IF(parametros_manuales!$H$21="Todos",'Plan mensual'!E85,0))+parametros_manuales!$G$21*('Plan mensual'!E82+IF(parametros_manuales!$H$21="Todos",'Plan mensual'!E86,0)))*parametros_manuales!$I$21*parametros_manuales!$J$21+parametros_manuales!$C$167</f>
        <v>20683.084019842</v>
      </c>
      <c r="D200" s="14" t="n">
        <f aca="false">(parametros_manuales!$D$21*('Plan mensual'!F79+IF(parametros_manuales!$H$21="Todos",'Plan mensual'!F83,0))+parametros_manuales!$E$21*('Plan mensual'!F80+IF(parametros_manuales!$H$21="Todos",'Plan mensual'!F84,0))+parametros_manuales!$F$21*('Plan mensual'!F81+IF(parametros_manuales!$H$21="Todos",'Plan mensual'!F85,0))+parametros_manuales!$G$21*('Plan mensual'!F82+IF(parametros_manuales!$H$21="Todos",'Plan mensual'!F86,0)))*parametros_manuales!$I$21*parametros_manuales!$J$21+parametros_manuales!$D$167</f>
        <v>19765.3931909114</v>
      </c>
      <c r="E200" s="14" t="n">
        <f aca="false">(parametros_manuales!$D$21*('Plan mensual'!G79+IF(parametros_manuales!$H$21="Todos",'Plan mensual'!G83,0))+parametros_manuales!$E$21*('Plan mensual'!G80+IF(parametros_manuales!$H$21="Todos",'Plan mensual'!G84,0))+parametros_manuales!$F$21*('Plan mensual'!G81+IF(parametros_manuales!$H$21="Todos",'Plan mensual'!G85,0))+parametros_manuales!$G$21*('Plan mensual'!G82+IF(parametros_manuales!$H$21="Todos",'Plan mensual'!G86,0)))*parametros_manuales!$I$21*parametros_manuales!$J$21+parametros_manuales!$E$167</f>
        <v>18984.7277985114</v>
      </c>
      <c r="F200" s="14" t="n">
        <f aca="false">(parametros_manuales!$D$21*('Plan mensual'!H79+IF(parametros_manuales!$H$21="Todos",'Plan mensual'!H83,0))+parametros_manuales!$E$21*('Plan mensual'!H80+IF(parametros_manuales!$H$21="Todos",'Plan mensual'!H84,0))+parametros_manuales!$F$21*('Plan mensual'!H81+IF(parametros_manuales!$H$21="Todos",'Plan mensual'!H85,0))+parametros_manuales!$G$21*('Plan mensual'!H82+IF(parametros_manuales!$H$21="Todos",'Plan mensual'!H86,0)))*parametros_manuales!$I$21*parametros_manuales!$J$21+parametros_manuales!$F$167</f>
        <v>17893.7981172664</v>
      </c>
      <c r="G200" s="14" t="n">
        <f aca="false">(parametros_manuales!$D$21*('Plan mensual'!I79+IF(parametros_manuales!$H$21="Todos",'Plan mensual'!I83,0))+parametros_manuales!$E$21*('Plan mensual'!I80+IF(parametros_manuales!$H$21="Todos",'Plan mensual'!I84,0))+parametros_manuales!$F$21*('Plan mensual'!I81+IF(parametros_manuales!$H$21="Todos",'Plan mensual'!I85,0))+parametros_manuales!$G$21*('Plan mensual'!I82+IF(parametros_manuales!$H$21="Todos",'Plan mensual'!I86,0)))*parametros_manuales!$I$21*parametros_manuales!$J$21+parametros_manuales!$G$167</f>
        <v>17361.2833837385</v>
      </c>
      <c r="H200" s="14" t="n">
        <f aca="false">(parametros_manuales!$D$21*('Plan mensual'!J79+IF(parametros_manuales!$H$21="Todos",'Plan mensual'!J83,0))+parametros_manuales!$E$21*('Plan mensual'!J80+IF(parametros_manuales!$H$21="Todos",'Plan mensual'!J84,0))+parametros_manuales!$F$21*('Plan mensual'!J81+IF(parametros_manuales!$H$21="Todos",'Plan mensual'!J85,0))+parametros_manuales!$G$21*('Plan mensual'!J82+IF(parametros_manuales!$H$21="Todos",'Plan mensual'!J86,0)))*parametros_manuales!$I$21*parametros_manuales!$J$21+parametros_manuales!$H$167</f>
        <v>18674.4635096664</v>
      </c>
      <c r="I200" s="14" t="n">
        <f aca="false">(parametros_manuales!$D$21*('Plan mensual'!K79+IF(parametros_manuales!$H$21="Todos",'Plan mensual'!K83,0))+parametros_manuales!$E$21*('Plan mensual'!K80+IF(parametros_manuales!$H$21="Todos",'Plan mensual'!K84,0))+parametros_manuales!$F$21*('Plan mensual'!K81+IF(parametros_manuales!$H$21="Todos",'Plan mensual'!K85,0))+parametros_manuales!$G$21*('Plan mensual'!K82+IF(parametros_manuales!$H$21="Todos",'Plan mensual'!K86,0)))*parametros_manuales!$I$21*parametros_manuales!$J$21+parametros_manuales!$I$167</f>
        <v>18674.4635096664</v>
      </c>
      <c r="J200" s="14" t="n">
        <f aca="false">(parametros_manuales!$D$21*('Plan mensual'!L79+IF(parametros_manuales!$H$21="Todos",'Plan mensual'!L83,0))+parametros_manuales!$E$21*('Plan mensual'!L80+IF(parametros_manuales!$H$21="Todos",'Plan mensual'!L84,0))+parametros_manuales!$F$21*('Plan mensual'!L81+IF(parametros_manuales!$H$21="Todos",'Plan mensual'!L85,0))+parametros_manuales!$G$21*('Plan mensual'!L82+IF(parametros_manuales!$H$21="Todos",'Plan mensual'!L86,0)))*parametros_manuales!$I$21*parametros_manuales!$J$21+parametros_manuales!$J$167</f>
        <v>18563.3382873249</v>
      </c>
      <c r="K200" s="14" t="n">
        <f aca="false">(parametros_manuales!$D$21*('Plan mensual'!M79+IF(parametros_manuales!$H$21="Todos",'Plan mensual'!M83,0))+parametros_manuales!$E$21*('Plan mensual'!M80+IF(parametros_manuales!$H$21="Todos",'Plan mensual'!M84,0))+parametros_manuales!$F$21*('Plan mensual'!M81+IF(parametros_manuales!$H$21="Todos",'Plan mensual'!M85,0))+parametros_manuales!$G$21*('Plan mensual'!M82+IF(parametros_manuales!$H$21="Todos",'Plan mensual'!M86,0)))*parametros_manuales!$I$21*parametros_manuales!$J$21+parametros_manuales!$K$167</f>
        <v>18030.823553797</v>
      </c>
      <c r="L200" s="14" t="n">
        <f aca="false">(parametros_manuales!$D$21*('Plan mensual'!N79+IF(parametros_manuales!$H$21="Todos",'Plan mensual'!N83,0))+parametros_manuales!$E$21*('Plan mensual'!N80+IF(parametros_manuales!$H$21="Todos",'Plan mensual'!N84,0))+parametros_manuales!$F$21*('Plan mensual'!N81+IF(parametros_manuales!$H$21="Todos",'Plan mensual'!N85,0))+parametros_manuales!$G$21*('Plan mensual'!N82+IF(parametros_manuales!$H$21="Todos",'Plan mensual'!N86,0)))*parametros_manuales!$I$21*parametros_manuales!$J$21+parametros_manuales!$L$167</f>
        <v>17609.4340426105</v>
      </c>
      <c r="M200" s="14" t="n">
        <f aca="false">(parametros_manuales!$D$21*('Plan mensual'!O79+IF(parametros_manuales!$H$21="Todos",'Plan mensual'!O83,0))+parametros_manuales!$E$21*('Plan mensual'!O80+IF(parametros_manuales!$H$21="Todos",'Plan mensual'!O84,0))+parametros_manuales!$F$21*('Plan mensual'!O81+IF(parametros_manuales!$H$21="Todos",'Plan mensual'!O85,0))+parametros_manuales!$G$21*('Plan mensual'!O82+IF(parametros_manuales!$H$21="Todos",'Plan mensual'!O86,0)))*parametros_manuales!$I$21*parametros_manuales!$J$21+parametros_manuales!$M$167</f>
        <v>27339.7873296535</v>
      </c>
      <c r="N200" s="14" t="n">
        <f aca="false">SUM(B200:M200)</f>
        <v>240410.980717293</v>
      </c>
      <c r="O200" s="14" t="n">
        <f aca="false">MAX(B200:M200)</f>
        <v>27339.7873296535</v>
      </c>
      <c r="P200" s="57" t="n">
        <f aca="false">O200/(parametros_manuales!$B$7)</f>
        <v>182.265248864356</v>
      </c>
      <c r="Q200" s="13" t="str">
        <f aca="false">IF(O200=0,"-",INDEX($B$197:$M$197,MATCH(O200,B200:M200,0)))</f>
        <v>Dic</v>
      </c>
    </row>
    <row r="201" customFormat="false" ht="14.25" hidden="false" customHeight="true" outlineLevel="0" collapsed="false">
      <c r="A201" s="13" t="str">
        <f aca="false">parametros_manuales!$B$22</f>
        <v>Corte de disco y embutido (cúpula y fondo)</v>
      </c>
      <c r="B201" s="14" t="n">
        <f aca="false">(parametros_manuales!$D$22*('Plan mensual'!D79+IF(parametros_manuales!$H$22="Todos",'Plan mensual'!D83,0))+parametros_manuales!$E$22*('Plan mensual'!D80+IF(parametros_manuales!$H$22="Todos",'Plan mensual'!D84,0))+parametros_manuales!$F$22*('Plan mensual'!D81+IF(parametros_manuales!$H$22="Todos",'Plan mensual'!D85,0))+parametros_manuales!$G$22*('Plan mensual'!D82+IF(parametros_manuales!$H$22="Todos",'Plan mensual'!D86,0)))*parametros_manuales!$I$22*parametros_manuales!$J$22</f>
        <v>49882.510389</v>
      </c>
      <c r="C201" s="14" t="n">
        <f aca="false">(parametros_manuales!$D$22*('Plan mensual'!E79+IF(parametros_manuales!$H$22="Todos",'Plan mensual'!E83,0))+parametros_manuales!$E$22*('Plan mensual'!E80+IF(parametros_manuales!$H$22="Todos",'Plan mensual'!E84,0))+parametros_manuales!$F$22*('Plan mensual'!E81+IF(parametros_manuales!$H$22="Todos",'Plan mensual'!E85,0))+parametros_manuales!$G$22*('Plan mensual'!E82+IF(parametros_manuales!$H$22="Todos",'Plan mensual'!E86,0)))*parametros_manuales!$I$22*parametros_manuales!$J$22</f>
        <v>38032.41136944</v>
      </c>
      <c r="D201" s="14" t="n">
        <f aca="false">(parametros_manuales!$D$22*('Plan mensual'!F79+IF(parametros_manuales!$H$22="Todos",'Plan mensual'!F83,0))+parametros_manuales!$E$22*('Plan mensual'!F80+IF(parametros_manuales!$H$22="Todos",'Plan mensual'!F84,0))+parametros_manuales!$F$22*('Plan mensual'!F81+IF(parametros_manuales!$H$22="Todos",'Plan mensual'!F85,0))+parametros_manuales!$G$22*('Plan mensual'!F82+IF(parametros_manuales!$H$22="Todos",'Plan mensual'!F86,0)))*parametros_manuales!$I$22*parametros_manuales!$J$22</f>
        <v>35530.27837753</v>
      </c>
      <c r="E201" s="14" t="n">
        <f aca="false">(parametros_manuales!$D$22*('Plan mensual'!G79+IF(parametros_manuales!$H$22="Todos",'Plan mensual'!G83,0))+parametros_manuales!$E$22*('Plan mensual'!G80+IF(parametros_manuales!$H$22="Todos",'Plan mensual'!G84,0))+parametros_manuales!$F$22*('Plan mensual'!G81+IF(parametros_manuales!$H$22="Todos",'Plan mensual'!G85,0))+parametros_manuales!$G$22*('Plan mensual'!G82+IF(parametros_manuales!$H$22="Todos",'Plan mensual'!G86,0)))*parametros_manuales!$I$22*parametros_manuales!$J$22</f>
        <v>33968.94759273</v>
      </c>
      <c r="F201" s="14" t="n">
        <f aca="false">(parametros_manuales!$D$22*('Plan mensual'!H79+IF(parametros_manuales!$H$22="Todos",'Plan mensual'!H83,0))+parametros_manuales!$E$22*('Plan mensual'!H80+IF(parametros_manuales!$H$22="Todos",'Plan mensual'!H84,0))+parametros_manuales!$F$22*('Plan mensual'!H81+IF(parametros_manuales!$H$22="Todos",'Plan mensual'!H85,0))+parametros_manuales!$G$22*('Plan mensual'!H82+IF(parametros_manuales!$H$22="Todos",'Plan mensual'!H86,0)))*parametros_manuales!$I$22*parametros_manuales!$J$22</f>
        <v>31787.08823024</v>
      </c>
      <c r="G201" s="14" t="n">
        <f aca="false">(parametros_manuales!$D$22*('Plan mensual'!I79+IF(parametros_manuales!$H$22="Todos",'Plan mensual'!I83,0))+parametros_manuales!$E$22*('Plan mensual'!I80+IF(parametros_manuales!$H$22="Todos",'Plan mensual'!I84,0))+parametros_manuales!$F$22*('Plan mensual'!I81+IF(parametros_manuales!$H$22="Todos",'Plan mensual'!I85,0))+parametros_manuales!$G$22*('Plan mensual'!I82+IF(parametros_manuales!$H$22="Todos",'Plan mensual'!I86,0)))*parametros_manuales!$I$22*parametros_manuales!$J$22</f>
        <v>31166.55965255</v>
      </c>
      <c r="H201" s="14" t="n">
        <f aca="false">(parametros_manuales!$D$22*('Plan mensual'!J79+IF(parametros_manuales!$H$22="Todos",'Plan mensual'!J83,0))+parametros_manuales!$E$22*('Plan mensual'!J80+IF(parametros_manuales!$H$22="Todos",'Plan mensual'!J84,0))+parametros_manuales!$F$22*('Plan mensual'!J81+IF(parametros_manuales!$H$22="Todos",'Plan mensual'!J85,0))+parametros_manuales!$G$22*('Plan mensual'!J82+IF(parametros_manuales!$H$22="Todos",'Plan mensual'!J86,0)))*parametros_manuales!$I$22*parametros_manuales!$J$22</f>
        <v>33348.41901504</v>
      </c>
      <c r="I201" s="14" t="n">
        <f aca="false">(parametros_manuales!$D$22*('Plan mensual'!K79+IF(parametros_manuales!$H$22="Todos",'Plan mensual'!K83,0))+parametros_manuales!$E$22*('Plan mensual'!K80+IF(parametros_manuales!$H$22="Todos",'Plan mensual'!K84,0))+parametros_manuales!$F$22*('Plan mensual'!K81+IF(parametros_manuales!$H$22="Todos",'Plan mensual'!K85,0))+parametros_manuales!$G$22*('Plan mensual'!K82+IF(parametros_manuales!$H$22="Todos",'Plan mensual'!K86,0)))*parametros_manuales!$I$22*parametros_manuales!$J$22</f>
        <v>33348.41901504</v>
      </c>
      <c r="J201" s="14" t="n">
        <f aca="false">(parametros_manuales!$D$22*('Plan mensual'!L79+IF(parametros_manuales!$H$22="Todos",'Plan mensual'!L83,0))+parametros_manuales!$E$22*('Plan mensual'!L80+IF(parametros_manuales!$H$22="Todos",'Plan mensual'!L84,0))+parametros_manuales!$F$22*('Plan mensual'!L81+IF(parametros_manuales!$H$22="Todos",'Plan mensual'!L85,0))+parametros_manuales!$G$22*('Plan mensual'!L82+IF(parametros_manuales!$H$22="Todos",'Plan mensual'!L86,0)))*parametros_manuales!$I$22*parametros_manuales!$J$22</f>
        <v>33348.41901504</v>
      </c>
      <c r="K201" s="14" t="n">
        <f aca="false">(parametros_manuales!$D$22*('Plan mensual'!M79+IF(parametros_manuales!$H$22="Todos",'Plan mensual'!M83,0))+parametros_manuales!$E$22*('Plan mensual'!M80+IF(parametros_manuales!$H$22="Todos",'Plan mensual'!M84,0))+parametros_manuales!$F$22*('Plan mensual'!M81+IF(parametros_manuales!$H$22="Todos",'Plan mensual'!M85,0))+parametros_manuales!$G$22*('Plan mensual'!M82+IF(parametros_manuales!$H$22="Todos",'Plan mensual'!M86,0)))*parametros_manuales!$I$22*parametros_manuales!$J$22</f>
        <v>32727.89043735</v>
      </c>
      <c r="L201" s="14" t="n">
        <f aca="false">(parametros_manuales!$D$22*('Plan mensual'!N79+IF(parametros_manuales!$H$22="Todos",'Plan mensual'!N83,0))+parametros_manuales!$E$22*('Plan mensual'!N80+IF(parametros_manuales!$H$22="Todos",'Plan mensual'!N84,0))+parametros_manuales!$F$22*('Plan mensual'!N81+IF(parametros_manuales!$H$22="Todos",'Plan mensual'!N85,0))+parametros_manuales!$G$22*('Plan mensual'!N82+IF(parametros_manuales!$H$22="Todos",'Plan mensual'!N86,0)))*parametros_manuales!$I$22*parametros_manuales!$J$22</f>
        <v>32107.36185966</v>
      </c>
      <c r="M201" s="14" t="n">
        <f aca="false">(parametros_manuales!$D$22*('Plan mensual'!O79+IF(parametros_manuales!$H$22="Todos",'Plan mensual'!O83,0))+parametros_manuales!$E$22*('Plan mensual'!O80+IF(parametros_manuales!$H$22="Todos",'Plan mensual'!O84,0))+parametros_manuales!$F$22*('Plan mensual'!O81+IF(parametros_manuales!$H$22="Todos",'Plan mensual'!O85,0))+parametros_manuales!$G$22*('Plan mensual'!O82+IF(parametros_manuales!$H$22="Todos",'Plan mensual'!O86,0)))*parametros_manuales!$I$22*parametros_manuales!$J$22</f>
        <v>51123.56754438</v>
      </c>
      <c r="N201" s="14" t="n">
        <f aca="false">SUM(B201:M201)</f>
        <v>436371.872498</v>
      </c>
      <c r="O201" s="14" t="n">
        <f aca="false">MAX(B201:M201)</f>
        <v>51123.56754438</v>
      </c>
      <c r="P201" s="57" t="n">
        <f aca="false">O201/(parametros_manuales!$B$7)</f>
        <v>340.8237836292</v>
      </c>
      <c r="Q201" s="13" t="str">
        <f aca="false">IF(O201=0,"-",INDEX($B$197:$M$197,MATCH(O201,B201:M201,0)))</f>
        <v>Dic</v>
      </c>
    </row>
    <row r="202" customFormat="false" ht="14.25" hidden="false" customHeight="true" outlineLevel="0" collapsed="false">
      <c r="A202" s="13" t="str">
        <f aca="false">parametros_manuales!$B$23</f>
        <v>Preparación de cuello</v>
      </c>
      <c r="B202" s="14" t="n">
        <f aca="false">(parametros_manuales!$D$23*('Plan mensual'!D79+IF(parametros_manuales!$H$23="Todos",'Plan mensual'!D83,0))+parametros_manuales!$E$23*('Plan mensual'!D80+IF(parametros_manuales!$H$23="Todos",'Plan mensual'!D84,0))+parametros_manuales!$F$23*('Plan mensual'!D81+IF(parametros_manuales!$H$23="Todos",'Plan mensual'!D85,0))+parametros_manuales!$G$23*('Plan mensual'!D82+IF(parametros_manuales!$H$23="Todos",'Plan mensual'!D86,0)))*parametros_manuales!$I$23*parametros_manuales!$J$23</f>
        <v>24941.2551945</v>
      </c>
      <c r="C202" s="14" t="n">
        <f aca="false">(parametros_manuales!$D$23*('Plan mensual'!E79+IF(parametros_manuales!$H$23="Todos",'Plan mensual'!E83,0))+parametros_manuales!$E$23*('Plan mensual'!E80+IF(parametros_manuales!$H$23="Todos",'Plan mensual'!E84,0))+parametros_manuales!$F$23*('Plan mensual'!E81+IF(parametros_manuales!$H$23="Todos",'Plan mensual'!E85,0))+parametros_manuales!$G$23*('Plan mensual'!E82+IF(parametros_manuales!$H$23="Todos",'Plan mensual'!E86,0)))*parametros_manuales!$I$23*parametros_manuales!$J$23</f>
        <v>19016.20568472</v>
      </c>
      <c r="D202" s="14" t="n">
        <f aca="false">(parametros_manuales!$D$23*('Plan mensual'!F79+IF(parametros_manuales!$H$23="Todos",'Plan mensual'!F83,0))+parametros_manuales!$E$23*('Plan mensual'!F80+IF(parametros_manuales!$H$23="Todos",'Plan mensual'!F84,0))+parametros_manuales!$F$23*('Plan mensual'!F81+IF(parametros_manuales!$H$23="Todos",'Plan mensual'!F85,0))+parametros_manuales!$G$23*('Plan mensual'!F82+IF(parametros_manuales!$H$23="Todos",'Plan mensual'!F86,0)))*parametros_manuales!$I$23*parametros_manuales!$J$23</f>
        <v>17765.139188765</v>
      </c>
      <c r="E202" s="14" t="n">
        <f aca="false">(parametros_manuales!$D$23*('Plan mensual'!G79+IF(parametros_manuales!$H$23="Todos",'Plan mensual'!G83,0))+parametros_manuales!$E$23*('Plan mensual'!G80+IF(parametros_manuales!$H$23="Todos",'Plan mensual'!G84,0))+parametros_manuales!$F$23*('Plan mensual'!G81+IF(parametros_manuales!$H$23="Todos",'Plan mensual'!G85,0))+parametros_manuales!$G$23*('Plan mensual'!G82+IF(parametros_manuales!$H$23="Todos",'Plan mensual'!G86,0)))*parametros_manuales!$I$23*parametros_manuales!$J$23</f>
        <v>16984.473796365</v>
      </c>
      <c r="F202" s="14" t="n">
        <f aca="false">(parametros_manuales!$D$23*('Plan mensual'!H79+IF(parametros_manuales!$H$23="Todos",'Plan mensual'!H83,0))+parametros_manuales!$E$23*('Plan mensual'!H80+IF(parametros_manuales!$H$23="Todos",'Plan mensual'!H84,0))+parametros_manuales!$F$23*('Plan mensual'!H81+IF(parametros_manuales!$H$23="Todos",'Plan mensual'!H85,0))+parametros_manuales!$G$23*('Plan mensual'!H82+IF(parametros_manuales!$H$23="Todos",'Plan mensual'!H86,0)))*parametros_manuales!$I$23*parametros_manuales!$J$23</f>
        <v>15893.54411512</v>
      </c>
      <c r="G202" s="14" t="n">
        <f aca="false">(parametros_manuales!$D$23*('Plan mensual'!I79+IF(parametros_manuales!$H$23="Todos",'Plan mensual'!I83,0))+parametros_manuales!$E$23*('Plan mensual'!I80+IF(parametros_manuales!$H$23="Todos",'Plan mensual'!I84,0))+parametros_manuales!$F$23*('Plan mensual'!I81+IF(parametros_manuales!$H$23="Todos",'Plan mensual'!I85,0))+parametros_manuales!$G$23*('Plan mensual'!I82+IF(parametros_manuales!$H$23="Todos",'Plan mensual'!I86,0)))*parametros_manuales!$I$23*parametros_manuales!$J$23</f>
        <v>15583.279826275</v>
      </c>
      <c r="H202" s="14" t="n">
        <f aca="false">(parametros_manuales!$D$23*('Plan mensual'!J79+IF(parametros_manuales!$H$23="Todos",'Plan mensual'!J83,0))+parametros_manuales!$E$23*('Plan mensual'!J80+IF(parametros_manuales!$H$23="Todos",'Plan mensual'!J84,0))+parametros_manuales!$F$23*('Plan mensual'!J81+IF(parametros_manuales!$H$23="Todos",'Plan mensual'!J85,0))+parametros_manuales!$G$23*('Plan mensual'!J82+IF(parametros_manuales!$H$23="Todos",'Plan mensual'!J86,0)))*parametros_manuales!$I$23*parametros_manuales!$J$23</f>
        <v>16674.20950752</v>
      </c>
      <c r="I202" s="14" t="n">
        <f aca="false">(parametros_manuales!$D$23*('Plan mensual'!K79+IF(parametros_manuales!$H$23="Todos",'Plan mensual'!K83,0))+parametros_manuales!$E$23*('Plan mensual'!K80+IF(parametros_manuales!$H$23="Todos",'Plan mensual'!K84,0))+parametros_manuales!$F$23*('Plan mensual'!K81+IF(parametros_manuales!$H$23="Todos",'Plan mensual'!K85,0))+parametros_manuales!$G$23*('Plan mensual'!K82+IF(parametros_manuales!$H$23="Todos",'Plan mensual'!K86,0)))*parametros_manuales!$I$23*parametros_manuales!$J$23</f>
        <v>16674.20950752</v>
      </c>
      <c r="J202" s="14" t="n">
        <f aca="false">(parametros_manuales!$D$23*('Plan mensual'!L79+IF(parametros_manuales!$H$23="Todos",'Plan mensual'!L83,0))+parametros_manuales!$E$23*('Plan mensual'!L80+IF(parametros_manuales!$H$23="Todos",'Plan mensual'!L84,0))+parametros_manuales!$F$23*('Plan mensual'!L81+IF(parametros_manuales!$H$23="Todos",'Plan mensual'!L85,0))+parametros_manuales!$G$23*('Plan mensual'!L82+IF(parametros_manuales!$H$23="Todos",'Plan mensual'!L86,0)))*parametros_manuales!$I$23*parametros_manuales!$J$23</f>
        <v>16674.20950752</v>
      </c>
      <c r="K202" s="14" t="n">
        <f aca="false">(parametros_manuales!$D$23*('Plan mensual'!M79+IF(parametros_manuales!$H$23="Todos",'Plan mensual'!M83,0))+parametros_manuales!$E$23*('Plan mensual'!M80+IF(parametros_manuales!$H$23="Todos",'Plan mensual'!M84,0))+parametros_manuales!$F$23*('Plan mensual'!M81+IF(parametros_manuales!$H$23="Todos",'Plan mensual'!M85,0))+parametros_manuales!$G$23*('Plan mensual'!M82+IF(parametros_manuales!$H$23="Todos",'Plan mensual'!M86,0)))*parametros_manuales!$I$23*parametros_manuales!$J$23</f>
        <v>16363.945218675</v>
      </c>
      <c r="L202" s="14" t="n">
        <f aca="false">(parametros_manuales!$D$23*('Plan mensual'!N79+IF(parametros_manuales!$H$23="Todos",'Plan mensual'!N83,0))+parametros_manuales!$E$23*('Plan mensual'!N80+IF(parametros_manuales!$H$23="Todos",'Plan mensual'!N84,0))+parametros_manuales!$F$23*('Plan mensual'!N81+IF(parametros_manuales!$H$23="Todos",'Plan mensual'!N85,0))+parametros_manuales!$G$23*('Plan mensual'!N82+IF(parametros_manuales!$H$23="Todos",'Plan mensual'!N86,0)))*parametros_manuales!$I$23*parametros_manuales!$J$23</f>
        <v>16053.68092983</v>
      </c>
      <c r="M202" s="14" t="n">
        <f aca="false">(parametros_manuales!$D$23*('Plan mensual'!O79+IF(parametros_manuales!$H$23="Todos",'Plan mensual'!O83,0))+parametros_manuales!$E$23*('Plan mensual'!O80+IF(parametros_manuales!$H$23="Todos",'Plan mensual'!O84,0))+parametros_manuales!$F$23*('Plan mensual'!O81+IF(parametros_manuales!$H$23="Todos",'Plan mensual'!O85,0))+parametros_manuales!$G$23*('Plan mensual'!O82+IF(parametros_manuales!$H$23="Todos",'Plan mensual'!O86,0)))*parametros_manuales!$I$23*parametros_manuales!$J$23</f>
        <v>25561.78377219</v>
      </c>
      <c r="N202" s="14" t="n">
        <f aca="false">SUM(B202:M202)</f>
        <v>218185.936249</v>
      </c>
      <c r="O202" s="14" t="n">
        <f aca="false">MAX(B202:M202)</f>
        <v>25561.78377219</v>
      </c>
      <c r="P202" s="57" t="n">
        <f aca="false">O202/(parametros_manuales!$B$7)</f>
        <v>170.4118918146</v>
      </c>
      <c r="Q202" s="13" t="str">
        <f aca="false">IF(O202=0,"-",INDEX($B$197:$M$197,MATCH(O202,B202:M202,0)))</f>
        <v>Dic</v>
      </c>
    </row>
    <row r="203" customFormat="false" ht="14.25" hidden="false" customHeight="true" outlineLevel="0" collapsed="false">
      <c r="A203" s="13" t="str">
        <f aca="false">parametros_manuales!$B$24</f>
        <v>Numerado de cúpula</v>
      </c>
      <c r="B203" s="14" t="n">
        <f aca="false">(parametros_manuales!$D$24*('Plan mensual'!D79+IF(parametros_manuales!$H$24="Todos",'Plan mensual'!D83,0))+parametros_manuales!$E$24*('Plan mensual'!D80+IF(parametros_manuales!$H$24="Todos",'Plan mensual'!D84,0))+parametros_manuales!$F$24*('Plan mensual'!D81+IF(parametros_manuales!$H$24="Todos",'Plan mensual'!D85,0))+parametros_manuales!$G$24*('Plan mensual'!D82+IF(parametros_manuales!$H$24="Todos",'Plan mensual'!D86,0)))*parametros_manuales!$I$24*parametros_manuales!$J$24</f>
        <v>24941.2551945</v>
      </c>
      <c r="C203" s="14" t="n">
        <f aca="false">(parametros_manuales!$D$24*('Plan mensual'!E79+IF(parametros_manuales!$H$24="Todos",'Plan mensual'!E83,0))+parametros_manuales!$E$24*('Plan mensual'!E80+IF(parametros_manuales!$H$24="Todos",'Plan mensual'!E84,0))+parametros_manuales!$F$24*('Plan mensual'!E81+IF(parametros_manuales!$H$24="Todos",'Plan mensual'!E85,0))+parametros_manuales!$G$24*('Plan mensual'!E82+IF(parametros_manuales!$H$24="Todos",'Plan mensual'!E86,0)))*parametros_manuales!$I$24*parametros_manuales!$J$24</f>
        <v>19016.20568472</v>
      </c>
      <c r="D203" s="14" t="n">
        <f aca="false">(parametros_manuales!$D$24*('Plan mensual'!F79+IF(parametros_manuales!$H$24="Todos",'Plan mensual'!F83,0))+parametros_manuales!$E$24*('Plan mensual'!F80+IF(parametros_manuales!$H$24="Todos",'Plan mensual'!F84,0))+parametros_manuales!$F$24*('Plan mensual'!F81+IF(parametros_manuales!$H$24="Todos",'Plan mensual'!F85,0))+parametros_manuales!$G$24*('Plan mensual'!F82+IF(parametros_manuales!$H$24="Todos",'Plan mensual'!F86,0)))*parametros_manuales!$I$24*parametros_manuales!$J$24</f>
        <v>17765.139188765</v>
      </c>
      <c r="E203" s="14" t="n">
        <f aca="false">(parametros_manuales!$D$24*('Plan mensual'!G79+IF(parametros_manuales!$H$24="Todos",'Plan mensual'!G83,0))+parametros_manuales!$E$24*('Plan mensual'!G80+IF(parametros_manuales!$H$24="Todos",'Plan mensual'!G84,0))+parametros_manuales!$F$24*('Plan mensual'!G81+IF(parametros_manuales!$H$24="Todos",'Plan mensual'!G85,0))+parametros_manuales!$G$24*('Plan mensual'!G82+IF(parametros_manuales!$H$24="Todos",'Plan mensual'!G86,0)))*parametros_manuales!$I$24*parametros_manuales!$J$24</f>
        <v>16984.473796365</v>
      </c>
      <c r="F203" s="14" t="n">
        <f aca="false">(parametros_manuales!$D$24*('Plan mensual'!H79+IF(parametros_manuales!$H$24="Todos",'Plan mensual'!H83,0))+parametros_manuales!$E$24*('Plan mensual'!H80+IF(parametros_manuales!$H$24="Todos",'Plan mensual'!H84,0))+parametros_manuales!$F$24*('Plan mensual'!H81+IF(parametros_manuales!$H$24="Todos",'Plan mensual'!H85,0))+parametros_manuales!$G$24*('Plan mensual'!H82+IF(parametros_manuales!$H$24="Todos",'Plan mensual'!H86,0)))*parametros_manuales!$I$24*parametros_manuales!$J$24</f>
        <v>15893.54411512</v>
      </c>
      <c r="G203" s="14" t="n">
        <f aca="false">(parametros_manuales!$D$24*('Plan mensual'!I79+IF(parametros_manuales!$H$24="Todos",'Plan mensual'!I83,0))+parametros_manuales!$E$24*('Plan mensual'!I80+IF(parametros_manuales!$H$24="Todos",'Plan mensual'!I84,0))+parametros_manuales!$F$24*('Plan mensual'!I81+IF(parametros_manuales!$H$24="Todos",'Plan mensual'!I85,0))+parametros_manuales!$G$24*('Plan mensual'!I82+IF(parametros_manuales!$H$24="Todos",'Plan mensual'!I86,0)))*parametros_manuales!$I$24*parametros_manuales!$J$24</f>
        <v>15583.279826275</v>
      </c>
      <c r="H203" s="14" t="n">
        <f aca="false">(parametros_manuales!$D$24*('Plan mensual'!J79+IF(parametros_manuales!$H$24="Todos",'Plan mensual'!J83,0))+parametros_manuales!$E$24*('Plan mensual'!J80+IF(parametros_manuales!$H$24="Todos",'Plan mensual'!J84,0))+parametros_manuales!$F$24*('Plan mensual'!J81+IF(parametros_manuales!$H$24="Todos",'Plan mensual'!J85,0))+parametros_manuales!$G$24*('Plan mensual'!J82+IF(parametros_manuales!$H$24="Todos",'Plan mensual'!J86,0)))*parametros_manuales!$I$24*parametros_manuales!$J$24</f>
        <v>16674.20950752</v>
      </c>
      <c r="I203" s="14" t="n">
        <f aca="false">(parametros_manuales!$D$24*('Plan mensual'!K79+IF(parametros_manuales!$H$24="Todos",'Plan mensual'!K83,0))+parametros_manuales!$E$24*('Plan mensual'!K80+IF(parametros_manuales!$H$24="Todos",'Plan mensual'!K84,0))+parametros_manuales!$F$24*('Plan mensual'!K81+IF(parametros_manuales!$H$24="Todos",'Plan mensual'!K85,0))+parametros_manuales!$G$24*('Plan mensual'!K82+IF(parametros_manuales!$H$24="Todos",'Plan mensual'!K86,0)))*parametros_manuales!$I$24*parametros_manuales!$J$24</f>
        <v>16674.20950752</v>
      </c>
      <c r="J203" s="14" t="n">
        <f aca="false">(parametros_manuales!$D$24*('Plan mensual'!L79+IF(parametros_manuales!$H$24="Todos",'Plan mensual'!L83,0))+parametros_manuales!$E$24*('Plan mensual'!L80+IF(parametros_manuales!$H$24="Todos",'Plan mensual'!L84,0))+parametros_manuales!$F$24*('Plan mensual'!L81+IF(parametros_manuales!$H$24="Todos",'Plan mensual'!L85,0))+parametros_manuales!$G$24*('Plan mensual'!L82+IF(parametros_manuales!$H$24="Todos",'Plan mensual'!L86,0)))*parametros_manuales!$I$24*parametros_manuales!$J$24</f>
        <v>16674.20950752</v>
      </c>
      <c r="K203" s="14" t="n">
        <f aca="false">(parametros_manuales!$D$24*('Plan mensual'!M79+IF(parametros_manuales!$H$24="Todos",'Plan mensual'!M83,0))+parametros_manuales!$E$24*('Plan mensual'!M80+IF(parametros_manuales!$H$24="Todos",'Plan mensual'!M84,0))+parametros_manuales!$F$24*('Plan mensual'!M81+IF(parametros_manuales!$H$24="Todos",'Plan mensual'!M85,0))+parametros_manuales!$G$24*('Plan mensual'!M82+IF(parametros_manuales!$H$24="Todos",'Plan mensual'!M86,0)))*parametros_manuales!$I$24*parametros_manuales!$J$24</f>
        <v>16363.945218675</v>
      </c>
      <c r="L203" s="14" t="n">
        <f aca="false">(parametros_manuales!$D$24*('Plan mensual'!N79+IF(parametros_manuales!$H$24="Todos",'Plan mensual'!N83,0))+parametros_manuales!$E$24*('Plan mensual'!N80+IF(parametros_manuales!$H$24="Todos",'Plan mensual'!N84,0))+parametros_manuales!$F$24*('Plan mensual'!N81+IF(parametros_manuales!$H$24="Todos",'Plan mensual'!N85,0))+parametros_manuales!$G$24*('Plan mensual'!N82+IF(parametros_manuales!$H$24="Todos",'Plan mensual'!N86,0)))*parametros_manuales!$I$24*parametros_manuales!$J$24</f>
        <v>16053.68092983</v>
      </c>
      <c r="M203" s="14" t="n">
        <f aca="false">(parametros_manuales!$D$24*('Plan mensual'!O79+IF(parametros_manuales!$H$24="Todos",'Plan mensual'!O83,0))+parametros_manuales!$E$24*('Plan mensual'!O80+IF(parametros_manuales!$H$24="Todos",'Plan mensual'!O84,0))+parametros_manuales!$F$24*('Plan mensual'!O81+IF(parametros_manuales!$H$24="Todos",'Plan mensual'!O85,0))+parametros_manuales!$G$24*('Plan mensual'!O82+IF(parametros_manuales!$H$24="Todos",'Plan mensual'!O86,0)))*parametros_manuales!$I$24*parametros_manuales!$J$24</f>
        <v>25561.78377219</v>
      </c>
      <c r="N203" s="14" t="n">
        <f aca="false">SUM(B203:M203)</f>
        <v>218185.936249</v>
      </c>
      <c r="O203" s="14" t="n">
        <f aca="false">MAX(B203:M203)</f>
        <v>25561.78377219</v>
      </c>
      <c r="P203" s="57" t="n">
        <f aca="false">O203/(parametros_manuales!$B$7)</f>
        <v>170.4118918146</v>
      </c>
      <c r="Q203" s="13" t="str">
        <f aca="false">IF(O203=0,"-",INDEX($B$197:$M$197,MATCH(O203,B203:M203,0)))</f>
        <v>Dic</v>
      </c>
    </row>
    <row r="204" customFormat="false" ht="14.25" hidden="false" customHeight="true" outlineLevel="0" collapsed="false">
      <c r="A204" s="13" t="str">
        <f aca="false">parametros_manuales!$B$25</f>
        <v>Soldadura del cuello a la cúpula</v>
      </c>
      <c r="B204" s="14" t="n">
        <f aca="false">(parametros_manuales!$D$25*('Plan mensual'!D79+IF(parametros_manuales!$H$25="Todos",'Plan mensual'!D83,0))+parametros_manuales!$E$25*('Plan mensual'!D80+IF(parametros_manuales!$H$25="Todos",'Plan mensual'!D84,0))+parametros_manuales!$F$25*('Plan mensual'!D81+IF(parametros_manuales!$H$25="Todos",'Plan mensual'!D85,0))+parametros_manuales!$G$25*('Plan mensual'!D82+IF(parametros_manuales!$H$25="Todos",'Plan mensual'!D86,0)))*parametros_manuales!$I$25*parametros_manuales!$J$25</f>
        <v>24941.2551945</v>
      </c>
      <c r="C204" s="14" t="n">
        <f aca="false">(parametros_manuales!$D$25*('Plan mensual'!E79+IF(parametros_manuales!$H$25="Todos",'Plan mensual'!E83,0))+parametros_manuales!$E$25*('Plan mensual'!E80+IF(parametros_manuales!$H$25="Todos",'Plan mensual'!E84,0))+parametros_manuales!$F$25*('Plan mensual'!E81+IF(parametros_manuales!$H$25="Todos",'Plan mensual'!E85,0))+parametros_manuales!$G$25*('Plan mensual'!E82+IF(parametros_manuales!$H$25="Todos",'Plan mensual'!E86,0)))*parametros_manuales!$I$25*parametros_manuales!$J$25</f>
        <v>19016.20568472</v>
      </c>
      <c r="D204" s="14" t="n">
        <f aca="false">(parametros_manuales!$D$25*('Plan mensual'!F79+IF(parametros_manuales!$H$25="Todos",'Plan mensual'!F83,0))+parametros_manuales!$E$25*('Plan mensual'!F80+IF(parametros_manuales!$H$25="Todos",'Plan mensual'!F84,0))+parametros_manuales!$F$25*('Plan mensual'!F81+IF(parametros_manuales!$H$25="Todos",'Plan mensual'!F85,0))+parametros_manuales!$G$25*('Plan mensual'!F82+IF(parametros_manuales!$H$25="Todos",'Plan mensual'!F86,0)))*parametros_manuales!$I$25*parametros_manuales!$J$25</f>
        <v>17765.139188765</v>
      </c>
      <c r="E204" s="14" t="n">
        <f aca="false">(parametros_manuales!$D$25*('Plan mensual'!G79+IF(parametros_manuales!$H$25="Todos",'Plan mensual'!G83,0))+parametros_manuales!$E$25*('Plan mensual'!G80+IF(parametros_manuales!$H$25="Todos",'Plan mensual'!G84,0))+parametros_manuales!$F$25*('Plan mensual'!G81+IF(parametros_manuales!$H$25="Todos",'Plan mensual'!G85,0))+parametros_manuales!$G$25*('Plan mensual'!G82+IF(parametros_manuales!$H$25="Todos",'Plan mensual'!G86,0)))*parametros_manuales!$I$25*parametros_manuales!$J$25</f>
        <v>16984.473796365</v>
      </c>
      <c r="F204" s="14" t="n">
        <f aca="false">(parametros_manuales!$D$25*('Plan mensual'!H79+IF(parametros_manuales!$H$25="Todos",'Plan mensual'!H83,0))+parametros_manuales!$E$25*('Plan mensual'!H80+IF(parametros_manuales!$H$25="Todos",'Plan mensual'!H84,0))+parametros_manuales!$F$25*('Plan mensual'!H81+IF(parametros_manuales!$H$25="Todos",'Plan mensual'!H85,0))+parametros_manuales!$G$25*('Plan mensual'!H82+IF(parametros_manuales!$H$25="Todos",'Plan mensual'!H86,0)))*parametros_manuales!$I$25*parametros_manuales!$J$25</f>
        <v>15893.54411512</v>
      </c>
      <c r="G204" s="14" t="n">
        <f aca="false">(parametros_manuales!$D$25*('Plan mensual'!I79+IF(parametros_manuales!$H$25="Todos",'Plan mensual'!I83,0))+parametros_manuales!$E$25*('Plan mensual'!I80+IF(parametros_manuales!$H$25="Todos",'Plan mensual'!I84,0))+parametros_manuales!$F$25*('Plan mensual'!I81+IF(parametros_manuales!$H$25="Todos",'Plan mensual'!I85,0))+parametros_manuales!$G$25*('Plan mensual'!I82+IF(parametros_manuales!$H$25="Todos",'Plan mensual'!I86,0)))*parametros_manuales!$I$25*parametros_manuales!$J$25</f>
        <v>15583.279826275</v>
      </c>
      <c r="H204" s="14" t="n">
        <f aca="false">(parametros_manuales!$D$25*('Plan mensual'!J79+IF(parametros_manuales!$H$25="Todos",'Plan mensual'!J83,0))+parametros_manuales!$E$25*('Plan mensual'!J80+IF(parametros_manuales!$H$25="Todos",'Plan mensual'!J84,0))+parametros_manuales!$F$25*('Plan mensual'!J81+IF(parametros_manuales!$H$25="Todos",'Plan mensual'!J85,0))+parametros_manuales!$G$25*('Plan mensual'!J82+IF(parametros_manuales!$H$25="Todos",'Plan mensual'!J86,0)))*parametros_manuales!$I$25*parametros_manuales!$J$25</f>
        <v>16674.20950752</v>
      </c>
      <c r="I204" s="14" t="n">
        <f aca="false">(parametros_manuales!$D$25*('Plan mensual'!K79+IF(parametros_manuales!$H$25="Todos",'Plan mensual'!K83,0))+parametros_manuales!$E$25*('Plan mensual'!K80+IF(parametros_manuales!$H$25="Todos",'Plan mensual'!K84,0))+parametros_manuales!$F$25*('Plan mensual'!K81+IF(parametros_manuales!$H$25="Todos",'Plan mensual'!K85,0))+parametros_manuales!$G$25*('Plan mensual'!K82+IF(parametros_manuales!$H$25="Todos",'Plan mensual'!K86,0)))*parametros_manuales!$I$25*parametros_manuales!$J$25</f>
        <v>16674.20950752</v>
      </c>
      <c r="J204" s="14" t="n">
        <f aca="false">(parametros_manuales!$D$25*('Plan mensual'!L79+IF(parametros_manuales!$H$25="Todos",'Plan mensual'!L83,0))+parametros_manuales!$E$25*('Plan mensual'!L80+IF(parametros_manuales!$H$25="Todos",'Plan mensual'!L84,0))+parametros_manuales!$F$25*('Plan mensual'!L81+IF(parametros_manuales!$H$25="Todos",'Plan mensual'!L85,0))+parametros_manuales!$G$25*('Plan mensual'!L82+IF(parametros_manuales!$H$25="Todos",'Plan mensual'!L86,0)))*parametros_manuales!$I$25*parametros_manuales!$J$25</f>
        <v>16674.20950752</v>
      </c>
      <c r="K204" s="14" t="n">
        <f aca="false">(parametros_manuales!$D$25*('Plan mensual'!M79+IF(parametros_manuales!$H$25="Todos",'Plan mensual'!M83,0))+parametros_manuales!$E$25*('Plan mensual'!M80+IF(parametros_manuales!$H$25="Todos",'Plan mensual'!M84,0))+parametros_manuales!$F$25*('Plan mensual'!M81+IF(parametros_manuales!$H$25="Todos",'Plan mensual'!M85,0))+parametros_manuales!$G$25*('Plan mensual'!M82+IF(parametros_manuales!$H$25="Todos",'Plan mensual'!M86,0)))*parametros_manuales!$I$25*parametros_manuales!$J$25</f>
        <v>16363.945218675</v>
      </c>
      <c r="L204" s="14" t="n">
        <f aca="false">(parametros_manuales!$D$25*('Plan mensual'!N79+IF(parametros_manuales!$H$25="Todos",'Plan mensual'!N83,0))+parametros_manuales!$E$25*('Plan mensual'!N80+IF(parametros_manuales!$H$25="Todos",'Plan mensual'!N84,0))+parametros_manuales!$F$25*('Plan mensual'!N81+IF(parametros_manuales!$H$25="Todos",'Plan mensual'!N85,0))+parametros_manuales!$G$25*('Plan mensual'!N82+IF(parametros_manuales!$H$25="Todos",'Plan mensual'!N86,0)))*parametros_manuales!$I$25*parametros_manuales!$J$25</f>
        <v>16053.68092983</v>
      </c>
      <c r="M204" s="14" t="n">
        <f aca="false">(parametros_manuales!$D$25*('Plan mensual'!O79+IF(parametros_manuales!$H$25="Todos",'Plan mensual'!O83,0))+parametros_manuales!$E$25*('Plan mensual'!O80+IF(parametros_manuales!$H$25="Todos",'Plan mensual'!O84,0))+parametros_manuales!$F$25*('Plan mensual'!O81+IF(parametros_manuales!$H$25="Todos",'Plan mensual'!O85,0))+parametros_manuales!$G$25*('Plan mensual'!O82+IF(parametros_manuales!$H$25="Todos",'Plan mensual'!O86,0)))*parametros_manuales!$I$25*parametros_manuales!$J$25</f>
        <v>25561.78377219</v>
      </c>
      <c r="N204" s="14" t="n">
        <f aca="false">SUM(B204:M204)</f>
        <v>218185.936249</v>
      </c>
      <c r="O204" s="14" t="n">
        <f aca="false">MAX(B204:M204)</f>
        <v>25561.78377219</v>
      </c>
      <c r="P204" s="57" t="n">
        <f aca="false">O204/(parametros_manuales!$B$7)</f>
        <v>170.4118918146</v>
      </c>
      <c r="Q204" s="13" t="str">
        <f aca="false">IF(O204=0,"-",INDEX($B$197:$M$197,MATCH(O204,B204:M204,0)))</f>
        <v>Dic</v>
      </c>
    </row>
    <row r="205" customFormat="false" ht="14.25" hidden="false" customHeight="true" outlineLevel="0" collapsed="false">
      <c r="A205" s="13" t="str">
        <f aca="false">parametros_manuales!$B$26</f>
        <v>Cilindrado</v>
      </c>
      <c r="B205" s="14" t="n">
        <f aca="false">(parametros_manuales!$D$26*('Plan mensual'!D79+IF(parametros_manuales!$H$26="Todos",'Plan mensual'!D83,0))+parametros_manuales!$E$26*('Plan mensual'!D80+IF(parametros_manuales!$H$26="Todos",'Plan mensual'!D84,0))+parametros_manuales!$F$26*('Plan mensual'!D81+IF(parametros_manuales!$H$26="Todos",'Plan mensual'!D85,0))+parametros_manuales!$G$26*('Plan mensual'!D82+IF(parametros_manuales!$H$26="Todos",'Plan mensual'!D86,0)))*parametros_manuales!$I$26*parametros_manuales!$J$26</f>
        <v>24941.2551945</v>
      </c>
      <c r="C205" s="14" t="n">
        <f aca="false">(parametros_manuales!$D$26*('Plan mensual'!E79+IF(parametros_manuales!$H$26="Todos",'Plan mensual'!E83,0))+parametros_manuales!$E$26*('Plan mensual'!E80+IF(parametros_manuales!$H$26="Todos",'Plan mensual'!E84,0))+parametros_manuales!$F$26*('Plan mensual'!E81+IF(parametros_manuales!$H$26="Todos",'Plan mensual'!E85,0))+parametros_manuales!$G$26*('Plan mensual'!E82+IF(parametros_manuales!$H$26="Todos",'Plan mensual'!E86,0)))*parametros_manuales!$I$26*parametros_manuales!$J$26</f>
        <v>19016.20568472</v>
      </c>
      <c r="D205" s="14" t="n">
        <f aca="false">(parametros_manuales!$D$26*('Plan mensual'!F79+IF(parametros_manuales!$H$26="Todos",'Plan mensual'!F83,0))+parametros_manuales!$E$26*('Plan mensual'!F80+IF(parametros_manuales!$H$26="Todos",'Plan mensual'!F84,0))+parametros_manuales!$F$26*('Plan mensual'!F81+IF(parametros_manuales!$H$26="Todos",'Plan mensual'!F85,0))+parametros_manuales!$G$26*('Plan mensual'!F82+IF(parametros_manuales!$H$26="Todos",'Plan mensual'!F86,0)))*parametros_manuales!$I$26*parametros_manuales!$J$26</f>
        <v>17765.139188765</v>
      </c>
      <c r="E205" s="14" t="n">
        <f aca="false">(parametros_manuales!$D$26*('Plan mensual'!G79+IF(parametros_manuales!$H$26="Todos",'Plan mensual'!G83,0))+parametros_manuales!$E$26*('Plan mensual'!G80+IF(parametros_manuales!$H$26="Todos",'Plan mensual'!G84,0))+parametros_manuales!$F$26*('Plan mensual'!G81+IF(parametros_manuales!$H$26="Todos",'Plan mensual'!G85,0))+parametros_manuales!$G$26*('Plan mensual'!G82+IF(parametros_manuales!$H$26="Todos",'Plan mensual'!G86,0)))*parametros_manuales!$I$26*parametros_manuales!$J$26</f>
        <v>16984.473796365</v>
      </c>
      <c r="F205" s="14" t="n">
        <f aca="false">(parametros_manuales!$D$26*('Plan mensual'!H79+IF(parametros_manuales!$H$26="Todos",'Plan mensual'!H83,0))+parametros_manuales!$E$26*('Plan mensual'!H80+IF(parametros_manuales!$H$26="Todos",'Plan mensual'!H84,0))+parametros_manuales!$F$26*('Plan mensual'!H81+IF(parametros_manuales!$H$26="Todos",'Plan mensual'!H85,0))+parametros_manuales!$G$26*('Plan mensual'!H82+IF(parametros_manuales!$H$26="Todos",'Plan mensual'!H86,0)))*parametros_manuales!$I$26*parametros_manuales!$J$26</f>
        <v>15893.54411512</v>
      </c>
      <c r="G205" s="14" t="n">
        <f aca="false">(parametros_manuales!$D$26*('Plan mensual'!I79+IF(parametros_manuales!$H$26="Todos",'Plan mensual'!I83,0))+parametros_manuales!$E$26*('Plan mensual'!I80+IF(parametros_manuales!$H$26="Todos",'Plan mensual'!I84,0))+parametros_manuales!$F$26*('Plan mensual'!I81+IF(parametros_manuales!$H$26="Todos",'Plan mensual'!I85,0))+parametros_manuales!$G$26*('Plan mensual'!I82+IF(parametros_manuales!$H$26="Todos",'Plan mensual'!I86,0)))*parametros_manuales!$I$26*parametros_manuales!$J$26</f>
        <v>15583.279826275</v>
      </c>
      <c r="H205" s="14" t="n">
        <f aca="false">(parametros_manuales!$D$26*('Plan mensual'!J79+IF(parametros_manuales!$H$26="Todos",'Plan mensual'!J83,0))+parametros_manuales!$E$26*('Plan mensual'!J80+IF(parametros_manuales!$H$26="Todos",'Plan mensual'!J84,0))+parametros_manuales!$F$26*('Plan mensual'!J81+IF(parametros_manuales!$H$26="Todos",'Plan mensual'!J85,0))+parametros_manuales!$G$26*('Plan mensual'!J82+IF(parametros_manuales!$H$26="Todos",'Plan mensual'!J86,0)))*parametros_manuales!$I$26*parametros_manuales!$J$26</f>
        <v>16674.20950752</v>
      </c>
      <c r="I205" s="14" t="n">
        <f aca="false">(parametros_manuales!$D$26*('Plan mensual'!K79+IF(parametros_manuales!$H$26="Todos",'Plan mensual'!K83,0))+parametros_manuales!$E$26*('Plan mensual'!K80+IF(parametros_manuales!$H$26="Todos",'Plan mensual'!K84,0))+parametros_manuales!$F$26*('Plan mensual'!K81+IF(parametros_manuales!$H$26="Todos",'Plan mensual'!K85,0))+parametros_manuales!$G$26*('Plan mensual'!K82+IF(parametros_manuales!$H$26="Todos",'Plan mensual'!K86,0)))*parametros_manuales!$I$26*parametros_manuales!$J$26</f>
        <v>16674.20950752</v>
      </c>
      <c r="J205" s="14" t="n">
        <f aca="false">(parametros_manuales!$D$26*('Plan mensual'!L79+IF(parametros_manuales!$H$26="Todos",'Plan mensual'!L83,0))+parametros_manuales!$E$26*('Plan mensual'!L80+IF(parametros_manuales!$H$26="Todos",'Plan mensual'!L84,0))+parametros_manuales!$F$26*('Plan mensual'!L81+IF(parametros_manuales!$H$26="Todos",'Plan mensual'!L85,0))+parametros_manuales!$G$26*('Plan mensual'!L82+IF(parametros_manuales!$H$26="Todos",'Plan mensual'!L86,0)))*parametros_manuales!$I$26*parametros_manuales!$J$26</f>
        <v>16674.20950752</v>
      </c>
      <c r="K205" s="14" t="n">
        <f aca="false">(parametros_manuales!$D$26*('Plan mensual'!M79+IF(parametros_manuales!$H$26="Todos",'Plan mensual'!M83,0))+parametros_manuales!$E$26*('Plan mensual'!M80+IF(parametros_manuales!$H$26="Todos",'Plan mensual'!M84,0))+parametros_manuales!$F$26*('Plan mensual'!M81+IF(parametros_manuales!$H$26="Todos",'Plan mensual'!M85,0))+parametros_manuales!$G$26*('Plan mensual'!M82+IF(parametros_manuales!$H$26="Todos",'Plan mensual'!M86,0)))*parametros_manuales!$I$26*parametros_manuales!$J$26</f>
        <v>16363.945218675</v>
      </c>
      <c r="L205" s="14" t="n">
        <f aca="false">(parametros_manuales!$D$26*('Plan mensual'!N79+IF(parametros_manuales!$H$26="Todos",'Plan mensual'!N83,0))+parametros_manuales!$E$26*('Plan mensual'!N80+IF(parametros_manuales!$H$26="Todos",'Plan mensual'!N84,0))+parametros_manuales!$F$26*('Plan mensual'!N81+IF(parametros_manuales!$H$26="Todos",'Plan mensual'!N85,0))+parametros_manuales!$G$26*('Plan mensual'!N82+IF(parametros_manuales!$H$26="Todos",'Plan mensual'!N86,0)))*parametros_manuales!$I$26*parametros_manuales!$J$26</f>
        <v>16053.68092983</v>
      </c>
      <c r="M205" s="14" t="n">
        <f aca="false">(parametros_manuales!$D$26*('Plan mensual'!O79+IF(parametros_manuales!$H$26="Todos",'Plan mensual'!O83,0))+parametros_manuales!$E$26*('Plan mensual'!O80+IF(parametros_manuales!$H$26="Todos",'Plan mensual'!O84,0))+parametros_manuales!$F$26*('Plan mensual'!O81+IF(parametros_manuales!$H$26="Todos",'Plan mensual'!O85,0))+parametros_manuales!$G$26*('Plan mensual'!O82+IF(parametros_manuales!$H$26="Todos",'Plan mensual'!O86,0)))*parametros_manuales!$I$26*parametros_manuales!$J$26</f>
        <v>25561.78377219</v>
      </c>
      <c r="N205" s="14" t="n">
        <f aca="false">SUM(B205:M205)</f>
        <v>218185.936249</v>
      </c>
      <c r="O205" s="14" t="n">
        <f aca="false">MAX(B205:M205)</f>
        <v>25561.78377219</v>
      </c>
      <c r="P205" s="57" t="n">
        <f aca="false">O205/(parametros_manuales!$B$7)</f>
        <v>170.4118918146</v>
      </c>
      <c r="Q205" s="13" t="str">
        <f aca="false">IF(O205=0,"-",INDEX($B$197:$M$197,MATCH(O205,B205:M205,0)))</f>
        <v>Dic</v>
      </c>
    </row>
    <row r="206" customFormat="false" ht="14.25" hidden="false" customHeight="true" outlineLevel="0" collapsed="false">
      <c r="A206" s="13" t="str">
        <f aca="false">parametros_manuales!$B$27</f>
        <v>Soldadura longitudinal — 2,5 a 10 kg</v>
      </c>
      <c r="B206" s="14" t="n">
        <f aca="false">(parametros_manuales!$D$27*('Plan mensual'!D79+IF(parametros_manuales!$H$27="Todos",'Plan mensual'!D83,0))+parametros_manuales!$E$27*('Plan mensual'!D80+IF(parametros_manuales!$H$27="Todos",'Plan mensual'!D84,0))+parametros_manuales!$F$27*('Plan mensual'!D81+IF(parametros_manuales!$H$27="Todos",'Plan mensual'!D85,0))+parametros_manuales!$G$27*('Plan mensual'!D82+IF(parametros_manuales!$H$27="Todos",'Plan mensual'!D86,0)))*parametros_manuales!$I$27*parametros_manuales!$J$27</f>
        <v>6205.2857769</v>
      </c>
      <c r="C206" s="14" t="n">
        <f aca="false">(parametros_manuales!$D$27*('Plan mensual'!E79+IF(parametros_manuales!$H$27="Todos",'Plan mensual'!E83,0))+parametros_manuales!$E$27*('Plan mensual'!E80+IF(parametros_manuales!$H$27="Todos",'Plan mensual'!E84,0))+parametros_manuales!$F$27*('Plan mensual'!E81+IF(parametros_manuales!$H$27="Todos",'Plan mensual'!E85,0))+parametros_manuales!$G$27*('Plan mensual'!E82+IF(parametros_manuales!$H$27="Todos",'Plan mensual'!E86,0)))*parametros_manuales!$I$27*parametros_manuales!$J$27</f>
        <v>4964.22862152</v>
      </c>
      <c r="D206" s="14" t="n">
        <f aca="false">(parametros_manuales!$D$27*('Plan mensual'!F79+IF(parametros_manuales!$H$27="Todos",'Plan mensual'!F83,0))+parametros_manuales!$E$27*('Plan mensual'!F80+IF(parametros_manuales!$H$27="Todos",'Plan mensual'!F84,0))+parametros_manuales!$F$27*('Plan mensual'!F81+IF(parametros_manuales!$H$27="Todos",'Plan mensual'!F85,0))+parametros_manuales!$G$27*('Plan mensual'!F82+IF(parametros_manuales!$H$27="Todos",'Plan mensual'!F86,0)))*parametros_manuales!$I$27*parametros_manuales!$J$27</f>
        <v>5274.492910365</v>
      </c>
      <c r="E206" s="14" t="n">
        <f aca="false">(parametros_manuales!$D$27*('Plan mensual'!G79+IF(parametros_manuales!$H$27="Todos",'Plan mensual'!G83,0))+parametros_manuales!$E$27*('Plan mensual'!G80+IF(parametros_manuales!$H$27="Todos",'Plan mensual'!G84,0))+parametros_manuales!$F$27*('Plan mensual'!G81+IF(parametros_manuales!$H$27="Todos",'Plan mensual'!G85,0))+parametros_manuales!$G$27*('Plan mensual'!G82+IF(parametros_manuales!$H$27="Todos",'Plan mensual'!G86,0)))*parametros_manuales!$I$27*parametros_manuales!$J$27</f>
        <v>5274.492910365</v>
      </c>
      <c r="F206" s="14" t="n">
        <f aca="false">(parametros_manuales!$D$27*('Plan mensual'!H79+IF(parametros_manuales!$H$27="Todos",'Plan mensual'!H83,0))+parametros_manuales!$E$27*('Plan mensual'!H80+IF(parametros_manuales!$H$27="Todos",'Plan mensual'!H84,0))+parametros_manuales!$F$27*('Plan mensual'!H81+IF(parametros_manuales!$H$27="Todos",'Plan mensual'!H85,0))+parametros_manuales!$G$27*('Plan mensual'!H82+IF(parametros_manuales!$H$27="Todos",'Plan mensual'!H86,0)))*parametros_manuales!$I$27*parametros_manuales!$J$27</f>
        <v>4964.22862152</v>
      </c>
      <c r="G206" s="14" t="n">
        <f aca="false">(parametros_manuales!$D$27*('Plan mensual'!I79+IF(parametros_manuales!$H$27="Todos",'Plan mensual'!I83,0))+parametros_manuales!$E$27*('Plan mensual'!I80+IF(parametros_manuales!$H$27="Todos",'Plan mensual'!I84,0))+parametros_manuales!$F$27*('Plan mensual'!I81+IF(parametros_manuales!$H$27="Todos",'Plan mensual'!I85,0))+parametros_manuales!$G$27*('Plan mensual'!I82+IF(parametros_manuales!$H$27="Todos",'Plan mensual'!I86,0)))*parametros_manuales!$I$27*parametros_manuales!$J$27</f>
        <v>4653.964332675</v>
      </c>
      <c r="H206" s="14" t="n">
        <f aca="false">(parametros_manuales!$D$27*('Plan mensual'!J79+IF(parametros_manuales!$H$27="Todos",'Plan mensual'!J83,0))+parametros_manuales!$E$27*('Plan mensual'!J80+IF(parametros_manuales!$H$27="Todos",'Plan mensual'!J84,0))+parametros_manuales!$F$27*('Plan mensual'!J81+IF(parametros_manuales!$H$27="Todos",'Plan mensual'!J85,0))+parametros_manuales!$G$27*('Plan mensual'!J82+IF(parametros_manuales!$H$27="Todos",'Plan mensual'!J86,0)))*parametros_manuales!$I$27*parametros_manuales!$J$27</f>
        <v>4964.22862152</v>
      </c>
      <c r="I206" s="14" t="n">
        <f aca="false">(parametros_manuales!$D$27*('Plan mensual'!K79+IF(parametros_manuales!$H$27="Todos",'Plan mensual'!K83,0))+parametros_manuales!$E$27*('Plan mensual'!K80+IF(parametros_manuales!$H$27="Todos",'Plan mensual'!K84,0))+parametros_manuales!$F$27*('Plan mensual'!K81+IF(parametros_manuales!$H$27="Todos",'Plan mensual'!K85,0))+parametros_manuales!$G$27*('Plan mensual'!K82+IF(parametros_manuales!$H$27="Todos",'Plan mensual'!K86,0)))*parametros_manuales!$I$27*parametros_manuales!$J$27</f>
        <v>4964.22862152</v>
      </c>
      <c r="J206" s="14" t="n">
        <f aca="false">(parametros_manuales!$D$27*('Plan mensual'!L79+IF(parametros_manuales!$H$27="Todos",'Plan mensual'!L83,0))+parametros_manuales!$E$27*('Plan mensual'!L80+IF(parametros_manuales!$H$27="Todos",'Plan mensual'!L84,0))+parametros_manuales!$F$27*('Plan mensual'!L81+IF(parametros_manuales!$H$27="Todos",'Plan mensual'!L85,0))+parametros_manuales!$G$27*('Plan mensual'!L82+IF(parametros_manuales!$H$27="Todos",'Plan mensual'!L86,0)))*parametros_manuales!$I$27*parametros_manuales!$J$27</f>
        <v>4964.22862152</v>
      </c>
      <c r="K206" s="14" t="n">
        <f aca="false">(parametros_manuales!$D$27*('Plan mensual'!M79+IF(parametros_manuales!$H$27="Todos",'Plan mensual'!M83,0))+parametros_manuales!$E$27*('Plan mensual'!M80+IF(parametros_manuales!$H$27="Todos",'Plan mensual'!M84,0))+parametros_manuales!$F$27*('Plan mensual'!M81+IF(parametros_manuales!$H$27="Todos",'Plan mensual'!M85,0))+parametros_manuales!$G$27*('Plan mensual'!M82+IF(parametros_manuales!$H$27="Todos",'Plan mensual'!M86,0)))*parametros_manuales!$I$27*parametros_manuales!$J$27</f>
        <v>4653.964332675</v>
      </c>
      <c r="L206" s="14" t="n">
        <f aca="false">(parametros_manuales!$D$27*('Plan mensual'!N79+IF(parametros_manuales!$H$27="Todos",'Plan mensual'!N83,0))+parametros_manuales!$E$27*('Plan mensual'!N80+IF(parametros_manuales!$H$27="Todos",'Plan mensual'!N84,0))+parametros_manuales!$F$27*('Plan mensual'!N81+IF(parametros_manuales!$H$27="Todos",'Plan mensual'!N85,0))+parametros_manuales!$G$27*('Plan mensual'!N82+IF(parametros_manuales!$H$27="Todos",'Plan mensual'!N86,0)))*parametros_manuales!$I$27*parametros_manuales!$J$27</f>
        <v>4343.70004383</v>
      </c>
      <c r="M206" s="14" t="n">
        <f aca="false">(parametros_manuales!$D$27*('Plan mensual'!O79+IF(parametros_manuales!$H$27="Todos",'Plan mensual'!O83,0))+parametros_manuales!$E$27*('Plan mensual'!O80+IF(parametros_manuales!$H$27="Todos",'Plan mensual'!O84,0))+parametros_manuales!$F$27*('Plan mensual'!O81+IF(parametros_manuales!$H$27="Todos",'Plan mensual'!O85,0))+parametros_manuales!$G$27*('Plan mensual'!O82+IF(parametros_manuales!$H$27="Todos",'Plan mensual'!O86,0)))*parametros_manuales!$I$27*parametros_manuales!$J$27</f>
        <v>6825.81435459</v>
      </c>
      <c r="N206" s="14" t="n">
        <f aca="false">SUM(B206:M206)</f>
        <v>62052.857769</v>
      </c>
      <c r="O206" s="14" t="n">
        <f aca="false">MAX(B206:M206)</f>
        <v>6825.81435459</v>
      </c>
      <c r="P206" s="57" t="n">
        <f aca="false">O206/(parametros_manuales!$B$7)</f>
        <v>45.5054290306</v>
      </c>
      <c r="Q206" s="13" t="str">
        <f aca="false">IF(O206=0,"-",INDEX($B$197:$M$197,MATCH(O206,B206:M206,0)))</f>
        <v>Dic</v>
      </c>
    </row>
    <row r="207" customFormat="false" ht="14.25" hidden="false" customHeight="true" outlineLevel="0" collapsed="false">
      <c r="A207" s="13" t="str">
        <f aca="false">parametros_manuales!$B$28</f>
        <v>Soldadura longitudinal TIG — 1 kg</v>
      </c>
      <c r="B207" s="14" t="n">
        <f aca="false">(parametros_manuales!$D$28*('Plan mensual'!D79+IF(parametros_manuales!$H$28="Todos",'Plan mensual'!D83,0))+parametros_manuales!$E$28*('Plan mensual'!D80+IF(parametros_manuales!$H$28="Todos",'Plan mensual'!D84,0))+parametros_manuales!$F$28*('Plan mensual'!D81+IF(parametros_manuales!$H$28="Todos",'Plan mensual'!D85,0))+parametros_manuales!$G$28*('Plan mensual'!D82+IF(parametros_manuales!$H$28="Todos",'Plan mensual'!D86,0)))*parametros_manuales!$I$28*parametros_manuales!$J$28</f>
        <v>18735.9694176</v>
      </c>
      <c r="C207" s="14" t="n">
        <f aca="false">(parametros_manuales!$D$28*('Plan mensual'!E79+IF(parametros_manuales!$H$28="Todos",'Plan mensual'!E83,0))+parametros_manuales!$E$28*('Plan mensual'!E80+IF(parametros_manuales!$H$28="Todos",'Plan mensual'!E84,0))+parametros_manuales!$F$28*('Plan mensual'!E81+IF(parametros_manuales!$H$28="Todos",'Plan mensual'!E85,0))+parametros_manuales!$G$28*('Plan mensual'!E82+IF(parametros_manuales!$H$28="Todos",'Plan mensual'!E86,0)))*parametros_manuales!$I$28*parametros_manuales!$J$28</f>
        <v>14051.9770632</v>
      </c>
      <c r="D207" s="14" t="n">
        <f aca="false">(parametros_manuales!$D$28*('Plan mensual'!F79+IF(parametros_manuales!$H$28="Todos",'Plan mensual'!F83,0))+parametros_manuales!$E$28*('Plan mensual'!F80+IF(parametros_manuales!$H$28="Todos",'Plan mensual'!F84,0))+parametros_manuales!$F$28*('Plan mensual'!F81+IF(parametros_manuales!$H$28="Todos",'Plan mensual'!F85,0))+parametros_manuales!$G$28*('Plan mensual'!F82+IF(parametros_manuales!$H$28="Todos",'Plan mensual'!F86,0)))*parametros_manuales!$I$28*parametros_manuales!$J$28</f>
        <v>12490.6462784</v>
      </c>
      <c r="E207" s="14" t="n">
        <f aca="false">(parametros_manuales!$D$28*('Plan mensual'!G79+IF(parametros_manuales!$H$28="Todos",'Plan mensual'!G83,0))+parametros_manuales!$E$28*('Plan mensual'!G80+IF(parametros_manuales!$H$28="Todos",'Plan mensual'!G84,0))+parametros_manuales!$F$28*('Plan mensual'!G81+IF(parametros_manuales!$H$28="Todos",'Plan mensual'!G85,0))+parametros_manuales!$G$28*('Plan mensual'!G82+IF(parametros_manuales!$H$28="Todos",'Plan mensual'!G86,0)))*parametros_manuales!$I$28*parametros_manuales!$J$28</f>
        <v>11709.980886</v>
      </c>
      <c r="F207" s="14" t="n">
        <f aca="false">(parametros_manuales!$D$28*('Plan mensual'!H79+IF(parametros_manuales!$H$28="Todos",'Plan mensual'!H83,0))+parametros_manuales!$E$28*('Plan mensual'!H80+IF(parametros_manuales!$H$28="Todos",'Plan mensual'!H84,0))+parametros_manuales!$F$28*('Plan mensual'!H81+IF(parametros_manuales!$H$28="Todos",'Plan mensual'!H85,0))+parametros_manuales!$G$28*('Plan mensual'!H82+IF(parametros_manuales!$H$28="Todos",'Plan mensual'!H86,0)))*parametros_manuales!$I$28*parametros_manuales!$J$28</f>
        <v>10929.3154936</v>
      </c>
      <c r="G207" s="14" t="n">
        <f aca="false">(parametros_manuales!$D$28*('Plan mensual'!I79+IF(parametros_manuales!$H$28="Todos",'Plan mensual'!I83,0))+parametros_manuales!$E$28*('Plan mensual'!I80+IF(parametros_manuales!$H$28="Todos",'Plan mensual'!I84,0))+parametros_manuales!$F$28*('Plan mensual'!I81+IF(parametros_manuales!$H$28="Todos",'Plan mensual'!I85,0))+parametros_manuales!$G$28*('Plan mensual'!I82+IF(parametros_manuales!$H$28="Todos",'Plan mensual'!I86,0)))*parametros_manuales!$I$28*parametros_manuales!$J$28</f>
        <v>10929.3154936</v>
      </c>
      <c r="H207" s="14" t="n">
        <f aca="false">(parametros_manuales!$D$28*('Plan mensual'!J79+IF(parametros_manuales!$H$28="Todos",'Plan mensual'!J83,0))+parametros_manuales!$E$28*('Plan mensual'!J80+IF(parametros_manuales!$H$28="Todos",'Plan mensual'!J84,0))+parametros_manuales!$F$28*('Plan mensual'!J81+IF(parametros_manuales!$H$28="Todos",'Plan mensual'!J85,0))+parametros_manuales!$G$28*('Plan mensual'!J82+IF(parametros_manuales!$H$28="Todos",'Plan mensual'!J86,0)))*parametros_manuales!$I$28*parametros_manuales!$J$28</f>
        <v>11709.980886</v>
      </c>
      <c r="I207" s="14" t="n">
        <f aca="false">(parametros_manuales!$D$28*('Plan mensual'!K79+IF(parametros_manuales!$H$28="Todos",'Plan mensual'!K83,0))+parametros_manuales!$E$28*('Plan mensual'!K80+IF(parametros_manuales!$H$28="Todos",'Plan mensual'!K84,0))+parametros_manuales!$F$28*('Plan mensual'!K81+IF(parametros_manuales!$H$28="Todos",'Plan mensual'!K85,0))+parametros_manuales!$G$28*('Plan mensual'!K82+IF(parametros_manuales!$H$28="Todos",'Plan mensual'!K86,0)))*parametros_manuales!$I$28*parametros_manuales!$J$28</f>
        <v>11709.980886</v>
      </c>
      <c r="J207" s="14" t="n">
        <f aca="false">(parametros_manuales!$D$28*('Plan mensual'!L79+IF(parametros_manuales!$H$28="Todos",'Plan mensual'!L83,0))+parametros_manuales!$E$28*('Plan mensual'!L80+IF(parametros_manuales!$H$28="Todos",'Plan mensual'!L84,0))+parametros_manuales!$F$28*('Plan mensual'!L81+IF(parametros_manuales!$H$28="Todos",'Plan mensual'!L85,0))+parametros_manuales!$G$28*('Plan mensual'!L82+IF(parametros_manuales!$H$28="Todos",'Plan mensual'!L86,0)))*parametros_manuales!$I$28*parametros_manuales!$J$28</f>
        <v>11709.980886</v>
      </c>
      <c r="K207" s="14" t="n">
        <f aca="false">(parametros_manuales!$D$28*('Plan mensual'!M79+IF(parametros_manuales!$H$28="Todos",'Plan mensual'!M83,0))+parametros_manuales!$E$28*('Plan mensual'!M80+IF(parametros_manuales!$H$28="Todos",'Plan mensual'!M84,0))+parametros_manuales!$F$28*('Plan mensual'!M81+IF(parametros_manuales!$H$28="Todos",'Plan mensual'!M85,0))+parametros_manuales!$G$28*('Plan mensual'!M82+IF(parametros_manuales!$H$28="Todos",'Plan mensual'!M86,0)))*parametros_manuales!$I$28*parametros_manuales!$J$28</f>
        <v>11709.980886</v>
      </c>
      <c r="L207" s="14" t="n">
        <f aca="false">(parametros_manuales!$D$28*('Plan mensual'!N79+IF(parametros_manuales!$H$28="Todos",'Plan mensual'!N83,0))+parametros_manuales!$E$28*('Plan mensual'!N80+IF(parametros_manuales!$H$28="Todos",'Plan mensual'!N84,0))+parametros_manuales!$F$28*('Plan mensual'!N81+IF(parametros_manuales!$H$28="Todos",'Plan mensual'!N85,0))+parametros_manuales!$G$28*('Plan mensual'!N82+IF(parametros_manuales!$H$28="Todos",'Plan mensual'!N86,0)))*parametros_manuales!$I$28*parametros_manuales!$J$28</f>
        <v>11709.980886</v>
      </c>
      <c r="M207" s="14" t="n">
        <f aca="false">(parametros_manuales!$D$28*('Plan mensual'!O79+IF(parametros_manuales!$H$28="Todos",'Plan mensual'!O83,0))+parametros_manuales!$E$28*('Plan mensual'!O80+IF(parametros_manuales!$H$28="Todos",'Plan mensual'!O84,0))+parametros_manuales!$F$28*('Plan mensual'!O81+IF(parametros_manuales!$H$28="Todos",'Plan mensual'!O85,0))+parametros_manuales!$G$28*('Plan mensual'!O82+IF(parametros_manuales!$H$28="Todos",'Plan mensual'!O86,0)))*parametros_manuales!$I$28*parametros_manuales!$J$28</f>
        <v>18735.9694176</v>
      </c>
      <c r="N207" s="14" t="n">
        <f aca="false">SUM(B207:M207)</f>
        <v>156133.07848</v>
      </c>
      <c r="O207" s="14" t="n">
        <f aca="false">MAX(B207:M207)</f>
        <v>18735.9694176</v>
      </c>
      <c r="P207" s="57" t="n">
        <f aca="false">O207/(parametros_manuales!$B$7)</f>
        <v>124.906462784</v>
      </c>
      <c r="Q207" s="13" t="str">
        <f aca="false">IF(O207=0,"-",INDEX($B$197:$M$197,MATCH(O207,B207:M207,0)))</f>
        <v>Ene</v>
      </c>
    </row>
    <row r="208" customFormat="false" ht="14.25" hidden="false" customHeight="true" outlineLevel="0" collapsed="false">
      <c r="A208" s="13" t="str">
        <f aca="false">parametros_manuales!$B$29</f>
        <v>Encastre de fondo</v>
      </c>
      <c r="B208" s="14" t="n">
        <f aca="false">(parametros_manuales!$D$29*('Plan mensual'!D79+IF(parametros_manuales!$H$29="Todos",'Plan mensual'!D83,0))+parametros_manuales!$E$29*('Plan mensual'!D80+IF(parametros_manuales!$H$29="Todos",'Plan mensual'!D84,0))+parametros_manuales!$F$29*('Plan mensual'!D81+IF(parametros_manuales!$H$29="Todos",'Plan mensual'!D85,0))+parametros_manuales!$G$29*('Plan mensual'!D82+IF(parametros_manuales!$H$29="Todos",'Plan mensual'!D86,0)))*parametros_manuales!$I$29*parametros_manuales!$J$29</f>
        <v>24941.2551945</v>
      </c>
      <c r="C208" s="14" t="n">
        <f aca="false">(parametros_manuales!$D$29*('Plan mensual'!E79+IF(parametros_manuales!$H$29="Todos",'Plan mensual'!E83,0))+parametros_manuales!$E$29*('Plan mensual'!E80+IF(parametros_manuales!$H$29="Todos",'Plan mensual'!E84,0))+parametros_manuales!$F$29*('Plan mensual'!E81+IF(parametros_manuales!$H$29="Todos",'Plan mensual'!E85,0))+parametros_manuales!$G$29*('Plan mensual'!E82+IF(parametros_manuales!$H$29="Todos",'Plan mensual'!E86,0)))*parametros_manuales!$I$29*parametros_manuales!$J$29</f>
        <v>19016.20568472</v>
      </c>
      <c r="D208" s="14" t="n">
        <f aca="false">(parametros_manuales!$D$29*('Plan mensual'!F79+IF(parametros_manuales!$H$29="Todos",'Plan mensual'!F83,0))+parametros_manuales!$E$29*('Plan mensual'!F80+IF(parametros_manuales!$H$29="Todos",'Plan mensual'!F84,0))+parametros_manuales!$F$29*('Plan mensual'!F81+IF(parametros_manuales!$H$29="Todos",'Plan mensual'!F85,0))+parametros_manuales!$G$29*('Plan mensual'!F82+IF(parametros_manuales!$H$29="Todos",'Plan mensual'!F86,0)))*parametros_manuales!$I$29*parametros_manuales!$J$29</f>
        <v>17765.139188765</v>
      </c>
      <c r="E208" s="14" t="n">
        <f aca="false">(parametros_manuales!$D$29*('Plan mensual'!G79+IF(parametros_manuales!$H$29="Todos",'Plan mensual'!G83,0))+parametros_manuales!$E$29*('Plan mensual'!G80+IF(parametros_manuales!$H$29="Todos",'Plan mensual'!G84,0))+parametros_manuales!$F$29*('Plan mensual'!G81+IF(parametros_manuales!$H$29="Todos",'Plan mensual'!G85,0))+parametros_manuales!$G$29*('Plan mensual'!G82+IF(parametros_manuales!$H$29="Todos",'Plan mensual'!G86,0)))*parametros_manuales!$I$29*parametros_manuales!$J$29</f>
        <v>16984.473796365</v>
      </c>
      <c r="F208" s="14" t="n">
        <f aca="false">(parametros_manuales!$D$29*('Plan mensual'!H79+IF(parametros_manuales!$H$29="Todos",'Plan mensual'!H83,0))+parametros_manuales!$E$29*('Plan mensual'!H80+IF(parametros_manuales!$H$29="Todos",'Plan mensual'!H84,0))+parametros_manuales!$F$29*('Plan mensual'!H81+IF(parametros_manuales!$H$29="Todos",'Plan mensual'!H85,0))+parametros_manuales!$G$29*('Plan mensual'!H82+IF(parametros_manuales!$H$29="Todos",'Plan mensual'!H86,0)))*parametros_manuales!$I$29*parametros_manuales!$J$29</f>
        <v>15893.54411512</v>
      </c>
      <c r="G208" s="14" t="n">
        <f aca="false">(parametros_manuales!$D$29*('Plan mensual'!I79+IF(parametros_manuales!$H$29="Todos",'Plan mensual'!I83,0))+parametros_manuales!$E$29*('Plan mensual'!I80+IF(parametros_manuales!$H$29="Todos",'Plan mensual'!I84,0))+parametros_manuales!$F$29*('Plan mensual'!I81+IF(parametros_manuales!$H$29="Todos",'Plan mensual'!I85,0))+parametros_manuales!$G$29*('Plan mensual'!I82+IF(parametros_manuales!$H$29="Todos",'Plan mensual'!I86,0)))*parametros_manuales!$I$29*parametros_manuales!$J$29</f>
        <v>15583.279826275</v>
      </c>
      <c r="H208" s="14" t="n">
        <f aca="false">(parametros_manuales!$D$29*('Plan mensual'!J79+IF(parametros_manuales!$H$29="Todos",'Plan mensual'!J83,0))+parametros_manuales!$E$29*('Plan mensual'!J80+IF(parametros_manuales!$H$29="Todos",'Plan mensual'!J84,0))+parametros_manuales!$F$29*('Plan mensual'!J81+IF(parametros_manuales!$H$29="Todos",'Plan mensual'!J85,0))+parametros_manuales!$G$29*('Plan mensual'!J82+IF(parametros_manuales!$H$29="Todos",'Plan mensual'!J86,0)))*parametros_manuales!$I$29*parametros_manuales!$J$29</f>
        <v>16674.20950752</v>
      </c>
      <c r="I208" s="14" t="n">
        <f aca="false">(parametros_manuales!$D$29*('Plan mensual'!K79+IF(parametros_manuales!$H$29="Todos",'Plan mensual'!K83,0))+parametros_manuales!$E$29*('Plan mensual'!K80+IF(parametros_manuales!$H$29="Todos",'Plan mensual'!K84,0))+parametros_manuales!$F$29*('Plan mensual'!K81+IF(parametros_manuales!$H$29="Todos",'Plan mensual'!K85,0))+parametros_manuales!$G$29*('Plan mensual'!K82+IF(parametros_manuales!$H$29="Todos",'Plan mensual'!K86,0)))*parametros_manuales!$I$29*parametros_manuales!$J$29</f>
        <v>16674.20950752</v>
      </c>
      <c r="J208" s="14" t="n">
        <f aca="false">(parametros_manuales!$D$29*('Plan mensual'!L79+IF(parametros_manuales!$H$29="Todos",'Plan mensual'!L83,0))+parametros_manuales!$E$29*('Plan mensual'!L80+IF(parametros_manuales!$H$29="Todos",'Plan mensual'!L84,0))+parametros_manuales!$F$29*('Plan mensual'!L81+IF(parametros_manuales!$H$29="Todos",'Plan mensual'!L85,0))+parametros_manuales!$G$29*('Plan mensual'!L82+IF(parametros_manuales!$H$29="Todos",'Plan mensual'!L86,0)))*parametros_manuales!$I$29*parametros_manuales!$J$29</f>
        <v>16674.20950752</v>
      </c>
      <c r="K208" s="14" t="n">
        <f aca="false">(parametros_manuales!$D$29*('Plan mensual'!M79+IF(parametros_manuales!$H$29="Todos",'Plan mensual'!M83,0))+parametros_manuales!$E$29*('Plan mensual'!M80+IF(parametros_manuales!$H$29="Todos",'Plan mensual'!M84,0))+parametros_manuales!$F$29*('Plan mensual'!M81+IF(parametros_manuales!$H$29="Todos",'Plan mensual'!M85,0))+parametros_manuales!$G$29*('Plan mensual'!M82+IF(parametros_manuales!$H$29="Todos",'Plan mensual'!M86,0)))*parametros_manuales!$I$29*parametros_manuales!$J$29</f>
        <v>16363.945218675</v>
      </c>
      <c r="L208" s="14" t="n">
        <f aca="false">(parametros_manuales!$D$29*('Plan mensual'!N79+IF(parametros_manuales!$H$29="Todos",'Plan mensual'!N83,0))+parametros_manuales!$E$29*('Plan mensual'!N80+IF(parametros_manuales!$H$29="Todos",'Plan mensual'!N84,0))+parametros_manuales!$F$29*('Plan mensual'!N81+IF(parametros_manuales!$H$29="Todos",'Plan mensual'!N85,0))+parametros_manuales!$G$29*('Plan mensual'!N82+IF(parametros_manuales!$H$29="Todos",'Plan mensual'!N86,0)))*parametros_manuales!$I$29*parametros_manuales!$J$29</f>
        <v>16053.68092983</v>
      </c>
      <c r="M208" s="14" t="n">
        <f aca="false">(parametros_manuales!$D$29*('Plan mensual'!O79+IF(parametros_manuales!$H$29="Todos",'Plan mensual'!O83,0))+parametros_manuales!$E$29*('Plan mensual'!O80+IF(parametros_manuales!$H$29="Todos",'Plan mensual'!O84,0))+parametros_manuales!$F$29*('Plan mensual'!O81+IF(parametros_manuales!$H$29="Todos",'Plan mensual'!O85,0))+parametros_manuales!$G$29*('Plan mensual'!O82+IF(parametros_manuales!$H$29="Todos",'Plan mensual'!O86,0)))*parametros_manuales!$I$29*parametros_manuales!$J$29</f>
        <v>25561.78377219</v>
      </c>
      <c r="N208" s="14" t="n">
        <f aca="false">SUM(B208:M208)</f>
        <v>218185.936249</v>
      </c>
      <c r="O208" s="14" t="n">
        <f aca="false">MAX(B208:M208)</f>
        <v>25561.78377219</v>
      </c>
      <c r="P208" s="57" t="n">
        <f aca="false">O208/(parametros_manuales!$B$7)</f>
        <v>170.4118918146</v>
      </c>
      <c r="Q208" s="13" t="str">
        <f aca="false">IF(O208=0,"-",INDEX($B$197:$M$197,MATCH(O208,B208:M208,0)))</f>
        <v>Dic</v>
      </c>
    </row>
    <row r="209" customFormat="false" ht="14.25" hidden="false" customHeight="true" outlineLevel="0" collapsed="false">
      <c r="A209" s="13" t="str">
        <f aca="false">parametros_manuales!$B$30</f>
        <v>Bordoneado</v>
      </c>
      <c r="B209" s="14" t="n">
        <f aca="false">(parametros_manuales!$D$30*('Plan mensual'!D79+IF(parametros_manuales!$H$30="Todos",'Plan mensual'!D83,0))+parametros_manuales!$E$30*('Plan mensual'!D80+IF(parametros_manuales!$H$30="Todos",'Plan mensual'!D84,0))+parametros_manuales!$F$30*('Plan mensual'!D81+IF(parametros_manuales!$H$30="Todos",'Plan mensual'!D85,0))+parametros_manuales!$G$30*('Plan mensual'!D82+IF(parametros_manuales!$H$30="Todos",'Plan mensual'!D86,0)))*parametros_manuales!$I$30*parametros_manuales!$J$30</f>
        <v>24941.2551945</v>
      </c>
      <c r="C209" s="14" t="n">
        <f aca="false">(parametros_manuales!$D$30*('Plan mensual'!E79+IF(parametros_manuales!$H$30="Todos",'Plan mensual'!E83,0))+parametros_manuales!$E$30*('Plan mensual'!E80+IF(parametros_manuales!$H$30="Todos",'Plan mensual'!E84,0))+parametros_manuales!$F$30*('Plan mensual'!E81+IF(parametros_manuales!$H$30="Todos",'Plan mensual'!E85,0))+parametros_manuales!$G$30*('Plan mensual'!E82+IF(parametros_manuales!$H$30="Todos",'Plan mensual'!E86,0)))*parametros_manuales!$I$30*parametros_manuales!$J$30</f>
        <v>19016.20568472</v>
      </c>
      <c r="D209" s="14" t="n">
        <f aca="false">(parametros_manuales!$D$30*('Plan mensual'!F79+IF(parametros_manuales!$H$30="Todos",'Plan mensual'!F83,0))+parametros_manuales!$E$30*('Plan mensual'!F80+IF(parametros_manuales!$H$30="Todos",'Plan mensual'!F84,0))+parametros_manuales!$F$30*('Plan mensual'!F81+IF(parametros_manuales!$H$30="Todos",'Plan mensual'!F85,0))+parametros_manuales!$G$30*('Plan mensual'!F82+IF(parametros_manuales!$H$30="Todos",'Plan mensual'!F86,0)))*parametros_manuales!$I$30*parametros_manuales!$J$30</f>
        <v>17765.139188765</v>
      </c>
      <c r="E209" s="14" t="n">
        <f aca="false">(parametros_manuales!$D$30*('Plan mensual'!G79+IF(parametros_manuales!$H$30="Todos",'Plan mensual'!G83,0))+parametros_manuales!$E$30*('Plan mensual'!G80+IF(parametros_manuales!$H$30="Todos",'Plan mensual'!G84,0))+parametros_manuales!$F$30*('Plan mensual'!G81+IF(parametros_manuales!$H$30="Todos",'Plan mensual'!G85,0))+parametros_manuales!$G$30*('Plan mensual'!G82+IF(parametros_manuales!$H$30="Todos",'Plan mensual'!G86,0)))*parametros_manuales!$I$30*parametros_manuales!$J$30</f>
        <v>16984.473796365</v>
      </c>
      <c r="F209" s="14" t="n">
        <f aca="false">(parametros_manuales!$D$30*('Plan mensual'!H79+IF(parametros_manuales!$H$30="Todos",'Plan mensual'!H83,0))+parametros_manuales!$E$30*('Plan mensual'!H80+IF(parametros_manuales!$H$30="Todos",'Plan mensual'!H84,0))+parametros_manuales!$F$30*('Plan mensual'!H81+IF(parametros_manuales!$H$30="Todos",'Plan mensual'!H85,0))+parametros_manuales!$G$30*('Plan mensual'!H82+IF(parametros_manuales!$H$30="Todos",'Plan mensual'!H86,0)))*parametros_manuales!$I$30*parametros_manuales!$J$30</f>
        <v>15893.54411512</v>
      </c>
      <c r="G209" s="14" t="n">
        <f aca="false">(parametros_manuales!$D$30*('Plan mensual'!I79+IF(parametros_manuales!$H$30="Todos",'Plan mensual'!I83,0))+parametros_manuales!$E$30*('Plan mensual'!I80+IF(parametros_manuales!$H$30="Todos",'Plan mensual'!I84,0))+parametros_manuales!$F$30*('Plan mensual'!I81+IF(parametros_manuales!$H$30="Todos",'Plan mensual'!I85,0))+parametros_manuales!$G$30*('Plan mensual'!I82+IF(parametros_manuales!$H$30="Todos",'Plan mensual'!I86,0)))*parametros_manuales!$I$30*parametros_manuales!$J$30</f>
        <v>15583.279826275</v>
      </c>
      <c r="H209" s="14" t="n">
        <f aca="false">(parametros_manuales!$D$30*('Plan mensual'!J79+IF(parametros_manuales!$H$30="Todos",'Plan mensual'!J83,0))+parametros_manuales!$E$30*('Plan mensual'!J80+IF(parametros_manuales!$H$30="Todos",'Plan mensual'!J84,0))+parametros_manuales!$F$30*('Plan mensual'!J81+IF(parametros_manuales!$H$30="Todos",'Plan mensual'!J85,0))+parametros_manuales!$G$30*('Plan mensual'!J82+IF(parametros_manuales!$H$30="Todos",'Plan mensual'!J86,0)))*parametros_manuales!$I$30*parametros_manuales!$J$30</f>
        <v>16674.20950752</v>
      </c>
      <c r="I209" s="14" t="n">
        <f aca="false">(parametros_manuales!$D$30*('Plan mensual'!K79+IF(parametros_manuales!$H$30="Todos",'Plan mensual'!K83,0))+parametros_manuales!$E$30*('Plan mensual'!K80+IF(parametros_manuales!$H$30="Todos",'Plan mensual'!K84,0))+parametros_manuales!$F$30*('Plan mensual'!K81+IF(parametros_manuales!$H$30="Todos",'Plan mensual'!K85,0))+parametros_manuales!$G$30*('Plan mensual'!K82+IF(parametros_manuales!$H$30="Todos",'Plan mensual'!K86,0)))*parametros_manuales!$I$30*parametros_manuales!$J$30</f>
        <v>16674.20950752</v>
      </c>
      <c r="J209" s="14" t="n">
        <f aca="false">(parametros_manuales!$D$30*('Plan mensual'!L79+IF(parametros_manuales!$H$30="Todos",'Plan mensual'!L83,0))+parametros_manuales!$E$30*('Plan mensual'!L80+IF(parametros_manuales!$H$30="Todos",'Plan mensual'!L84,0))+parametros_manuales!$F$30*('Plan mensual'!L81+IF(parametros_manuales!$H$30="Todos",'Plan mensual'!L85,0))+parametros_manuales!$G$30*('Plan mensual'!L82+IF(parametros_manuales!$H$30="Todos",'Plan mensual'!L86,0)))*parametros_manuales!$I$30*parametros_manuales!$J$30</f>
        <v>16674.20950752</v>
      </c>
      <c r="K209" s="14" t="n">
        <f aca="false">(parametros_manuales!$D$30*('Plan mensual'!M79+IF(parametros_manuales!$H$30="Todos",'Plan mensual'!M83,0))+parametros_manuales!$E$30*('Plan mensual'!M80+IF(parametros_manuales!$H$30="Todos",'Plan mensual'!M84,0))+parametros_manuales!$F$30*('Plan mensual'!M81+IF(parametros_manuales!$H$30="Todos",'Plan mensual'!M85,0))+parametros_manuales!$G$30*('Plan mensual'!M82+IF(parametros_manuales!$H$30="Todos",'Plan mensual'!M86,0)))*parametros_manuales!$I$30*parametros_manuales!$J$30</f>
        <v>16363.945218675</v>
      </c>
      <c r="L209" s="14" t="n">
        <f aca="false">(parametros_manuales!$D$30*('Plan mensual'!N79+IF(parametros_manuales!$H$30="Todos",'Plan mensual'!N83,0))+parametros_manuales!$E$30*('Plan mensual'!N80+IF(parametros_manuales!$H$30="Todos",'Plan mensual'!N84,0))+parametros_manuales!$F$30*('Plan mensual'!N81+IF(parametros_manuales!$H$30="Todos",'Plan mensual'!N85,0))+parametros_manuales!$G$30*('Plan mensual'!N82+IF(parametros_manuales!$H$30="Todos",'Plan mensual'!N86,0)))*parametros_manuales!$I$30*parametros_manuales!$J$30</f>
        <v>16053.68092983</v>
      </c>
      <c r="M209" s="14" t="n">
        <f aca="false">(parametros_manuales!$D$30*('Plan mensual'!O79+IF(parametros_manuales!$H$30="Todos",'Plan mensual'!O83,0))+parametros_manuales!$E$30*('Plan mensual'!O80+IF(parametros_manuales!$H$30="Todos",'Plan mensual'!O84,0))+parametros_manuales!$F$30*('Plan mensual'!O81+IF(parametros_manuales!$H$30="Todos",'Plan mensual'!O85,0))+parametros_manuales!$G$30*('Plan mensual'!O82+IF(parametros_manuales!$H$30="Todos",'Plan mensual'!O86,0)))*parametros_manuales!$I$30*parametros_manuales!$J$30</f>
        <v>25561.78377219</v>
      </c>
      <c r="N209" s="14" t="n">
        <f aca="false">SUM(B209:M209)</f>
        <v>218185.936249</v>
      </c>
      <c r="O209" s="14" t="n">
        <f aca="false">MAX(B209:M209)</f>
        <v>25561.78377219</v>
      </c>
      <c r="P209" s="57" t="n">
        <f aca="false">O209/(parametros_manuales!$B$7)</f>
        <v>170.4118918146</v>
      </c>
      <c r="Q209" s="13" t="str">
        <f aca="false">IF(O209=0,"-",INDEX($B$197:$M$197,MATCH(O209,B209:M209,0)))</f>
        <v>Dic</v>
      </c>
    </row>
    <row r="210" customFormat="false" ht="14.25" hidden="false" customHeight="true" outlineLevel="0" collapsed="false">
      <c r="A210" s="13" t="str">
        <f aca="false">parametros_manuales!$B$31</f>
        <v>Soldadura circunferencial de cúpula y fondo</v>
      </c>
      <c r="B210" s="14" t="n">
        <f aca="false">(parametros_manuales!$D$31*('Plan mensual'!D79+IF(parametros_manuales!$H$31="Todos",'Plan mensual'!D83,0))+parametros_manuales!$E$31*('Plan mensual'!D80+IF(parametros_manuales!$H$31="Todos",'Plan mensual'!D84,0))+parametros_manuales!$F$31*('Plan mensual'!D81+IF(parametros_manuales!$H$31="Todos",'Plan mensual'!D85,0))+parametros_manuales!$G$31*('Plan mensual'!D82+IF(parametros_manuales!$H$31="Todos",'Plan mensual'!D86,0)))*parametros_manuales!$I$31*parametros_manuales!$J$31</f>
        <v>24941.2551945</v>
      </c>
      <c r="C210" s="14" t="n">
        <f aca="false">(parametros_manuales!$D$31*('Plan mensual'!E79+IF(parametros_manuales!$H$31="Todos",'Plan mensual'!E83,0))+parametros_manuales!$E$31*('Plan mensual'!E80+IF(parametros_manuales!$H$31="Todos",'Plan mensual'!E84,0))+parametros_manuales!$F$31*('Plan mensual'!E81+IF(parametros_manuales!$H$31="Todos",'Plan mensual'!E85,0))+parametros_manuales!$G$31*('Plan mensual'!E82+IF(parametros_manuales!$H$31="Todos",'Plan mensual'!E86,0)))*parametros_manuales!$I$31*parametros_manuales!$J$31</f>
        <v>19016.20568472</v>
      </c>
      <c r="D210" s="14" t="n">
        <f aca="false">(parametros_manuales!$D$31*('Plan mensual'!F79+IF(parametros_manuales!$H$31="Todos",'Plan mensual'!F83,0))+parametros_manuales!$E$31*('Plan mensual'!F80+IF(parametros_manuales!$H$31="Todos",'Plan mensual'!F84,0))+parametros_manuales!$F$31*('Plan mensual'!F81+IF(parametros_manuales!$H$31="Todos",'Plan mensual'!F85,0))+parametros_manuales!$G$31*('Plan mensual'!F82+IF(parametros_manuales!$H$31="Todos",'Plan mensual'!F86,0)))*parametros_manuales!$I$31*parametros_manuales!$J$31</f>
        <v>17765.139188765</v>
      </c>
      <c r="E210" s="14" t="n">
        <f aca="false">(parametros_manuales!$D$31*('Plan mensual'!G79+IF(parametros_manuales!$H$31="Todos",'Plan mensual'!G83,0))+parametros_manuales!$E$31*('Plan mensual'!G80+IF(parametros_manuales!$H$31="Todos",'Plan mensual'!G84,0))+parametros_manuales!$F$31*('Plan mensual'!G81+IF(parametros_manuales!$H$31="Todos",'Plan mensual'!G85,0))+parametros_manuales!$G$31*('Plan mensual'!G82+IF(parametros_manuales!$H$31="Todos",'Plan mensual'!G86,0)))*parametros_manuales!$I$31*parametros_manuales!$J$31</f>
        <v>16984.473796365</v>
      </c>
      <c r="F210" s="14" t="n">
        <f aca="false">(parametros_manuales!$D$31*('Plan mensual'!H79+IF(parametros_manuales!$H$31="Todos",'Plan mensual'!H83,0))+parametros_manuales!$E$31*('Plan mensual'!H80+IF(parametros_manuales!$H$31="Todos",'Plan mensual'!H84,0))+parametros_manuales!$F$31*('Plan mensual'!H81+IF(parametros_manuales!$H$31="Todos",'Plan mensual'!H85,0))+parametros_manuales!$G$31*('Plan mensual'!H82+IF(parametros_manuales!$H$31="Todos",'Plan mensual'!H86,0)))*parametros_manuales!$I$31*parametros_manuales!$J$31</f>
        <v>15893.54411512</v>
      </c>
      <c r="G210" s="14" t="n">
        <f aca="false">(parametros_manuales!$D$31*('Plan mensual'!I79+IF(parametros_manuales!$H$31="Todos",'Plan mensual'!I83,0))+parametros_manuales!$E$31*('Plan mensual'!I80+IF(parametros_manuales!$H$31="Todos",'Plan mensual'!I84,0))+parametros_manuales!$F$31*('Plan mensual'!I81+IF(parametros_manuales!$H$31="Todos",'Plan mensual'!I85,0))+parametros_manuales!$G$31*('Plan mensual'!I82+IF(parametros_manuales!$H$31="Todos",'Plan mensual'!I86,0)))*parametros_manuales!$I$31*parametros_manuales!$J$31</f>
        <v>15583.279826275</v>
      </c>
      <c r="H210" s="14" t="n">
        <f aca="false">(parametros_manuales!$D$31*('Plan mensual'!J79+IF(parametros_manuales!$H$31="Todos",'Plan mensual'!J83,0))+parametros_manuales!$E$31*('Plan mensual'!J80+IF(parametros_manuales!$H$31="Todos",'Plan mensual'!J84,0))+parametros_manuales!$F$31*('Plan mensual'!J81+IF(parametros_manuales!$H$31="Todos",'Plan mensual'!J85,0))+parametros_manuales!$G$31*('Plan mensual'!J82+IF(parametros_manuales!$H$31="Todos",'Plan mensual'!J86,0)))*parametros_manuales!$I$31*parametros_manuales!$J$31</f>
        <v>16674.20950752</v>
      </c>
      <c r="I210" s="14" t="n">
        <f aca="false">(parametros_manuales!$D$31*('Plan mensual'!K79+IF(parametros_manuales!$H$31="Todos",'Plan mensual'!K83,0))+parametros_manuales!$E$31*('Plan mensual'!K80+IF(parametros_manuales!$H$31="Todos",'Plan mensual'!K84,0))+parametros_manuales!$F$31*('Plan mensual'!K81+IF(parametros_manuales!$H$31="Todos",'Plan mensual'!K85,0))+parametros_manuales!$G$31*('Plan mensual'!K82+IF(parametros_manuales!$H$31="Todos",'Plan mensual'!K86,0)))*parametros_manuales!$I$31*parametros_manuales!$J$31</f>
        <v>16674.20950752</v>
      </c>
      <c r="J210" s="14" t="n">
        <f aca="false">(parametros_manuales!$D$31*('Plan mensual'!L79+IF(parametros_manuales!$H$31="Todos",'Plan mensual'!L83,0))+parametros_manuales!$E$31*('Plan mensual'!L80+IF(parametros_manuales!$H$31="Todos",'Plan mensual'!L84,0))+parametros_manuales!$F$31*('Plan mensual'!L81+IF(parametros_manuales!$H$31="Todos",'Plan mensual'!L85,0))+parametros_manuales!$G$31*('Plan mensual'!L82+IF(parametros_manuales!$H$31="Todos",'Plan mensual'!L86,0)))*parametros_manuales!$I$31*parametros_manuales!$J$31</f>
        <v>16674.20950752</v>
      </c>
      <c r="K210" s="14" t="n">
        <f aca="false">(parametros_manuales!$D$31*('Plan mensual'!M79+IF(parametros_manuales!$H$31="Todos",'Plan mensual'!M83,0))+parametros_manuales!$E$31*('Plan mensual'!M80+IF(parametros_manuales!$H$31="Todos",'Plan mensual'!M84,0))+parametros_manuales!$F$31*('Plan mensual'!M81+IF(parametros_manuales!$H$31="Todos",'Plan mensual'!M85,0))+parametros_manuales!$G$31*('Plan mensual'!M82+IF(parametros_manuales!$H$31="Todos",'Plan mensual'!M86,0)))*parametros_manuales!$I$31*parametros_manuales!$J$31</f>
        <v>16363.945218675</v>
      </c>
      <c r="L210" s="14" t="n">
        <f aca="false">(parametros_manuales!$D$31*('Plan mensual'!N79+IF(parametros_manuales!$H$31="Todos",'Plan mensual'!N83,0))+parametros_manuales!$E$31*('Plan mensual'!N80+IF(parametros_manuales!$H$31="Todos",'Plan mensual'!N84,0))+parametros_manuales!$F$31*('Plan mensual'!N81+IF(parametros_manuales!$H$31="Todos",'Plan mensual'!N85,0))+parametros_manuales!$G$31*('Plan mensual'!N82+IF(parametros_manuales!$H$31="Todos",'Plan mensual'!N86,0)))*parametros_manuales!$I$31*parametros_manuales!$J$31</f>
        <v>16053.68092983</v>
      </c>
      <c r="M210" s="14" t="n">
        <f aca="false">(parametros_manuales!$D$31*('Plan mensual'!O79+IF(parametros_manuales!$H$31="Todos",'Plan mensual'!O83,0))+parametros_manuales!$E$31*('Plan mensual'!O80+IF(parametros_manuales!$H$31="Todos",'Plan mensual'!O84,0))+parametros_manuales!$F$31*('Plan mensual'!O81+IF(parametros_manuales!$H$31="Todos",'Plan mensual'!O85,0))+parametros_manuales!$G$31*('Plan mensual'!O82+IF(parametros_manuales!$H$31="Todos",'Plan mensual'!O86,0)))*parametros_manuales!$I$31*parametros_manuales!$J$31</f>
        <v>25561.78377219</v>
      </c>
      <c r="N210" s="14" t="n">
        <f aca="false">SUM(B210:M210)</f>
        <v>218185.936249</v>
      </c>
      <c r="O210" s="14" t="n">
        <f aca="false">MAX(B210:M210)</f>
        <v>25561.78377219</v>
      </c>
      <c r="P210" s="57" t="n">
        <f aca="false">O210/(parametros_manuales!$B$7)</f>
        <v>170.4118918146</v>
      </c>
      <c r="Q210" s="13" t="str">
        <f aca="false">IF(O210=0,"-",INDEX($B$197:$M$197,MATCH(O210,B210:M210,0)))</f>
        <v>Dic</v>
      </c>
    </row>
    <row r="211" customFormat="false" ht="14.25" hidden="false" customHeight="true" outlineLevel="0" collapsed="false">
      <c r="A211" s="13" t="str">
        <f aca="false">parametros_manuales!$B$32</f>
        <v>Control de calidad — Espesor</v>
      </c>
      <c r="B211" s="14" t="n">
        <f aca="false">(parametros_manuales!$D$32*('Plan mensual'!D79+IF(parametros_manuales!$H$32="Todos",'Plan mensual'!D83,0))+parametros_manuales!$E$32*('Plan mensual'!D80+IF(parametros_manuales!$H$32="Todos",'Plan mensual'!D84,0))+parametros_manuales!$F$32*('Plan mensual'!D81+IF(parametros_manuales!$H$32="Todos",'Plan mensual'!D85,0))+parametros_manuales!$G$32*('Plan mensual'!D82+IF(parametros_manuales!$H$32="Todos",'Plan mensual'!D86,0)))*parametros_manuales!$I$32*parametros_manuales!$J$32</f>
        <v>498.82510389</v>
      </c>
      <c r="C211" s="14" t="n">
        <f aca="false">(parametros_manuales!$D$32*('Plan mensual'!E79+IF(parametros_manuales!$H$32="Todos",'Plan mensual'!E83,0))+parametros_manuales!$E$32*('Plan mensual'!E80+IF(parametros_manuales!$H$32="Todos",'Plan mensual'!E84,0))+parametros_manuales!$F$32*('Plan mensual'!E81+IF(parametros_manuales!$H$32="Todos",'Plan mensual'!E85,0))+parametros_manuales!$G$32*('Plan mensual'!E82+IF(parametros_manuales!$H$32="Todos",'Plan mensual'!E86,0)))*parametros_manuales!$I$32*parametros_manuales!$J$32</f>
        <v>380.3241136944</v>
      </c>
      <c r="D211" s="14" t="n">
        <f aca="false">(parametros_manuales!$D$32*('Plan mensual'!F79+IF(parametros_manuales!$H$32="Todos",'Plan mensual'!F83,0))+parametros_manuales!$E$32*('Plan mensual'!F80+IF(parametros_manuales!$H$32="Todos",'Plan mensual'!F84,0))+parametros_manuales!$F$32*('Plan mensual'!F81+IF(parametros_manuales!$H$32="Todos",'Plan mensual'!F85,0))+parametros_manuales!$G$32*('Plan mensual'!F82+IF(parametros_manuales!$H$32="Todos",'Plan mensual'!F86,0)))*parametros_manuales!$I$32*parametros_manuales!$J$32</f>
        <v>355.3027837753</v>
      </c>
      <c r="E211" s="14" t="n">
        <f aca="false">(parametros_manuales!$D$32*('Plan mensual'!G79+IF(parametros_manuales!$H$32="Todos",'Plan mensual'!G83,0))+parametros_manuales!$E$32*('Plan mensual'!G80+IF(parametros_manuales!$H$32="Todos",'Plan mensual'!G84,0))+parametros_manuales!$F$32*('Plan mensual'!G81+IF(parametros_manuales!$H$32="Todos",'Plan mensual'!G85,0))+parametros_manuales!$G$32*('Plan mensual'!G82+IF(parametros_manuales!$H$32="Todos",'Plan mensual'!G86,0)))*parametros_manuales!$I$32*parametros_manuales!$J$32</f>
        <v>339.6894759273</v>
      </c>
      <c r="F211" s="14" t="n">
        <f aca="false">(parametros_manuales!$D$32*('Plan mensual'!H79+IF(parametros_manuales!$H$32="Todos",'Plan mensual'!H83,0))+parametros_manuales!$E$32*('Plan mensual'!H80+IF(parametros_manuales!$H$32="Todos",'Plan mensual'!H84,0))+parametros_manuales!$F$32*('Plan mensual'!H81+IF(parametros_manuales!$H$32="Todos",'Plan mensual'!H85,0))+parametros_manuales!$G$32*('Plan mensual'!H82+IF(parametros_manuales!$H$32="Todos",'Plan mensual'!H86,0)))*parametros_manuales!$I$32*parametros_manuales!$J$32</f>
        <v>317.8708823024</v>
      </c>
      <c r="G211" s="14" t="n">
        <f aca="false">(parametros_manuales!$D$32*('Plan mensual'!I79+IF(parametros_manuales!$H$32="Todos",'Plan mensual'!I83,0))+parametros_manuales!$E$32*('Plan mensual'!I80+IF(parametros_manuales!$H$32="Todos",'Plan mensual'!I84,0))+parametros_manuales!$F$32*('Plan mensual'!I81+IF(parametros_manuales!$H$32="Todos",'Plan mensual'!I85,0))+parametros_manuales!$G$32*('Plan mensual'!I82+IF(parametros_manuales!$H$32="Todos",'Plan mensual'!I86,0)))*parametros_manuales!$I$32*parametros_manuales!$J$32</f>
        <v>311.6655965255</v>
      </c>
      <c r="H211" s="14" t="n">
        <f aca="false">(parametros_manuales!$D$32*('Plan mensual'!J79+IF(parametros_manuales!$H$32="Todos",'Plan mensual'!J83,0))+parametros_manuales!$E$32*('Plan mensual'!J80+IF(parametros_manuales!$H$32="Todos",'Plan mensual'!J84,0))+parametros_manuales!$F$32*('Plan mensual'!J81+IF(parametros_manuales!$H$32="Todos",'Plan mensual'!J85,0))+parametros_manuales!$G$32*('Plan mensual'!J82+IF(parametros_manuales!$H$32="Todos",'Plan mensual'!J86,0)))*parametros_manuales!$I$32*parametros_manuales!$J$32</f>
        <v>333.4841901504</v>
      </c>
      <c r="I211" s="14" t="n">
        <f aca="false">(parametros_manuales!$D$32*('Plan mensual'!K79+IF(parametros_manuales!$H$32="Todos",'Plan mensual'!K83,0))+parametros_manuales!$E$32*('Plan mensual'!K80+IF(parametros_manuales!$H$32="Todos",'Plan mensual'!K84,0))+parametros_manuales!$F$32*('Plan mensual'!K81+IF(parametros_manuales!$H$32="Todos",'Plan mensual'!K85,0))+parametros_manuales!$G$32*('Plan mensual'!K82+IF(parametros_manuales!$H$32="Todos",'Plan mensual'!K86,0)))*parametros_manuales!$I$32*parametros_manuales!$J$32</f>
        <v>333.4841901504</v>
      </c>
      <c r="J211" s="14" t="n">
        <f aca="false">(parametros_manuales!$D$32*('Plan mensual'!L79+IF(parametros_manuales!$H$32="Todos",'Plan mensual'!L83,0))+parametros_manuales!$E$32*('Plan mensual'!L80+IF(parametros_manuales!$H$32="Todos",'Plan mensual'!L84,0))+parametros_manuales!$F$32*('Plan mensual'!L81+IF(parametros_manuales!$H$32="Todos",'Plan mensual'!L85,0))+parametros_manuales!$G$32*('Plan mensual'!L82+IF(parametros_manuales!$H$32="Todos",'Plan mensual'!L86,0)))*parametros_manuales!$I$32*parametros_manuales!$J$32</f>
        <v>333.4841901504</v>
      </c>
      <c r="K211" s="14" t="n">
        <f aca="false">(parametros_manuales!$D$32*('Plan mensual'!M79+IF(parametros_manuales!$H$32="Todos",'Plan mensual'!M83,0))+parametros_manuales!$E$32*('Plan mensual'!M80+IF(parametros_manuales!$H$32="Todos",'Plan mensual'!M84,0))+parametros_manuales!$F$32*('Plan mensual'!M81+IF(parametros_manuales!$H$32="Todos",'Plan mensual'!M85,0))+parametros_manuales!$G$32*('Plan mensual'!M82+IF(parametros_manuales!$H$32="Todos",'Plan mensual'!M86,0)))*parametros_manuales!$I$32*parametros_manuales!$J$32</f>
        <v>327.2789043735</v>
      </c>
      <c r="L211" s="14" t="n">
        <f aca="false">(parametros_manuales!$D$32*('Plan mensual'!N79+IF(parametros_manuales!$H$32="Todos",'Plan mensual'!N83,0))+parametros_manuales!$E$32*('Plan mensual'!N80+IF(parametros_manuales!$H$32="Todos",'Plan mensual'!N84,0))+parametros_manuales!$F$32*('Plan mensual'!N81+IF(parametros_manuales!$H$32="Todos",'Plan mensual'!N85,0))+parametros_manuales!$G$32*('Plan mensual'!N82+IF(parametros_manuales!$H$32="Todos",'Plan mensual'!N86,0)))*parametros_manuales!$I$32*parametros_manuales!$J$32</f>
        <v>321.0736185966</v>
      </c>
      <c r="M211" s="14" t="n">
        <f aca="false">(parametros_manuales!$D$32*('Plan mensual'!O79+IF(parametros_manuales!$H$32="Todos",'Plan mensual'!O83,0))+parametros_manuales!$E$32*('Plan mensual'!O80+IF(parametros_manuales!$H$32="Todos",'Plan mensual'!O84,0))+parametros_manuales!$F$32*('Plan mensual'!O81+IF(parametros_manuales!$H$32="Todos",'Plan mensual'!O85,0))+parametros_manuales!$G$32*('Plan mensual'!O82+IF(parametros_manuales!$H$32="Todos",'Plan mensual'!O86,0)))*parametros_manuales!$I$32*parametros_manuales!$J$32</f>
        <v>511.2356754438</v>
      </c>
      <c r="N211" s="14" t="n">
        <f aca="false">SUM(B211:M211)</f>
        <v>4363.71872498</v>
      </c>
      <c r="O211" s="14" t="n">
        <f aca="false">MAX(B211:M211)</f>
        <v>511.2356754438</v>
      </c>
      <c r="P211" s="57" t="n">
        <f aca="false">O211/(parametros_manuales!$B$7)</f>
        <v>3.408237836292</v>
      </c>
      <c r="Q211" s="13" t="str">
        <f aca="false">IF(O211=0,"-",INDEX($B$197:$M$197,MATCH(O211,B211:M211,0)))</f>
        <v>Dic</v>
      </c>
    </row>
    <row r="212" customFormat="false" ht="14.25" hidden="false" customHeight="true" outlineLevel="0" collapsed="false">
      <c r="A212" s="13" t="str">
        <f aca="false">parametros_manuales!$B$33</f>
        <v>Prueba hidráulica</v>
      </c>
      <c r="B212" s="14" t="n">
        <f aca="false">(parametros_manuales!$D$33*('Plan mensual'!D79+IF(parametros_manuales!$H$33="Todos",'Plan mensual'!D83,0))+parametros_manuales!$E$33*('Plan mensual'!D80+IF(parametros_manuales!$H$33="Todos",'Plan mensual'!D84,0))+parametros_manuales!$F$33*('Plan mensual'!D81+IF(parametros_manuales!$H$33="Todos",'Plan mensual'!D85,0))+parametros_manuales!$G$33*('Plan mensual'!D82+IF(parametros_manuales!$H$33="Todos",'Plan mensual'!D86,0)))*parametros_manuales!$I$33*parametros_manuales!$J$33</f>
        <v>24941.2551945</v>
      </c>
      <c r="C212" s="14" t="n">
        <f aca="false">(parametros_manuales!$D$33*('Plan mensual'!E79+IF(parametros_manuales!$H$33="Todos",'Plan mensual'!E83,0))+parametros_manuales!$E$33*('Plan mensual'!E80+IF(parametros_manuales!$H$33="Todos",'Plan mensual'!E84,0))+parametros_manuales!$F$33*('Plan mensual'!E81+IF(parametros_manuales!$H$33="Todos",'Plan mensual'!E85,0))+parametros_manuales!$G$33*('Plan mensual'!E82+IF(parametros_manuales!$H$33="Todos",'Plan mensual'!E86,0)))*parametros_manuales!$I$33*parametros_manuales!$J$33</f>
        <v>19016.20568472</v>
      </c>
      <c r="D212" s="14" t="n">
        <f aca="false">(parametros_manuales!$D$33*('Plan mensual'!F79+IF(parametros_manuales!$H$33="Todos",'Plan mensual'!F83,0))+parametros_manuales!$E$33*('Plan mensual'!F80+IF(parametros_manuales!$H$33="Todos",'Plan mensual'!F84,0))+parametros_manuales!$F$33*('Plan mensual'!F81+IF(parametros_manuales!$H$33="Todos",'Plan mensual'!F85,0))+parametros_manuales!$G$33*('Plan mensual'!F82+IF(parametros_manuales!$H$33="Todos",'Plan mensual'!F86,0)))*parametros_manuales!$I$33*parametros_manuales!$J$33</f>
        <v>17765.139188765</v>
      </c>
      <c r="E212" s="14" t="n">
        <f aca="false">(parametros_manuales!$D$33*('Plan mensual'!G79+IF(parametros_manuales!$H$33="Todos",'Plan mensual'!G83,0))+parametros_manuales!$E$33*('Plan mensual'!G80+IF(parametros_manuales!$H$33="Todos",'Plan mensual'!G84,0))+parametros_manuales!$F$33*('Plan mensual'!G81+IF(parametros_manuales!$H$33="Todos",'Plan mensual'!G85,0))+parametros_manuales!$G$33*('Plan mensual'!G82+IF(parametros_manuales!$H$33="Todos",'Plan mensual'!G86,0)))*parametros_manuales!$I$33*parametros_manuales!$J$33</f>
        <v>16984.473796365</v>
      </c>
      <c r="F212" s="14" t="n">
        <f aca="false">(parametros_manuales!$D$33*('Plan mensual'!H79+IF(parametros_manuales!$H$33="Todos",'Plan mensual'!H83,0))+parametros_manuales!$E$33*('Plan mensual'!H80+IF(parametros_manuales!$H$33="Todos",'Plan mensual'!H84,0))+parametros_manuales!$F$33*('Plan mensual'!H81+IF(parametros_manuales!$H$33="Todos",'Plan mensual'!H85,0))+parametros_manuales!$G$33*('Plan mensual'!H82+IF(parametros_manuales!$H$33="Todos",'Plan mensual'!H86,0)))*parametros_manuales!$I$33*parametros_manuales!$J$33</f>
        <v>15893.54411512</v>
      </c>
      <c r="G212" s="14" t="n">
        <f aca="false">(parametros_manuales!$D$33*('Plan mensual'!I79+IF(parametros_manuales!$H$33="Todos",'Plan mensual'!I83,0))+parametros_manuales!$E$33*('Plan mensual'!I80+IF(parametros_manuales!$H$33="Todos",'Plan mensual'!I84,0))+parametros_manuales!$F$33*('Plan mensual'!I81+IF(parametros_manuales!$H$33="Todos",'Plan mensual'!I85,0))+parametros_manuales!$G$33*('Plan mensual'!I82+IF(parametros_manuales!$H$33="Todos",'Plan mensual'!I86,0)))*parametros_manuales!$I$33*parametros_manuales!$J$33</f>
        <v>15583.279826275</v>
      </c>
      <c r="H212" s="14" t="n">
        <f aca="false">(parametros_manuales!$D$33*('Plan mensual'!J79+IF(parametros_manuales!$H$33="Todos",'Plan mensual'!J83,0))+parametros_manuales!$E$33*('Plan mensual'!J80+IF(parametros_manuales!$H$33="Todos",'Plan mensual'!J84,0))+parametros_manuales!$F$33*('Plan mensual'!J81+IF(parametros_manuales!$H$33="Todos",'Plan mensual'!J85,0))+parametros_manuales!$G$33*('Plan mensual'!J82+IF(parametros_manuales!$H$33="Todos",'Plan mensual'!J86,0)))*parametros_manuales!$I$33*parametros_manuales!$J$33</f>
        <v>16674.20950752</v>
      </c>
      <c r="I212" s="14" t="n">
        <f aca="false">(parametros_manuales!$D$33*('Plan mensual'!K79+IF(parametros_manuales!$H$33="Todos",'Plan mensual'!K83,0))+parametros_manuales!$E$33*('Plan mensual'!K80+IF(parametros_manuales!$H$33="Todos",'Plan mensual'!K84,0))+parametros_manuales!$F$33*('Plan mensual'!K81+IF(parametros_manuales!$H$33="Todos",'Plan mensual'!K85,0))+parametros_manuales!$G$33*('Plan mensual'!K82+IF(parametros_manuales!$H$33="Todos",'Plan mensual'!K86,0)))*parametros_manuales!$I$33*parametros_manuales!$J$33</f>
        <v>16674.20950752</v>
      </c>
      <c r="J212" s="14" t="n">
        <f aca="false">(parametros_manuales!$D$33*('Plan mensual'!L79+IF(parametros_manuales!$H$33="Todos",'Plan mensual'!L83,0))+parametros_manuales!$E$33*('Plan mensual'!L80+IF(parametros_manuales!$H$33="Todos",'Plan mensual'!L84,0))+parametros_manuales!$F$33*('Plan mensual'!L81+IF(parametros_manuales!$H$33="Todos",'Plan mensual'!L85,0))+parametros_manuales!$G$33*('Plan mensual'!L82+IF(parametros_manuales!$H$33="Todos",'Plan mensual'!L86,0)))*parametros_manuales!$I$33*parametros_manuales!$J$33</f>
        <v>16674.20950752</v>
      </c>
      <c r="K212" s="14" t="n">
        <f aca="false">(parametros_manuales!$D$33*('Plan mensual'!M79+IF(parametros_manuales!$H$33="Todos",'Plan mensual'!M83,0))+parametros_manuales!$E$33*('Plan mensual'!M80+IF(parametros_manuales!$H$33="Todos",'Plan mensual'!M84,0))+parametros_manuales!$F$33*('Plan mensual'!M81+IF(parametros_manuales!$H$33="Todos",'Plan mensual'!M85,0))+parametros_manuales!$G$33*('Plan mensual'!M82+IF(parametros_manuales!$H$33="Todos",'Plan mensual'!M86,0)))*parametros_manuales!$I$33*parametros_manuales!$J$33</f>
        <v>16363.945218675</v>
      </c>
      <c r="L212" s="14" t="n">
        <f aca="false">(parametros_manuales!$D$33*('Plan mensual'!N79+IF(parametros_manuales!$H$33="Todos",'Plan mensual'!N83,0))+parametros_manuales!$E$33*('Plan mensual'!N80+IF(parametros_manuales!$H$33="Todos",'Plan mensual'!N84,0))+parametros_manuales!$F$33*('Plan mensual'!N81+IF(parametros_manuales!$H$33="Todos",'Plan mensual'!N85,0))+parametros_manuales!$G$33*('Plan mensual'!N82+IF(parametros_manuales!$H$33="Todos",'Plan mensual'!N86,0)))*parametros_manuales!$I$33*parametros_manuales!$J$33</f>
        <v>16053.68092983</v>
      </c>
      <c r="M212" s="14" t="n">
        <f aca="false">(parametros_manuales!$D$33*('Plan mensual'!O79+IF(parametros_manuales!$H$33="Todos",'Plan mensual'!O83,0))+parametros_manuales!$E$33*('Plan mensual'!O80+IF(parametros_manuales!$H$33="Todos",'Plan mensual'!O84,0))+parametros_manuales!$F$33*('Plan mensual'!O81+IF(parametros_manuales!$H$33="Todos",'Plan mensual'!O85,0))+parametros_manuales!$G$33*('Plan mensual'!O82+IF(parametros_manuales!$H$33="Todos",'Plan mensual'!O86,0)))*parametros_manuales!$I$33*parametros_manuales!$J$33</f>
        <v>25561.78377219</v>
      </c>
      <c r="N212" s="14" t="n">
        <f aca="false">SUM(B212:M212)</f>
        <v>218185.936249</v>
      </c>
      <c r="O212" s="14" t="n">
        <f aca="false">MAX(B212:M212)</f>
        <v>25561.78377219</v>
      </c>
      <c r="P212" s="57" t="n">
        <f aca="false">O212/(parametros_manuales!$B$7)</f>
        <v>170.4118918146</v>
      </c>
      <c r="Q212" s="13" t="str">
        <f aca="false">IF(O212=0,"-",INDEX($B$197:$M$197,MATCH(O212,B212:M212,0)))</f>
        <v>Dic</v>
      </c>
    </row>
    <row r="213" customFormat="false" ht="14.25" hidden="false" customHeight="true" outlineLevel="0" collapsed="false">
      <c r="A213" s="13" t="str">
        <f aca="false">parametros_manuales!$B$34</f>
        <v>Secado</v>
      </c>
      <c r="B213" s="14" t="n">
        <f aca="false">(parametros_manuales!$D$34*('Plan mensual'!D79+IF(parametros_manuales!$H$34="Todos",'Plan mensual'!D83,0))+parametros_manuales!$E$34*('Plan mensual'!D80+IF(parametros_manuales!$H$34="Todos",'Plan mensual'!D84,0))+parametros_manuales!$F$34*('Plan mensual'!D81+IF(parametros_manuales!$H$34="Todos",'Plan mensual'!D85,0))+parametros_manuales!$G$34*('Plan mensual'!D82+IF(parametros_manuales!$H$34="Todos",'Plan mensual'!D86,0)))*parametros_manuales!$I$34*parametros_manuales!$J$34</f>
        <v>24941.2551945</v>
      </c>
      <c r="C213" s="14" t="n">
        <f aca="false">(parametros_manuales!$D$34*('Plan mensual'!E79+IF(parametros_manuales!$H$34="Todos",'Plan mensual'!E83,0))+parametros_manuales!$E$34*('Plan mensual'!E80+IF(parametros_manuales!$H$34="Todos",'Plan mensual'!E84,0))+parametros_manuales!$F$34*('Plan mensual'!E81+IF(parametros_manuales!$H$34="Todos",'Plan mensual'!E85,0))+parametros_manuales!$G$34*('Plan mensual'!E82+IF(parametros_manuales!$H$34="Todos",'Plan mensual'!E86,0)))*parametros_manuales!$I$34*parametros_manuales!$J$34</f>
        <v>19016.20568472</v>
      </c>
      <c r="D213" s="14" t="n">
        <f aca="false">(parametros_manuales!$D$34*('Plan mensual'!F79+IF(parametros_manuales!$H$34="Todos",'Plan mensual'!F83,0))+parametros_manuales!$E$34*('Plan mensual'!F80+IF(parametros_manuales!$H$34="Todos",'Plan mensual'!F84,0))+parametros_manuales!$F$34*('Plan mensual'!F81+IF(parametros_manuales!$H$34="Todos",'Plan mensual'!F85,0))+parametros_manuales!$G$34*('Plan mensual'!F82+IF(parametros_manuales!$H$34="Todos",'Plan mensual'!F86,0)))*parametros_manuales!$I$34*parametros_manuales!$J$34</f>
        <v>17765.139188765</v>
      </c>
      <c r="E213" s="14" t="n">
        <f aca="false">(parametros_manuales!$D$34*('Plan mensual'!G79+IF(parametros_manuales!$H$34="Todos",'Plan mensual'!G83,0))+parametros_manuales!$E$34*('Plan mensual'!G80+IF(parametros_manuales!$H$34="Todos",'Plan mensual'!G84,0))+parametros_manuales!$F$34*('Plan mensual'!G81+IF(parametros_manuales!$H$34="Todos",'Plan mensual'!G85,0))+parametros_manuales!$G$34*('Plan mensual'!G82+IF(parametros_manuales!$H$34="Todos",'Plan mensual'!G86,0)))*parametros_manuales!$I$34*parametros_manuales!$J$34</f>
        <v>16984.473796365</v>
      </c>
      <c r="F213" s="14" t="n">
        <f aca="false">(parametros_manuales!$D$34*('Plan mensual'!H79+IF(parametros_manuales!$H$34="Todos",'Plan mensual'!H83,0))+parametros_manuales!$E$34*('Plan mensual'!H80+IF(parametros_manuales!$H$34="Todos",'Plan mensual'!H84,0))+parametros_manuales!$F$34*('Plan mensual'!H81+IF(parametros_manuales!$H$34="Todos",'Plan mensual'!H85,0))+parametros_manuales!$G$34*('Plan mensual'!H82+IF(parametros_manuales!$H$34="Todos",'Plan mensual'!H86,0)))*parametros_manuales!$I$34*parametros_manuales!$J$34</f>
        <v>15893.54411512</v>
      </c>
      <c r="G213" s="14" t="n">
        <f aca="false">(parametros_manuales!$D$34*('Plan mensual'!I79+IF(parametros_manuales!$H$34="Todos",'Plan mensual'!I83,0))+parametros_manuales!$E$34*('Plan mensual'!I80+IF(parametros_manuales!$H$34="Todos",'Plan mensual'!I84,0))+parametros_manuales!$F$34*('Plan mensual'!I81+IF(parametros_manuales!$H$34="Todos",'Plan mensual'!I85,0))+parametros_manuales!$G$34*('Plan mensual'!I82+IF(parametros_manuales!$H$34="Todos",'Plan mensual'!I86,0)))*parametros_manuales!$I$34*parametros_manuales!$J$34</f>
        <v>15583.279826275</v>
      </c>
      <c r="H213" s="14" t="n">
        <f aca="false">(parametros_manuales!$D$34*('Plan mensual'!J79+IF(parametros_manuales!$H$34="Todos",'Plan mensual'!J83,0))+parametros_manuales!$E$34*('Plan mensual'!J80+IF(parametros_manuales!$H$34="Todos",'Plan mensual'!J84,0))+parametros_manuales!$F$34*('Plan mensual'!J81+IF(parametros_manuales!$H$34="Todos",'Plan mensual'!J85,0))+parametros_manuales!$G$34*('Plan mensual'!J82+IF(parametros_manuales!$H$34="Todos",'Plan mensual'!J86,0)))*parametros_manuales!$I$34*parametros_manuales!$J$34</f>
        <v>16674.20950752</v>
      </c>
      <c r="I213" s="14" t="n">
        <f aca="false">(parametros_manuales!$D$34*('Plan mensual'!K79+IF(parametros_manuales!$H$34="Todos",'Plan mensual'!K83,0))+parametros_manuales!$E$34*('Plan mensual'!K80+IF(parametros_manuales!$H$34="Todos",'Plan mensual'!K84,0))+parametros_manuales!$F$34*('Plan mensual'!K81+IF(parametros_manuales!$H$34="Todos",'Plan mensual'!K85,0))+parametros_manuales!$G$34*('Plan mensual'!K82+IF(parametros_manuales!$H$34="Todos",'Plan mensual'!K86,0)))*parametros_manuales!$I$34*parametros_manuales!$J$34</f>
        <v>16674.20950752</v>
      </c>
      <c r="J213" s="14" t="n">
        <f aca="false">(parametros_manuales!$D$34*('Plan mensual'!L79+IF(parametros_manuales!$H$34="Todos",'Plan mensual'!L83,0))+parametros_manuales!$E$34*('Plan mensual'!L80+IF(parametros_manuales!$H$34="Todos",'Plan mensual'!L84,0))+parametros_manuales!$F$34*('Plan mensual'!L81+IF(parametros_manuales!$H$34="Todos",'Plan mensual'!L85,0))+parametros_manuales!$G$34*('Plan mensual'!L82+IF(parametros_manuales!$H$34="Todos",'Plan mensual'!L86,0)))*parametros_manuales!$I$34*parametros_manuales!$J$34</f>
        <v>16674.20950752</v>
      </c>
      <c r="K213" s="14" t="n">
        <f aca="false">(parametros_manuales!$D$34*('Plan mensual'!M79+IF(parametros_manuales!$H$34="Todos",'Plan mensual'!M83,0))+parametros_manuales!$E$34*('Plan mensual'!M80+IF(parametros_manuales!$H$34="Todos",'Plan mensual'!M84,0))+parametros_manuales!$F$34*('Plan mensual'!M81+IF(parametros_manuales!$H$34="Todos",'Plan mensual'!M85,0))+parametros_manuales!$G$34*('Plan mensual'!M82+IF(parametros_manuales!$H$34="Todos",'Plan mensual'!M86,0)))*parametros_manuales!$I$34*parametros_manuales!$J$34</f>
        <v>16363.945218675</v>
      </c>
      <c r="L213" s="14" t="n">
        <f aca="false">(parametros_manuales!$D$34*('Plan mensual'!N79+IF(parametros_manuales!$H$34="Todos",'Plan mensual'!N83,0))+parametros_manuales!$E$34*('Plan mensual'!N80+IF(parametros_manuales!$H$34="Todos",'Plan mensual'!N84,0))+parametros_manuales!$F$34*('Plan mensual'!N81+IF(parametros_manuales!$H$34="Todos",'Plan mensual'!N85,0))+parametros_manuales!$G$34*('Plan mensual'!N82+IF(parametros_manuales!$H$34="Todos",'Plan mensual'!N86,0)))*parametros_manuales!$I$34*parametros_manuales!$J$34</f>
        <v>16053.68092983</v>
      </c>
      <c r="M213" s="14" t="n">
        <f aca="false">(parametros_manuales!$D$34*('Plan mensual'!O79+IF(parametros_manuales!$H$34="Todos",'Plan mensual'!O83,0))+parametros_manuales!$E$34*('Plan mensual'!O80+IF(parametros_manuales!$H$34="Todos",'Plan mensual'!O84,0))+parametros_manuales!$F$34*('Plan mensual'!O81+IF(parametros_manuales!$H$34="Todos",'Plan mensual'!O85,0))+parametros_manuales!$G$34*('Plan mensual'!O82+IF(parametros_manuales!$H$34="Todos",'Plan mensual'!O86,0)))*parametros_manuales!$I$34*parametros_manuales!$J$34</f>
        <v>25561.78377219</v>
      </c>
      <c r="N213" s="14" t="n">
        <f aca="false">SUM(B213:M213)</f>
        <v>218185.936249</v>
      </c>
      <c r="O213" s="14" t="n">
        <f aca="false">MAX(B213:M213)</f>
        <v>25561.78377219</v>
      </c>
      <c r="P213" s="57" t="n">
        <f aca="false">O213/(parametros_manuales!$B$7)</f>
        <v>170.4118918146</v>
      </c>
      <c r="Q213" s="13" t="str">
        <f aca="false">IF(O213=0,"-",INDEX($B$197:$M$197,MATCH(O213,B213:M213,0)))</f>
        <v>Dic</v>
      </c>
    </row>
    <row r="214" customFormat="false" ht="14.25" hidden="false" customHeight="true" outlineLevel="0" collapsed="false">
      <c r="A214" s="13" t="str">
        <f aca="false">parametros_manuales!$B$35</f>
        <v>Granallado</v>
      </c>
      <c r="B214" s="14" t="n">
        <f aca="false">(parametros_manuales!$D$35*('Plan mensual'!D79+IF(parametros_manuales!$H$35="Todos",'Plan mensual'!D83,0))+parametros_manuales!$E$35*('Plan mensual'!D80+IF(parametros_manuales!$H$35="Todos",'Plan mensual'!D84,0))+parametros_manuales!$F$35*('Plan mensual'!D81+IF(parametros_manuales!$H$35="Todos",'Plan mensual'!D85,0))+parametros_manuales!$G$35*('Plan mensual'!D82+IF(parametros_manuales!$H$35="Todos",'Plan mensual'!D86,0)))*parametros_manuales!$I$35*parametros_manuales!$J$35</f>
        <v>24941.2551945</v>
      </c>
      <c r="C214" s="14" t="n">
        <f aca="false">(parametros_manuales!$D$35*('Plan mensual'!E79+IF(parametros_manuales!$H$35="Todos",'Plan mensual'!E83,0))+parametros_manuales!$E$35*('Plan mensual'!E80+IF(parametros_manuales!$H$35="Todos",'Plan mensual'!E84,0))+parametros_manuales!$F$35*('Plan mensual'!E81+IF(parametros_manuales!$H$35="Todos",'Plan mensual'!E85,0))+parametros_manuales!$G$35*('Plan mensual'!E82+IF(parametros_manuales!$H$35="Todos",'Plan mensual'!E86,0)))*parametros_manuales!$I$35*parametros_manuales!$J$35</f>
        <v>19016.20568472</v>
      </c>
      <c r="D214" s="14" t="n">
        <f aca="false">(parametros_manuales!$D$35*('Plan mensual'!F79+IF(parametros_manuales!$H$35="Todos",'Plan mensual'!F83,0))+parametros_manuales!$E$35*('Plan mensual'!F80+IF(parametros_manuales!$H$35="Todos",'Plan mensual'!F84,0))+parametros_manuales!$F$35*('Plan mensual'!F81+IF(parametros_manuales!$H$35="Todos",'Plan mensual'!F85,0))+parametros_manuales!$G$35*('Plan mensual'!F82+IF(parametros_manuales!$H$35="Todos",'Plan mensual'!F86,0)))*parametros_manuales!$I$35*parametros_manuales!$J$35</f>
        <v>17765.139188765</v>
      </c>
      <c r="E214" s="14" t="n">
        <f aca="false">(parametros_manuales!$D$35*('Plan mensual'!G79+IF(parametros_manuales!$H$35="Todos",'Plan mensual'!G83,0))+parametros_manuales!$E$35*('Plan mensual'!G80+IF(parametros_manuales!$H$35="Todos",'Plan mensual'!G84,0))+parametros_manuales!$F$35*('Plan mensual'!G81+IF(parametros_manuales!$H$35="Todos",'Plan mensual'!G85,0))+parametros_manuales!$G$35*('Plan mensual'!G82+IF(parametros_manuales!$H$35="Todos",'Plan mensual'!G86,0)))*parametros_manuales!$I$35*parametros_manuales!$J$35</f>
        <v>16984.473796365</v>
      </c>
      <c r="F214" s="14" t="n">
        <f aca="false">(parametros_manuales!$D$35*('Plan mensual'!H79+IF(parametros_manuales!$H$35="Todos",'Plan mensual'!H83,0))+parametros_manuales!$E$35*('Plan mensual'!H80+IF(parametros_manuales!$H$35="Todos",'Plan mensual'!H84,0))+parametros_manuales!$F$35*('Plan mensual'!H81+IF(parametros_manuales!$H$35="Todos",'Plan mensual'!H85,0))+parametros_manuales!$G$35*('Plan mensual'!H82+IF(parametros_manuales!$H$35="Todos",'Plan mensual'!H86,0)))*parametros_manuales!$I$35*parametros_manuales!$J$35</f>
        <v>15893.54411512</v>
      </c>
      <c r="G214" s="14" t="n">
        <f aca="false">(parametros_manuales!$D$35*('Plan mensual'!I79+IF(parametros_manuales!$H$35="Todos",'Plan mensual'!I83,0))+parametros_manuales!$E$35*('Plan mensual'!I80+IF(parametros_manuales!$H$35="Todos",'Plan mensual'!I84,0))+parametros_manuales!$F$35*('Plan mensual'!I81+IF(parametros_manuales!$H$35="Todos",'Plan mensual'!I85,0))+parametros_manuales!$G$35*('Plan mensual'!I82+IF(parametros_manuales!$H$35="Todos",'Plan mensual'!I86,0)))*parametros_manuales!$I$35*parametros_manuales!$J$35</f>
        <v>15583.279826275</v>
      </c>
      <c r="H214" s="14" t="n">
        <f aca="false">(parametros_manuales!$D$35*('Plan mensual'!J79+IF(parametros_manuales!$H$35="Todos",'Plan mensual'!J83,0))+parametros_manuales!$E$35*('Plan mensual'!J80+IF(parametros_manuales!$H$35="Todos",'Plan mensual'!J84,0))+parametros_manuales!$F$35*('Plan mensual'!J81+IF(parametros_manuales!$H$35="Todos",'Plan mensual'!J85,0))+parametros_manuales!$G$35*('Plan mensual'!J82+IF(parametros_manuales!$H$35="Todos",'Plan mensual'!J86,0)))*parametros_manuales!$I$35*parametros_manuales!$J$35</f>
        <v>16674.20950752</v>
      </c>
      <c r="I214" s="14" t="n">
        <f aca="false">(parametros_manuales!$D$35*('Plan mensual'!K79+IF(parametros_manuales!$H$35="Todos",'Plan mensual'!K83,0))+parametros_manuales!$E$35*('Plan mensual'!K80+IF(parametros_manuales!$H$35="Todos",'Plan mensual'!K84,0))+parametros_manuales!$F$35*('Plan mensual'!K81+IF(parametros_manuales!$H$35="Todos",'Plan mensual'!K85,0))+parametros_manuales!$G$35*('Plan mensual'!K82+IF(parametros_manuales!$H$35="Todos",'Plan mensual'!K86,0)))*parametros_manuales!$I$35*parametros_manuales!$J$35</f>
        <v>16674.20950752</v>
      </c>
      <c r="J214" s="14" t="n">
        <f aca="false">(parametros_manuales!$D$35*('Plan mensual'!L79+IF(parametros_manuales!$H$35="Todos",'Plan mensual'!L83,0))+parametros_manuales!$E$35*('Plan mensual'!L80+IF(parametros_manuales!$H$35="Todos",'Plan mensual'!L84,0))+parametros_manuales!$F$35*('Plan mensual'!L81+IF(parametros_manuales!$H$35="Todos",'Plan mensual'!L85,0))+parametros_manuales!$G$35*('Plan mensual'!L82+IF(parametros_manuales!$H$35="Todos",'Plan mensual'!L86,0)))*parametros_manuales!$I$35*parametros_manuales!$J$35</f>
        <v>16674.20950752</v>
      </c>
      <c r="K214" s="14" t="n">
        <f aca="false">(parametros_manuales!$D$35*('Plan mensual'!M79+IF(parametros_manuales!$H$35="Todos",'Plan mensual'!M83,0))+parametros_manuales!$E$35*('Plan mensual'!M80+IF(parametros_manuales!$H$35="Todos",'Plan mensual'!M84,0))+parametros_manuales!$F$35*('Plan mensual'!M81+IF(parametros_manuales!$H$35="Todos",'Plan mensual'!M85,0))+parametros_manuales!$G$35*('Plan mensual'!M82+IF(parametros_manuales!$H$35="Todos",'Plan mensual'!M86,0)))*parametros_manuales!$I$35*parametros_manuales!$J$35</f>
        <v>16363.945218675</v>
      </c>
      <c r="L214" s="14" t="n">
        <f aca="false">(parametros_manuales!$D$35*('Plan mensual'!N79+IF(parametros_manuales!$H$35="Todos",'Plan mensual'!N83,0))+parametros_manuales!$E$35*('Plan mensual'!N80+IF(parametros_manuales!$H$35="Todos",'Plan mensual'!N84,0))+parametros_manuales!$F$35*('Plan mensual'!N81+IF(parametros_manuales!$H$35="Todos",'Plan mensual'!N85,0))+parametros_manuales!$G$35*('Plan mensual'!N82+IF(parametros_manuales!$H$35="Todos",'Plan mensual'!N86,0)))*parametros_manuales!$I$35*parametros_manuales!$J$35</f>
        <v>16053.68092983</v>
      </c>
      <c r="M214" s="14" t="n">
        <f aca="false">(parametros_manuales!$D$35*('Plan mensual'!O79+IF(parametros_manuales!$H$35="Todos",'Plan mensual'!O83,0))+parametros_manuales!$E$35*('Plan mensual'!O80+IF(parametros_manuales!$H$35="Todos",'Plan mensual'!O84,0))+parametros_manuales!$F$35*('Plan mensual'!O81+IF(parametros_manuales!$H$35="Todos",'Plan mensual'!O85,0))+parametros_manuales!$G$35*('Plan mensual'!O82+IF(parametros_manuales!$H$35="Todos",'Plan mensual'!O86,0)))*parametros_manuales!$I$35*parametros_manuales!$J$35</f>
        <v>25561.78377219</v>
      </c>
      <c r="N214" s="14" t="n">
        <f aca="false">SUM(B214:M214)</f>
        <v>218185.936249</v>
      </c>
      <c r="O214" s="14" t="n">
        <f aca="false">MAX(B214:M214)</f>
        <v>25561.78377219</v>
      </c>
      <c r="P214" s="57" t="n">
        <f aca="false">O214/(parametros_manuales!$B$7)</f>
        <v>170.4118918146</v>
      </c>
      <c r="Q214" s="13" t="str">
        <f aca="false">IF(O214=0,"-",INDEX($B$197:$M$197,MATCH(O214,B214:M214,0)))</f>
        <v>Dic</v>
      </c>
    </row>
    <row r="215" customFormat="false" ht="14.25" hidden="false" customHeight="true" outlineLevel="0" collapsed="false">
      <c r="A215" s="13" t="str">
        <f aca="false">parametros_manuales!$B$36</f>
        <v>Detección de defectos</v>
      </c>
      <c r="B215" s="14" t="n">
        <f aca="false">(parametros_manuales!$D$36*('Plan mensual'!D79+IF(parametros_manuales!$H$36="Todos",'Plan mensual'!D83,0))+parametros_manuales!$E$36*('Plan mensual'!D80+IF(parametros_manuales!$H$36="Todos",'Plan mensual'!D84,0))+parametros_manuales!$F$36*('Plan mensual'!D81+IF(parametros_manuales!$H$36="Todos",'Plan mensual'!D85,0))+parametros_manuales!$G$36*('Plan mensual'!D82+IF(parametros_manuales!$H$36="Todos",'Plan mensual'!D86,0)))*parametros_manuales!$I$36*parametros_manuales!$J$36</f>
        <v>24941.2551945</v>
      </c>
      <c r="C215" s="14" t="n">
        <f aca="false">(parametros_manuales!$D$36*('Plan mensual'!E79+IF(parametros_manuales!$H$36="Todos",'Plan mensual'!E83,0))+parametros_manuales!$E$36*('Plan mensual'!E80+IF(parametros_manuales!$H$36="Todos",'Plan mensual'!E84,0))+parametros_manuales!$F$36*('Plan mensual'!E81+IF(parametros_manuales!$H$36="Todos",'Plan mensual'!E85,0))+parametros_manuales!$G$36*('Plan mensual'!E82+IF(parametros_manuales!$H$36="Todos",'Plan mensual'!E86,0)))*parametros_manuales!$I$36*parametros_manuales!$J$36</f>
        <v>19016.20568472</v>
      </c>
      <c r="D215" s="14" t="n">
        <f aca="false">(parametros_manuales!$D$36*('Plan mensual'!F79+IF(parametros_manuales!$H$36="Todos",'Plan mensual'!F83,0))+parametros_manuales!$E$36*('Plan mensual'!F80+IF(parametros_manuales!$H$36="Todos",'Plan mensual'!F84,0))+parametros_manuales!$F$36*('Plan mensual'!F81+IF(parametros_manuales!$H$36="Todos",'Plan mensual'!F85,0))+parametros_manuales!$G$36*('Plan mensual'!F82+IF(parametros_manuales!$H$36="Todos",'Plan mensual'!F86,0)))*parametros_manuales!$I$36*parametros_manuales!$J$36</f>
        <v>17765.139188765</v>
      </c>
      <c r="E215" s="14" t="n">
        <f aca="false">(parametros_manuales!$D$36*('Plan mensual'!G79+IF(parametros_manuales!$H$36="Todos",'Plan mensual'!G83,0))+parametros_manuales!$E$36*('Plan mensual'!G80+IF(parametros_manuales!$H$36="Todos",'Plan mensual'!G84,0))+parametros_manuales!$F$36*('Plan mensual'!G81+IF(parametros_manuales!$H$36="Todos",'Plan mensual'!G85,0))+parametros_manuales!$G$36*('Plan mensual'!G82+IF(parametros_manuales!$H$36="Todos",'Plan mensual'!G86,0)))*parametros_manuales!$I$36*parametros_manuales!$J$36</f>
        <v>16984.473796365</v>
      </c>
      <c r="F215" s="14" t="n">
        <f aca="false">(parametros_manuales!$D$36*('Plan mensual'!H79+IF(parametros_manuales!$H$36="Todos",'Plan mensual'!H83,0))+parametros_manuales!$E$36*('Plan mensual'!H80+IF(parametros_manuales!$H$36="Todos",'Plan mensual'!H84,0))+parametros_manuales!$F$36*('Plan mensual'!H81+IF(parametros_manuales!$H$36="Todos",'Plan mensual'!H85,0))+parametros_manuales!$G$36*('Plan mensual'!H82+IF(parametros_manuales!$H$36="Todos",'Plan mensual'!H86,0)))*parametros_manuales!$I$36*parametros_manuales!$J$36</f>
        <v>15893.54411512</v>
      </c>
      <c r="G215" s="14" t="n">
        <f aca="false">(parametros_manuales!$D$36*('Plan mensual'!I79+IF(parametros_manuales!$H$36="Todos",'Plan mensual'!I83,0))+parametros_manuales!$E$36*('Plan mensual'!I80+IF(parametros_manuales!$H$36="Todos",'Plan mensual'!I84,0))+parametros_manuales!$F$36*('Plan mensual'!I81+IF(parametros_manuales!$H$36="Todos",'Plan mensual'!I85,0))+parametros_manuales!$G$36*('Plan mensual'!I82+IF(parametros_manuales!$H$36="Todos",'Plan mensual'!I86,0)))*parametros_manuales!$I$36*parametros_manuales!$J$36</f>
        <v>15583.279826275</v>
      </c>
      <c r="H215" s="14" t="n">
        <f aca="false">(parametros_manuales!$D$36*('Plan mensual'!J79+IF(parametros_manuales!$H$36="Todos",'Plan mensual'!J83,0))+parametros_manuales!$E$36*('Plan mensual'!J80+IF(parametros_manuales!$H$36="Todos",'Plan mensual'!J84,0))+parametros_manuales!$F$36*('Plan mensual'!J81+IF(parametros_manuales!$H$36="Todos",'Plan mensual'!J85,0))+parametros_manuales!$G$36*('Plan mensual'!J82+IF(parametros_manuales!$H$36="Todos",'Plan mensual'!J86,0)))*parametros_manuales!$I$36*parametros_manuales!$J$36</f>
        <v>16674.20950752</v>
      </c>
      <c r="I215" s="14" t="n">
        <f aca="false">(parametros_manuales!$D$36*('Plan mensual'!K79+IF(parametros_manuales!$H$36="Todos",'Plan mensual'!K83,0))+parametros_manuales!$E$36*('Plan mensual'!K80+IF(parametros_manuales!$H$36="Todos",'Plan mensual'!K84,0))+parametros_manuales!$F$36*('Plan mensual'!K81+IF(parametros_manuales!$H$36="Todos",'Plan mensual'!K85,0))+parametros_manuales!$G$36*('Plan mensual'!K82+IF(parametros_manuales!$H$36="Todos",'Plan mensual'!K86,0)))*parametros_manuales!$I$36*parametros_manuales!$J$36</f>
        <v>16674.20950752</v>
      </c>
      <c r="J215" s="14" t="n">
        <f aca="false">(parametros_manuales!$D$36*('Plan mensual'!L79+IF(parametros_manuales!$H$36="Todos",'Plan mensual'!L83,0))+parametros_manuales!$E$36*('Plan mensual'!L80+IF(parametros_manuales!$H$36="Todos",'Plan mensual'!L84,0))+parametros_manuales!$F$36*('Plan mensual'!L81+IF(parametros_manuales!$H$36="Todos",'Plan mensual'!L85,0))+parametros_manuales!$G$36*('Plan mensual'!L82+IF(parametros_manuales!$H$36="Todos",'Plan mensual'!L86,0)))*parametros_manuales!$I$36*parametros_manuales!$J$36</f>
        <v>16674.20950752</v>
      </c>
      <c r="K215" s="14" t="n">
        <f aca="false">(parametros_manuales!$D$36*('Plan mensual'!M79+IF(parametros_manuales!$H$36="Todos",'Plan mensual'!M83,0))+parametros_manuales!$E$36*('Plan mensual'!M80+IF(parametros_manuales!$H$36="Todos",'Plan mensual'!M84,0))+parametros_manuales!$F$36*('Plan mensual'!M81+IF(parametros_manuales!$H$36="Todos",'Plan mensual'!M85,0))+parametros_manuales!$G$36*('Plan mensual'!M82+IF(parametros_manuales!$H$36="Todos",'Plan mensual'!M86,0)))*parametros_manuales!$I$36*parametros_manuales!$J$36</f>
        <v>16363.945218675</v>
      </c>
      <c r="L215" s="14" t="n">
        <f aca="false">(parametros_manuales!$D$36*('Plan mensual'!N79+IF(parametros_manuales!$H$36="Todos",'Plan mensual'!N83,0))+parametros_manuales!$E$36*('Plan mensual'!N80+IF(parametros_manuales!$H$36="Todos",'Plan mensual'!N84,0))+parametros_manuales!$F$36*('Plan mensual'!N81+IF(parametros_manuales!$H$36="Todos",'Plan mensual'!N85,0))+parametros_manuales!$G$36*('Plan mensual'!N82+IF(parametros_manuales!$H$36="Todos",'Plan mensual'!N86,0)))*parametros_manuales!$I$36*parametros_manuales!$J$36</f>
        <v>16053.68092983</v>
      </c>
      <c r="M215" s="14" t="n">
        <f aca="false">(parametros_manuales!$D$36*('Plan mensual'!O79+IF(parametros_manuales!$H$36="Todos",'Plan mensual'!O83,0))+parametros_manuales!$E$36*('Plan mensual'!O80+IF(parametros_manuales!$H$36="Todos",'Plan mensual'!O84,0))+parametros_manuales!$F$36*('Plan mensual'!O81+IF(parametros_manuales!$H$36="Todos",'Plan mensual'!O85,0))+parametros_manuales!$G$36*('Plan mensual'!O82+IF(parametros_manuales!$H$36="Todos",'Plan mensual'!O86,0)))*parametros_manuales!$I$36*parametros_manuales!$J$36</f>
        <v>25561.78377219</v>
      </c>
      <c r="N215" s="14" t="n">
        <f aca="false">SUM(B215:M215)</f>
        <v>218185.936249</v>
      </c>
      <c r="O215" s="14" t="n">
        <f aca="false">MAX(B215:M215)</f>
        <v>25561.78377219</v>
      </c>
      <c r="P215" s="57" t="n">
        <f aca="false">O215/(parametros_manuales!$B$7)</f>
        <v>170.4118918146</v>
      </c>
      <c r="Q215" s="13" t="str">
        <f aca="false">IF(O215=0,"-",INDEX($B$197:$M$197,MATCH(O215,B215:M215,0)))</f>
        <v>Dic</v>
      </c>
    </row>
    <row r="216" customFormat="false" ht="14.25" hidden="false" customHeight="true" outlineLevel="0" collapsed="false">
      <c r="A216" s="13" t="str">
        <f aca="false">parametros_manuales!$B$37</f>
        <v>Corrección de defectos</v>
      </c>
      <c r="B216" s="14" t="n">
        <f aca="false">(parametros_manuales!$D$37*('Plan mensual'!D79+IF(parametros_manuales!$H$37="Todos",'Plan mensual'!D83,0))+parametros_manuales!$E$37*('Plan mensual'!D80+IF(parametros_manuales!$H$37="Todos",'Plan mensual'!D84,0))+parametros_manuales!$F$37*('Plan mensual'!D81+IF(parametros_manuales!$H$37="Todos",'Plan mensual'!D85,0))+parametros_manuales!$G$37*('Plan mensual'!D82+IF(parametros_manuales!$H$37="Todos",'Plan mensual'!D86,0)))*parametros_manuales!$I$37*parametros_manuales!$J$37</f>
        <v>1247.062759725</v>
      </c>
      <c r="C216" s="14" t="n">
        <f aca="false">(parametros_manuales!$D$37*('Plan mensual'!E79+IF(parametros_manuales!$H$37="Todos",'Plan mensual'!E83,0))+parametros_manuales!$E$37*('Plan mensual'!E80+IF(parametros_manuales!$H$37="Todos",'Plan mensual'!E84,0))+parametros_manuales!$F$37*('Plan mensual'!E81+IF(parametros_manuales!$H$37="Todos",'Plan mensual'!E85,0))+parametros_manuales!$G$37*('Plan mensual'!E82+IF(parametros_manuales!$H$37="Todos",'Plan mensual'!E86,0)))*parametros_manuales!$I$37*parametros_manuales!$J$37</f>
        <v>950.810284236</v>
      </c>
      <c r="D216" s="14" t="n">
        <f aca="false">(parametros_manuales!$D$37*('Plan mensual'!F79+IF(parametros_manuales!$H$37="Todos",'Plan mensual'!F83,0))+parametros_manuales!$E$37*('Plan mensual'!F80+IF(parametros_manuales!$H$37="Todos",'Plan mensual'!F84,0))+parametros_manuales!$F$37*('Plan mensual'!F81+IF(parametros_manuales!$H$37="Todos",'Plan mensual'!F85,0))+parametros_manuales!$G$37*('Plan mensual'!F82+IF(parametros_manuales!$H$37="Todos",'Plan mensual'!F86,0)))*parametros_manuales!$I$37*parametros_manuales!$J$37</f>
        <v>888.25695943825</v>
      </c>
      <c r="E216" s="14" t="n">
        <f aca="false">(parametros_manuales!$D$37*('Plan mensual'!G79+IF(parametros_manuales!$H$37="Todos",'Plan mensual'!G83,0))+parametros_manuales!$E$37*('Plan mensual'!G80+IF(parametros_manuales!$H$37="Todos",'Plan mensual'!G84,0))+parametros_manuales!$F$37*('Plan mensual'!G81+IF(parametros_manuales!$H$37="Todos",'Plan mensual'!G85,0))+parametros_manuales!$G$37*('Plan mensual'!G82+IF(parametros_manuales!$H$37="Todos",'Plan mensual'!G86,0)))*parametros_manuales!$I$37*parametros_manuales!$J$37</f>
        <v>849.22368981825</v>
      </c>
      <c r="F216" s="14" t="n">
        <f aca="false">(parametros_manuales!$D$37*('Plan mensual'!H79+IF(parametros_manuales!$H$37="Todos",'Plan mensual'!H83,0))+parametros_manuales!$E$37*('Plan mensual'!H80+IF(parametros_manuales!$H$37="Todos",'Plan mensual'!H84,0))+parametros_manuales!$F$37*('Plan mensual'!H81+IF(parametros_manuales!$H$37="Todos",'Plan mensual'!H85,0))+parametros_manuales!$G$37*('Plan mensual'!H82+IF(parametros_manuales!$H$37="Todos",'Plan mensual'!H86,0)))*parametros_manuales!$I$37*parametros_manuales!$J$37</f>
        <v>794.677205756</v>
      </c>
      <c r="G216" s="14" t="n">
        <f aca="false">(parametros_manuales!$D$37*('Plan mensual'!I79+IF(parametros_manuales!$H$37="Todos",'Plan mensual'!I83,0))+parametros_manuales!$E$37*('Plan mensual'!I80+IF(parametros_manuales!$H$37="Todos",'Plan mensual'!I84,0))+parametros_manuales!$F$37*('Plan mensual'!I81+IF(parametros_manuales!$H$37="Todos",'Plan mensual'!I85,0))+parametros_manuales!$G$37*('Plan mensual'!I82+IF(parametros_manuales!$H$37="Todos",'Plan mensual'!I86,0)))*parametros_manuales!$I$37*parametros_manuales!$J$37</f>
        <v>779.16399131375</v>
      </c>
      <c r="H216" s="14" t="n">
        <f aca="false">(parametros_manuales!$D$37*('Plan mensual'!J79+IF(parametros_manuales!$H$37="Todos",'Plan mensual'!J83,0))+parametros_manuales!$E$37*('Plan mensual'!J80+IF(parametros_manuales!$H$37="Todos",'Plan mensual'!J84,0))+parametros_manuales!$F$37*('Plan mensual'!J81+IF(parametros_manuales!$H$37="Todos",'Plan mensual'!J85,0))+parametros_manuales!$G$37*('Plan mensual'!J82+IF(parametros_manuales!$H$37="Todos",'Plan mensual'!J86,0)))*parametros_manuales!$I$37*parametros_manuales!$J$37</f>
        <v>833.710475376</v>
      </c>
      <c r="I216" s="14" t="n">
        <f aca="false">(parametros_manuales!$D$37*('Plan mensual'!K79+IF(parametros_manuales!$H$37="Todos",'Plan mensual'!K83,0))+parametros_manuales!$E$37*('Plan mensual'!K80+IF(parametros_manuales!$H$37="Todos",'Plan mensual'!K84,0))+parametros_manuales!$F$37*('Plan mensual'!K81+IF(parametros_manuales!$H$37="Todos",'Plan mensual'!K85,0))+parametros_manuales!$G$37*('Plan mensual'!K82+IF(parametros_manuales!$H$37="Todos",'Plan mensual'!K86,0)))*parametros_manuales!$I$37*parametros_manuales!$J$37</f>
        <v>833.710475376</v>
      </c>
      <c r="J216" s="14" t="n">
        <f aca="false">(parametros_manuales!$D$37*('Plan mensual'!L79+IF(parametros_manuales!$H$37="Todos",'Plan mensual'!L83,0))+parametros_manuales!$E$37*('Plan mensual'!L80+IF(parametros_manuales!$H$37="Todos",'Plan mensual'!L84,0))+parametros_manuales!$F$37*('Plan mensual'!L81+IF(parametros_manuales!$H$37="Todos",'Plan mensual'!L85,0))+parametros_manuales!$G$37*('Plan mensual'!L82+IF(parametros_manuales!$H$37="Todos",'Plan mensual'!L86,0)))*parametros_manuales!$I$37*parametros_manuales!$J$37</f>
        <v>833.710475376</v>
      </c>
      <c r="K216" s="14" t="n">
        <f aca="false">(parametros_manuales!$D$37*('Plan mensual'!M79+IF(parametros_manuales!$H$37="Todos",'Plan mensual'!M83,0))+parametros_manuales!$E$37*('Plan mensual'!M80+IF(parametros_manuales!$H$37="Todos",'Plan mensual'!M84,0))+parametros_manuales!$F$37*('Plan mensual'!M81+IF(parametros_manuales!$H$37="Todos",'Plan mensual'!M85,0))+parametros_manuales!$G$37*('Plan mensual'!M82+IF(parametros_manuales!$H$37="Todos",'Plan mensual'!M86,0)))*parametros_manuales!$I$37*parametros_manuales!$J$37</f>
        <v>818.19726093375</v>
      </c>
      <c r="L216" s="14" t="n">
        <f aca="false">(parametros_manuales!$D$37*('Plan mensual'!N79+IF(parametros_manuales!$H$37="Todos",'Plan mensual'!N83,0))+parametros_manuales!$E$37*('Plan mensual'!N80+IF(parametros_manuales!$H$37="Todos",'Plan mensual'!N84,0))+parametros_manuales!$F$37*('Plan mensual'!N81+IF(parametros_manuales!$H$37="Todos",'Plan mensual'!N85,0))+parametros_manuales!$G$37*('Plan mensual'!N82+IF(parametros_manuales!$H$37="Todos",'Plan mensual'!N86,0)))*parametros_manuales!$I$37*parametros_manuales!$J$37</f>
        <v>802.6840464915</v>
      </c>
      <c r="M216" s="14" t="n">
        <f aca="false">(parametros_manuales!$D$37*('Plan mensual'!O79+IF(parametros_manuales!$H$37="Todos",'Plan mensual'!O83,0))+parametros_manuales!$E$37*('Plan mensual'!O80+IF(parametros_manuales!$H$37="Todos",'Plan mensual'!O84,0))+parametros_manuales!$F$37*('Plan mensual'!O81+IF(parametros_manuales!$H$37="Todos",'Plan mensual'!O85,0))+parametros_manuales!$G$37*('Plan mensual'!O82+IF(parametros_manuales!$H$37="Todos",'Plan mensual'!O86,0)))*parametros_manuales!$I$37*parametros_manuales!$J$37</f>
        <v>1278.0891886095</v>
      </c>
      <c r="N216" s="14" t="n">
        <f aca="false">SUM(B216:M216)</f>
        <v>10909.29681245</v>
      </c>
      <c r="O216" s="14" t="n">
        <f aca="false">MAX(B216:M216)</f>
        <v>1278.0891886095</v>
      </c>
      <c r="P216" s="57" t="n">
        <f aca="false">O216/(parametros_manuales!$B$7)</f>
        <v>8.52059459073</v>
      </c>
      <c r="Q216" s="13" t="str">
        <f aca="false">IF(O216=0,"-",INDEX($B$197:$M$197,MATCH(O216,B216:M216,0)))</f>
        <v>Dic</v>
      </c>
    </row>
    <row r="217" customFormat="false" ht="14.25" hidden="false" customHeight="true" outlineLevel="0" collapsed="false">
      <c r="A217" s="13" t="str">
        <f aca="false">parametros_manuales!$B$38</f>
        <v>Pintura en polvo + horno</v>
      </c>
      <c r="B217" s="14" t="n">
        <f aca="false">(parametros_manuales!$D$38*('Plan mensual'!D79+IF(parametros_manuales!$H$38="Todos",'Plan mensual'!D83,0))+parametros_manuales!$E$38*('Plan mensual'!D80+IF(parametros_manuales!$H$38="Todos",'Plan mensual'!D84,0))+parametros_manuales!$F$38*('Plan mensual'!D81+IF(parametros_manuales!$H$38="Todos",'Plan mensual'!D85,0))+parametros_manuales!$G$38*('Plan mensual'!D82+IF(parametros_manuales!$H$38="Todos",'Plan mensual'!D86,0)))*parametros_manuales!$I$38*parametros_manuales!$J$38</f>
        <v>24941.2551945</v>
      </c>
      <c r="C217" s="14" t="n">
        <f aca="false">(parametros_manuales!$D$38*('Plan mensual'!E79+IF(parametros_manuales!$H$38="Todos",'Plan mensual'!E83,0))+parametros_manuales!$E$38*('Plan mensual'!E80+IF(parametros_manuales!$H$38="Todos",'Plan mensual'!E84,0))+parametros_manuales!$F$38*('Plan mensual'!E81+IF(parametros_manuales!$H$38="Todos",'Plan mensual'!E85,0))+parametros_manuales!$G$38*('Plan mensual'!E82+IF(parametros_manuales!$H$38="Todos",'Plan mensual'!E86,0)))*parametros_manuales!$I$38*parametros_manuales!$J$38</f>
        <v>19016.20568472</v>
      </c>
      <c r="D217" s="14" t="n">
        <f aca="false">(parametros_manuales!$D$38*('Plan mensual'!F79+IF(parametros_manuales!$H$38="Todos",'Plan mensual'!F83,0))+parametros_manuales!$E$38*('Plan mensual'!F80+IF(parametros_manuales!$H$38="Todos",'Plan mensual'!F84,0))+parametros_manuales!$F$38*('Plan mensual'!F81+IF(parametros_manuales!$H$38="Todos",'Plan mensual'!F85,0))+parametros_manuales!$G$38*('Plan mensual'!F82+IF(parametros_manuales!$H$38="Todos",'Plan mensual'!F86,0)))*parametros_manuales!$I$38*parametros_manuales!$J$38</f>
        <v>17765.139188765</v>
      </c>
      <c r="E217" s="14" t="n">
        <f aca="false">(parametros_manuales!$D$38*('Plan mensual'!G79+IF(parametros_manuales!$H$38="Todos",'Plan mensual'!G83,0))+parametros_manuales!$E$38*('Plan mensual'!G80+IF(parametros_manuales!$H$38="Todos",'Plan mensual'!G84,0))+parametros_manuales!$F$38*('Plan mensual'!G81+IF(parametros_manuales!$H$38="Todos",'Plan mensual'!G85,0))+parametros_manuales!$G$38*('Plan mensual'!G82+IF(parametros_manuales!$H$38="Todos",'Plan mensual'!G86,0)))*parametros_manuales!$I$38*parametros_manuales!$J$38</f>
        <v>16984.473796365</v>
      </c>
      <c r="F217" s="14" t="n">
        <f aca="false">(parametros_manuales!$D$38*('Plan mensual'!H79+IF(parametros_manuales!$H$38="Todos",'Plan mensual'!H83,0))+parametros_manuales!$E$38*('Plan mensual'!H80+IF(parametros_manuales!$H$38="Todos",'Plan mensual'!H84,0))+parametros_manuales!$F$38*('Plan mensual'!H81+IF(parametros_manuales!$H$38="Todos",'Plan mensual'!H85,0))+parametros_manuales!$G$38*('Plan mensual'!H82+IF(parametros_manuales!$H$38="Todos",'Plan mensual'!H86,0)))*parametros_manuales!$I$38*parametros_manuales!$J$38</f>
        <v>15893.54411512</v>
      </c>
      <c r="G217" s="14" t="n">
        <f aca="false">(parametros_manuales!$D$38*('Plan mensual'!I79+IF(parametros_manuales!$H$38="Todos",'Plan mensual'!I83,0))+parametros_manuales!$E$38*('Plan mensual'!I80+IF(parametros_manuales!$H$38="Todos",'Plan mensual'!I84,0))+parametros_manuales!$F$38*('Plan mensual'!I81+IF(parametros_manuales!$H$38="Todos",'Plan mensual'!I85,0))+parametros_manuales!$G$38*('Plan mensual'!I82+IF(parametros_manuales!$H$38="Todos",'Plan mensual'!I86,0)))*parametros_manuales!$I$38*parametros_manuales!$J$38</f>
        <v>15583.279826275</v>
      </c>
      <c r="H217" s="14" t="n">
        <f aca="false">(parametros_manuales!$D$38*('Plan mensual'!J79+IF(parametros_manuales!$H$38="Todos",'Plan mensual'!J83,0))+parametros_manuales!$E$38*('Plan mensual'!J80+IF(parametros_manuales!$H$38="Todos",'Plan mensual'!J84,0))+parametros_manuales!$F$38*('Plan mensual'!J81+IF(parametros_manuales!$H$38="Todos",'Plan mensual'!J85,0))+parametros_manuales!$G$38*('Plan mensual'!J82+IF(parametros_manuales!$H$38="Todos",'Plan mensual'!J86,0)))*parametros_manuales!$I$38*parametros_manuales!$J$38</f>
        <v>16674.20950752</v>
      </c>
      <c r="I217" s="14" t="n">
        <f aca="false">(parametros_manuales!$D$38*('Plan mensual'!K79+IF(parametros_manuales!$H$38="Todos",'Plan mensual'!K83,0))+parametros_manuales!$E$38*('Plan mensual'!K80+IF(parametros_manuales!$H$38="Todos",'Plan mensual'!K84,0))+parametros_manuales!$F$38*('Plan mensual'!K81+IF(parametros_manuales!$H$38="Todos",'Plan mensual'!K85,0))+parametros_manuales!$G$38*('Plan mensual'!K82+IF(parametros_manuales!$H$38="Todos",'Plan mensual'!K86,0)))*parametros_manuales!$I$38*parametros_manuales!$J$38</f>
        <v>16674.20950752</v>
      </c>
      <c r="J217" s="14" t="n">
        <f aca="false">(parametros_manuales!$D$38*('Plan mensual'!L79+IF(parametros_manuales!$H$38="Todos",'Plan mensual'!L83,0))+parametros_manuales!$E$38*('Plan mensual'!L80+IF(parametros_manuales!$H$38="Todos",'Plan mensual'!L84,0))+parametros_manuales!$F$38*('Plan mensual'!L81+IF(parametros_manuales!$H$38="Todos",'Plan mensual'!L85,0))+parametros_manuales!$G$38*('Plan mensual'!L82+IF(parametros_manuales!$H$38="Todos",'Plan mensual'!L86,0)))*parametros_manuales!$I$38*parametros_manuales!$J$38</f>
        <v>16674.20950752</v>
      </c>
      <c r="K217" s="14" t="n">
        <f aca="false">(parametros_manuales!$D$38*('Plan mensual'!M79+IF(parametros_manuales!$H$38="Todos",'Plan mensual'!M83,0))+parametros_manuales!$E$38*('Plan mensual'!M80+IF(parametros_manuales!$H$38="Todos",'Plan mensual'!M84,0))+parametros_manuales!$F$38*('Plan mensual'!M81+IF(parametros_manuales!$H$38="Todos",'Plan mensual'!M85,0))+parametros_manuales!$G$38*('Plan mensual'!M82+IF(parametros_manuales!$H$38="Todos",'Plan mensual'!M86,0)))*parametros_manuales!$I$38*parametros_manuales!$J$38</f>
        <v>16363.945218675</v>
      </c>
      <c r="L217" s="14" t="n">
        <f aca="false">(parametros_manuales!$D$38*('Plan mensual'!N79+IF(parametros_manuales!$H$38="Todos",'Plan mensual'!N83,0))+parametros_manuales!$E$38*('Plan mensual'!N80+IF(parametros_manuales!$H$38="Todos",'Plan mensual'!N84,0))+parametros_manuales!$F$38*('Plan mensual'!N81+IF(parametros_manuales!$H$38="Todos",'Plan mensual'!N85,0))+parametros_manuales!$G$38*('Plan mensual'!N82+IF(parametros_manuales!$H$38="Todos",'Plan mensual'!N86,0)))*parametros_manuales!$I$38*parametros_manuales!$J$38</f>
        <v>16053.68092983</v>
      </c>
      <c r="M217" s="14" t="n">
        <f aca="false">(parametros_manuales!$D$38*('Plan mensual'!O79+IF(parametros_manuales!$H$38="Todos",'Plan mensual'!O83,0))+parametros_manuales!$E$38*('Plan mensual'!O80+IF(parametros_manuales!$H$38="Todos",'Plan mensual'!O84,0))+parametros_manuales!$F$38*('Plan mensual'!O81+IF(parametros_manuales!$H$38="Todos",'Plan mensual'!O85,0))+parametros_manuales!$G$38*('Plan mensual'!O82+IF(parametros_manuales!$H$38="Todos",'Plan mensual'!O86,0)))*parametros_manuales!$I$38*parametros_manuales!$J$38</f>
        <v>25561.78377219</v>
      </c>
      <c r="N217" s="14" t="n">
        <f aca="false">SUM(B217:M217)</f>
        <v>218185.936249</v>
      </c>
      <c r="O217" s="14" t="n">
        <f aca="false">MAX(B217:M217)</f>
        <v>25561.78377219</v>
      </c>
      <c r="P217" s="57" t="n">
        <f aca="false">O217/(parametros_manuales!$B$7)</f>
        <v>170.4118918146</v>
      </c>
      <c r="Q217" s="13" t="str">
        <f aca="false">IF(O217=0,"-",INDEX($B$197:$M$197,MATCH(O217,B217:M217,0)))</f>
        <v>Dic</v>
      </c>
    </row>
    <row r="218" customFormat="false" ht="14.25" hidden="false" customHeight="true" outlineLevel="0" collapsed="false">
      <c r="A218" s="13" t="str">
        <f aca="false">parametros_manuales!$B$39</f>
        <v>Carga de polvo</v>
      </c>
      <c r="B218" s="14" t="n">
        <f aca="false">(parametros_manuales!$D$39*('Plan mensual'!D79+IF(parametros_manuales!$H$39="Todos",'Plan mensual'!D83,0))+parametros_manuales!$E$39*('Plan mensual'!D80+IF(parametros_manuales!$H$39="Todos",'Plan mensual'!D84,0))+parametros_manuales!$F$39*('Plan mensual'!D81+IF(parametros_manuales!$H$39="Todos",'Plan mensual'!D85,0))+parametros_manuales!$G$39*('Plan mensual'!D82+IF(parametros_manuales!$H$39="Todos",'Plan mensual'!D86,0)))*parametros_manuales!$I$39*parametros_manuales!$J$39</f>
        <v>6010.6671945</v>
      </c>
      <c r="C218" s="14" t="n">
        <f aca="false">(parametros_manuales!$D$39*('Plan mensual'!E79+IF(parametros_manuales!$H$39="Todos",'Plan mensual'!E83,0))+parametros_manuales!$E$39*('Plan mensual'!E80+IF(parametros_manuales!$H$39="Todos",'Plan mensual'!E84,0))+parametros_manuales!$F$39*('Plan mensual'!E81+IF(parametros_manuales!$H$39="Todos",'Plan mensual'!E85,0))+parametros_manuales!$G$39*('Plan mensual'!E82+IF(parametros_manuales!$H$39="Todos",'Plan mensual'!E86,0)))*parametros_manuales!$I$39*parametros_manuales!$J$39</f>
        <v>4657.74128472</v>
      </c>
      <c r="D218" s="14" t="n">
        <f aca="false">(parametros_manuales!$D$39*('Plan mensual'!F79+IF(parametros_manuales!$H$39="Todos",'Plan mensual'!F83,0))+parametros_manuales!$E$39*('Plan mensual'!F80+IF(parametros_manuales!$H$39="Todos",'Plan mensual'!F84,0))+parametros_manuales!$F$39*('Plan mensual'!F81+IF(parametros_manuales!$H$39="Todos",'Plan mensual'!F85,0))+parametros_manuales!$G$39*('Plan mensual'!F82+IF(parametros_manuales!$H$39="Todos",'Plan mensual'!F86,0)))*parametros_manuales!$I$39*parametros_manuales!$J$39</f>
        <v>4556.161388765</v>
      </c>
      <c r="E218" s="14" t="n">
        <f aca="false">(parametros_manuales!$D$39*('Plan mensual'!G79+IF(parametros_manuales!$H$39="Todos",'Plan mensual'!G83,0))+parametros_manuales!$E$39*('Plan mensual'!G80+IF(parametros_manuales!$H$39="Todos",'Plan mensual'!G84,0))+parametros_manuales!$F$39*('Plan mensual'!G81+IF(parametros_manuales!$H$39="Todos",'Plan mensual'!G85,0))+parametros_manuales!$G$39*('Plan mensual'!G82+IF(parametros_manuales!$H$39="Todos",'Plan mensual'!G86,0)))*parametros_manuales!$I$39*parametros_manuales!$J$39</f>
        <v>4430.500996365</v>
      </c>
      <c r="F218" s="14" t="n">
        <f aca="false">(parametros_manuales!$D$39*('Plan mensual'!H79+IF(parametros_manuales!$H$39="Todos",'Plan mensual'!H83,0))+parametros_manuales!$E$39*('Plan mensual'!H80+IF(parametros_manuales!$H$39="Todos",'Plan mensual'!H84,0))+parametros_manuales!$F$39*('Plan mensual'!H81+IF(parametros_manuales!$H$39="Todos",'Plan mensual'!H85,0))+parametros_manuales!$G$39*('Plan mensual'!H82+IF(parametros_manuales!$H$39="Todos",'Plan mensual'!H86,0)))*parametros_manuales!$I$39*parametros_manuales!$J$39</f>
        <v>4155.09971512</v>
      </c>
      <c r="G218" s="14" t="n">
        <f aca="false">(parametros_manuales!$D$39*('Plan mensual'!I79+IF(parametros_manuales!$H$39="Todos",'Plan mensual'!I83,0))+parametros_manuales!$E$39*('Plan mensual'!I80+IF(parametros_manuales!$H$39="Todos",'Plan mensual'!I84,0))+parametros_manuales!$F$39*('Plan mensual'!I81+IF(parametros_manuales!$H$39="Todos",'Plan mensual'!I85,0))+parametros_manuales!$G$39*('Plan mensual'!I82+IF(parametros_manuales!$H$39="Todos",'Plan mensual'!I86,0)))*parametros_manuales!$I$39*parametros_manuales!$J$39</f>
        <v>4005.358826275</v>
      </c>
      <c r="H218" s="14" t="n">
        <f aca="false">(parametros_manuales!$D$39*('Plan mensual'!J79+IF(parametros_manuales!$H$39="Todos",'Plan mensual'!J83,0))+parametros_manuales!$E$39*('Plan mensual'!J80+IF(parametros_manuales!$H$39="Todos",'Plan mensual'!J84,0))+parametros_manuales!$F$39*('Plan mensual'!J81+IF(parametros_manuales!$H$39="Todos",'Plan mensual'!J85,0))+parametros_manuales!$G$39*('Plan mensual'!J82+IF(parametros_manuales!$H$39="Todos",'Plan mensual'!J86,0)))*parametros_manuales!$I$39*parametros_manuales!$J$39</f>
        <v>4280.76010752</v>
      </c>
      <c r="I218" s="14" t="n">
        <f aca="false">(parametros_manuales!$D$39*('Plan mensual'!K79+IF(parametros_manuales!$H$39="Todos",'Plan mensual'!K83,0))+parametros_manuales!$E$39*('Plan mensual'!K80+IF(parametros_manuales!$H$39="Todos",'Plan mensual'!K84,0))+parametros_manuales!$F$39*('Plan mensual'!K81+IF(parametros_manuales!$H$39="Todos",'Plan mensual'!K85,0))+parametros_manuales!$G$39*('Plan mensual'!K82+IF(parametros_manuales!$H$39="Todos",'Plan mensual'!K86,0)))*parametros_manuales!$I$39*parametros_manuales!$J$39</f>
        <v>4280.76010752</v>
      </c>
      <c r="J218" s="14" t="n">
        <f aca="false">(parametros_manuales!$D$39*('Plan mensual'!L79+IF(parametros_manuales!$H$39="Todos",'Plan mensual'!L83,0))+parametros_manuales!$E$39*('Plan mensual'!L80+IF(parametros_manuales!$H$39="Todos",'Plan mensual'!L84,0))+parametros_manuales!$F$39*('Plan mensual'!L81+IF(parametros_manuales!$H$39="Todos",'Plan mensual'!L85,0))+parametros_manuales!$G$39*('Plan mensual'!L82+IF(parametros_manuales!$H$39="Todos",'Plan mensual'!L86,0)))*parametros_manuales!$I$39*parametros_manuales!$J$39</f>
        <v>4280.76010752</v>
      </c>
      <c r="K218" s="14" t="n">
        <f aca="false">(parametros_manuales!$D$39*('Plan mensual'!M79+IF(parametros_manuales!$H$39="Todos",'Plan mensual'!M83,0))+parametros_manuales!$E$39*('Plan mensual'!M80+IF(parametros_manuales!$H$39="Todos",'Plan mensual'!M84,0))+parametros_manuales!$F$39*('Plan mensual'!M81+IF(parametros_manuales!$H$39="Todos",'Plan mensual'!M85,0))+parametros_manuales!$G$39*('Plan mensual'!M82+IF(parametros_manuales!$H$39="Todos",'Plan mensual'!M86,0)))*parametros_manuales!$I$39*parametros_manuales!$J$39</f>
        <v>4131.019218675</v>
      </c>
      <c r="L218" s="14" t="n">
        <f aca="false">(parametros_manuales!$D$39*('Plan mensual'!N79+IF(parametros_manuales!$H$39="Todos",'Plan mensual'!N83,0))+parametros_manuales!$E$39*('Plan mensual'!N80+IF(parametros_manuales!$H$39="Todos",'Plan mensual'!N84,0))+parametros_manuales!$F$39*('Plan mensual'!N81+IF(parametros_manuales!$H$39="Todos",'Plan mensual'!N85,0))+parametros_manuales!$G$39*('Plan mensual'!N82+IF(parametros_manuales!$H$39="Todos",'Plan mensual'!N86,0)))*parametros_manuales!$I$39*parametros_manuales!$J$39</f>
        <v>3981.27832983</v>
      </c>
      <c r="M218" s="14" t="n">
        <f aca="false">(parametros_manuales!$D$39*('Plan mensual'!O79+IF(parametros_manuales!$H$39="Todos",'Plan mensual'!O83,0))+parametros_manuales!$E$39*('Plan mensual'!O80+IF(parametros_manuales!$H$39="Todos",'Plan mensual'!O84,0))+parametros_manuales!$F$39*('Plan mensual'!O81+IF(parametros_manuales!$H$39="Todos",'Plan mensual'!O85,0))+parametros_manuales!$G$39*('Plan mensual'!O82+IF(parametros_manuales!$H$39="Todos",'Plan mensual'!O86,0)))*parametros_manuales!$I$39*parametros_manuales!$J$39</f>
        <v>6310.14897219</v>
      </c>
      <c r="N218" s="14" t="n">
        <f aca="false">SUM(B218:M218)</f>
        <v>55080.256249</v>
      </c>
      <c r="O218" s="14" t="n">
        <f aca="false">MAX(B218:M218)</f>
        <v>6310.14897219</v>
      </c>
      <c r="P218" s="57" t="n">
        <f aca="false">O218/(parametros_manuales!$B$7)</f>
        <v>42.0676598146</v>
      </c>
      <c r="Q218" s="13" t="str">
        <f aca="false">IF(O218=0,"-",INDEX($B$197:$M$197,MATCH(O218,B218:M218,0)))</f>
        <v>Dic</v>
      </c>
    </row>
    <row r="219" customFormat="false" ht="14.25" hidden="false" customHeight="true" outlineLevel="0" collapsed="false">
      <c r="A219" s="13" t="str">
        <f aca="false">parametros_manuales!$B$40</f>
        <v>Ensamblaje</v>
      </c>
      <c r="B219" s="14" t="n">
        <f aca="false">(parametros_manuales!$D$40*('Plan mensual'!D79+IF(parametros_manuales!$H$40="Todos",'Plan mensual'!D83,0))+parametros_manuales!$E$40*('Plan mensual'!D80+IF(parametros_manuales!$H$40="Todos",'Plan mensual'!D84,0))+parametros_manuales!$F$40*('Plan mensual'!D81+IF(parametros_manuales!$H$40="Todos",'Plan mensual'!D85,0))+parametros_manuales!$G$40*('Plan mensual'!D82+IF(parametros_manuales!$H$40="Todos",'Plan mensual'!D86,0)))*parametros_manuales!$I$40*parametros_manuales!$J$40</f>
        <v>6010.6671945</v>
      </c>
      <c r="C219" s="14" t="n">
        <f aca="false">(parametros_manuales!$D$40*('Plan mensual'!E79+IF(parametros_manuales!$H$40="Todos",'Plan mensual'!E83,0))+parametros_manuales!$E$40*('Plan mensual'!E80+IF(parametros_manuales!$H$40="Todos",'Plan mensual'!E84,0))+parametros_manuales!$F$40*('Plan mensual'!E81+IF(parametros_manuales!$H$40="Todos",'Plan mensual'!E85,0))+parametros_manuales!$G$40*('Plan mensual'!E82+IF(parametros_manuales!$H$40="Todos",'Plan mensual'!E86,0)))*parametros_manuales!$I$40*parametros_manuales!$J$40</f>
        <v>4657.74128472</v>
      </c>
      <c r="D219" s="14" t="n">
        <f aca="false">(parametros_manuales!$D$40*('Plan mensual'!F79+IF(parametros_manuales!$H$40="Todos",'Plan mensual'!F83,0))+parametros_manuales!$E$40*('Plan mensual'!F80+IF(parametros_manuales!$H$40="Todos",'Plan mensual'!F84,0))+parametros_manuales!$F$40*('Plan mensual'!F81+IF(parametros_manuales!$H$40="Todos",'Plan mensual'!F85,0))+parametros_manuales!$G$40*('Plan mensual'!F82+IF(parametros_manuales!$H$40="Todos",'Plan mensual'!F86,0)))*parametros_manuales!$I$40*parametros_manuales!$J$40</f>
        <v>4556.161388765</v>
      </c>
      <c r="E219" s="14" t="n">
        <f aca="false">(parametros_manuales!$D$40*('Plan mensual'!G79+IF(parametros_manuales!$H$40="Todos",'Plan mensual'!G83,0))+parametros_manuales!$E$40*('Plan mensual'!G80+IF(parametros_manuales!$H$40="Todos",'Plan mensual'!G84,0))+parametros_manuales!$F$40*('Plan mensual'!G81+IF(parametros_manuales!$H$40="Todos",'Plan mensual'!G85,0))+parametros_manuales!$G$40*('Plan mensual'!G82+IF(parametros_manuales!$H$40="Todos",'Plan mensual'!G86,0)))*parametros_manuales!$I$40*parametros_manuales!$J$40</f>
        <v>4430.500996365</v>
      </c>
      <c r="F219" s="14" t="n">
        <f aca="false">(parametros_manuales!$D$40*('Plan mensual'!H79+IF(parametros_manuales!$H$40="Todos",'Plan mensual'!H83,0))+parametros_manuales!$E$40*('Plan mensual'!H80+IF(parametros_manuales!$H$40="Todos",'Plan mensual'!H84,0))+parametros_manuales!$F$40*('Plan mensual'!H81+IF(parametros_manuales!$H$40="Todos",'Plan mensual'!H85,0))+parametros_manuales!$G$40*('Plan mensual'!H82+IF(parametros_manuales!$H$40="Todos",'Plan mensual'!H86,0)))*parametros_manuales!$I$40*parametros_manuales!$J$40</f>
        <v>4155.09971512</v>
      </c>
      <c r="G219" s="14" t="n">
        <f aca="false">(parametros_manuales!$D$40*('Plan mensual'!I79+IF(parametros_manuales!$H$40="Todos",'Plan mensual'!I83,0))+parametros_manuales!$E$40*('Plan mensual'!I80+IF(parametros_manuales!$H$40="Todos",'Plan mensual'!I84,0))+parametros_manuales!$F$40*('Plan mensual'!I81+IF(parametros_manuales!$H$40="Todos",'Plan mensual'!I85,0))+parametros_manuales!$G$40*('Plan mensual'!I82+IF(parametros_manuales!$H$40="Todos",'Plan mensual'!I86,0)))*parametros_manuales!$I$40*parametros_manuales!$J$40</f>
        <v>4005.358826275</v>
      </c>
      <c r="H219" s="14" t="n">
        <f aca="false">(parametros_manuales!$D$40*('Plan mensual'!J79+IF(parametros_manuales!$H$40="Todos",'Plan mensual'!J83,0))+parametros_manuales!$E$40*('Plan mensual'!J80+IF(parametros_manuales!$H$40="Todos",'Plan mensual'!J84,0))+parametros_manuales!$F$40*('Plan mensual'!J81+IF(parametros_manuales!$H$40="Todos",'Plan mensual'!J85,0))+parametros_manuales!$G$40*('Plan mensual'!J82+IF(parametros_manuales!$H$40="Todos",'Plan mensual'!J86,0)))*parametros_manuales!$I$40*parametros_manuales!$J$40</f>
        <v>4280.76010752</v>
      </c>
      <c r="I219" s="14" t="n">
        <f aca="false">(parametros_manuales!$D$40*('Plan mensual'!K79+IF(parametros_manuales!$H$40="Todos",'Plan mensual'!K83,0))+parametros_manuales!$E$40*('Plan mensual'!K80+IF(parametros_manuales!$H$40="Todos",'Plan mensual'!K84,0))+parametros_manuales!$F$40*('Plan mensual'!K81+IF(parametros_manuales!$H$40="Todos",'Plan mensual'!K85,0))+parametros_manuales!$G$40*('Plan mensual'!K82+IF(parametros_manuales!$H$40="Todos",'Plan mensual'!K86,0)))*parametros_manuales!$I$40*parametros_manuales!$J$40</f>
        <v>4280.76010752</v>
      </c>
      <c r="J219" s="14" t="n">
        <f aca="false">(parametros_manuales!$D$40*('Plan mensual'!L79+IF(parametros_manuales!$H$40="Todos",'Plan mensual'!L83,0))+parametros_manuales!$E$40*('Plan mensual'!L80+IF(parametros_manuales!$H$40="Todos",'Plan mensual'!L84,0))+parametros_manuales!$F$40*('Plan mensual'!L81+IF(parametros_manuales!$H$40="Todos",'Plan mensual'!L85,0))+parametros_manuales!$G$40*('Plan mensual'!L82+IF(parametros_manuales!$H$40="Todos",'Plan mensual'!L86,0)))*parametros_manuales!$I$40*parametros_manuales!$J$40</f>
        <v>4280.76010752</v>
      </c>
      <c r="K219" s="14" t="n">
        <f aca="false">(parametros_manuales!$D$40*('Plan mensual'!M79+IF(parametros_manuales!$H$40="Todos",'Plan mensual'!M83,0))+parametros_manuales!$E$40*('Plan mensual'!M80+IF(parametros_manuales!$H$40="Todos",'Plan mensual'!M84,0))+parametros_manuales!$F$40*('Plan mensual'!M81+IF(parametros_manuales!$H$40="Todos",'Plan mensual'!M85,0))+parametros_manuales!$G$40*('Plan mensual'!M82+IF(parametros_manuales!$H$40="Todos",'Plan mensual'!M86,0)))*parametros_manuales!$I$40*parametros_manuales!$J$40</f>
        <v>4131.019218675</v>
      </c>
      <c r="L219" s="14" t="n">
        <f aca="false">(parametros_manuales!$D$40*('Plan mensual'!N79+IF(parametros_manuales!$H$40="Todos",'Plan mensual'!N83,0))+parametros_manuales!$E$40*('Plan mensual'!N80+IF(parametros_manuales!$H$40="Todos",'Plan mensual'!N84,0))+parametros_manuales!$F$40*('Plan mensual'!N81+IF(parametros_manuales!$H$40="Todos",'Plan mensual'!N85,0))+parametros_manuales!$G$40*('Plan mensual'!N82+IF(parametros_manuales!$H$40="Todos",'Plan mensual'!N86,0)))*parametros_manuales!$I$40*parametros_manuales!$J$40</f>
        <v>3981.27832983</v>
      </c>
      <c r="M219" s="14" t="n">
        <f aca="false">(parametros_manuales!$D$40*('Plan mensual'!O79+IF(parametros_manuales!$H$40="Todos",'Plan mensual'!O83,0))+parametros_manuales!$E$40*('Plan mensual'!O80+IF(parametros_manuales!$H$40="Todos",'Plan mensual'!O84,0))+parametros_manuales!$F$40*('Plan mensual'!O81+IF(parametros_manuales!$H$40="Todos",'Plan mensual'!O85,0))+parametros_manuales!$G$40*('Plan mensual'!O82+IF(parametros_manuales!$H$40="Todos",'Plan mensual'!O86,0)))*parametros_manuales!$I$40*parametros_manuales!$J$40</f>
        <v>6310.14897219</v>
      </c>
      <c r="N219" s="14" t="n">
        <f aca="false">SUM(B219:M219)</f>
        <v>55080.256249</v>
      </c>
      <c r="O219" s="14" t="n">
        <f aca="false">MAX(B219:M219)</f>
        <v>6310.14897219</v>
      </c>
      <c r="P219" s="57" t="n">
        <f aca="false">O219/(parametros_manuales!$B$7)</f>
        <v>42.0676598146</v>
      </c>
      <c r="Q219" s="13" t="str">
        <f aca="false">IF(O219=0,"-",INDEX($B$197:$M$197,MATCH(O219,B219:M219,0)))</f>
        <v>Dic</v>
      </c>
    </row>
    <row r="220" customFormat="false" ht="14.25" hidden="false" customHeight="true" outlineLevel="0" collapsed="false">
      <c r="A220" s="13" t="str">
        <f aca="false">parametros_manuales!$B$41</f>
        <v>Presurización</v>
      </c>
      <c r="B220" s="14" t="n">
        <f aca="false">(parametros_manuales!$D$41*('Plan mensual'!D79+IF(parametros_manuales!$H$41="Todos",'Plan mensual'!D83,0))+parametros_manuales!$E$41*('Plan mensual'!D80+IF(parametros_manuales!$H$41="Todos",'Plan mensual'!D84,0))+parametros_manuales!$F$41*('Plan mensual'!D81+IF(parametros_manuales!$H$41="Todos",'Plan mensual'!D85,0))+parametros_manuales!$G$41*('Plan mensual'!D82+IF(parametros_manuales!$H$41="Todos",'Plan mensual'!D86,0)))*parametros_manuales!$I$41*parametros_manuales!$J$41</f>
        <v>6010.6671945</v>
      </c>
      <c r="C220" s="14" t="n">
        <f aca="false">(parametros_manuales!$D$41*('Plan mensual'!E79+IF(parametros_manuales!$H$41="Todos",'Plan mensual'!E83,0))+parametros_manuales!$E$41*('Plan mensual'!E80+IF(parametros_manuales!$H$41="Todos",'Plan mensual'!E84,0))+parametros_manuales!$F$41*('Plan mensual'!E81+IF(parametros_manuales!$H$41="Todos",'Plan mensual'!E85,0))+parametros_manuales!$G$41*('Plan mensual'!E82+IF(parametros_manuales!$H$41="Todos",'Plan mensual'!E86,0)))*parametros_manuales!$I$41*parametros_manuales!$J$41</f>
        <v>4657.74128472</v>
      </c>
      <c r="D220" s="14" t="n">
        <f aca="false">(parametros_manuales!$D$41*('Plan mensual'!F79+IF(parametros_manuales!$H$41="Todos",'Plan mensual'!F83,0))+parametros_manuales!$E$41*('Plan mensual'!F80+IF(parametros_manuales!$H$41="Todos",'Plan mensual'!F84,0))+parametros_manuales!$F$41*('Plan mensual'!F81+IF(parametros_manuales!$H$41="Todos",'Plan mensual'!F85,0))+parametros_manuales!$G$41*('Plan mensual'!F82+IF(parametros_manuales!$H$41="Todos",'Plan mensual'!F86,0)))*parametros_manuales!$I$41*parametros_manuales!$J$41</f>
        <v>4556.161388765</v>
      </c>
      <c r="E220" s="14" t="n">
        <f aca="false">(parametros_manuales!$D$41*('Plan mensual'!G79+IF(parametros_manuales!$H$41="Todos",'Plan mensual'!G83,0))+parametros_manuales!$E$41*('Plan mensual'!G80+IF(parametros_manuales!$H$41="Todos",'Plan mensual'!G84,0))+parametros_manuales!$F$41*('Plan mensual'!G81+IF(parametros_manuales!$H$41="Todos",'Plan mensual'!G85,0))+parametros_manuales!$G$41*('Plan mensual'!G82+IF(parametros_manuales!$H$41="Todos",'Plan mensual'!G86,0)))*parametros_manuales!$I$41*parametros_manuales!$J$41</f>
        <v>4430.500996365</v>
      </c>
      <c r="F220" s="14" t="n">
        <f aca="false">(parametros_manuales!$D$41*('Plan mensual'!H79+IF(parametros_manuales!$H$41="Todos",'Plan mensual'!H83,0))+parametros_manuales!$E$41*('Plan mensual'!H80+IF(parametros_manuales!$H$41="Todos",'Plan mensual'!H84,0))+parametros_manuales!$F$41*('Plan mensual'!H81+IF(parametros_manuales!$H$41="Todos",'Plan mensual'!H85,0))+parametros_manuales!$G$41*('Plan mensual'!H82+IF(parametros_manuales!$H$41="Todos",'Plan mensual'!H86,0)))*parametros_manuales!$I$41*parametros_manuales!$J$41</f>
        <v>4155.09971512</v>
      </c>
      <c r="G220" s="14" t="n">
        <f aca="false">(parametros_manuales!$D$41*('Plan mensual'!I79+IF(parametros_manuales!$H$41="Todos",'Plan mensual'!I83,0))+parametros_manuales!$E$41*('Plan mensual'!I80+IF(parametros_manuales!$H$41="Todos",'Plan mensual'!I84,0))+parametros_manuales!$F$41*('Plan mensual'!I81+IF(parametros_manuales!$H$41="Todos",'Plan mensual'!I85,0))+parametros_manuales!$G$41*('Plan mensual'!I82+IF(parametros_manuales!$H$41="Todos",'Plan mensual'!I86,0)))*parametros_manuales!$I$41*parametros_manuales!$J$41</f>
        <v>4005.358826275</v>
      </c>
      <c r="H220" s="14" t="n">
        <f aca="false">(parametros_manuales!$D$41*('Plan mensual'!J79+IF(parametros_manuales!$H$41="Todos",'Plan mensual'!J83,0))+parametros_manuales!$E$41*('Plan mensual'!J80+IF(parametros_manuales!$H$41="Todos",'Plan mensual'!J84,0))+parametros_manuales!$F$41*('Plan mensual'!J81+IF(parametros_manuales!$H$41="Todos",'Plan mensual'!J85,0))+parametros_manuales!$G$41*('Plan mensual'!J82+IF(parametros_manuales!$H$41="Todos",'Plan mensual'!J86,0)))*parametros_manuales!$I$41*parametros_manuales!$J$41</f>
        <v>4280.76010752</v>
      </c>
      <c r="I220" s="14" t="n">
        <f aca="false">(parametros_manuales!$D$41*('Plan mensual'!K79+IF(parametros_manuales!$H$41="Todos",'Plan mensual'!K83,0))+parametros_manuales!$E$41*('Plan mensual'!K80+IF(parametros_manuales!$H$41="Todos",'Plan mensual'!K84,0))+parametros_manuales!$F$41*('Plan mensual'!K81+IF(parametros_manuales!$H$41="Todos",'Plan mensual'!K85,0))+parametros_manuales!$G$41*('Plan mensual'!K82+IF(parametros_manuales!$H$41="Todos",'Plan mensual'!K86,0)))*parametros_manuales!$I$41*parametros_manuales!$J$41</f>
        <v>4280.76010752</v>
      </c>
      <c r="J220" s="14" t="n">
        <f aca="false">(parametros_manuales!$D$41*('Plan mensual'!L79+IF(parametros_manuales!$H$41="Todos",'Plan mensual'!L83,0))+parametros_manuales!$E$41*('Plan mensual'!L80+IF(parametros_manuales!$H$41="Todos",'Plan mensual'!L84,0))+parametros_manuales!$F$41*('Plan mensual'!L81+IF(parametros_manuales!$H$41="Todos",'Plan mensual'!L85,0))+parametros_manuales!$G$41*('Plan mensual'!L82+IF(parametros_manuales!$H$41="Todos",'Plan mensual'!L86,0)))*parametros_manuales!$I$41*parametros_manuales!$J$41</f>
        <v>4280.76010752</v>
      </c>
      <c r="K220" s="14" t="n">
        <f aca="false">(parametros_manuales!$D$41*('Plan mensual'!M79+IF(parametros_manuales!$H$41="Todos",'Plan mensual'!M83,0))+parametros_manuales!$E$41*('Plan mensual'!M80+IF(parametros_manuales!$H$41="Todos",'Plan mensual'!M84,0))+parametros_manuales!$F$41*('Plan mensual'!M81+IF(parametros_manuales!$H$41="Todos",'Plan mensual'!M85,0))+parametros_manuales!$G$41*('Plan mensual'!M82+IF(parametros_manuales!$H$41="Todos",'Plan mensual'!M86,0)))*parametros_manuales!$I$41*parametros_manuales!$J$41</f>
        <v>4131.019218675</v>
      </c>
      <c r="L220" s="14" t="n">
        <f aca="false">(parametros_manuales!$D$41*('Plan mensual'!N79+IF(parametros_manuales!$H$41="Todos",'Plan mensual'!N83,0))+parametros_manuales!$E$41*('Plan mensual'!N80+IF(parametros_manuales!$H$41="Todos",'Plan mensual'!N84,0))+parametros_manuales!$F$41*('Plan mensual'!N81+IF(parametros_manuales!$H$41="Todos",'Plan mensual'!N85,0))+parametros_manuales!$G$41*('Plan mensual'!N82+IF(parametros_manuales!$H$41="Todos",'Plan mensual'!N86,0)))*parametros_manuales!$I$41*parametros_manuales!$J$41</f>
        <v>3981.27832983</v>
      </c>
      <c r="M220" s="14" t="n">
        <f aca="false">(parametros_manuales!$D$41*('Plan mensual'!O79+IF(parametros_manuales!$H$41="Todos",'Plan mensual'!O83,0))+parametros_manuales!$E$41*('Plan mensual'!O80+IF(parametros_manuales!$H$41="Todos",'Plan mensual'!O84,0))+parametros_manuales!$F$41*('Plan mensual'!O81+IF(parametros_manuales!$H$41="Todos",'Plan mensual'!O85,0))+parametros_manuales!$G$41*('Plan mensual'!O82+IF(parametros_manuales!$H$41="Todos",'Plan mensual'!O86,0)))*parametros_manuales!$I$41*parametros_manuales!$J$41</f>
        <v>6310.14897219</v>
      </c>
      <c r="N220" s="14" t="n">
        <f aca="false">SUM(B220:M220)</f>
        <v>55080.256249</v>
      </c>
      <c r="O220" s="14" t="n">
        <f aca="false">MAX(B220:M220)</f>
        <v>6310.14897219</v>
      </c>
      <c r="P220" s="57" t="n">
        <f aca="false">O220/(parametros_manuales!$B$7)</f>
        <v>42.0676598146</v>
      </c>
      <c r="Q220" s="13" t="str">
        <f aca="false">IF(O220=0,"-",INDEX($B$197:$M$197,MATCH(O220,B220:M220,0)))</f>
        <v>Dic</v>
      </c>
    </row>
    <row r="221" customFormat="false" ht="14.25" hidden="false" customHeight="true" outlineLevel="0" collapsed="false">
      <c r="A221" s="13" t="str">
        <f aca="false">parametros_manuales!$B$42</f>
        <v>Control de calidad — Ensayo de pérdidas</v>
      </c>
      <c r="B221" s="14" t="n">
        <f aca="false">(parametros_manuales!$D$42*('Plan mensual'!D79+IF(parametros_manuales!$H$42="Todos",'Plan mensual'!D83,0))+parametros_manuales!$E$42*('Plan mensual'!D80+IF(parametros_manuales!$H$42="Todos",'Plan mensual'!D84,0))+parametros_manuales!$F$42*('Plan mensual'!D81+IF(parametros_manuales!$H$42="Todos",'Plan mensual'!D85,0))+parametros_manuales!$G$42*('Plan mensual'!D82+IF(parametros_manuales!$H$42="Todos",'Plan mensual'!D86,0)))*parametros_manuales!$I$42*parametros_manuales!$J$42</f>
        <v>6010.6671945</v>
      </c>
      <c r="C221" s="14" t="n">
        <f aca="false">(parametros_manuales!$D$42*('Plan mensual'!E79+IF(parametros_manuales!$H$42="Todos",'Plan mensual'!E83,0))+parametros_manuales!$E$42*('Plan mensual'!E80+IF(parametros_manuales!$H$42="Todos",'Plan mensual'!E84,0))+parametros_manuales!$F$42*('Plan mensual'!E81+IF(parametros_manuales!$H$42="Todos",'Plan mensual'!E85,0))+parametros_manuales!$G$42*('Plan mensual'!E82+IF(parametros_manuales!$H$42="Todos",'Plan mensual'!E86,0)))*parametros_manuales!$I$42*parametros_manuales!$J$42</f>
        <v>4657.74128472</v>
      </c>
      <c r="D221" s="14" t="n">
        <f aca="false">(parametros_manuales!$D$42*('Plan mensual'!F79+IF(parametros_manuales!$H$42="Todos",'Plan mensual'!F83,0))+parametros_manuales!$E$42*('Plan mensual'!F80+IF(parametros_manuales!$H$42="Todos",'Plan mensual'!F84,0))+parametros_manuales!$F$42*('Plan mensual'!F81+IF(parametros_manuales!$H$42="Todos",'Plan mensual'!F85,0))+parametros_manuales!$G$42*('Plan mensual'!F82+IF(parametros_manuales!$H$42="Todos",'Plan mensual'!F86,0)))*parametros_manuales!$I$42*parametros_manuales!$J$42</f>
        <v>4556.161388765</v>
      </c>
      <c r="E221" s="14" t="n">
        <f aca="false">(parametros_manuales!$D$42*('Plan mensual'!G79+IF(parametros_manuales!$H$42="Todos",'Plan mensual'!G83,0))+parametros_manuales!$E$42*('Plan mensual'!G80+IF(parametros_manuales!$H$42="Todos",'Plan mensual'!G84,0))+parametros_manuales!$F$42*('Plan mensual'!G81+IF(parametros_manuales!$H$42="Todos",'Plan mensual'!G85,0))+parametros_manuales!$G$42*('Plan mensual'!G82+IF(parametros_manuales!$H$42="Todos",'Plan mensual'!G86,0)))*parametros_manuales!$I$42*parametros_manuales!$J$42</f>
        <v>4430.500996365</v>
      </c>
      <c r="F221" s="14" t="n">
        <f aca="false">(parametros_manuales!$D$42*('Plan mensual'!H79+IF(parametros_manuales!$H$42="Todos",'Plan mensual'!H83,0))+parametros_manuales!$E$42*('Plan mensual'!H80+IF(parametros_manuales!$H$42="Todos",'Plan mensual'!H84,0))+parametros_manuales!$F$42*('Plan mensual'!H81+IF(parametros_manuales!$H$42="Todos",'Plan mensual'!H85,0))+parametros_manuales!$G$42*('Plan mensual'!H82+IF(parametros_manuales!$H$42="Todos",'Plan mensual'!H86,0)))*parametros_manuales!$I$42*parametros_manuales!$J$42</f>
        <v>4155.09971512</v>
      </c>
      <c r="G221" s="14" t="n">
        <f aca="false">(parametros_manuales!$D$42*('Plan mensual'!I79+IF(parametros_manuales!$H$42="Todos",'Plan mensual'!I83,0))+parametros_manuales!$E$42*('Plan mensual'!I80+IF(parametros_manuales!$H$42="Todos",'Plan mensual'!I84,0))+parametros_manuales!$F$42*('Plan mensual'!I81+IF(parametros_manuales!$H$42="Todos",'Plan mensual'!I85,0))+parametros_manuales!$G$42*('Plan mensual'!I82+IF(parametros_manuales!$H$42="Todos",'Plan mensual'!I86,0)))*parametros_manuales!$I$42*parametros_manuales!$J$42</f>
        <v>4005.358826275</v>
      </c>
      <c r="H221" s="14" t="n">
        <f aca="false">(parametros_manuales!$D$42*('Plan mensual'!J79+IF(parametros_manuales!$H$42="Todos",'Plan mensual'!J83,0))+parametros_manuales!$E$42*('Plan mensual'!J80+IF(parametros_manuales!$H$42="Todos",'Plan mensual'!J84,0))+parametros_manuales!$F$42*('Plan mensual'!J81+IF(parametros_manuales!$H$42="Todos",'Plan mensual'!J85,0))+parametros_manuales!$G$42*('Plan mensual'!J82+IF(parametros_manuales!$H$42="Todos",'Plan mensual'!J86,0)))*parametros_manuales!$I$42*parametros_manuales!$J$42</f>
        <v>4280.76010752</v>
      </c>
      <c r="I221" s="14" t="n">
        <f aca="false">(parametros_manuales!$D$42*('Plan mensual'!K79+IF(parametros_manuales!$H$42="Todos",'Plan mensual'!K83,0))+parametros_manuales!$E$42*('Plan mensual'!K80+IF(parametros_manuales!$H$42="Todos",'Plan mensual'!K84,0))+parametros_manuales!$F$42*('Plan mensual'!K81+IF(parametros_manuales!$H$42="Todos",'Plan mensual'!K85,0))+parametros_manuales!$G$42*('Plan mensual'!K82+IF(parametros_manuales!$H$42="Todos",'Plan mensual'!K86,0)))*parametros_manuales!$I$42*parametros_manuales!$J$42</f>
        <v>4280.76010752</v>
      </c>
      <c r="J221" s="14" t="n">
        <f aca="false">(parametros_manuales!$D$42*('Plan mensual'!L79+IF(parametros_manuales!$H$42="Todos",'Plan mensual'!L83,0))+parametros_manuales!$E$42*('Plan mensual'!L80+IF(parametros_manuales!$H$42="Todos",'Plan mensual'!L84,0))+parametros_manuales!$F$42*('Plan mensual'!L81+IF(parametros_manuales!$H$42="Todos",'Plan mensual'!L85,0))+parametros_manuales!$G$42*('Plan mensual'!L82+IF(parametros_manuales!$H$42="Todos",'Plan mensual'!L86,0)))*parametros_manuales!$I$42*parametros_manuales!$J$42</f>
        <v>4280.76010752</v>
      </c>
      <c r="K221" s="14" t="n">
        <f aca="false">(parametros_manuales!$D$42*('Plan mensual'!M79+IF(parametros_manuales!$H$42="Todos",'Plan mensual'!M83,0))+parametros_manuales!$E$42*('Plan mensual'!M80+IF(parametros_manuales!$H$42="Todos",'Plan mensual'!M84,0))+parametros_manuales!$F$42*('Plan mensual'!M81+IF(parametros_manuales!$H$42="Todos",'Plan mensual'!M85,0))+parametros_manuales!$G$42*('Plan mensual'!M82+IF(parametros_manuales!$H$42="Todos",'Plan mensual'!M86,0)))*parametros_manuales!$I$42*parametros_manuales!$J$42</f>
        <v>4131.019218675</v>
      </c>
      <c r="L221" s="14" t="n">
        <f aca="false">(parametros_manuales!$D$42*('Plan mensual'!N79+IF(parametros_manuales!$H$42="Todos",'Plan mensual'!N83,0))+parametros_manuales!$E$42*('Plan mensual'!N80+IF(parametros_manuales!$H$42="Todos",'Plan mensual'!N84,0))+parametros_manuales!$F$42*('Plan mensual'!N81+IF(parametros_manuales!$H$42="Todos",'Plan mensual'!N85,0))+parametros_manuales!$G$42*('Plan mensual'!N82+IF(parametros_manuales!$H$42="Todos",'Plan mensual'!N86,0)))*parametros_manuales!$I$42*parametros_manuales!$J$42</f>
        <v>3981.27832983</v>
      </c>
      <c r="M221" s="14" t="n">
        <f aca="false">(parametros_manuales!$D$42*('Plan mensual'!O79+IF(parametros_manuales!$H$42="Todos",'Plan mensual'!O83,0))+parametros_manuales!$E$42*('Plan mensual'!O80+IF(parametros_manuales!$H$42="Todos",'Plan mensual'!O84,0))+parametros_manuales!$F$42*('Plan mensual'!O81+IF(parametros_manuales!$H$42="Todos",'Plan mensual'!O85,0))+parametros_manuales!$G$42*('Plan mensual'!O82+IF(parametros_manuales!$H$42="Todos",'Plan mensual'!O86,0)))*parametros_manuales!$I$42*parametros_manuales!$J$42</f>
        <v>6310.14897219</v>
      </c>
      <c r="N221" s="14" t="n">
        <f aca="false">SUM(B221:M221)</f>
        <v>55080.256249</v>
      </c>
      <c r="O221" s="14" t="n">
        <f aca="false">MAX(B221:M221)</f>
        <v>6310.14897219</v>
      </c>
      <c r="P221" s="57" t="n">
        <f aca="false">O221/(parametros_manuales!$B$7)</f>
        <v>42.0676598146</v>
      </c>
      <c r="Q221" s="13" t="str">
        <f aca="false">IF(O221=0,"-",INDEX($B$197:$M$197,MATCH(O221,B221:M221,0)))</f>
        <v>Dic</v>
      </c>
    </row>
    <row r="222" customFormat="false" ht="14.25" hidden="false" customHeight="true" outlineLevel="0" collapsed="false">
      <c r="A222" s="13" t="str">
        <f aca="false">parametros_manuales!$B$43</f>
        <v>Etiquetado</v>
      </c>
      <c r="B222" s="14" t="n">
        <f aca="false">(parametros_manuales!$D$43*('Plan mensual'!D79+IF(parametros_manuales!$H$43="Todos",'Plan mensual'!D83,0))+parametros_manuales!$E$43*('Plan mensual'!D80+IF(parametros_manuales!$H$43="Todos",'Plan mensual'!D84,0))+parametros_manuales!$F$43*('Plan mensual'!D81+IF(parametros_manuales!$H$43="Todos",'Plan mensual'!D85,0))+parametros_manuales!$G$43*('Plan mensual'!D82+IF(parametros_manuales!$H$43="Todos",'Plan mensual'!D86,0)))*parametros_manuales!$I$43*parametros_manuales!$J$43</f>
        <v>6010.6671945</v>
      </c>
      <c r="C222" s="14" t="n">
        <f aca="false">(parametros_manuales!$D$43*('Plan mensual'!E79+IF(parametros_manuales!$H$43="Todos",'Plan mensual'!E83,0))+parametros_manuales!$E$43*('Plan mensual'!E80+IF(parametros_manuales!$H$43="Todos",'Plan mensual'!E84,0))+parametros_manuales!$F$43*('Plan mensual'!E81+IF(parametros_manuales!$H$43="Todos",'Plan mensual'!E85,0))+parametros_manuales!$G$43*('Plan mensual'!E82+IF(parametros_manuales!$H$43="Todos",'Plan mensual'!E86,0)))*parametros_manuales!$I$43*parametros_manuales!$J$43</f>
        <v>4657.74128472</v>
      </c>
      <c r="D222" s="14" t="n">
        <f aca="false">(parametros_manuales!$D$43*('Plan mensual'!F79+IF(parametros_manuales!$H$43="Todos",'Plan mensual'!F83,0))+parametros_manuales!$E$43*('Plan mensual'!F80+IF(parametros_manuales!$H$43="Todos",'Plan mensual'!F84,0))+parametros_manuales!$F$43*('Plan mensual'!F81+IF(parametros_manuales!$H$43="Todos",'Plan mensual'!F85,0))+parametros_manuales!$G$43*('Plan mensual'!F82+IF(parametros_manuales!$H$43="Todos",'Plan mensual'!F86,0)))*parametros_manuales!$I$43*parametros_manuales!$J$43</f>
        <v>4556.161388765</v>
      </c>
      <c r="E222" s="14" t="n">
        <f aca="false">(parametros_manuales!$D$43*('Plan mensual'!G79+IF(parametros_manuales!$H$43="Todos",'Plan mensual'!G83,0))+parametros_manuales!$E$43*('Plan mensual'!G80+IF(parametros_manuales!$H$43="Todos",'Plan mensual'!G84,0))+parametros_manuales!$F$43*('Plan mensual'!G81+IF(parametros_manuales!$H$43="Todos",'Plan mensual'!G85,0))+parametros_manuales!$G$43*('Plan mensual'!G82+IF(parametros_manuales!$H$43="Todos",'Plan mensual'!G86,0)))*parametros_manuales!$I$43*parametros_manuales!$J$43</f>
        <v>4430.500996365</v>
      </c>
      <c r="F222" s="14" t="n">
        <f aca="false">(parametros_manuales!$D$43*('Plan mensual'!H79+IF(parametros_manuales!$H$43="Todos",'Plan mensual'!H83,0))+parametros_manuales!$E$43*('Plan mensual'!H80+IF(parametros_manuales!$H$43="Todos",'Plan mensual'!H84,0))+parametros_manuales!$F$43*('Plan mensual'!H81+IF(parametros_manuales!$H$43="Todos",'Plan mensual'!H85,0))+parametros_manuales!$G$43*('Plan mensual'!H82+IF(parametros_manuales!$H$43="Todos",'Plan mensual'!H86,0)))*parametros_manuales!$I$43*parametros_manuales!$J$43</f>
        <v>4155.09971512</v>
      </c>
      <c r="G222" s="14" t="n">
        <f aca="false">(parametros_manuales!$D$43*('Plan mensual'!I79+IF(parametros_manuales!$H$43="Todos",'Plan mensual'!I83,0))+parametros_manuales!$E$43*('Plan mensual'!I80+IF(parametros_manuales!$H$43="Todos",'Plan mensual'!I84,0))+parametros_manuales!$F$43*('Plan mensual'!I81+IF(parametros_manuales!$H$43="Todos",'Plan mensual'!I85,0))+parametros_manuales!$G$43*('Plan mensual'!I82+IF(parametros_manuales!$H$43="Todos",'Plan mensual'!I86,0)))*parametros_manuales!$I$43*parametros_manuales!$J$43</f>
        <v>4005.358826275</v>
      </c>
      <c r="H222" s="14" t="n">
        <f aca="false">(parametros_manuales!$D$43*('Plan mensual'!J79+IF(parametros_manuales!$H$43="Todos",'Plan mensual'!J83,0))+parametros_manuales!$E$43*('Plan mensual'!J80+IF(parametros_manuales!$H$43="Todos",'Plan mensual'!J84,0))+parametros_manuales!$F$43*('Plan mensual'!J81+IF(parametros_manuales!$H$43="Todos",'Plan mensual'!J85,0))+parametros_manuales!$G$43*('Plan mensual'!J82+IF(parametros_manuales!$H$43="Todos",'Plan mensual'!J86,0)))*parametros_manuales!$I$43*parametros_manuales!$J$43</f>
        <v>4280.76010752</v>
      </c>
      <c r="I222" s="14" t="n">
        <f aca="false">(parametros_manuales!$D$43*('Plan mensual'!K79+IF(parametros_manuales!$H$43="Todos",'Plan mensual'!K83,0))+parametros_manuales!$E$43*('Plan mensual'!K80+IF(parametros_manuales!$H$43="Todos",'Plan mensual'!K84,0))+parametros_manuales!$F$43*('Plan mensual'!K81+IF(parametros_manuales!$H$43="Todos",'Plan mensual'!K85,0))+parametros_manuales!$G$43*('Plan mensual'!K82+IF(parametros_manuales!$H$43="Todos",'Plan mensual'!K86,0)))*parametros_manuales!$I$43*parametros_manuales!$J$43</f>
        <v>4280.76010752</v>
      </c>
      <c r="J222" s="14" t="n">
        <f aca="false">(parametros_manuales!$D$43*('Plan mensual'!L79+IF(parametros_manuales!$H$43="Todos",'Plan mensual'!L83,0))+parametros_manuales!$E$43*('Plan mensual'!L80+IF(parametros_manuales!$H$43="Todos",'Plan mensual'!L84,0))+parametros_manuales!$F$43*('Plan mensual'!L81+IF(parametros_manuales!$H$43="Todos",'Plan mensual'!L85,0))+parametros_manuales!$G$43*('Plan mensual'!L82+IF(parametros_manuales!$H$43="Todos",'Plan mensual'!L86,0)))*parametros_manuales!$I$43*parametros_manuales!$J$43</f>
        <v>4280.76010752</v>
      </c>
      <c r="K222" s="14" t="n">
        <f aca="false">(parametros_manuales!$D$43*('Plan mensual'!M79+IF(parametros_manuales!$H$43="Todos",'Plan mensual'!M83,0))+parametros_manuales!$E$43*('Plan mensual'!M80+IF(parametros_manuales!$H$43="Todos",'Plan mensual'!M84,0))+parametros_manuales!$F$43*('Plan mensual'!M81+IF(parametros_manuales!$H$43="Todos",'Plan mensual'!M85,0))+parametros_manuales!$G$43*('Plan mensual'!M82+IF(parametros_manuales!$H$43="Todos",'Plan mensual'!M86,0)))*parametros_manuales!$I$43*parametros_manuales!$J$43</f>
        <v>4131.019218675</v>
      </c>
      <c r="L222" s="14" t="n">
        <f aca="false">(parametros_manuales!$D$43*('Plan mensual'!N79+IF(parametros_manuales!$H$43="Todos",'Plan mensual'!N83,0))+parametros_manuales!$E$43*('Plan mensual'!N80+IF(parametros_manuales!$H$43="Todos",'Plan mensual'!N84,0))+parametros_manuales!$F$43*('Plan mensual'!N81+IF(parametros_manuales!$H$43="Todos",'Plan mensual'!N85,0))+parametros_manuales!$G$43*('Plan mensual'!N82+IF(parametros_manuales!$H$43="Todos",'Plan mensual'!N86,0)))*parametros_manuales!$I$43*parametros_manuales!$J$43</f>
        <v>3981.27832983</v>
      </c>
      <c r="M222" s="14" t="n">
        <f aca="false">(parametros_manuales!$D$43*('Plan mensual'!O79+IF(parametros_manuales!$H$43="Todos",'Plan mensual'!O83,0))+parametros_manuales!$E$43*('Plan mensual'!O80+IF(parametros_manuales!$H$43="Todos",'Plan mensual'!O84,0))+parametros_manuales!$F$43*('Plan mensual'!O81+IF(parametros_manuales!$H$43="Todos",'Plan mensual'!O85,0))+parametros_manuales!$G$43*('Plan mensual'!O82+IF(parametros_manuales!$H$43="Todos",'Plan mensual'!O86,0)))*parametros_manuales!$I$43*parametros_manuales!$J$43</f>
        <v>6310.14897219</v>
      </c>
      <c r="N222" s="14" t="n">
        <f aca="false">SUM(B222:M222)</f>
        <v>55080.256249</v>
      </c>
      <c r="O222" s="14" t="n">
        <f aca="false">MAX(B222:M222)</f>
        <v>6310.14897219</v>
      </c>
      <c r="P222" s="57" t="n">
        <f aca="false">O222/(parametros_manuales!$B$7)</f>
        <v>42.0676598146</v>
      </c>
      <c r="Q222" s="13" t="str">
        <f aca="false">IF(O222=0,"-",INDEX($B$197:$M$197,MATCH(O222,B222:M222,0)))</f>
        <v>Dic</v>
      </c>
    </row>
    <row r="223" customFormat="false" ht="14.25" hidden="false" customHeight="true" outlineLevel="0" collapsed="false">
      <c r="A223" s="13" t="str">
        <f aca="false">parametros_manuales!$B$44</f>
        <v>Embalaje y paletizado</v>
      </c>
      <c r="B223" s="14" t="n">
        <f aca="false">(parametros_manuales!$D$44*('Plan mensual'!D79+IF(parametros_manuales!$H$44="Todos",'Plan mensual'!D83,0))+parametros_manuales!$E$44*('Plan mensual'!D80+IF(parametros_manuales!$H$44="Todos",'Plan mensual'!D84,0))+parametros_manuales!$F$44*('Plan mensual'!D81+IF(parametros_manuales!$H$44="Todos",'Plan mensual'!D85,0))+parametros_manuales!$G$44*('Plan mensual'!D82+IF(parametros_manuales!$H$44="Todos",'Plan mensual'!D86,0)))*parametros_manuales!$I$44*parametros_manuales!$J$44</f>
        <v>24941.2551945</v>
      </c>
      <c r="C223" s="14" t="n">
        <f aca="false">(parametros_manuales!$D$44*('Plan mensual'!E79+IF(parametros_manuales!$H$44="Todos",'Plan mensual'!E83,0))+parametros_manuales!$E$44*('Plan mensual'!E80+IF(parametros_manuales!$H$44="Todos",'Plan mensual'!E84,0))+parametros_manuales!$F$44*('Plan mensual'!E81+IF(parametros_manuales!$H$44="Todos",'Plan mensual'!E85,0))+parametros_manuales!$G$44*('Plan mensual'!E82+IF(parametros_manuales!$H$44="Todos",'Plan mensual'!E86,0)))*parametros_manuales!$I$44*parametros_manuales!$J$44</f>
        <v>19016.20568472</v>
      </c>
      <c r="D223" s="14" t="n">
        <f aca="false">(parametros_manuales!$D$44*('Plan mensual'!F79+IF(parametros_manuales!$H$44="Todos",'Plan mensual'!F83,0))+parametros_manuales!$E$44*('Plan mensual'!F80+IF(parametros_manuales!$H$44="Todos",'Plan mensual'!F84,0))+parametros_manuales!$F$44*('Plan mensual'!F81+IF(parametros_manuales!$H$44="Todos",'Plan mensual'!F85,0))+parametros_manuales!$G$44*('Plan mensual'!F82+IF(parametros_manuales!$H$44="Todos",'Plan mensual'!F86,0)))*parametros_manuales!$I$44*parametros_manuales!$J$44</f>
        <v>17765.139188765</v>
      </c>
      <c r="E223" s="14" t="n">
        <f aca="false">(parametros_manuales!$D$44*('Plan mensual'!G79+IF(parametros_manuales!$H$44="Todos",'Plan mensual'!G83,0))+parametros_manuales!$E$44*('Plan mensual'!G80+IF(parametros_manuales!$H$44="Todos",'Plan mensual'!G84,0))+parametros_manuales!$F$44*('Plan mensual'!G81+IF(parametros_manuales!$H$44="Todos",'Plan mensual'!G85,0))+parametros_manuales!$G$44*('Plan mensual'!G82+IF(parametros_manuales!$H$44="Todos",'Plan mensual'!G86,0)))*parametros_manuales!$I$44*parametros_manuales!$J$44</f>
        <v>16984.473796365</v>
      </c>
      <c r="F223" s="14" t="n">
        <f aca="false">(parametros_manuales!$D$44*('Plan mensual'!H79+IF(parametros_manuales!$H$44="Todos",'Plan mensual'!H83,0))+parametros_manuales!$E$44*('Plan mensual'!H80+IF(parametros_manuales!$H$44="Todos",'Plan mensual'!H84,0))+parametros_manuales!$F$44*('Plan mensual'!H81+IF(parametros_manuales!$H$44="Todos",'Plan mensual'!H85,0))+parametros_manuales!$G$44*('Plan mensual'!H82+IF(parametros_manuales!$H$44="Todos",'Plan mensual'!H86,0)))*parametros_manuales!$I$44*parametros_manuales!$J$44</f>
        <v>15893.54411512</v>
      </c>
      <c r="G223" s="14" t="n">
        <f aca="false">(parametros_manuales!$D$44*('Plan mensual'!I79+IF(parametros_manuales!$H$44="Todos",'Plan mensual'!I83,0))+parametros_manuales!$E$44*('Plan mensual'!I80+IF(parametros_manuales!$H$44="Todos",'Plan mensual'!I84,0))+parametros_manuales!$F$44*('Plan mensual'!I81+IF(parametros_manuales!$H$44="Todos",'Plan mensual'!I85,0))+parametros_manuales!$G$44*('Plan mensual'!I82+IF(parametros_manuales!$H$44="Todos",'Plan mensual'!I86,0)))*parametros_manuales!$I$44*parametros_manuales!$J$44</f>
        <v>15583.279826275</v>
      </c>
      <c r="H223" s="14" t="n">
        <f aca="false">(parametros_manuales!$D$44*('Plan mensual'!J79+IF(parametros_manuales!$H$44="Todos",'Plan mensual'!J83,0))+parametros_manuales!$E$44*('Plan mensual'!J80+IF(parametros_manuales!$H$44="Todos",'Plan mensual'!J84,0))+parametros_manuales!$F$44*('Plan mensual'!J81+IF(parametros_manuales!$H$44="Todos",'Plan mensual'!J85,0))+parametros_manuales!$G$44*('Plan mensual'!J82+IF(parametros_manuales!$H$44="Todos",'Plan mensual'!J86,0)))*parametros_manuales!$I$44*parametros_manuales!$J$44</f>
        <v>16674.20950752</v>
      </c>
      <c r="I223" s="14" t="n">
        <f aca="false">(parametros_manuales!$D$44*('Plan mensual'!K79+IF(parametros_manuales!$H$44="Todos",'Plan mensual'!K83,0))+parametros_manuales!$E$44*('Plan mensual'!K80+IF(parametros_manuales!$H$44="Todos",'Plan mensual'!K84,0))+parametros_manuales!$F$44*('Plan mensual'!K81+IF(parametros_manuales!$H$44="Todos",'Plan mensual'!K85,0))+parametros_manuales!$G$44*('Plan mensual'!K82+IF(parametros_manuales!$H$44="Todos",'Plan mensual'!K86,0)))*parametros_manuales!$I$44*parametros_manuales!$J$44</f>
        <v>16674.20950752</v>
      </c>
      <c r="J223" s="14" t="n">
        <f aca="false">(parametros_manuales!$D$44*('Plan mensual'!L79+IF(parametros_manuales!$H$44="Todos",'Plan mensual'!L83,0))+parametros_manuales!$E$44*('Plan mensual'!L80+IF(parametros_manuales!$H$44="Todos",'Plan mensual'!L84,0))+parametros_manuales!$F$44*('Plan mensual'!L81+IF(parametros_manuales!$H$44="Todos",'Plan mensual'!L85,0))+parametros_manuales!$G$44*('Plan mensual'!L82+IF(parametros_manuales!$H$44="Todos",'Plan mensual'!L86,0)))*parametros_manuales!$I$44*parametros_manuales!$J$44</f>
        <v>16674.20950752</v>
      </c>
      <c r="K223" s="14" t="n">
        <f aca="false">(parametros_manuales!$D$44*('Plan mensual'!M79+IF(parametros_manuales!$H$44="Todos",'Plan mensual'!M83,0))+parametros_manuales!$E$44*('Plan mensual'!M80+IF(parametros_manuales!$H$44="Todos",'Plan mensual'!M84,0))+parametros_manuales!$F$44*('Plan mensual'!M81+IF(parametros_manuales!$H$44="Todos",'Plan mensual'!M85,0))+parametros_manuales!$G$44*('Plan mensual'!M82+IF(parametros_manuales!$H$44="Todos",'Plan mensual'!M86,0)))*parametros_manuales!$I$44*parametros_manuales!$J$44</f>
        <v>16363.945218675</v>
      </c>
      <c r="L223" s="14" t="n">
        <f aca="false">(parametros_manuales!$D$44*('Plan mensual'!N79+IF(parametros_manuales!$H$44="Todos",'Plan mensual'!N83,0))+parametros_manuales!$E$44*('Plan mensual'!N80+IF(parametros_manuales!$H$44="Todos",'Plan mensual'!N84,0))+parametros_manuales!$F$44*('Plan mensual'!N81+IF(parametros_manuales!$H$44="Todos",'Plan mensual'!N85,0))+parametros_manuales!$G$44*('Plan mensual'!N82+IF(parametros_manuales!$H$44="Todos",'Plan mensual'!N86,0)))*parametros_manuales!$I$44*parametros_manuales!$J$44</f>
        <v>16053.68092983</v>
      </c>
      <c r="M223" s="14" t="n">
        <f aca="false">(parametros_manuales!$D$44*('Plan mensual'!O79+IF(parametros_manuales!$H$44="Todos",'Plan mensual'!O83,0))+parametros_manuales!$E$44*('Plan mensual'!O80+IF(parametros_manuales!$H$44="Todos",'Plan mensual'!O84,0))+parametros_manuales!$F$44*('Plan mensual'!O81+IF(parametros_manuales!$H$44="Todos",'Plan mensual'!O85,0))+parametros_manuales!$G$44*('Plan mensual'!O82+IF(parametros_manuales!$H$44="Todos",'Plan mensual'!O86,0)))*parametros_manuales!$I$44*parametros_manuales!$J$44</f>
        <v>25561.78377219</v>
      </c>
      <c r="N223" s="14" t="n">
        <f aca="false">SUM(B223:M223)</f>
        <v>218185.936249</v>
      </c>
      <c r="O223" s="14" t="n">
        <f aca="false">MAX(B223:M223)</f>
        <v>25561.78377219</v>
      </c>
      <c r="P223" s="57" t="n">
        <f aca="false">O223/(parametros_manuales!$B$7)</f>
        <v>170.4118918146</v>
      </c>
      <c r="Q223" s="13" t="str">
        <f aca="false">IF(O223=0,"-",INDEX($B$197:$M$197,MATCH(O223,B223:M223,0)))</f>
        <v>Dic</v>
      </c>
    </row>
    <row r="224" customFormat="false" ht="14.25" hidden="false" customHeight="true" outlineLevel="0" collapsed="false"/>
    <row r="225" customFormat="false" ht="14.25" hidden="false" customHeight="true" outlineLevel="0" collapsed="false">
      <c r="A225" s="12" t="s">
        <v>276</v>
      </c>
      <c r="B225" s="12" t="s">
        <v>37</v>
      </c>
      <c r="C225" s="12" t="s">
        <v>38</v>
      </c>
      <c r="D225" s="12" t="s">
        <v>39</v>
      </c>
      <c r="E225" s="12" t="s">
        <v>40</v>
      </c>
      <c r="F225" s="12" t="s">
        <v>41</v>
      </c>
      <c r="G225" s="12" t="s">
        <v>42</v>
      </c>
      <c r="H225" s="12" t="s">
        <v>43</v>
      </c>
      <c r="I225" s="12" t="s">
        <v>44</v>
      </c>
      <c r="J225" s="12" t="s">
        <v>45</v>
      </c>
      <c r="K225" s="12" t="s">
        <v>46</v>
      </c>
      <c r="L225" s="12" t="s">
        <v>47</v>
      </c>
      <c r="M225" s="12" t="s">
        <v>48</v>
      </c>
      <c r="N225" s="12" t="s">
        <v>261</v>
      </c>
      <c r="O225" s="12" t="s">
        <v>266</v>
      </c>
      <c r="P225" s="12" t="s">
        <v>267</v>
      </c>
      <c r="Q225" s="12" t="s">
        <v>268</v>
      </c>
    </row>
    <row r="226" customFormat="false" ht="14.25" hidden="false" customHeight="true" outlineLevel="0" collapsed="false">
      <c r="A226" s="13" t="str">
        <f aca="false">parametros_manuales!$B$19</f>
        <v>Recepción de materia prima</v>
      </c>
      <c r="B226" s="14" t="n">
        <f aca="false">(parametros_manuales!$D$19*('Plan mensual'!D90+IF(parametros_manuales!$H$19="Todos",'Plan mensual'!D94,0))+parametros_manuales!$E$19*('Plan mensual'!D91+IF(parametros_manuales!$H$19="Todos",'Plan mensual'!D95,0))+parametros_manuales!$F$19*('Plan mensual'!D92+IF(parametros_manuales!$H$19="Todos",'Plan mensual'!D96,0))+parametros_manuales!$G$19*('Plan mensual'!D93+IF(parametros_manuales!$H$19="Todos",'Plan mensual'!D97,0)))*parametros_manuales!$I$19*parametros_manuales!$J$19</f>
        <v>28127.6264215</v>
      </c>
      <c r="C226" s="14" t="n">
        <f aca="false">(parametros_manuales!$D$19*('Plan mensual'!E90+IF(parametros_manuales!$H$19="Todos",'Plan mensual'!E94,0))+parametros_manuales!$E$19*('Plan mensual'!E91+IF(parametros_manuales!$H$19="Todos",'Plan mensual'!E95,0))+parametros_manuales!$F$19*('Plan mensual'!E92+IF(parametros_manuales!$H$19="Todos",'Plan mensual'!E96,0))+parametros_manuales!$G$19*('Plan mensual'!E93+IF(parametros_manuales!$H$19="Todos",'Plan mensual'!E97,0)))*parametros_manuales!$I$19*parametros_manuales!$J$19</f>
        <v>21449.74232036</v>
      </c>
      <c r="D226" s="14" t="n">
        <f aca="false">(parametros_manuales!$D$19*('Plan mensual'!F90+IF(parametros_manuales!$H$19="Todos",'Plan mensual'!F94,0))+parametros_manuales!$E$19*('Plan mensual'!F91+IF(parametros_manuales!$H$19="Todos",'Plan mensual'!F95,0))+parametros_manuales!$F$19*('Plan mensual'!F92+IF(parametros_manuales!$H$19="Todos",'Plan mensual'!F96,0))+parametros_manuales!$G$19*('Plan mensual'!F93+IF(parametros_manuales!$H$19="Todos",'Plan mensual'!F97,0)))*parametros_manuales!$I$19*parametros_manuales!$J$19</f>
        <v>20049.833463195</v>
      </c>
      <c r="E226" s="14" t="n">
        <f aca="false">(parametros_manuales!$D$19*('Plan mensual'!G90+IF(parametros_manuales!$H$19="Todos",'Plan mensual'!G94,0))+parametros_manuales!$E$19*('Plan mensual'!G91+IF(parametros_manuales!$H$19="Todos",'Plan mensual'!G95,0))+parametros_manuales!$F$19*('Plan mensual'!G92+IF(parametros_manuales!$H$19="Todos",'Plan mensual'!G96,0))+parametros_manuales!$G$19*('Plan mensual'!G93+IF(parametros_manuales!$H$19="Todos",'Plan mensual'!G97,0)))*parametros_manuales!$I$19*parametros_manuales!$J$19</f>
        <v>19172.867782495</v>
      </c>
      <c r="F226" s="14" t="n">
        <f aca="false">(parametros_manuales!$D$19*('Plan mensual'!H90+IF(parametros_manuales!$H$19="Todos",'Plan mensual'!H94,0))+parametros_manuales!$E$19*('Plan mensual'!H91+IF(parametros_manuales!$H$19="Todos",'Plan mensual'!H95,0))+parametros_manuales!$F$19*('Plan mensual'!H92+IF(parametros_manuales!$H$19="Todos",'Plan mensual'!H96,0))+parametros_manuales!$G$19*('Plan mensual'!H93+IF(parametros_manuales!$H$19="Todos",'Plan mensual'!H97,0)))*parametros_manuales!$I$19*parametros_manuales!$J$19</f>
        <v>17941.87959756</v>
      </c>
      <c r="G226" s="14" t="n">
        <f aca="false">(parametros_manuales!$D$19*('Plan mensual'!I90+IF(parametros_manuales!$H$19="Todos",'Plan mensual'!I94,0))+parametros_manuales!$E$19*('Plan mensual'!I91+IF(parametros_manuales!$H$19="Todos",'Plan mensual'!I95,0))+parametros_manuales!$F$19*('Plan mensual'!I92+IF(parametros_manuales!$H$19="Todos",'Plan mensual'!I96,0))+parametros_manuales!$G$19*('Plan mensual'!I93+IF(parametros_manuales!$H$19="Todos",'Plan mensual'!I97,0)))*parametros_manuales!$I$19*parametros_manuales!$J$19</f>
        <v>17587.857093325</v>
      </c>
      <c r="H226" s="14" t="n">
        <f aca="false">(parametros_manuales!$D$19*('Plan mensual'!J90+IF(parametros_manuales!$H$19="Todos",'Plan mensual'!J94,0))+parametros_manuales!$E$19*('Plan mensual'!J91+IF(parametros_manuales!$H$19="Todos",'Plan mensual'!J95,0))+parametros_manuales!$F$19*('Plan mensual'!J92+IF(parametros_manuales!$H$19="Todos",'Plan mensual'!J96,0))+parametros_manuales!$G$19*('Plan mensual'!J93+IF(parametros_manuales!$H$19="Todos",'Plan mensual'!J97,0)))*parametros_manuales!$I$19*parametros_manuales!$J$19</f>
        <v>18818.84527826</v>
      </c>
      <c r="I226" s="14" t="n">
        <f aca="false">(parametros_manuales!$D$19*('Plan mensual'!K90+IF(parametros_manuales!$H$19="Todos",'Plan mensual'!K94,0))+parametros_manuales!$E$19*('Plan mensual'!K91+IF(parametros_manuales!$H$19="Todos",'Plan mensual'!K95,0))+parametros_manuales!$F$19*('Plan mensual'!K92+IF(parametros_manuales!$H$19="Todos",'Plan mensual'!K96,0))+parametros_manuales!$G$19*('Plan mensual'!K93+IF(parametros_manuales!$H$19="Todos",'Plan mensual'!K97,0)))*parametros_manuales!$I$19*parametros_manuales!$J$19</f>
        <v>18818.84527826</v>
      </c>
      <c r="J226" s="14" t="n">
        <f aca="false">(parametros_manuales!$D$19*('Plan mensual'!L90+IF(parametros_manuales!$H$19="Todos",'Plan mensual'!L94,0))+parametros_manuales!$E$19*('Plan mensual'!L91+IF(parametros_manuales!$H$19="Todos",'Plan mensual'!L95,0))+parametros_manuales!$F$19*('Plan mensual'!L92+IF(parametros_manuales!$H$19="Todos",'Plan mensual'!L96,0))+parametros_manuales!$G$19*('Plan mensual'!L93+IF(parametros_manuales!$H$19="Todos",'Plan mensual'!L97,0)))*parametros_manuales!$I$19*parametros_manuales!$J$19</f>
        <v>18818.84527826</v>
      </c>
      <c r="K226" s="14" t="n">
        <f aca="false">(parametros_manuales!$D$19*('Plan mensual'!M90+IF(parametros_manuales!$H$19="Todos",'Plan mensual'!M94,0))+parametros_manuales!$E$19*('Plan mensual'!M91+IF(parametros_manuales!$H$19="Todos",'Plan mensual'!M95,0))+parametros_manuales!$F$19*('Plan mensual'!M92+IF(parametros_manuales!$H$19="Todos",'Plan mensual'!M96,0))+parametros_manuales!$G$19*('Plan mensual'!M93+IF(parametros_manuales!$H$19="Todos",'Plan mensual'!M97,0)))*parametros_manuales!$I$19*parametros_manuales!$J$19</f>
        <v>18464.822774025</v>
      </c>
      <c r="L226" s="14" t="n">
        <f aca="false">(parametros_manuales!$D$19*('Plan mensual'!N90+IF(parametros_manuales!$H$19="Todos",'Plan mensual'!N94,0))+parametros_manuales!$E$19*('Plan mensual'!N91+IF(parametros_manuales!$H$19="Todos",'Plan mensual'!N95,0))+parametros_manuales!$F$19*('Plan mensual'!N92+IF(parametros_manuales!$H$19="Todos",'Plan mensual'!N96,0))+parametros_manuales!$G$19*('Plan mensual'!N93+IF(parametros_manuales!$H$19="Todos",'Plan mensual'!N97,0)))*parametros_manuales!$I$19*parametros_manuales!$J$19</f>
        <v>18110.80026979</v>
      </c>
      <c r="M226" s="14" t="n">
        <f aca="false">(parametros_manuales!$D$19*('Plan mensual'!O90+IF(parametros_manuales!$H$19="Todos",'Plan mensual'!O94,0))+parametros_manuales!$E$19*('Plan mensual'!O91+IF(parametros_manuales!$H$19="Todos",'Plan mensual'!O95,0))+parametros_manuales!$F$19*('Plan mensual'!O92+IF(parametros_manuales!$H$19="Todos",'Plan mensual'!O96,0))+parametros_manuales!$G$19*('Plan mensual'!O93+IF(parametros_manuales!$H$19="Todos",'Plan mensual'!O97,0)))*parametros_manuales!$I$19*parametros_manuales!$J$19</f>
        <v>28835.67142997</v>
      </c>
      <c r="N226" s="14" t="n">
        <f aca="false">SUM(B226:M226)</f>
        <v>246197.636987</v>
      </c>
      <c r="O226" s="14" t="n">
        <f aca="false">MAX(B226:M226)</f>
        <v>28835.67142997</v>
      </c>
      <c r="P226" s="57" t="n">
        <f aca="false">O226/(parametros_manuales!$B$7)</f>
        <v>192.237809533133</v>
      </c>
      <c r="Q226" s="13" t="str">
        <f aca="false">IF(O226=0,"-",INDEX($B$225:$M$225,MATCH(O226,B226:M226,0)))</f>
        <v>Dic</v>
      </c>
    </row>
    <row r="227" customFormat="false" ht="14.25" hidden="false" customHeight="true" outlineLevel="0" collapsed="false">
      <c r="A227" s="13" t="str">
        <f aca="false">parametros_manuales!$B$20</f>
        <v>Corte de chapa — 1.er corte en franjas (guillotina 1, manuales + carros)</v>
      </c>
      <c r="B227" s="14" t="n">
        <f aca="false">(parametros_manuales!$D$20*('Plan mensual'!D90+IF(parametros_manuales!$H$20="Todos",'Plan mensual'!D94,0))+parametros_manuales!$E$20*('Plan mensual'!D91+IF(parametros_manuales!$H$20="Todos",'Plan mensual'!D95,0))+parametros_manuales!$F$20*('Plan mensual'!D92+IF(parametros_manuales!$H$20="Todos",'Plan mensual'!D96,0))+parametros_manuales!$G$20*('Plan mensual'!D93+IF(parametros_manuales!$H$20="Todos",'Plan mensual'!D97,0)))*parametros_manuales!$I$20*parametros_manuales!$J$20+parametros_manuales!$B$156</f>
        <v>29796.0234987007</v>
      </c>
      <c r="C227" s="14" t="n">
        <f aca="false">(parametros_manuales!$D$20*('Plan mensual'!E90+IF(parametros_manuales!$H$20="Todos",'Plan mensual'!E94,0))+parametros_manuales!$E$20*('Plan mensual'!E91+IF(parametros_manuales!$H$20="Todos",'Plan mensual'!E95,0))+parametros_manuales!$F$20*('Plan mensual'!E92+IF(parametros_manuales!$H$20="Todos",'Plan mensual'!E96,0))+parametros_manuales!$G$20*('Plan mensual'!E93+IF(parametros_manuales!$H$20="Todos",'Plan mensual'!E97,0)))*parametros_manuales!$I$20*parametros_manuales!$J$20+parametros_manuales!$C$156</f>
        <v>22921.8573884782</v>
      </c>
      <c r="D227" s="14" t="n">
        <f aca="false">(parametros_manuales!$D$20*('Plan mensual'!F90+IF(parametros_manuales!$H$20="Todos",'Plan mensual'!F94,0))+parametros_manuales!$E$20*('Plan mensual'!F91+IF(parametros_manuales!$H$20="Todos",'Plan mensual'!F95,0))+parametros_manuales!$F$20*('Plan mensual'!F92+IF(parametros_manuales!$H$20="Todos",'Plan mensual'!F96,0))+parametros_manuales!$G$20*('Plan mensual'!F93+IF(parametros_manuales!$H$20="Todos",'Plan mensual'!F97,0)))*parametros_manuales!$I$20*parametros_manuales!$J$20+parametros_manuales!$D$156</f>
        <v>21816.3715449369</v>
      </c>
      <c r="E227" s="14" t="n">
        <f aca="false">(parametros_manuales!$D$20*('Plan mensual'!G90+IF(parametros_manuales!$H$20="Todos",'Plan mensual'!G94,0))+parametros_manuales!$E$20*('Plan mensual'!G91+IF(parametros_manuales!$H$20="Todos",'Plan mensual'!G95,0))+parametros_manuales!$F$20*('Plan mensual'!G92+IF(parametros_manuales!$H$20="Todos",'Plan mensual'!G96,0))+parametros_manuales!$G$20*('Plan mensual'!G93+IF(parametros_manuales!$H$20="Todos",'Plan mensual'!G97,0)))*parametros_manuales!$I$20*parametros_manuales!$J$20+parametros_manuales!$E$156</f>
        <v>20939.4058642369</v>
      </c>
      <c r="F227" s="14" t="n">
        <f aca="false">(parametros_manuales!$D$20*('Plan mensual'!H90+IF(parametros_manuales!$H$20="Todos",'Plan mensual'!H94,0))+parametros_manuales!$E$20*('Plan mensual'!H91+IF(parametros_manuales!$H$20="Todos",'Plan mensual'!H95,0))+parametros_manuales!$F$20*('Plan mensual'!H92+IF(parametros_manuales!$H$20="Todos",'Plan mensual'!H96,0))+parametros_manuales!$G$20*('Plan mensual'!H93+IF(parametros_manuales!$H$20="Todos",'Plan mensual'!H97,0)))*parametros_manuales!$I$20*parametros_manuales!$J$20+parametros_manuales!$F$156</f>
        <v>19708.4176793019</v>
      </c>
      <c r="G227" s="14" t="n">
        <f aca="false">(parametros_manuales!$D$20*('Plan mensual'!I90+IF(parametros_manuales!$H$20="Todos",'Plan mensual'!I94,0))+parametros_manuales!$E$20*('Plan mensual'!I91+IF(parametros_manuales!$H$20="Todos",'Plan mensual'!I95,0))+parametros_manuales!$F$20*('Plan mensual'!I92+IF(parametros_manuales!$H$20="Todos",'Plan mensual'!I96,0))+parametros_manuales!$G$20*('Plan mensual'!I93+IF(parametros_manuales!$H$20="Todos",'Plan mensual'!I97,0)))*parametros_manuales!$I$20*parametros_manuales!$J$20+parametros_manuales!$G$156</f>
        <v>19158.1131659845</v>
      </c>
      <c r="H227" s="14" t="n">
        <f aca="false">(parametros_manuales!$D$20*('Plan mensual'!J90+IF(parametros_manuales!$H$20="Todos",'Plan mensual'!J94,0))+parametros_manuales!$E$20*('Plan mensual'!J91+IF(parametros_manuales!$H$20="Todos",'Plan mensual'!J95,0))+parametros_manuales!$F$20*('Plan mensual'!J92+IF(parametros_manuales!$H$20="Todos",'Plan mensual'!J96,0))+parametros_manuales!$G$20*('Plan mensual'!J93+IF(parametros_manuales!$H$20="Todos",'Plan mensual'!J97,0)))*parametros_manuales!$I$20*parametros_manuales!$J$20+parametros_manuales!$H$156</f>
        <v>20585.3833600019</v>
      </c>
      <c r="I227" s="14" t="n">
        <f aca="false">(parametros_manuales!$D$20*('Plan mensual'!K90+IF(parametros_manuales!$H$20="Todos",'Plan mensual'!K94,0))+parametros_manuales!$E$20*('Plan mensual'!K91+IF(parametros_manuales!$H$20="Todos",'Plan mensual'!K95,0))+parametros_manuales!$F$20*('Plan mensual'!K92+IF(parametros_manuales!$H$20="Todos",'Plan mensual'!K96,0))+parametros_manuales!$G$20*('Plan mensual'!K93+IF(parametros_manuales!$H$20="Todos",'Plan mensual'!K97,0)))*parametros_manuales!$I$20*parametros_manuales!$J$20+parametros_manuales!$I$156</f>
        <v>20585.3833600019</v>
      </c>
      <c r="J227" s="14" t="n">
        <f aca="false">(parametros_manuales!$D$20*('Plan mensual'!L90+IF(parametros_manuales!$H$20="Todos",'Plan mensual'!L94,0))+parametros_manuales!$E$20*('Plan mensual'!L91+IF(parametros_manuales!$H$20="Todos",'Plan mensual'!L95,0))+parametros_manuales!$F$20*('Plan mensual'!L92+IF(parametros_manuales!$H$20="Todos",'Plan mensual'!L96,0))+parametros_manuales!$G$20*('Plan mensual'!L93+IF(parametros_manuales!$H$20="Todos",'Plan mensual'!L97,0)))*parametros_manuales!$I$20*parametros_manuales!$J$20+parametros_manuales!$J$156</f>
        <v>20487.2423554607</v>
      </c>
      <c r="K227" s="14" t="n">
        <f aca="false">(parametros_manuales!$D$20*('Plan mensual'!M90+IF(parametros_manuales!$H$20="Todos",'Plan mensual'!M94,0))+parametros_manuales!$E$20*('Plan mensual'!M91+IF(parametros_manuales!$H$20="Todos",'Plan mensual'!M95,0))+parametros_manuales!$F$20*('Plan mensual'!M92+IF(parametros_manuales!$H$20="Todos",'Plan mensual'!M96,0))+parametros_manuales!$G$20*('Plan mensual'!M93+IF(parametros_manuales!$H$20="Todos",'Plan mensual'!M97,0)))*parametros_manuales!$I$20*parametros_manuales!$J$20+parametros_manuales!$K$156</f>
        <v>19936.9378421432</v>
      </c>
      <c r="L227" s="14" t="n">
        <f aca="false">(parametros_manuales!$D$20*('Plan mensual'!N90+IF(parametros_manuales!$H$20="Todos",'Plan mensual'!N94,0))+parametros_manuales!$E$20*('Plan mensual'!N91+IF(parametros_manuales!$H$20="Todos",'Plan mensual'!N95,0))+parametros_manuales!$F$20*('Plan mensual'!N92+IF(parametros_manuales!$H$20="Todos",'Plan mensual'!N96,0))+parametros_manuales!$G$20*('Plan mensual'!N93+IF(parametros_manuales!$H$20="Todos",'Plan mensual'!N97,0)))*parametros_manuales!$I$20*parametros_manuales!$J$20+parametros_manuales!$L$156</f>
        <v>19484.774333367</v>
      </c>
      <c r="M227" s="14" t="n">
        <f aca="false">(parametros_manuales!$D$20*('Plan mensual'!O90+IF(parametros_manuales!$H$20="Todos",'Plan mensual'!O94,0))+parametros_manuales!$E$20*('Plan mensual'!O91+IF(parametros_manuales!$H$20="Todos",'Plan mensual'!O95,0))+parametros_manuales!$F$20*('Plan mensual'!O92+IF(parametros_manuales!$H$20="Todos",'Plan mensual'!O96,0))+parametros_manuales!$G$20*('Plan mensual'!O93+IF(parametros_manuales!$H$20="Todos",'Plan mensual'!O97,0)))*parametros_manuales!$I$20*parametros_manuales!$J$20+parametros_manuales!$M$156</f>
        <v>30405.9275026295</v>
      </c>
      <c r="N227" s="14" t="n">
        <f aca="false">SUM(B227:M227)</f>
        <v>265825.837895243</v>
      </c>
      <c r="O227" s="14" t="n">
        <f aca="false">MAX(B227:M227)</f>
        <v>30405.9275026295</v>
      </c>
      <c r="P227" s="57" t="n">
        <f aca="false">O227/(parametros_manuales!$B$7)</f>
        <v>202.706183350863</v>
      </c>
      <c r="Q227" s="13" t="str">
        <f aca="false">IF(O227=0,"-",INDEX($B$225:$M$225,MATCH(O227,B227:M227,0)))</f>
        <v>Dic</v>
      </c>
    </row>
    <row r="228" customFormat="false" ht="14.25" hidden="false" customHeight="true" outlineLevel="0" collapsed="false">
      <c r="A228" s="13" t="str">
        <f aca="false">parametros_manuales!$B$21</f>
        <v>Corte de chapa — 2.º corte en piezas (guillotina 2, manuales + carros)</v>
      </c>
      <c r="B228" s="14" t="n">
        <f aca="false">(parametros_manuales!$D$21*('Plan mensual'!D90+IF(parametros_manuales!$H$21="Todos",'Plan mensual'!D94,0))+parametros_manuales!$E$21*('Plan mensual'!D91+IF(parametros_manuales!$H$21="Todos",'Plan mensual'!D95,0))+parametros_manuales!$F$21*('Plan mensual'!D92+IF(parametros_manuales!$H$21="Todos",'Plan mensual'!D96,0))+parametros_manuales!$G$21*('Plan mensual'!D93+IF(parametros_manuales!$H$21="Todos",'Plan mensual'!D97,0)))*parametros_manuales!$I$21*parametros_manuales!$J$21+parametros_manuales!$B$168</f>
        <v>30293.8940607236</v>
      </c>
      <c r="C228" s="14" t="n">
        <f aca="false">(parametros_manuales!$D$21*('Plan mensual'!E90+IF(parametros_manuales!$H$21="Todos",'Plan mensual'!E94,0))+parametros_manuales!$E$21*('Plan mensual'!E91+IF(parametros_manuales!$H$21="Todos",'Plan mensual'!E95,0))+parametros_manuales!$F$21*('Plan mensual'!E92+IF(parametros_manuales!$H$21="Todos",'Plan mensual'!E96,0))+parametros_manuales!$G$21*('Plan mensual'!E93+IF(parametros_manuales!$H$21="Todos",'Plan mensual'!E97,0)))*parametros_manuales!$I$21*parametros_manuales!$J$21+parametros_manuales!$C$168</f>
        <v>23361.1549432044</v>
      </c>
      <c r="D228" s="14" t="n">
        <f aca="false">(parametros_manuales!$D$21*('Plan mensual'!F90+IF(parametros_manuales!$H$21="Todos",'Plan mensual'!F94,0))+parametros_manuales!$E$21*('Plan mensual'!F91+IF(parametros_manuales!$H$21="Todos",'Plan mensual'!F95,0))+parametros_manuales!$F$21*('Plan mensual'!F92+IF(parametros_manuales!$H$21="Todos",'Plan mensual'!F96,0))+parametros_manuales!$G$21*('Plan mensual'!F93+IF(parametros_manuales!$H$21="Todos",'Plan mensual'!F97,0)))*parametros_manuales!$I$21*parametros_manuales!$J$21+parametros_manuales!$D$168</f>
        <v>22343.5286106083</v>
      </c>
      <c r="E228" s="14" t="n">
        <f aca="false">(parametros_manuales!$D$21*('Plan mensual'!G90+IF(parametros_manuales!$H$21="Todos",'Plan mensual'!G94,0))+parametros_manuales!$E$21*('Plan mensual'!G91+IF(parametros_manuales!$H$21="Todos",'Plan mensual'!G95,0))+parametros_manuales!$F$21*('Plan mensual'!G92+IF(parametros_manuales!$H$21="Todos",'Plan mensual'!G96,0))+parametros_manuales!$G$21*('Plan mensual'!G93+IF(parametros_manuales!$H$21="Todos",'Plan mensual'!G97,0)))*parametros_manuales!$I$21*parametros_manuales!$J$21+parametros_manuales!$E$168</f>
        <v>21466.5629299083</v>
      </c>
      <c r="F228" s="14" t="n">
        <f aca="false">(parametros_manuales!$D$21*('Plan mensual'!H90+IF(parametros_manuales!$H$21="Todos",'Plan mensual'!H94,0))+parametros_manuales!$E$21*('Plan mensual'!H91+IF(parametros_manuales!$H$21="Todos",'Plan mensual'!H95,0))+parametros_manuales!$F$21*('Plan mensual'!H92+IF(parametros_manuales!$H$21="Todos",'Plan mensual'!H96,0))+parametros_manuales!$G$21*('Plan mensual'!H93+IF(parametros_manuales!$H$21="Todos",'Plan mensual'!H97,0)))*parametros_manuales!$I$21*parametros_manuales!$J$21+parametros_manuales!$F$168</f>
        <v>20235.5747449733</v>
      </c>
      <c r="G228" s="14" t="n">
        <f aca="false">(parametros_manuales!$D$21*('Plan mensual'!I90+IF(parametros_manuales!$H$21="Todos",'Plan mensual'!I94,0))+parametros_manuales!$E$21*('Plan mensual'!I91+IF(parametros_manuales!$H$21="Todos",'Plan mensual'!I95,0))+parametros_manuales!$F$21*('Plan mensual'!I92+IF(parametros_manuales!$H$21="Todos",'Plan mensual'!I96,0))+parametros_manuales!$G$21*('Plan mensual'!I93+IF(parametros_manuales!$H$21="Todos",'Plan mensual'!I97,0)))*parametros_manuales!$I$21*parametros_manuales!$J$21+parametros_manuales!$G$168</f>
        <v>19626.697224359</v>
      </c>
      <c r="H228" s="14" t="n">
        <f aca="false">(parametros_manuales!$D$21*('Plan mensual'!J90+IF(parametros_manuales!$H$21="Todos",'Plan mensual'!J94,0))+parametros_manuales!$E$21*('Plan mensual'!J91+IF(parametros_manuales!$H$21="Todos",'Plan mensual'!J95,0))+parametros_manuales!$F$21*('Plan mensual'!J92+IF(parametros_manuales!$H$21="Todos",'Plan mensual'!J96,0))+parametros_manuales!$G$21*('Plan mensual'!J93+IF(parametros_manuales!$H$21="Todos",'Plan mensual'!J97,0)))*parametros_manuales!$I$21*parametros_manuales!$J$21+parametros_manuales!$H$168</f>
        <v>21112.5404256733</v>
      </c>
      <c r="I228" s="14" t="n">
        <f aca="false">(parametros_manuales!$D$21*('Plan mensual'!K90+IF(parametros_manuales!$H$21="Todos",'Plan mensual'!K94,0))+parametros_manuales!$E$21*('Plan mensual'!K91+IF(parametros_manuales!$H$21="Todos",'Plan mensual'!K95,0))+parametros_manuales!$F$21*('Plan mensual'!K92+IF(parametros_manuales!$H$21="Todos",'Plan mensual'!K96,0))+parametros_manuales!$G$21*('Plan mensual'!K93+IF(parametros_manuales!$H$21="Todos",'Plan mensual'!K97,0)))*parametros_manuales!$I$21*parametros_manuales!$J$21+parametros_manuales!$I$168</f>
        <v>21112.5404256733</v>
      </c>
      <c r="J228" s="14" t="n">
        <f aca="false">(parametros_manuales!$D$21*('Plan mensual'!L90+IF(parametros_manuales!$H$21="Todos",'Plan mensual'!L94,0))+parametros_manuales!$E$21*('Plan mensual'!L91+IF(parametros_manuales!$H$21="Todos",'Plan mensual'!L95,0))+parametros_manuales!$F$21*('Plan mensual'!L92+IF(parametros_manuales!$H$21="Todos",'Plan mensual'!L96,0))+parametros_manuales!$G$21*('Plan mensual'!L93+IF(parametros_manuales!$H$21="Todos",'Plan mensual'!L97,0)))*parametros_manuales!$I$21*parametros_manuales!$J$21+parametros_manuales!$J$168</f>
        <v>20985.1129174837</v>
      </c>
      <c r="K228" s="14" t="n">
        <f aca="false">(parametros_manuales!$D$21*('Plan mensual'!M90+IF(parametros_manuales!$H$21="Todos",'Plan mensual'!M94,0))+parametros_manuales!$E$21*('Plan mensual'!M91+IF(parametros_manuales!$H$21="Todos",'Plan mensual'!M95,0))+parametros_manuales!$F$21*('Plan mensual'!M92+IF(parametros_manuales!$H$21="Todos",'Plan mensual'!M96,0))+parametros_manuales!$G$21*('Plan mensual'!M93+IF(parametros_manuales!$H$21="Todos",'Plan mensual'!M97,0)))*parametros_manuales!$I$21*parametros_manuales!$J$21+parametros_manuales!$K$168</f>
        <v>20376.2353968694</v>
      </c>
      <c r="L228" s="14" t="n">
        <f aca="false">(parametros_manuales!$D$21*('Plan mensual'!N90+IF(parametros_manuales!$H$21="Todos",'Plan mensual'!N94,0))+parametros_manuales!$E$21*('Plan mensual'!N91+IF(parametros_manuales!$H$21="Todos",'Plan mensual'!N95,0))+parametros_manuales!$F$21*('Plan mensual'!N92+IF(parametros_manuales!$H$21="Todos",'Plan mensual'!N96,0))+parametros_manuales!$G$21*('Plan mensual'!N93+IF(parametros_manuales!$H$21="Todos",'Plan mensual'!N97,0)))*parametros_manuales!$I$21*parametros_manuales!$J$21+parametros_manuales!$L$168</f>
        <v>19894.7853844448</v>
      </c>
      <c r="M228" s="14" t="n">
        <f aca="false">(parametros_manuales!$D$21*('Plan mensual'!O90+IF(parametros_manuales!$H$21="Todos",'Plan mensual'!O94,0))+parametros_manuales!$E$21*('Plan mensual'!O91+IF(parametros_manuales!$H$21="Todos",'Plan mensual'!O95,0))+parametros_manuales!$F$21*('Plan mensual'!O92+IF(parametros_manuales!$H$21="Todos",'Plan mensual'!O96,0))+parametros_manuales!$G$21*('Plan mensual'!O93+IF(parametros_manuales!$H$21="Todos",'Plan mensual'!O97,0)))*parametros_manuales!$I$21*parametros_manuales!$J$21+parametros_manuales!$M$168</f>
        <v>30874.511561004</v>
      </c>
      <c r="N228" s="14" t="n">
        <f aca="false">SUM(B228:M228)</f>
        <v>271683.138624925</v>
      </c>
      <c r="O228" s="14" t="n">
        <f aca="false">MAX(B228:M228)</f>
        <v>30874.511561004</v>
      </c>
      <c r="P228" s="57" t="n">
        <f aca="false">O228/(parametros_manuales!$B$7)</f>
        <v>205.83007707336</v>
      </c>
      <c r="Q228" s="13" t="str">
        <f aca="false">IF(O228=0,"-",INDEX($B$225:$M$225,MATCH(O228,B228:M228,0)))</f>
        <v>Dic</v>
      </c>
    </row>
    <row r="229" customFormat="false" ht="14.25" hidden="false" customHeight="true" outlineLevel="0" collapsed="false">
      <c r="A229" s="13" t="str">
        <f aca="false">parametros_manuales!$B$22</f>
        <v>Corte de disco y embutido (cúpula y fondo)</v>
      </c>
      <c r="B229" s="14" t="n">
        <f aca="false">(parametros_manuales!$D$22*('Plan mensual'!D90+IF(parametros_manuales!$H$22="Todos",'Plan mensual'!D94,0))+parametros_manuales!$E$22*('Plan mensual'!D91+IF(parametros_manuales!$H$22="Todos",'Plan mensual'!D95,0))+parametros_manuales!$F$22*('Plan mensual'!D92+IF(parametros_manuales!$H$22="Todos",'Plan mensual'!D96,0))+parametros_manuales!$G$22*('Plan mensual'!D93+IF(parametros_manuales!$H$22="Todos",'Plan mensual'!D97,0)))*parametros_manuales!$I$22*parametros_manuales!$J$22</f>
        <v>56255.252843</v>
      </c>
      <c r="C229" s="14" t="n">
        <f aca="false">(parametros_manuales!$D$22*('Plan mensual'!E90+IF(parametros_manuales!$H$22="Todos",'Plan mensual'!E94,0))+parametros_manuales!$E$22*('Plan mensual'!E91+IF(parametros_manuales!$H$22="Todos",'Plan mensual'!E95,0))+parametros_manuales!$F$22*('Plan mensual'!E92+IF(parametros_manuales!$H$22="Todos",'Plan mensual'!E96,0))+parametros_manuales!$G$22*('Plan mensual'!E93+IF(parametros_manuales!$H$22="Todos",'Plan mensual'!E97,0)))*parametros_manuales!$I$22*parametros_manuales!$J$22</f>
        <v>42899.48464072</v>
      </c>
      <c r="D229" s="14" t="n">
        <f aca="false">(parametros_manuales!$D$22*('Plan mensual'!F90+IF(parametros_manuales!$H$22="Todos",'Plan mensual'!F94,0))+parametros_manuales!$E$22*('Plan mensual'!F91+IF(parametros_manuales!$H$22="Todos",'Plan mensual'!F95,0))+parametros_manuales!$F$22*('Plan mensual'!F92+IF(parametros_manuales!$H$22="Todos",'Plan mensual'!F96,0))+parametros_manuales!$G$22*('Plan mensual'!F93+IF(parametros_manuales!$H$22="Todos",'Plan mensual'!F97,0)))*parametros_manuales!$I$22*parametros_manuales!$J$22</f>
        <v>40099.66692639</v>
      </c>
      <c r="E229" s="14" t="n">
        <f aca="false">(parametros_manuales!$D$22*('Plan mensual'!G90+IF(parametros_manuales!$H$22="Todos",'Plan mensual'!G94,0))+parametros_manuales!$E$22*('Plan mensual'!G91+IF(parametros_manuales!$H$22="Todos",'Plan mensual'!G95,0))+parametros_manuales!$F$22*('Plan mensual'!G92+IF(parametros_manuales!$H$22="Todos",'Plan mensual'!G96,0))+parametros_manuales!$G$22*('Plan mensual'!G93+IF(parametros_manuales!$H$22="Todos",'Plan mensual'!G97,0)))*parametros_manuales!$I$22*parametros_manuales!$J$22</f>
        <v>38345.73556499</v>
      </c>
      <c r="F229" s="14" t="n">
        <f aca="false">(parametros_manuales!$D$22*('Plan mensual'!H90+IF(parametros_manuales!$H$22="Todos",'Plan mensual'!H94,0))+parametros_manuales!$E$22*('Plan mensual'!H91+IF(parametros_manuales!$H$22="Todos",'Plan mensual'!H95,0))+parametros_manuales!$F$22*('Plan mensual'!H92+IF(parametros_manuales!$H$22="Todos",'Plan mensual'!H96,0))+parametros_manuales!$G$22*('Plan mensual'!H93+IF(parametros_manuales!$H$22="Todos",'Plan mensual'!H97,0)))*parametros_manuales!$I$22*parametros_manuales!$J$22</f>
        <v>35883.75919512</v>
      </c>
      <c r="G229" s="14" t="n">
        <f aca="false">(parametros_manuales!$D$22*('Plan mensual'!I90+IF(parametros_manuales!$H$22="Todos",'Plan mensual'!I94,0))+parametros_manuales!$E$22*('Plan mensual'!I91+IF(parametros_manuales!$H$22="Todos",'Plan mensual'!I95,0))+parametros_manuales!$F$22*('Plan mensual'!I92+IF(parametros_manuales!$H$22="Todos",'Plan mensual'!I96,0))+parametros_manuales!$G$22*('Plan mensual'!I93+IF(parametros_manuales!$H$22="Todos",'Plan mensual'!I97,0)))*parametros_manuales!$I$22*parametros_manuales!$J$22</f>
        <v>35175.71418665</v>
      </c>
      <c r="H229" s="14" t="n">
        <f aca="false">(parametros_manuales!$D$22*('Plan mensual'!J90+IF(parametros_manuales!$H$22="Todos",'Plan mensual'!J94,0))+parametros_manuales!$E$22*('Plan mensual'!J91+IF(parametros_manuales!$H$22="Todos",'Plan mensual'!J95,0))+parametros_manuales!$F$22*('Plan mensual'!J92+IF(parametros_manuales!$H$22="Todos",'Plan mensual'!J96,0))+parametros_manuales!$G$22*('Plan mensual'!J93+IF(parametros_manuales!$H$22="Todos",'Plan mensual'!J97,0)))*parametros_manuales!$I$22*parametros_manuales!$J$22</f>
        <v>37637.69055652</v>
      </c>
      <c r="I229" s="14" t="n">
        <f aca="false">(parametros_manuales!$D$22*('Plan mensual'!K90+IF(parametros_manuales!$H$22="Todos",'Plan mensual'!K94,0))+parametros_manuales!$E$22*('Plan mensual'!K91+IF(parametros_manuales!$H$22="Todos",'Plan mensual'!K95,0))+parametros_manuales!$F$22*('Plan mensual'!K92+IF(parametros_manuales!$H$22="Todos",'Plan mensual'!K96,0))+parametros_manuales!$G$22*('Plan mensual'!K93+IF(parametros_manuales!$H$22="Todos",'Plan mensual'!K97,0)))*parametros_manuales!$I$22*parametros_manuales!$J$22</f>
        <v>37637.69055652</v>
      </c>
      <c r="J229" s="14" t="n">
        <f aca="false">(parametros_manuales!$D$22*('Plan mensual'!L90+IF(parametros_manuales!$H$22="Todos",'Plan mensual'!L94,0))+parametros_manuales!$E$22*('Plan mensual'!L91+IF(parametros_manuales!$H$22="Todos",'Plan mensual'!L95,0))+parametros_manuales!$F$22*('Plan mensual'!L92+IF(parametros_manuales!$H$22="Todos",'Plan mensual'!L96,0))+parametros_manuales!$G$22*('Plan mensual'!L93+IF(parametros_manuales!$H$22="Todos",'Plan mensual'!L97,0)))*parametros_manuales!$I$22*parametros_manuales!$J$22</f>
        <v>37637.69055652</v>
      </c>
      <c r="K229" s="14" t="n">
        <f aca="false">(parametros_manuales!$D$22*('Plan mensual'!M90+IF(parametros_manuales!$H$22="Todos",'Plan mensual'!M94,0))+parametros_manuales!$E$22*('Plan mensual'!M91+IF(parametros_manuales!$H$22="Todos",'Plan mensual'!M95,0))+parametros_manuales!$F$22*('Plan mensual'!M92+IF(parametros_manuales!$H$22="Todos",'Plan mensual'!M96,0))+parametros_manuales!$G$22*('Plan mensual'!M93+IF(parametros_manuales!$H$22="Todos",'Plan mensual'!M97,0)))*parametros_manuales!$I$22*parametros_manuales!$J$22</f>
        <v>36929.64554805</v>
      </c>
      <c r="L229" s="14" t="n">
        <f aca="false">(parametros_manuales!$D$22*('Plan mensual'!N90+IF(parametros_manuales!$H$22="Todos",'Plan mensual'!N94,0))+parametros_manuales!$E$22*('Plan mensual'!N91+IF(parametros_manuales!$H$22="Todos",'Plan mensual'!N95,0))+parametros_manuales!$F$22*('Plan mensual'!N92+IF(parametros_manuales!$H$22="Todos",'Plan mensual'!N96,0))+parametros_manuales!$G$22*('Plan mensual'!N93+IF(parametros_manuales!$H$22="Todos",'Plan mensual'!N97,0)))*parametros_manuales!$I$22*parametros_manuales!$J$22</f>
        <v>36221.60053958</v>
      </c>
      <c r="M229" s="14" t="n">
        <f aca="false">(parametros_manuales!$D$22*('Plan mensual'!O90+IF(parametros_manuales!$H$22="Todos",'Plan mensual'!O94,0))+parametros_manuales!$E$22*('Plan mensual'!O91+IF(parametros_manuales!$H$22="Todos",'Plan mensual'!O95,0))+parametros_manuales!$F$22*('Plan mensual'!O92+IF(parametros_manuales!$H$22="Todos",'Plan mensual'!O96,0))+parametros_manuales!$G$22*('Plan mensual'!O93+IF(parametros_manuales!$H$22="Todos",'Plan mensual'!O97,0)))*parametros_manuales!$I$22*parametros_manuales!$J$22</f>
        <v>57671.34285994</v>
      </c>
      <c r="N229" s="14" t="n">
        <f aca="false">SUM(B229:M229)</f>
        <v>492395.273974</v>
      </c>
      <c r="O229" s="14" t="n">
        <f aca="false">MAX(B229:M229)</f>
        <v>57671.34285994</v>
      </c>
      <c r="P229" s="57" t="n">
        <f aca="false">O229/(parametros_manuales!$B$7)</f>
        <v>384.475619066267</v>
      </c>
      <c r="Q229" s="13" t="str">
        <f aca="false">IF(O229=0,"-",INDEX($B$225:$M$225,MATCH(O229,B229:M229,0)))</f>
        <v>Dic</v>
      </c>
    </row>
    <row r="230" customFormat="false" ht="14.25" hidden="false" customHeight="true" outlineLevel="0" collapsed="false">
      <c r="A230" s="13" t="str">
        <f aca="false">parametros_manuales!$B$23</f>
        <v>Preparación de cuello</v>
      </c>
      <c r="B230" s="14" t="n">
        <f aca="false">(parametros_manuales!$D$23*('Plan mensual'!D90+IF(parametros_manuales!$H$23="Todos",'Plan mensual'!D94,0))+parametros_manuales!$E$23*('Plan mensual'!D91+IF(parametros_manuales!$H$23="Todos",'Plan mensual'!D95,0))+parametros_manuales!$F$23*('Plan mensual'!D92+IF(parametros_manuales!$H$23="Todos",'Plan mensual'!D96,0))+parametros_manuales!$G$23*('Plan mensual'!D93+IF(parametros_manuales!$H$23="Todos",'Plan mensual'!D97,0)))*parametros_manuales!$I$23*parametros_manuales!$J$23</f>
        <v>28127.6264215</v>
      </c>
      <c r="C230" s="14" t="n">
        <f aca="false">(parametros_manuales!$D$23*('Plan mensual'!E90+IF(parametros_manuales!$H$23="Todos",'Plan mensual'!E94,0))+parametros_manuales!$E$23*('Plan mensual'!E91+IF(parametros_manuales!$H$23="Todos",'Plan mensual'!E95,0))+parametros_manuales!$F$23*('Plan mensual'!E92+IF(parametros_manuales!$H$23="Todos",'Plan mensual'!E96,0))+parametros_manuales!$G$23*('Plan mensual'!E93+IF(parametros_manuales!$H$23="Todos",'Plan mensual'!E97,0)))*parametros_manuales!$I$23*parametros_manuales!$J$23</f>
        <v>21449.74232036</v>
      </c>
      <c r="D230" s="14" t="n">
        <f aca="false">(parametros_manuales!$D$23*('Plan mensual'!F90+IF(parametros_manuales!$H$23="Todos",'Plan mensual'!F94,0))+parametros_manuales!$E$23*('Plan mensual'!F91+IF(parametros_manuales!$H$23="Todos",'Plan mensual'!F95,0))+parametros_manuales!$F$23*('Plan mensual'!F92+IF(parametros_manuales!$H$23="Todos",'Plan mensual'!F96,0))+parametros_manuales!$G$23*('Plan mensual'!F93+IF(parametros_manuales!$H$23="Todos",'Plan mensual'!F97,0)))*parametros_manuales!$I$23*parametros_manuales!$J$23</f>
        <v>20049.833463195</v>
      </c>
      <c r="E230" s="14" t="n">
        <f aca="false">(parametros_manuales!$D$23*('Plan mensual'!G90+IF(parametros_manuales!$H$23="Todos",'Plan mensual'!G94,0))+parametros_manuales!$E$23*('Plan mensual'!G91+IF(parametros_manuales!$H$23="Todos",'Plan mensual'!G95,0))+parametros_manuales!$F$23*('Plan mensual'!G92+IF(parametros_manuales!$H$23="Todos",'Plan mensual'!G96,0))+parametros_manuales!$G$23*('Plan mensual'!G93+IF(parametros_manuales!$H$23="Todos",'Plan mensual'!G97,0)))*parametros_manuales!$I$23*parametros_manuales!$J$23</f>
        <v>19172.867782495</v>
      </c>
      <c r="F230" s="14" t="n">
        <f aca="false">(parametros_manuales!$D$23*('Plan mensual'!H90+IF(parametros_manuales!$H$23="Todos",'Plan mensual'!H94,0))+parametros_manuales!$E$23*('Plan mensual'!H91+IF(parametros_manuales!$H$23="Todos",'Plan mensual'!H95,0))+parametros_manuales!$F$23*('Plan mensual'!H92+IF(parametros_manuales!$H$23="Todos",'Plan mensual'!H96,0))+parametros_manuales!$G$23*('Plan mensual'!H93+IF(parametros_manuales!$H$23="Todos",'Plan mensual'!H97,0)))*parametros_manuales!$I$23*parametros_manuales!$J$23</f>
        <v>17941.87959756</v>
      </c>
      <c r="G230" s="14" t="n">
        <f aca="false">(parametros_manuales!$D$23*('Plan mensual'!I90+IF(parametros_manuales!$H$23="Todos",'Plan mensual'!I94,0))+parametros_manuales!$E$23*('Plan mensual'!I91+IF(parametros_manuales!$H$23="Todos",'Plan mensual'!I95,0))+parametros_manuales!$F$23*('Plan mensual'!I92+IF(parametros_manuales!$H$23="Todos",'Plan mensual'!I96,0))+parametros_manuales!$G$23*('Plan mensual'!I93+IF(parametros_manuales!$H$23="Todos",'Plan mensual'!I97,0)))*parametros_manuales!$I$23*parametros_manuales!$J$23</f>
        <v>17587.857093325</v>
      </c>
      <c r="H230" s="14" t="n">
        <f aca="false">(parametros_manuales!$D$23*('Plan mensual'!J90+IF(parametros_manuales!$H$23="Todos",'Plan mensual'!J94,0))+parametros_manuales!$E$23*('Plan mensual'!J91+IF(parametros_manuales!$H$23="Todos",'Plan mensual'!J95,0))+parametros_manuales!$F$23*('Plan mensual'!J92+IF(parametros_manuales!$H$23="Todos",'Plan mensual'!J96,0))+parametros_manuales!$G$23*('Plan mensual'!J93+IF(parametros_manuales!$H$23="Todos",'Plan mensual'!J97,0)))*parametros_manuales!$I$23*parametros_manuales!$J$23</f>
        <v>18818.84527826</v>
      </c>
      <c r="I230" s="14" t="n">
        <f aca="false">(parametros_manuales!$D$23*('Plan mensual'!K90+IF(parametros_manuales!$H$23="Todos",'Plan mensual'!K94,0))+parametros_manuales!$E$23*('Plan mensual'!K91+IF(parametros_manuales!$H$23="Todos",'Plan mensual'!K95,0))+parametros_manuales!$F$23*('Plan mensual'!K92+IF(parametros_manuales!$H$23="Todos",'Plan mensual'!K96,0))+parametros_manuales!$G$23*('Plan mensual'!K93+IF(parametros_manuales!$H$23="Todos",'Plan mensual'!K97,0)))*parametros_manuales!$I$23*parametros_manuales!$J$23</f>
        <v>18818.84527826</v>
      </c>
      <c r="J230" s="14" t="n">
        <f aca="false">(parametros_manuales!$D$23*('Plan mensual'!L90+IF(parametros_manuales!$H$23="Todos",'Plan mensual'!L94,0))+parametros_manuales!$E$23*('Plan mensual'!L91+IF(parametros_manuales!$H$23="Todos",'Plan mensual'!L95,0))+parametros_manuales!$F$23*('Plan mensual'!L92+IF(parametros_manuales!$H$23="Todos",'Plan mensual'!L96,0))+parametros_manuales!$G$23*('Plan mensual'!L93+IF(parametros_manuales!$H$23="Todos",'Plan mensual'!L97,0)))*parametros_manuales!$I$23*parametros_manuales!$J$23</f>
        <v>18818.84527826</v>
      </c>
      <c r="K230" s="14" t="n">
        <f aca="false">(parametros_manuales!$D$23*('Plan mensual'!M90+IF(parametros_manuales!$H$23="Todos",'Plan mensual'!M94,0))+parametros_manuales!$E$23*('Plan mensual'!M91+IF(parametros_manuales!$H$23="Todos",'Plan mensual'!M95,0))+parametros_manuales!$F$23*('Plan mensual'!M92+IF(parametros_manuales!$H$23="Todos",'Plan mensual'!M96,0))+parametros_manuales!$G$23*('Plan mensual'!M93+IF(parametros_manuales!$H$23="Todos",'Plan mensual'!M97,0)))*parametros_manuales!$I$23*parametros_manuales!$J$23</f>
        <v>18464.822774025</v>
      </c>
      <c r="L230" s="14" t="n">
        <f aca="false">(parametros_manuales!$D$23*('Plan mensual'!N90+IF(parametros_manuales!$H$23="Todos",'Plan mensual'!N94,0))+parametros_manuales!$E$23*('Plan mensual'!N91+IF(parametros_manuales!$H$23="Todos",'Plan mensual'!N95,0))+parametros_manuales!$F$23*('Plan mensual'!N92+IF(parametros_manuales!$H$23="Todos",'Plan mensual'!N96,0))+parametros_manuales!$G$23*('Plan mensual'!N93+IF(parametros_manuales!$H$23="Todos",'Plan mensual'!N97,0)))*parametros_manuales!$I$23*parametros_manuales!$J$23</f>
        <v>18110.80026979</v>
      </c>
      <c r="M230" s="14" t="n">
        <f aca="false">(parametros_manuales!$D$23*('Plan mensual'!O90+IF(parametros_manuales!$H$23="Todos",'Plan mensual'!O94,0))+parametros_manuales!$E$23*('Plan mensual'!O91+IF(parametros_manuales!$H$23="Todos",'Plan mensual'!O95,0))+parametros_manuales!$F$23*('Plan mensual'!O92+IF(parametros_manuales!$H$23="Todos",'Plan mensual'!O96,0))+parametros_manuales!$G$23*('Plan mensual'!O93+IF(parametros_manuales!$H$23="Todos",'Plan mensual'!O97,0)))*parametros_manuales!$I$23*parametros_manuales!$J$23</f>
        <v>28835.67142997</v>
      </c>
      <c r="N230" s="14" t="n">
        <f aca="false">SUM(B230:M230)</f>
        <v>246197.636987</v>
      </c>
      <c r="O230" s="14" t="n">
        <f aca="false">MAX(B230:M230)</f>
        <v>28835.67142997</v>
      </c>
      <c r="P230" s="57" t="n">
        <f aca="false">O230/(parametros_manuales!$B$7)</f>
        <v>192.237809533133</v>
      </c>
      <c r="Q230" s="13" t="str">
        <f aca="false">IF(O230=0,"-",INDEX($B$225:$M$225,MATCH(O230,B230:M230,0)))</f>
        <v>Dic</v>
      </c>
    </row>
    <row r="231" customFormat="false" ht="14.25" hidden="false" customHeight="true" outlineLevel="0" collapsed="false">
      <c r="A231" s="13" t="str">
        <f aca="false">parametros_manuales!$B$24</f>
        <v>Numerado de cúpula</v>
      </c>
      <c r="B231" s="14" t="n">
        <f aca="false">(parametros_manuales!$D$24*('Plan mensual'!D90+IF(parametros_manuales!$H$24="Todos",'Plan mensual'!D94,0))+parametros_manuales!$E$24*('Plan mensual'!D91+IF(parametros_manuales!$H$24="Todos",'Plan mensual'!D95,0))+parametros_manuales!$F$24*('Plan mensual'!D92+IF(parametros_manuales!$H$24="Todos",'Plan mensual'!D96,0))+parametros_manuales!$G$24*('Plan mensual'!D93+IF(parametros_manuales!$H$24="Todos",'Plan mensual'!D97,0)))*parametros_manuales!$I$24*parametros_manuales!$J$24</f>
        <v>28127.6264215</v>
      </c>
      <c r="C231" s="14" t="n">
        <f aca="false">(parametros_manuales!$D$24*('Plan mensual'!E90+IF(parametros_manuales!$H$24="Todos",'Plan mensual'!E94,0))+parametros_manuales!$E$24*('Plan mensual'!E91+IF(parametros_manuales!$H$24="Todos",'Plan mensual'!E95,0))+parametros_manuales!$F$24*('Plan mensual'!E92+IF(parametros_manuales!$H$24="Todos",'Plan mensual'!E96,0))+parametros_manuales!$G$24*('Plan mensual'!E93+IF(parametros_manuales!$H$24="Todos",'Plan mensual'!E97,0)))*parametros_manuales!$I$24*parametros_manuales!$J$24</f>
        <v>21449.74232036</v>
      </c>
      <c r="D231" s="14" t="n">
        <f aca="false">(parametros_manuales!$D$24*('Plan mensual'!F90+IF(parametros_manuales!$H$24="Todos",'Plan mensual'!F94,0))+parametros_manuales!$E$24*('Plan mensual'!F91+IF(parametros_manuales!$H$24="Todos",'Plan mensual'!F95,0))+parametros_manuales!$F$24*('Plan mensual'!F92+IF(parametros_manuales!$H$24="Todos",'Plan mensual'!F96,0))+parametros_manuales!$G$24*('Plan mensual'!F93+IF(parametros_manuales!$H$24="Todos",'Plan mensual'!F97,0)))*parametros_manuales!$I$24*parametros_manuales!$J$24</f>
        <v>20049.833463195</v>
      </c>
      <c r="E231" s="14" t="n">
        <f aca="false">(parametros_manuales!$D$24*('Plan mensual'!G90+IF(parametros_manuales!$H$24="Todos",'Plan mensual'!G94,0))+parametros_manuales!$E$24*('Plan mensual'!G91+IF(parametros_manuales!$H$24="Todos",'Plan mensual'!G95,0))+parametros_manuales!$F$24*('Plan mensual'!G92+IF(parametros_manuales!$H$24="Todos",'Plan mensual'!G96,0))+parametros_manuales!$G$24*('Plan mensual'!G93+IF(parametros_manuales!$H$24="Todos",'Plan mensual'!G97,0)))*parametros_manuales!$I$24*parametros_manuales!$J$24</f>
        <v>19172.867782495</v>
      </c>
      <c r="F231" s="14" t="n">
        <f aca="false">(parametros_manuales!$D$24*('Plan mensual'!H90+IF(parametros_manuales!$H$24="Todos",'Plan mensual'!H94,0))+parametros_manuales!$E$24*('Plan mensual'!H91+IF(parametros_manuales!$H$24="Todos",'Plan mensual'!H95,0))+parametros_manuales!$F$24*('Plan mensual'!H92+IF(parametros_manuales!$H$24="Todos",'Plan mensual'!H96,0))+parametros_manuales!$G$24*('Plan mensual'!H93+IF(parametros_manuales!$H$24="Todos",'Plan mensual'!H97,0)))*parametros_manuales!$I$24*parametros_manuales!$J$24</f>
        <v>17941.87959756</v>
      </c>
      <c r="G231" s="14" t="n">
        <f aca="false">(parametros_manuales!$D$24*('Plan mensual'!I90+IF(parametros_manuales!$H$24="Todos",'Plan mensual'!I94,0))+parametros_manuales!$E$24*('Plan mensual'!I91+IF(parametros_manuales!$H$24="Todos",'Plan mensual'!I95,0))+parametros_manuales!$F$24*('Plan mensual'!I92+IF(parametros_manuales!$H$24="Todos",'Plan mensual'!I96,0))+parametros_manuales!$G$24*('Plan mensual'!I93+IF(parametros_manuales!$H$24="Todos",'Plan mensual'!I97,0)))*parametros_manuales!$I$24*parametros_manuales!$J$24</f>
        <v>17587.857093325</v>
      </c>
      <c r="H231" s="14" t="n">
        <f aca="false">(parametros_manuales!$D$24*('Plan mensual'!J90+IF(parametros_manuales!$H$24="Todos",'Plan mensual'!J94,0))+parametros_manuales!$E$24*('Plan mensual'!J91+IF(parametros_manuales!$H$24="Todos",'Plan mensual'!J95,0))+parametros_manuales!$F$24*('Plan mensual'!J92+IF(parametros_manuales!$H$24="Todos",'Plan mensual'!J96,0))+parametros_manuales!$G$24*('Plan mensual'!J93+IF(parametros_manuales!$H$24="Todos",'Plan mensual'!J97,0)))*parametros_manuales!$I$24*parametros_manuales!$J$24</f>
        <v>18818.84527826</v>
      </c>
      <c r="I231" s="14" t="n">
        <f aca="false">(parametros_manuales!$D$24*('Plan mensual'!K90+IF(parametros_manuales!$H$24="Todos",'Plan mensual'!K94,0))+parametros_manuales!$E$24*('Plan mensual'!K91+IF(parametros_manuales!$H$24="Todos",'Plan mensual'!K95,0))+parametros_manuales!$F$24*('Plan mensual'!K92+IF(parametros_manuales!$H$24="Todos",'Plan mensual'!K96,0))+parametros_manuales!$G$24*('Plan mensual'!K93+IF(parametros_manuales!$H$24="Todos",'Plan mensual'!K97,0)))*parametros_manuales!$I$24*parametros_manuales!$J$24</f>
        <v>18818.84527826</v>
      </c>
      <c r="J231" s="14" t="n">
        <f aca="false">(parametros_manuales!$D$24*('Plan mensual'!L90+IF(parametros_manuales!$H$24="Todos",'Plan mensual'!L94,0))+parametros_manuales!$E$24*('Plan mensual'!L91+IF(parametros_manuales!$H$24="Todos",'Plan mensual'!L95,0))+parametros_manuales!$F$24*('Plan mensual'!L92+IF(parametros_manuales!$H$24="Todos",'Plan mensual'!L96,0))+parametros_manuales!$G$24*('Plan mensual'!L93+IF(parametros_manuales!$H$24="Todos",'Plan mensual'!L97,0)))*parametros_manuales!$I$24*parametros_manuales!$J$24</f>
        <v>18818.84527826</v>
      </c>
      <c r="K231" s="14" t="n">
        <f aca="false">(parametros_manuales!$D$24*('Plan mensual'!M90+IF(parametros_manuales!$H$24="Todos",'Plan mensual'!M94,0))+parametros_manuales!$E$24*('Plan mensual'!M91+IF(parametros_manuales!$H$24="Todos",'Plan mensual'!M95,0))+parametros_manuales!$F$24*('Plan mensual'!M92+IF(parametros_manuales!$H$24="Todos",'Plan mensual'!M96,0))+parametros_manuales!$G$24*('Plan mensual'!M93+IF(parametros_manuales!$H$24="Todos",'Plan mensual'!M97,0)))*parametros_manuales!$I$24*parametros_manuales!$J$24</f>
        <v>18464.822774025</v>
      </c>
      <c r="L231" s="14" t="n">
        <f aca="false">(parametros_manuales!$D$24*('Plan mensual'!N90+IF(parametros_manuales!$H$24="Todos",'Plan mensual'!N94,0))+parametros_manuales!$E$24*('Plan mensual'!N91+IF(parametros_manuales!$H$24="Todos",'Plan mensual'!N95,0))+parametros_manuales!$F$24*('Plan mensual'!N92+IF(parametros_manuales!$H$24="Todos",'Plan mensual'!N96,0))+parametros_manuales!$G$24*('Plan mensual'!N93+IF(parametros_manuales!$H$24="Todos",'Plan mensual'!N97,0)))*parametros_manuales!$I$24*parametros_manuales!$J$24</f>
        <v>18110.80026979</v>
      </c>
      <c r="M231" s="14" t="n">
        <f aca="false">(parametros_manuales!$D$24*('Plan mensual'!O90+IF(parametros_manuales!$H$24="Todos",'Plan mensual'!O94,0))+parametros_manuales!$E$24*('Plan mensual'!O91+IF(parametros_manuales!$H$24="Todos",'Plan mensual'!O95,0))+parametros_manuales!$F$24*('Plan mensual'!O92+IF(parametros_manuales!$H$24="Todos",'Plan mensual'!O96,0))+parametros_manuales!$G$24*('Plan mensual'!O93+IF(parametros_manuales!$H$24="Todos",'Plan mensual'!O97,0)))*parametros_manuales!$I$24*parametros_manuales!$J$24</f>
        <v>28835.67142997</v>
      </c>
      <c r="N231" s="14" t="n">
        <f aca="false">SUM(B231:M231)</f>
        <v>246197.636987</v>
      </c>
      <c r="O231" s="14" t="n">
        <f aca="false">MAX(B231:M231)</f>
        <v>28835.67142997</v>
      </c>
      <c r="P231" s="57" t="n">
        <f aca="false">O231/(parametros_manuales!$B$7)</f>
        <v>192.237809533133</v>
      </c>
      <c r="Q231" s="13" t="str">
        <f aca="false">IF(O231=0,"-",INDEX($B$225:$M$225,MATCH(O231,B231:M231,0)))</f>
        <v>Dic</v>
      </c>
    </row>
    <row r="232" customFormat="false" ht="14.25" hidden="false" customHeight="true" outlineLevel="0" collapsed="false">
      <c r="A232" s="13" t="str">
        <f aca="false">parametros_manuales!$B$25</f>
        <v>Soldadura del cuello a la cúpula</v>
      </c>
      <c r="B232" s="14" t="n">
        <f aca="false">(parametros_manuales!$D$25*('Plan mensual'!D90+IF(parametros_manuales!$H$25="Todos",'Plan mensual'!D94,0))+parametros_manuales!$E$25*('Plan mensual'!D91+IF(parametros_manuales!$H$25="Todos",'Plan mensual'!D95,0))+parametros_manuales!$F$25*('Plan mensual'!D92+IF(parametros_manuales!$H$25="Todos",'Plan mensual'!D96,0))+parametros_manuales!$G$25*('Plan mensual'!D93+IF(parametros_manuales!$H$25="Todos",'Plan mensual'!D97,0)))*parametros_manuales!$I$25*parametros_manuales!$J$25</f>
        <v>28127.6264215</v>
      </c>
      <c r="C232" s="14" t="n">
        <f aca="false">(parametros_manuales!$D$25*('Plan mensual'!E90+IF(parametros_manuales!$H$25="Todos",'Plan mensual'!E94,0))+parametros_manuales!$E$25*('Plan mensual'!E91+IF(parametros_manuales!$H$25="Todos",'Plan mensual'!E95,0))+parametros_manuales!$F$25*('Plan mensual'!E92+IF(parametros_manuales!$H$25="Todos",'Plan mensual'!E96,0))+parametros_manuales!$G$25*('Plan mensual'!E93+IF(parametros_manuales!$H$25="Todos",'Plan mensual'!E97,0)))*parametros_manuales!$I$25*parametros_manuales!$J$25</f>
        <v>21449.74232036</v>
      </c>
      <c r="D232" s="14" t="n">
        <f aca="false">(parametros_manuales!$D$25*('Plan mensual'!F90+IF(parametros_manuales!$H$25="Todos",'Plan mensual'!F94,0))+parametros_manuales!$E$25*('Plan mensual'!F91+IF(parametros_manuales!$H$25="Todos",'Plan mensual'!F95,0))+parametros_manuales!$F$25*('Plan mensual'!F92+IF(parametros_manuales!$H$25="Todos",'Plan mensual'!F96,0))+parametros_manuales!$G$25*('Plan mensual'!F93+IF(parametros_manuales!$H$25="Todos",'Plan mensual'!F97,0)))*parametros_manuales!$I$25*parametros_manuales!$J$25</f>
        <v>20049.833463195</v>
      </c>
      <c r="E232" s="14" t="n">
        <f aca="false">(parametros_manuales!$D$25*('Plan mensual'!G90+IF(parametros_manuales!$H$25="Todos",'Plan mensual'!G94,0))+parametros_manuales!$E$25*('Plan mensual'!G91+IF(parametros_manuales!$H$25="Todos",'Plan mensual'!G95,0))+parametros_manuales!$F$25*('Plan mensual'!G92+IF(parametros_manuales!$H$25="Todos",'Plan mensual'!G96,0))+parametros_manuales!$G$25*('Plan mensual'!G93+IF(parametros_manuales!$H$25="Todos",'Plan mensual'!G97,0)))*parametros_manuales!$I$25*parametros_manuales!$J$25</f>
        <v>19172.867782495</v>
      </c>
      <c r="F232" s="14" t="n">
        <f aca="false">(parametros_manuales!$D$25*('Plan mensual'!H90+IF(parametros_manuales!$H$25="Todos",'Plan mensual'!H94,0))+parametros_manuales!$E$25*('Plan mensual'!H91+IF(parametros_manuales!$H$25="Todos",'Plan mensual'!H95,0))+parametros_manuales!$F$25*('Plan mensual'!H92+IF(parametros_manuales!$H$25="Todos",'Plan mensual'!H96,0))+parametros_manuales!$G$25*('Plan mensual'!H93+IF(parametros_manuales!$H$25="Todos",'Plan mensual'!H97,0)))*parametros_manuales!$I$25*parametros_manuales!$J$25</f>
        <v>17941.87959756</v>
      </c>
      <c r="G232" s="14" t="n">
        <f aca="false">(parametros_manuales!$D$25*('Plan mensual'!I90+IF(parametros_manuales!$H$25="Todos",'Plan mensual'!I94,0))+parametros_manuales!$E$25*('Plan mensual'!I91+IF(parametros_manuales!$H$25="Todos",'Plan mensual'!I95,0))+parametros_manuales!$F$25*('Plan mensual'!I92+IF(parametros_manuales!$H$25="Todos",'Plan mensual'!I96,0))+parametros_manuales!$G$25*('Plan mensual'!I93+IF(parametros_manuales!$H$25="Todos",'Plan mensual'!I97,0)))*parametros_manuales!$I$25*parametros_manuales!$J$25</f>
        <v>17587.857093325</v>
      </c>
      <c r="H232" s="14" t="n">
        <f aca="false">(parametros_manuales!$D$25*('Plan mensual'!J90+IF(parametros_manuales!$H$25="Todos",'Plan mensual'!J94,0))+parametros_manuales!$E$25*('Plan mensual'!J91+IF(parametros_manuales!$H$25="Todos",'Plan mensual'!J95,0))+parametros_manuales!$F$25*('Plan mensual'!J92+IF(parametros_manuales!$H$25="Todos",'Plan mensual'!J96,0))+parametros_manuales!$G$25*('Plan mensual'!J93+IF(parametros_manuales!$H$25="Todos",'Plan mensual'!J97,0)))*parametros_manuales!$I$25*parametros_manuales!$J$25</f>
        <v>18818.84527826</v>
      </c>
      <c r="I232" s="14" t="n">
        <f aca="false">(parametros_manuales!$D$25*('Plan mensual'!K90+IF(parametros_manuales!$H$25="Todos",'Plan mensual'!K94,0))+parametros_manuales!$E$25*('Plan mensual'!K91+IF(parametros_manuales!$H$25="Todos",'Plan mensual'!K95,0))+parametros_manuales!$F$25*('Plan mensual'!K92+IF(parametros_manuales!$H$25="Todos",'Plan mensual'!K96,0))+parametros_manuales!$G$25*('Plan mensual'!K93+IF(parametros_manuales!$H$25="Todos",'Plan mensual'!K97,0)))*parametros_manuales!$I$25*parametros_manuales!$J$25</f>
        <v>18818.84527826</v>
      </c>
      <c r="J232" s="14" t="n">
        <f aca="false">(parametros_manuales!$D$25*('Plan mensual'!L90+IF(parametros_manuales!$H$25="Todos",'Plan mensual'!L94,0))+parametros_manuales!$E$25*('Plan mensual'!L91+IF(parametros_manuales!$H$25="Todos",'Plan mensual'!L95,0))+parametros_manuales!$F$25*('Plan mensual'!L92+IF(parametros_manuales!$H$25="Todos",'Plan mensual'!L96,0))+parametros_manuales!$G$25*('Plan mensual'!L93+IF(parametros_manuales!$H$25="Todos",'Plan mensual'!L97,0)))*parametros_manuales!$I$25*parametros_manuales!$J$25</f>
        <v>18818.84527826</v>
      </c>
      <c r="K232" s="14" t="n">
        <f aca="false">(parametros_manuales!$D$25*('Plan mensual'!M90+IF(parametros_manuales!$H$25="Todos",'Plan mensual'!M94,0))+parametros_manuales!$E$25*('Plan mensual'!M91+IF(parametros_manuales!$H$25="Todos",'Plan mensual'!M95,0))+parametros_manuales!$F$25*('Plan mensual'!M92+IF(parametros_manuales!$H$25="Todos",'Plan mensual'!M96,0))+parametros_manuales!$G$25*('Plan mensual'!M93+IF(parametros_manuales!$H$25="Todos",'Plan mensual'!M97,0)))*parametros_manuales!$I$25*parametros_manuales!$J$25</f>
        <v>18464.822774025</v>
      </c>
      <c r="L232" s="14" t="n">
        <f aca="false">(parametros_manuales!$D$25*('Plan mensual'!N90+IF(parametros_manuales!$H$25="Todos",'Plan mensual'!N94,0))+parametros_manuales!$E$25*('Plan mensual'!N91+IF(parametros_manuales!$H$25="Todos",'Plan mensual'!N95,0))+parametros_manuales!$F$25*('Plan mensual'!N92+IF(parametros_manuales!$H$25="Todos",'Plan mensual'!N96,0))+parametros_manuales!$G$25*('Plan mensual'!N93+IF(parametros_manuales!$H$25="Todos",'Plan mensual'!N97,0)))*parametros_manuales!$I$25*parametros_manuales!$J$25</f>
        <v>18110.80026979</v>
      </c>
      <c r="M232" s="14" t="n">
        <f aca="false">(parametros_manuales!$D$25*('Plan mensual'!O90+IF(parametros_manuales!$H$25="Todos",'Plan mensual'!O94,0))+parametros_manuales!$E$25*('Plan mensual'!O91+IF(parametros_manuales!$H$25="Todos",'Plan mensual'!O95,0))+parametros_manuales!$F$25*('Plan mensual'!O92+IF(parametros_manuales!$H$25="Todos",'Plan mensual'!O96,0))+parametros_manuales!$G$25*('Plan mensual'!O93+IF(parametros_manuales!$H$25="Todos",'Plan mensual'!O97,0)))*parametros_manuales!$I$25*parametros_manuales!$J$25</f>
        <v>28835.67142997</v>
      </c>
      <c r="N232" s="14" t="n">
        <f aca="false">SUM(B232:M232)</f>
        <v>246197.636987</v>
      </c>
      <c r="O232" s="14" t="n">
        <f aca="false">MAX(B232:M232)</f>
        <v>28835.67142997</v>
      </c>
      <c r="P232" s="57" t="n">
        <f aca="false">O232/(parametros_manuales!$B$7)</f>
        <v>192.237809533133</v>
      </c>
      <c r="Q232" s="13" t="str">
        <f aca="false">IF(O232=0,"-",INDEX($B$225:$M$225,MATCH(O232,B232:M232,0)))</f>
        <v>Dic</v>
      </c>
    </row>
    <row r="233" customFormat="false" ht="14.25" hidden="false" customHeight="true" outlineLevel="0" collapsed="false">
      <c r="A233" s="13" t="str">
        <f aca="false">parametros_manuales!$B$26</f>
        <v>Cilindrado</v>
      </c>
      <c r="B233" s="14" t="n">
        <f aca="false">(parametros_manuales!$D$26*('Plan mensual'!D90+IF(parametros_manuales!$H$26="Todos",'Plan mensual'!D94,0))+parametros_manuales!$E$26*('Plan mensual'!D91+IF(parametros_manuales!$H$26="Todos",'Plan mensual'!D95,0))+parametros_manuales!$F$26*('Plan mensual'!D92+IF(parametros_manuales!$H$26="Todos",'Plan mensual'!D96,0))+parametros_manuales!$G$26*('Plan mensual'!D93+IF(parametros_manuales!$H$26="Todos",'Plan mensual'!D97,0)))*parametros_manuales!$I$26*parametros_manuales!$J$26</f>
        <v>28127.6264215</v>
      </c>
      <c r="C233" s="14" t="n">
        <f aca="false">(parametros_manuales!$D$26*('Plan mensual'!E90+IF(parametros_manuales!$H$26="Todos",'Plan mensual'!E94,0))+parametros_manuales!$E$26*('Plan mensual'!E91+IF(parametros_manuales!$H$26="Todos",'Plan mensual'!E95,0))+parametros_manuales!$F$26*('Plan mensual'!E92+IF(parametros_manuales!$H$26="Todos",'Plan mensual'!E96,0))+parametros_manuales!$G$26*('Plan mensual'!E93+IF(parametros_manuales!$H$26="Todos",'Plan mensual'!E97,0)))*parametros_manuales!$I$26*parametros_manuales!$J$26</f>
        <v>21449.74232036</v>
      </c>
      <c r="D233" s="14" t="n">
        <f aca="false">(parametros_manuales!$D$26*('Plan mensual'!F90+IF(parametros_manuales!$H$26="Todos",'Plan mensual'!F94,0))+parametros_manuales!$E$26*('Plan mensual'!F91+IF(parametros_manuales!$H$26="Todos",'Plan mensual'!F95,0))+parametros_manuales!$F$26*('Plan mensual'!F92+IF(parametros_manuales!$H$26="Todos",'Plan mensual'!F96,0))+parametros_manuales!$G$26*('Plan mensual'!F93+IF(parametros_manuales!$H$26="Todos",'Plan mensual'!F97,0)))*parametros_manuales!$I$26*parametros_manuales!$J$26</f>
        <v>20049.833463195</v>
      </c>
      <c r="E233" s="14" t="n">
        <f aca="false">(parametros_manuales!$D$26*('Plan mensual'!G90+IF(parametros_manuales!$H$26="Todos",'Plan mensual'!G94,0))+parametros_manuales!$E$26*('Plan mensual'!G91+IF(parametros_manuales!$H$26="Todos",'Plan mensual'!G95,0))+parametros_manuales!$F$26*('Plan mensual'!G92+IF(parametros_manuales!$H$26="Todos",'Plan mensual'!G96,0))+parametros_manuales!$G$26*('Plan mensual'!G93+IF(parametros_manuales!$H$26="Todos",'Plan mensual'!G97,0)))*parametros_manuales!$I$26*parametros_manuales!$J$26</f>
        <v>19172.867782495</v>
      </c>
      <c r="F233" s="14" t="n">
        <f aca="false">(parametros_manuales!$D$26*('Plan mensual'!H90+IF(parametros_manuales!$H$26="Todos",'Plan mensual'!H94,0))+parametros_manuales!$E$26*('Plan mensual'!H91+IF(parametros_manuales!$H$26="Todos",'Plan mensual'!H95,0))+parametros_manuales!$F$26*('Plan mensual'!H92+IF(parametros_manuales!$H$26="Todos",'Plan mensual'!H96,0))+parametros_manuales!$G$26*('Plan mensual'!H93+IF(parametros_manuales!$H$26="Todos",'Plan mensual'!H97,0)))*parametros_manuales!$I$26*parametros_manuales!$J$26</f>
        <v>17941.87959756</v>
      </c>
      <c r="G233" s="14" t="n">
        <f aca="false">(parametros_manuales!$D$26*('Plan mensual'!I90+IF(parametros_manuales!$H$26="Todos",'Plan mensual'!I94,0))+parametros_manuales!$E$26*('Plan mensual'!I91+IF(parametros_manuales!$H$26="Todos",'Plan mensual'!I95,0))+parametros_manuales!$F$26*('Plan mensual'!I92+IF(parametros_manuales!$H$26="Todos",'Plan mensual'!I96,0))+parametros_manuales!$G$26*('Plan mensual'!I93+IF(parametros_manuales!$H$26="Todos",'Plan mensual'!I97,0)))*parametros_manuales!$I$26*parametros_manuales!$J$26</f>
        <v>17587.857093325</v>
      </c>
      <c r="H233" s="14" t="n">
        <f aca="false">(parametros_manuales!$D$26*('Plan mensual'!J90+IF(parametros_manuales!$H$26="Todos",'Plan mensual'!J94,0))+parametros_manuales!$E$26*('Plan mensual'!J91+IF(parametros_manuales!$H$26="Todos",'Plan mensual'!J95,0))+parametros_manuales!$F$26*('Plan mensual'!J92+IF(parametros_manuales!$H$26="Todos",'Plan mensual'!J96,0))+parametros_manuales!$G$26*('Plan mensual'!J93+IF(parametros_manuales!$H$26="Todos",'Plan mensual'!J97,0)))*parametros_manuales!$I$26*parametros_manuales!$J$26</f>
        <v>18818.84527826</v>
      </c>
      <c r="I233" s="14" t="n">
        <f aca="false">(parametros_manuales!$D$26*('Plan mensual'!K90+IF(parametros_manuales!$H$26="Todos",'Plan mensual'!K94,0))+parametros_manuales!$E$26*('Plan mensual'!K91+IF(parametros_manuales!$H$26="Todos",'Plan mensual'!K95,0))+parametros_manuales!$F$26*('Plan mensual'!K92+IF(parametros_manuales!$H$26="Todos",'Plan mensual'!K96,0))+parametros_manuales!$G$26*('Plan mensual'!K93+IF(parametros_manuales!$H$26="Todos",'Plan mensual'!K97,0)))*parametros_manuales!$I$26*parametros_manuales!$J$26</f>
        <v>18818.84527826</v>
      </c>
      <c r="J233" s="14" t="n">
        <f aca="false">(parametros_manuales!$D$26*('Plan mensual'!L90+IF(parametros_manuales!$H$26="Todos",'Plan mensual'!L94,0))+parametros_manuales!$E$26*('Plan mensual'!L91+IF(parametros_manuales!$H$26="Todos",'Plan mensual'!L95,0))+parametros_manuales!$F$26*('Plan mensual'!L92+IF(parametros_manuales!$H$26="Todos",'Plan mensual'!L96,0))+parametros_manuales!$G$26*('Plan mensual'!L93+IF(parametros_manuales!$H$26="Todos",'Plan mensual'!L97,0)))*parametros_manuales!$I$26*parametros_manuales!$J$26</f>
        <v>18818.84527826</v>
      </c>
      <c r="K233" s="14" t="n">
        <f aca="false">(parametros_manuales!$D$26*('Plan mensual'!M90+IF(parametros_manuales!$H$26="Todos",'Plan mensual'!M94,0))+parametros_manuales!$E$26*('Plan mensual'!M91+IF(parametros_manuales!$H$26="Todos",'Plan mensual'!M95,0))+parametros_manuales!$F$26*('Plan mensual'!M92+IF(parametros_manuales!$H$26="Todos",'Plan mensual'!M96,0))+parametros_manuales!$G$26*('Plan mensual'!M93+IF(parametros_manuales!$H$26="Todos",'Plan mensual'!M97,0)))*parametros_manuales!$I$26*parametros_manuales!$J$26</f>
        <v>18464.822774025</v>
      </c>
      <c r="L233" s="14" t="n">
        <f aca="false">(parametros_manuales!$D$26*('Plan mensual'!N90+IF(parametros_manuales!$H$26="Todos",'Plan mensual'!N94,0))+parametros_manuales!$E$26*('Plan mensual'!N91+IF(parametros_manuales!$H$26="Todos",'Plan mensual'!N95,0))+parametros_manuales!$F$26*('Plan mensual'!N92+IF(parametros_manuales!$H$26="Todos",'Plan mensual'!N96,0))+parametros_manuales!$G$26*('Plan mensual'!N93+IF(parametros_manuales!$H$26="Todos",'Plan mensual'!N97,0)))*parametros_manuales!$I$26*parametros_manuales!$J$26</f>
        <v>18110.80026979</v>
      </c>
      <c r="M233" s="14" t="n">
        <f aca="false">(parametros_manuales!$D$26*('Plan mensual'!O90+IF(parametros_manuales!$H$26="Todos",'Plan mensual'!O94,0))+parametros_manuales!$E$26*('Plan mensual'!O91+IF(parametros_manuales!$H$26="Todos",'Plan mensual'!O95,0))+parametros_manuales!$F$26*('Plan mensual'!O92+IF(parametros_manuales!$H$26="Todos",'Plan mensual'!O96,0))+parametros_manuales!$G$26*('Plan mensual'!O93+IF(parametros_manuales!$H$26="Todos",'Plan mensual'!O97,0)))*parametros_manuales!$I$26*parametros_manuales!$J$26</f>
        <v>28835.67142997</v>
      </c>
      <c r="N233" s="14" t="n">
        <f aca="false">SUM(B233:M233)</f>
        <v>246197.636987</v>
      </c>
      <c r="O233" s="14" t="n">
        <f aca="false">MAX(B233:M233)</f>
        <v>28835.67142997</v>
      </c>
      <c r="P233" s="57" t="n">
        <f aca="false">O233/(parametros_manuales!$B$7)</f>
        <v>192.237809533133</v>
      </c>
      <c r="Q233" s="13" t="str">
        <f aca="false">IF(O233=0,"-",INDEX($B$225:$M$225,MATCH(O233,B233:M233,0)))</f>
        <v>Dic</v>
      </c>
    </row>
    <row r="234" customFormat="false" ht="14.25" hidden="false" customHeight="true" outlineLevel="0" collapsed="false">
      <c r="A234" s="13" t="str">
        <f aca="false">parametros_manuales!$B$27</f>
        <v>Soldadura longitudinal — 2,5 a 10 kg</v>
      </c>
      <c r="B234" s="14" t="n">
        <f aca="false">(parametros_manuales!$D$27*('Plan mensual'!D90+IF(parametros_manuales!$H$27="Todos",'Plan mensual'!D94,0))+parametros_manuales!$E$27*('Plan mensual'!D91+IF(parametros_manuales!$H$27="Todos",'Plan mensual'!D95,0))+parametros_manuales!$F$27*('Plan mensual'!D92+IF(parametros_manuales!$H$27="Todos",'Plan mensual'!D96,0))+parametros_manuales!$G$27*('Plan mensual'!D93+IF(parametros_manuales!$H$27="Todos",'Plan mensual'!D97,0)))*parametros_manuales!$I$27*parametros_manuales!$J$27</f>
        <v>7080.4500847</v>
      </c>
      <c r="C234" s="14" t="n">
        <f aca="false">(parametros_manuales!$D$27*('Plan mensual'!E90+IF(parametros_manuales!$H$27="Todos",'Plan mensual'!E94,0))+parametros_manuales!$E$27*('Plan mensual'!E91+IF(parametros_manuales!$H$27="Todos",'Plan mensual'!E95,0))+parametros_manuales!$F$27*('Plan mensual'!E92+IF(parametros_manuales!$H$27="Todos",'Plan mensual'!E96,0))+parametros_manuales!$G$27*('Plan mensual'!E93+IF(parametros_manuales!$H$27="Todos",'Plan mensual'!E97,0)))*parametros_manuales!$I$27*parametros_manuales!$J$27</f>
        <v>5664.36006776</v>
      </c>
      <c r="D234" s="14" t="n">
        <f aca="false">(parametros_manuales!$D$27*('Plan mensual'!F90+IF(parametros_manuales!$H$27="Todos",'Plan mensual'!F94,0))+parametros_manuales!$E$27*('Plan mensual'!F91+IF(parametros_manuales!$H$27="Todos",'Plan mensual'!F95,0))+parametros_manuales!$F$27*('Plan mensual'!F92+IF(parametros_manuales!$H$27="Todos",'Plan mensual'!F96,0))+parametros_manuales!$G$27*('Plan mensual'!F93+IF(parametros_manuales!$H$27="Todos",'Plan mensual'!F97,0)))*parametros_manuales!$I$27*parametros_manuales!$J$27</f>
        <v>6018.382571995</v>
      </c>
      <c r="E234" s="14" t="n">
        <f aca="false">(parametros_manuales!$D$27*('Plan mensual'!G90+IF(parametros_manuales!$H$27="Todos",'Plan mensual'!G94,0))+parametros_manuales!$E$27*('Plan mensual'!G91+IF(parametros_manuales!$H$27="Todos",'Plan mensual'!G95,0))+parametros_manuales!$F$27*('Plan mensual'!G92+IF(parametros_manuales!$H$27="Todos",'Plan mensual'!G96,0))+parametros_manuales!$G$27*('Plan mensual'!G93+IF(parametros_manuales!$H$27="Todos",'Plan mensual'!G97,0)))*parametros_manuales!$I$27*parametros_manuales!$J$27</f>
        <v>6018.382571995</v>
      </c>
      <c r="F234" s="14" t="n">
        <f aca="false">(parametros_manuales!$D$27*('Plan mensual'!H90+IF(parametros_manuales!$H$27="Todos",'Plan mensual'!H94,0))+parametros_manuales!$E$27*('Plan mensual'!H91+IF(parametros_manuales!$H$27="Todos",'Plan mensual'!H95,0))+parametros_manuales!$F$27*('Plan mensual'!H92+IF(parametros_manuales!$H$27="Todos",'Plan mensual'!H96,0))+parametros_manuales!$G$27*('Plan mensual'!H93+IF(parametros_manuales!$H$27="Todos",'Plan mensual'!H97,0)))*parametros_manuales!$I$27*parametros_manuales!$J$27</f>
        <v>5664.36006776</v>
      </c>
      <c r="G234" s="14" t="n">
        <f aca="false">(parametros_manuales!$D$27*('Plan mensual'!I90+IF(parametros_manuales!$H$27="Todos",'Plan mensual'!I94,0))+parametros_manuales!$E$27*('Plan mensual'!I91+IF(parametros_manuales!$H$27="Todos",'Plan mensual'!I95,0))+parametros_manuales!$F$27*('Plan mensual'!I92+IF(parametros_manuales!$H$27="Todos",'Plan mensual'!I96,0))+parametros_manuales!$G$27*('Plan mensual'!I93+IF(parametros_manuales!$H$27="Todos",'Plan mensual'!I97,0)))*parametros_manuales!$I$27*parametros_manuales!$J$27</f>
        <v>5310.337563525</v>
      </c>
      <c r="H234" s="14" t="n">
        <f aca="false">(parametros_manuales!$D$27*('Plan mensual'!J90+IF(parametros_manuales!$H$27="Todos",'Plan mensual'!J94,0))+parametros_manuales!$E$27*('Plan mensual'!J91+IF(parametros_manuales!$H$27="Todos",'Plan mensual'!J95,0))+parametros_manuales!$F$27*('Plan mensual'!J92+IF(parametros_manuales!$H$27="Todos",'Plan mensual'!J96,0))+parametros_manuales!$G$27*('Plan mensual'!J93+IF(parametros_manuales!$H$27="Todos",'Plan mensual'!J97,0)))*parametros_manuales!$I$27*parametros_manuales!$J$27</f>
        <v>5664.36006776</v>
      </c>
      <c r="I234" s="14" t="n">
        <f aca="false">(parametros_manuales!$D$27*('Plan mensual'!K90+IF(parametros_manuales!$H$27="Todos",'Plan mensual'!K94,0))+parametros_manuales!$E$27*('Plan mensual'!K91+IF(parametros_manuales!$H$27="Todos",'Plan mensual'!K95,0))+parametros_manuales!$F$27*('Plan mensual'!K92+IF(parametros_manuales!$H$27="Todos",'Plan mensual'!K96,0))+parametros_manuales!$G$27*('Plan mensual'!K93+IF(parametros_manuales!$H$27="Todos",'Plan mensual'!K97,0)))*parametros_manuales!$I$27*parametros_manuales!$J$27</f>
        <v>5664.36006776</v>
      </c>
      <c r="J234" s="14" t="n">
        <f aca="false">(parametros_manuales!$D$27*('Plan mensual'!L90+IF(parametros_manuales!$H$27="Todos",'Plan mensual'!L94,0))+parametros_manuales!$E$27*('Plan mensual'!L91+IF(parametros_manuales!$H$27="Todos",'Plan mensual'!L95,0))+parametros_manuales!$F$27*('Plan mensual'!L92+IF(parametros_manuales!$H$27="Todos",'Plan mensual'!L96,0))+parametros_manuales!$G$27*('Plan mensual'!L93+IF(parametros_manuales!$H$27="Todos",'Plan mensual'!L97,0)))*parametros_manuales!$I$27*parametros_manuales!$J$27</f>
        <v>5664.36006776</v>
      </c>
      <c r="K234" s="14" t="n">
        <f aca="false">(parametros_manuales!$D$27*('Plan mensual'!M90+IF(parametros_manuales!$H$27="Todos",'Plan mensual'!M94,0))+parametros_manuales!$E$27*('Plan mensual'!M91+IF(parametros_manuales!$H$27="Todos",'Plan mensual'!M95,0))+parametros_manuales!$F$27*('Plan mensual'!M92+IF(parametros_manuales!$H$27="Todos",'Plan mensual'!M96,0))+parametros_manuales!$G$27*('Plan mensual'!M93+IF(parametros_manuales!$H$27="Todos",'Plan mensual'!M97,0)))*parametros_manuales!$I$27*parametros_manuales!$J$27</f>
        <v>5310.337563525</v>
      </c>
      <c r="L234" s="14" t="n">
        <f aca="false">(parametros_manuales!$D$27*('Plan mensual'!N90+IF(parametros_manuales!$H$27="Todos",'Plan mensual'!N94,0))+parametros_manuales!$E$27*('Plan mensual'!N91+IF(parametros_manuales!$H$27="Todos",'Plan mensual'!N95,0))+parametros_manuales!$F$27*('Plan mensual'!N92+IF(parametros_manuales!$H$27="Todos",'Plan mensual'!N96,0))+parametros_manuales!$G$27*('Plan mensual'!N93+IF(parametros_manuales!$H$27="Todos",'Plan mensual'!N97,0)))*parametros_manuales!$I$27*parametros_manuales!$J$27</f>
        <v>4956.31505929</v>
      </c>
      <c r="M234" s="14" t="n">
        <f aca="false">(parametros_manuales!$D$27*('Plan mensual'!O90+IF(parametros_manuales!$H$27="Todos",'Plan mensual'!O94,0))+parametros_manuales!$E$27*('Plan mensual'!O91+IF(parametros_manuales!$H$27="Todos",'Plan mensual'!O95,0))+parametros_manuales!$F$27*('Plan mensual'!O92+IF(parametros_manuales!$H$27="Todos",'Plan mensual'!O96,0))+parametros_manuales!$G$27*('Plan mensual'!O93+IF(parametros_manuales!$H$27="Todos",'Plan mensual'!O97,0)))*parametros_manuales!$I$27*parametros_manuales!$J$27</f>
        <v>7788.49509317</v>
      </c>
      <c r="N234" s="14" t="n">
        <f aca="false">SUM(B234:M234)</f>
        <v>70804.500847</v>
      </c>
      <c r="O234" s="14" t="n">
        <f aca="false">MAX(B234:M234)</f>
        <v>7788.49509317</v>
      </c>
      <c r="P234" s="57" t="n">
        <f aca="false">O234/(parametros_manuales!$B$7)</f>
        <v>51.9233006211333</v>
      </c>
      <c r="Q234" s="13" t="str">
        <f aca="false">IF(O234=0,"-",INDEX($B$225:$M$225,MATCH(O234,B234:M234,0)))</f>
        <v>Dic</v>
      </c>
    </row>
    <row r="235" customFormat="false" ht="14.25" hidden="false" customHeight="true" outlineLevel="0" collapsed="false">
      <c r="A235" s="13" t="str">
        <f aca="false">parametros_manuales!$B$28</f>
        <v>Soldadura longitudinal TIG — 1 kg</v>
      </c>
      <c r="B235" s="14" t="n">
        <f aca="false">(parametros_manuales!$D$28*('Plan mensual'!D90+IF(parametros_manuales!$H$28="Todos",'Plan mensual'!D94,0))+parametros_manuales!$E$28*('Plan mensual'!D91+IF(parametros_manuales!$H$28="Todos",'Plan mensual'!D95,0))+parametros_manuales!$F$28*('Plan mensual'!D92+IF(parametros_manuales!$H$28="Todos",'Plan mensual'!D96,0))+parametros_manuales!$G$28*('Plan mensual'!D93+IF(parametros_manuales!$H$28="Todos",'Plan mensual'!D97,0)))*parametros_manuales!$I$28*parametros_manuales!$J$28</f>
        <v>21047.1763368</v>
      </c>
      <c r="C235" s="14" t="n">
        <f aca="false">(parametros_manuales!$D$28*('Plan mensual'!E90+IF(parametros_manuales!$H$28="Todos",'Plan mensual'!E94,0))+parametros_manuales!$E$28*('Plan mensual'!E91+IF(parametros_manuales!$H$28="Todos",'Plan mensual'!E95,0))+parametros_manuales!$F$28*('Plan mensual'!E92+IF(parametros_manuales!$H$28="Todos",'Plan mensual'!E96,0))+parametros_manuales!$G$28*('Plan mensual'!E93+IF(parametros_manuales!$H$28="Todos",'Plan mensual'!E97,0)))*parametros_manuales!$I$28*parametros_manuales!$J$28</f>
        <v>15785.3822526</v>
      </c>
      <c r="D235" s="14" t="n">
        <f aca="false">(parametros_manuales!$D$28*('Plan mensual'!F90+IF(parametros_manuales!$H$28="Todos",'Plan mensual'!F94,0))+parametros_manuales!$E$28*('Plan mensual'!F91+IF(parametros_manuales!$H$28="Todos",'Plan mensual'!F95,0))+parametros_manuales!$F$28*('Plan mensual'!F92+IF(parametros_manuales!$H$28="Todos",'Plan mensual'!F96,0))+parametros_manuales!$G$28*('Plan mensual'!F93+IF(parametros_manuales!$H$28="Todos",'Plan mensual'!F97,0)))*parametros_manuales!$I$28*parametros_manuales!$J$28</f>
        <v>14031.4508912</v>
      </c>
      <c r="E235" s="14" t="n">
        <f aca="false">(parametros_manuales!$D$28*('Plan mensual'!G90+IF(parametros_manuales!$H$28="Todos",'Plan mensual'!G94,0))+parametros_manuales!$E$28*('Plan mensual'!G91+IF(parametros_manuales!$H$28="Todos",'Plan mensual'!G95,0))+parametros_manuales!$F$28*('Plan mensual'!G92+IF(parametros_manuales!$H$28="Todos",'Plan mensual'!G96,0))+parametros_manuales!$G$28*('Plan mensual'!G93+IF(parametros_manuales!$H$28="Todos",'Plan mensual'!G97,0)))*parametros_manuales!$I$28*parametros_manuales!$J$28</f>
        <v>13154.4852105</v>
      </c>
      <c r="F235" s="14" t="n">
        <f aca="false">(parametros_manuales!$D$28*('Plan mensual'!H90+IF(parametros_manuales!$H$28="Todos",'Plan mensual'!H94,0))+parametros_manuales!$E$28*('Plan mensual'!H91+IF(parametros_manuales!$H$28="Todos",'Plan mensual'!H95,0))+parametros_manuales!$F$28*('Plan mensual'!H92+IF(parametros_manuales!$H$28="Todos",'Plan mensual'!H96,0))+parametros_manuales!$G$28*('Plan mensual'!H93+IF(parametros_manuales!$H$28="Todos",'Plan mensual'!H97,0)))*parametros_manuales!$I$28*parametros_manuales!$J$28</f>
        <v>12277.5195298</v>
      </c>
      <c r="G235" s="14" t="n">
        <f aca="false">(parametros_manuales!$D$28*('Plan mensual'!I90+IF(parametros_manuales!$H$28="Todos",'Plan mensual'!I94,0))+parametros_manuales!$E$28*('Plan mensual'!I91+IF(parametros_manuales!$H$28="Todos",'Plan mensual'!I95,0))+parametros_manuales!$F$28*('Plan mensual'!I92+IF(parametros_manuales!$H$28="Todos",'Plan mensual'!I96,0))+parametros_manuales!$G$28*('Plan mensual'!I93+IF(parametros_manuales!$H$28="Todos",'Plan mensual'!I97,0)))*parametros_manuales!$I$28*parametros_manuales!$J$28</f>
        <v>12277.5195298</v>
      </c>
      <c r="H235" s="14" t="n">
        <f aca="false">(parametros_manuales!$D$28*('Plan mensual'!J90+IF(parametros_manuales!$H$28="Todos",'Plan mensual'!J94,0))+parametros_manuales!$E$28*('Plan mensual'!J91+IF(parametros_manuales!$H$28="Todos",'Plan mensual'!J95,0))+parametros_manuales!$F$28*('Plan mensual'!J92+IF(parametros_manuales!$H$28="Todos",'Plan mensual'!J96,0))+parametros_manuales!$G$28*('Plan mensual'!J93+IF(parametros_manuales!$H$28="Todos",'Plan mensual'!J97,0)))*parametros_manuales!$I$28*parametros_manuales!$J$28</f>
        <v>13154.4852105</v>
      </c>
      <c r="I235" s="14" t="n">
        <f aca="false">(parametros_manuales!$D$28*('Plan mensual'!K90+IF(parametros_manuales!$H$28="Todos",'Plan mensual'!K94,0))+parametros_manuales!$E$28*('Plan mensual'!K91+IF(parametros_manuales!$H$28="Todos",'Plan mensual'!K95,0))+parametros_manuales!$F$28*('Plan mensual'!K92+IF(parametros_manuales!$H$28="Todos",'Plan mensual'!K96,0))+parametros_manuales!$G$28*('Plan mensual'!K93+IF(parametros_manuales!$H$28="Todos",'Plan mensual'!K97,0)))*parametros_manuales!$I$28*parametros_manuales!$J$28</f>
        <v>13154.4852105</v>
      </c>
      <c r="J235" s="14" t="n">
        <f aca="false">(parametros_manuales!$D$28*('Plan mensual'!L90+IF(parametros_manuales!$H$28="Todos",'Plan mensual'!L94,0))+parametros_manuales!$E$28*('Plan mensual'!L91+IF(parametros_manuales!$H$28="Todos",'Plan mensual'!L95,0))+parametros_manuales!$F$28*('Plan mensual'!L92+IF(parametros_manuales!$H$28="Todos",'Plan mensual'!L96,0))+parametros_manuales!$G$28*('Plan mensual'!L93+IF(parametros_manuales!$H$28="Todos",'Plan mensual'!L97,0)))*parametros_manuales!$I$28*parametros_manuales!$J$28</f>
        <v>13154.4852105</v>
      </c>
      <c r="K235" s="14" t="n">
        <f aca="false">(parametros_manuales!$D$28*('Plan mensual'!M90+IF(parametros_manuales!$H$28="Todos",'Plan mensual'!M94,0))+parametros_manuales!$E$28*('Plan mensual'!M91+IF(parametros_manuales!$H$28="Todos",'Plan mensual'!M95,0))+parametros_manuales!$F$28*('Plan mensual'!M92+IF(parametros_manuales!$H$28="Todos",'Plan mensual'!M96,0))+parametros_manuales!$G$28*('Plan mensual'!M93+IF(parametros_manuales!$H$28="Todos",'Plan mensual'!M97,0)))*parametros_manuales!$I$28*parametros_manuales!$J$28</f>
        <v>13154.4852105</v>
      </c>
      <c r="L235" s="14" t="n">
        <f aca="false">(parametros_manuales!$D$28*('Plan mensual'!N90+IF(parametros_manuales!$H$28="Todos",'Plan mensual'!N94,0))+parametros_manuales!$E$28*('Plan mensual'!N91+IF(parametros_manuales!$H$28="Todos",'Plan mensual'!N95,0))+parametros_manuales!$F$28*('Plan mensual'!N92+IF(parametros_manuales!$H$28="Todos",'Plan mensual'!N96,0))+parametros_manuales!$G$28*('Plan mensual'!N93+IF(parametros_manuales!$H$28="Todos",'Plan mensual'!N97,0)))*parametros_manuales!$I$28*parametros_manuales!$J$28</f>
        <v>13154.4852105</v>
      </c>
      <c r="M235" s="14" t="n">
        <f aca="false">(parametros_manuales!$D$28*('Plan mensual'!O90+IF(parametros_manuales!$H$28="Todos",'Plan mensual'!O94,0))+parametros_manuales!$E$28*('Plan mensual'!O91+IF(parametros_manuales!$H$28="Todos",'Plan mensual'!O95,0))+parametros_manuales!$F$28*('Plan mensual'!O92+IF(parametros_manuales!$H$28="Todos",'Plan mensual'!O96,0))+parametros_manuales!$G$28*('Plan mensual'!O93+IF(parametros_manuales!$H$28="Todos",'Plan mensual'!O97,0)))*parametros_manuales!$I$28*parametros_manuales!$J$28</f>
        <v>21047.1763368</v>
      </c>
      <c r="N235" s="14" t="n">
        <f aca="false">SUM(B235:M235)</f>
        <v>175393.13614</v>
      </c>
      <c r="O235" s="14" t="n">
        <f aca="false">MAX(B235:M235)</f>
        <v>21047.1763368</v>
      </c>
      <c r="P235" s="57" t="n">
        <f aca="false">O235/(parametros_manuales!$B$7)</f>
        <v>140.314508912</v>
      </c>
      <c r="Q235" s="13" t="str">
        <f aca="false">IF(O235=0,"-",INDEX($B$225:$M$225,MATCH(O235,B235:M235,0)))</f>
        <v>Ene</v>
      </c>
    </row>
    <row r="236" customFormat="false" ht="14.25" hidden="false" customHeight="true" outlineLevel="0" collapsed="false">
      <c r="A236" s="13" t="str">
        <f aca="false">parametros_manuales!$B$29</f>
        <v>Encastre de fondo</v>
      </c>
      <c r="B236" s="14" t="n">
        <f aca="false">(parametros_manuales!$D$29*('Plan mensual'!D90+IF(parametros_manuales!$H$29="Todos",'Plan mensual'!D94,0))+parametros_manuales!$E$29*('Plan mensual'!D91+IF(parametros_manuales!$H$29="Todos",'Plan mensual'!D95,0))+parametros_manuales!$F$29*('Plan mensual'!D92+IF(parametros_manuales!$H$29="Todos",'Plan mensual'!D96,0))+parametros_manuales!$G$29*('Plan mensual'!D93+IF(parametros_manuales!$H$29="Todos",'Plan mensual'!D97,0)))*parametros_manuales!$I$29*parametros_manuales!$J$29</f>
        <v>28127.6264215</v>
      </c>
      <c r="C236" s="14" t="n">
        <f aca="false">(parametros_manuales!$D$29*('Plan mensual'!E90+IF(parametros_manuales!$H$29="Todos",'Plan mensual'!E94,0))+parametros_manuales!$E$29*('Plan mensual'!E91+IF(parametros_manuales!$H$29="Todos",'Plan mensual'!E95,0))+parametros_manuales!$F$29*('Plan mensual'!E92+IF(parametros_manuales!$H$29="Todos",'Plan mensual'!E96,0))+parametros_manuales!$G$29*('Plan mensual'!E93+IF(parametros_manuales!$H$29="Todos",'Plan mensual'!E97,0)))*parametros_manuales!$I$29*parametros_manuales!$J$29</f>
        <v>21449.74232036</v>
      </c>
      <c r="D236" s="14" t="n">
        <f aca="false">(parametros_manuales!$D$29*('Plan mensual'!F90+IF(parametros_manuales!$H$29="Todos",'Plan mensual'!F94,0))+parametros_manuales!$E$29*('Plan mensual'!F91+IF(parametros_manuales!$H$29="Todos",'Plan mensual'!F95,0))+parametros_manuales!$F$29*('Plan mensual'!F92+IF(parametros_manuales!$H$29="Todos",'Plan mensual'!F96,0))+parametros_manuales!$G$29*('Plan mensual'!F93+IF(parametros_manuales!$H$29="Todos",'Plan mensual'!F97,0)))*parametros_manuales!$I$29*parametros_manuales!$J$29</f>
        <v>20049.833463195</v>
      </c>
      <c r="E236" s="14" t="n">
        <f aca="false">(parametros_manuales!$D$29*('Plan mensual'!G90+IF(parametros_manuales!$H$29="Todos",'Plan mensual'!G94,0))+parametros_manuales!$E$29*('Plan mensual'!G91+IF(parametros_manuales!$H$29="Todos",'Plan mensual'!G95,0))+parametros_manuales!$F$29*('Plan mensual'!G92+IF(parametros_manuales!$H$29="Todos",'Plan mensual'!G96,0))+parametros_manuales!$G$29*('Plan mensual'!G93+IF(parametros_manuales!$H$29="Todos",'Plan mensual'!G97,0)))*parametros_manuales!$I$29*parametros_manuales!$J$29</f>
        <v>19172.867782495</v>
      </c>
      <c r="F236" s="14" t="n">
        <f aca="false">(parametros_manuales!$D$29*('Plan mensual'!H90+IF(parametros_manuales!$H$29="Todos",'Plan mensual'!H94,0))+parametros_manuales!$E$29*('Plan mensual'!H91+IF(parametros_manuales!$H$29="Todos",'Plan mensual'!H95,0))+parametros_manuales!$F$29*('Plan mensual'!H92+IF(parametros_manuales!$H$29="Todos",'Plan mensual'!H96,0))+parametros_manuales!$G$29*('Plan mensual'!H93+IF(parametros_manuales!$H$29="Todos",'Plan mensual'!H97,0)))*parametros_manuales!$I$29*parametros_manuales!$J$29</f>
        <v>17941.87959756</v>
      </c>
      <c r="G236" s="14" t="n">
        <f aca="false">(parametros_manuales!$D$29*('Plan mensual'!I90+IF(parametros_manuales!$H$29="Todos",'Plan mensual'!I94,0))+parametros_manuales!$E$29*('Plan mensual'!I91+IF(parametros_manuales!$H$29="Todos",'Plan mensual'!I95,0))+parametros_manuales!$F$29*('Plan mensual'!I92+IF(parametros_manuales!$H$29="Todos",'Plan mensual'!I96,0))+parametros_manuales!$G$29*('Plan mensual'!I93+IF(parametros_manuales!$H$29="Todos",'Plan mensual'!I97,0)))*parametros_manuales!$I$29*parametros_manuales!$J$29</f>
        <v>17587.857093325</v>
      </c>
      <c r="H236" s="14" t="n">
        <f aca="false">(parametros_manuales!$D$29*('Plan mensual'!J90+IF(parametros_manuales!$H$29="Todos",'Plan mensual'!J94,0))+parametros_manuales!$E$29*('Plan mensual'!J91+IF(parametros_manuales!$H$29="Todos",'Plan mensual'!J95,0))+parametros_manuales!$F$29*('Plan mensual'!J92+IF(parametros_manuales!$H$29="Todos",'Plan mensual'!J96,0))+parametros_manuales!$G$29*('Plan mensual'!J93+IF(parametros_manuales!$H$29="Todos",'Plan mensual'!J97,0)))*parametros_manuales!$I$29*parametros_manuales!$J$29</f>
        <v>18818.84527826</v>
      </c>
      <c r="I236" s="14" t="n">
        <f aca="false">(parametros_manuales!$D$29*('Plan mensual'!K90+IF(parametros_manuales!$H$29="Todos",'Plan mensual'!K94,0))+parametros_manuales!$E$29*('Plan mensual'!K91+IF(parametros_manuales!$H$29="Todos",'Plan mensual'!K95,0))+parametros_manuales!$F$29*('Plan mensual'!K92+IF(parametros_manuales!$H$29="Todos",'Plan mensual'!K96,0))+parametros_manuales!$G$29*('Plan mensual'!K93+IF(parametros_manuales!$H$29="Todos",'Plan mensual'!K97,0)))*parametros_manuales!$I$29*parametros_manuales!$J$29</f>
        <v>18818.84527826</v>
      </c>
      <c r="J236" s="14" t="n">
        <f aca="false">(parametros_manuales!$D$29*('Plan mensual'!L90+IF(parametros_manuales!$H$29="Todos",'Plan mensual'!L94,0))+parametros_manuales!$E$29*('Plan mensual'!L91+IF(parametros_manuales!$H$29="Todos",'Plan mensual'!L95,0))+parametros_manuales!$F$29*('Plan mensual'!L92+IF(parametros_manuales!$H$29="Todos",'Plan mensual'!L96,0))+parametros_manuales!$G$29*('Plan mensual'!L93+IF(parametros_manuales!$H$29="Todos",'Plan mensual'!L97,0)))*parametros_manuales!$I$29*parametros_manuales!$J$29</f>
        <v>18818.84527826</v>
      </c>
      <c r="K236" s="14" t="n">
        <f aca="false">(parametros_manuales!$D$29*('Plan mensual'!M90+IF(parametros_manuales!$H$29="Todos",'Plan mensual'!M94,0))+parametros_manuales!$E$29*('Plan mensual'!M91+IF(parametros_manuales!$H$29="Todos",'Plan mensual'!M95,0))+parametros_manuales!$F$29*('Plan mensual'!M92+IF(parametros_manuales!$H$29="Todos",'Plan mensual'!M96,0))+parametros_manuales!$G$29*('Plan mensual'!M93+IF(parametros_manuales!$H$29="Todos",'Plan mensual'!M97,0)))*parametros_manuales!$I$29*parametros_manuales!$J$29</f>
        <v>18464.822774025</v>
      </c>
      <c r="L236" s="14" t="n">
        <f aca="false">(parametros_manuales!$D$29*('Plan mensual'!N90+IF(parametros_manuales!$H$29="Todos",'Plan mensual'!N94,0))+parametros_manuales!$E$29*('Plan mensual'!N91+IF(parametros_manuales!$H$29="Todos",'Plan mensual'!N95,0))+parametros_manuales!$F$29*('Plan mensual'!N92+IF(parametros_manuales!$H$29="Todos",'Plan mensual'!N96,0))+parametros_manuales!$G$29*('Plan mensual'!N93+IF(parametros_manuales!$H$29="Todos",'Plan mensual'!N97,0)))*parametros_manuales!$I$29*parametros_manuales!$J$29</f>
        <v>18110.80026979</v>
      </c>
      <c r="M236" s="14" t="n">
        <f aca="false">(parametros_manuales!$D$29*('Plan mensual'!O90+IF(parametros_manuales!$H$29="Todos",'Plan mensual'!O94,0))+parametros_manuales!$E$29*('Plan mensual'!O91+IF(parametros_manuales!$H$29="Todos",'Plan mensual'!O95,0))+parametros_manuales!$F$29*('Plan mensual'!O92+IF(parametros_manuales!$H$29="Todos",'Plan mensual'!O96,0))+parametros_manuales!$G$29*('Plan mensual'!O93+IF(parametros_manuales!$H$29="Todos",'Plan mensual'!O97,0)))*parametros_manuales!$I$29*parametros_manuales!$J$29</f>
        <v>28835.67142997</v>
      </c>
      <c r="N236" s="14" t="n">
        <f aca="false">SUM(B236:M236)</f>
        <v>246197.636987</v>
      </c>
      <c r="O236" s="14" t="n">
        <f aca="false">MAX(B236:M236)</f>
        <v>28835.67142997</v>
      </c>
      <c r="P236" s="57" t="n">
        <f aca="false">O236/(parametros_manuales!$B$7)</f>
        <v>192.237809533133</v>
      </c>
      <c r="Q236" s="13" t="str">
        <f aca="false">IF(O236=0,"-",INDEX($B$225:$M$225,MATCH(O236,B236:M236,0)))</f>
        <v>Dic</v>
      </c>
    </row>
    <row r="237" customFormat="false" ht="14.25" hidden="false" customHeight="true" outlineLevel="0" collapsed="false">
      <c r="A237" s="13" t="str">
        <f aca="false">parametros_manuales!$B$30</f>
        <v>Bordoneado</v>
      </c>
      <c r="B237" s="14" t="n">
        <f aca="false">(parametros_manuales!$D$30*('Plan mensual'!D90+IF(parametros_manuales!$H$30="Todos",'Plan mensual'!D94,0))+parametros_manuales!$E$30*('Plan mensual'!D91+IF(parametros_manuales!$H$30="Todos",'Plan mensual'!D95,0))+parametros_manuales!$F$30*('Plan mensual'!D92+IF(parametros_manuales!$H$30="Todos",'Plan mensual'!D96,0))+parametros_manuales!$G$30*('Plan mensual'!D93+IF(parametros_manuales!$H$30="Todos",'Plan mensual'!D97,0)))*parametros_manuales!$I$30*parametros_manuales!$J$30</f>
        <v>28127.6264215</v>
      </c>
      <c r="C237" s="14" t="n">
        <f aca="false">(parametros_manuales!$D$30*('Plan mensual'!E90+IF(parametros_manuales!$H$30="Todos",'Plan mensual'!E94,0))+parametros_manuales!$E$30*('Plan mensual'!E91+IF(parametros_manuales!$H$30="Todos",'Plan mensual'!E95,0))+parametros_manuales!$F$30*('Plan mensual'!E92+IF(parametros_manuales!$H$30="Todos",'Plan mensual'!E96,0))+parametros_manuales!$G$30*('Plan mensual'!E93+IF(parametros_manuales!$H$30="Todos",'Plan mensual'!E97,0)))*parametros_manuales!$I$30*parametros_manuales!$J$30</f>
        <v>21449.74232036</v>
      </c>
      <c r="D237" s="14" t="n">
        <f aca="false">(parametros_manuales!$D$30*('Plan mensual'!F90+IF(parametros_manuales!$H$30="Todos",'Plan mensual'!F94,0))+parametros_manuales!$E$30*('Plan mensual'!F91+IF(parametros_manuales!$H$30="Todos",'Plan mensual'!F95,0))+parametros_manuales!$F$30*('Plan mensual'!F92+IF(parametros_manuales!$H$30="Todos",'Plan mensual'!F96,0))+parametros_manuales!$G$30*('Plan mensual'!F93+IF(parametros_manuales!$H$30="Todos",'Plan mensual'!F97,0)))*parametros_manuales!$I$30*parametros_manuales!$J$30</f>
        <v>20049.833463195</v>
      </c>
      <c r="E237" s="14" t="n">
        <f aca="false">(parametros_manuales!$D$30*('Plan mensual'!G90+IF(parametros_manuales!$H$30="Todos",'Plan mensual'!G94,0))+parametros_manuales!$E$30*('Plan mensual'!G91+IF(parametros_manuales!$H$30="Todos",'Plan mensual'!G95,0))+parametros_manuales!$F$30*('Plan mensual'!G92+IF(parametros_manuales!$H$30="Todos",'Plan mensual'!G96,0))+parametros_manuales!$G$30*('Plan mensual'!G93+IF(parametros_manuales!$H$30="Todos",'Plan mensual'!G97,0)))*parametros_manuales!$I$30*parametros_manuales!$J$30</f>
        <v>19172.867782495</v>
      </c>
      <c r="F237" s="14" t="n">
        <f aca="false">(parametros_manuales!$D$30*('Plan mensual'!H90+IF(parametros_manuales!$H$30="Todos",'Plan mensual'!H94,0))+parametros_manuales!$E$30*('Plan mensual'!H91+IF(parametros_manuales!$H$30="Todos",'Plan mensual'!H95,0))+parametros_manuales!$F$30*('Plan mensual'!H92+IF(parametros_manuales!$H$30="Todos",'Plan mensual'!H96,0))+parametros_manuales!$G$30*('Plan mensual'!H93+IF(parametros_manuales!$H$30="Todos",'Plan mensual'!H97,0)))*parametros_manuales!$I$30*parametros_manuales!$J$30</f>
        <v>17941.87959756</v>
      </c>
      <c r="G237" s="14" t="n">
        <f aca="false">(parametros_manuales!$D$30*('Plan mensual'!I90+IF(parametros_manuales!$H$30="Todos",'Plan mensual'!I94,0))+parametros_manuales!$E$30*('Plan mensual'!I91+IF(parametros_manuales!$H$30="Todos",'Plan mensual'!I95,0))+parametros_manuales!$F$30*('Plan mensual'!I92+IF(parametros_manuales!$H$30="Todos",'Plan mensual'!I96,0))+parametros_manuales!$G$30*('Plan mensual'!I93+IF(parametros_manuales!$H$30="Todos",'Plan mensual'!I97,0)))*parametros_manuales!$I$30*parametros_manuales!$J$30</f>
        <v>17587.857093325</v>
      </c>
      <c r="H237" s="14" t="n">
        <f aca="false">(parametros_manuales!$D$30*('Plan mensual'!J90+IF(parametros_manuales!$H$30="Todos",'Plan mensual'!J94,0))+parametros_manuales!$E$30*('Plan mensual'!J91+IF(parametros_manuales!$H$30="Todos",'Plan mensual'!J95,0))+parametros_manuales!$F$30*('Plan mensual'!J92+IF(parametros_manuales!$H$30="Todos",'Plan mensual'!J96,0))+parametros_manuales!$G$30*('Plan mensual'!J93+IF(parametros_manuales!$H$30="Todos",'Plan mensual'!J97,0)))*parametros_manuales!$I$30*parametros_manuales!$J$30</f>
        <v>18818.84527826</v>
      </c>
      <c r="I237" s="14" t="n">
        <f aca="false">(parametros_manuales!$D$30*('Plan mensual'!K90+IF(parametros_manuales!$H$30="Todos",'Plan mensual'!K94,0))+parametros_manuales!$E$30*('Plan mensual'!K91+IF(parametros_manuales!$H$30="Todos",'Plan mensual'!K95,0))+parametros_manuales!$F$30*('Plan mensual'!K92+IF(parametros_manuales!$H$30="Todos",'Plan mensual'!K96,0))+parametros_manuales!$G$30*('Plan mensual'!K93+IF(parametros_manuales!$H$30="Todos",'Plan mensual'!K97,0)))*parametros_manuales!$I$30*parametros_manuales!$J$30</f>
        <v>18818.84527826</v>
      </c>
      <c r="J237" s="14" t="n">
        <f aca="false">(parametros_manuales!$D$30*('Plan mensual'!L90+IF(parametros_manuales!$H$30="Todos",'Plan mensual'!L94,0))+parametros_manuales!$E$30*('Plan mensual'!L91+IF(parametros_manuales!$H$30="Todos",'Plan mensual'!L95,0))+parametros_manuales!$F$30*('Plan mensual'!L92+IF(parametros_manuales!$H$30="Todos",'Plan mensual'!L96,0))+parametros_manuales!$G$30*('Plan mensual'!L93+IF(parametros_manuales!$H$30="Todos",'Plan mensual'!L97,0)))*parametros_manuales!$I$30*parametros_manuales!$J$30</f>
        <v>18818.84527826</v>
      </c>
      <c r="K237" s="14" t="n">
        <f aca="false">(parametros_manuales!$D$30*('Plan mensual'!M90+IF(parametros_manuales!$H$30="Todos",'Plan mensual'!M94,0))+parametros_manuales!$E$30*('Plan mensual'!M91+IF(parametros_manuales!$H$30="Todos",'Plan mensual'!M95,0))+parametros_manuales!$F$30*('Plan mensual'!M92+IF(parametros_manuales!$H$30="Todos",'Plan mensual'!M96,0))+parametros_manuales!$G$30*('Plan mensual'!M93+IF(parametros_manuales!$H$30="Todos",'Plan mensual'!M97,0)))*parametros_manuales!$I$30*parametros_manuales!$J$30</f>
        <v>18464.822774025</v>
      </c>
      <c r="L237" s="14" t="n">
        <f aca="false">(parametros_manuales!$D$30*('Plan mensual'!N90+IF(parametros_manuales!$H$30="Todos",'Plan mensual'!N94,0))+parametros_manuales!$E$30*('Plan mensual'!N91+IF(parametros_manuales!$H$30="Todos",'Plan mensual'!N95,0))+parametros_manuales!$F$30*('Plan mensual'!N92+IF(parametros_manuales!$H$30="Todos",'Plan mensual'!N96,0))+parametros_manuales!$G$30*('Plan mensual'!N93+IF(parametros_manuales!$H$30="Todos",'Plan mensual'!N97,0)))*parametros_manuales!$I$30*parametros_manuales!$J$30</f>
        <v>18110.80026979</v>
      </c>
      <c r="M237" s="14" t="n">
        <f aca="false">(parametros_manuales!$D$30*('Plan mensual'!O90+IF(parametros_manuales!$H$30="Todos",'Plan mensual'!O94,0))+parametros_manuales!$E$30*('Plan mensual'!O91+IF(parametros_manuales!$H$30="Todos",'Plan mensual'!O95,0))+parametros_manuales!$F$30*('Plan mensual'!O92+IF(parametros_manuales!$H$30="Todos",'Plan mensual'!O96,0))+parametros_manuales!$G$30*('Plan mensual'!O93+IF(parametros_manuales!$H$30="Todos",'Plan mensual'!O97,0)))*parametros_manuales!$I$30*parametros_manuales!$J$30</f>
        <v>28835.67142997</v>
      </c>
      <c r="N237" s="14" t="n">
        <f aca="false">SUM(B237:M237)</f>
        <v>246197.636987</v>
      </c>
      <c r="O237" s="14" t="n">
        <f aca="false">MAX(B237:M237)</f>
        <v>28835.67142997</v>
      </c>
      <c r="P237" s="57" t="n">
        <f aca="false">O237/(parametros_manuales!$B$7)</f>
        <v>192.237809533133</v>
      </c>
      <c r="Q237" s="13" t="str">
        <f aca="false">IF(O237=0,"-",INDEX($B$225:$M$225,MATCH(O237,B237:M237,0)))</f>
        <v>Dic</v>
      </c>
    </row>
    <row r="238" customFormat="false" ht="14.25" hidden="false" customHeight="true" outlineLevel="0" collapsed="false">
      <c r="A238" s="13" t="str">
        <f aca="false">parametros_manuales!$B$31</f>
        <v>Soldadura circunferencial de cúpula y fondo</v>
      </c>
      <c r="B238" s="14" t="n">
        <f aca="false">(parametros_manuales!$D$31*('Plan mensual'!D90+IF(parametros_manuales!$H$31="Todos",'Plan mensual'!D94,0))+parametros_manuales!$E$31*('Plan mensual'!D91+IF(parametros_manuales!$H$31="Todos",'Plan mensual'!D95,0))+parametros_manuales!$F$31*('Plan mensual'!D92+IF(parametros_manuales!$H$31="Todos",'Plan mensual'!D96,0))+parametros_manuales!$G$31*('Plan mensual'!D93+IF(parametros_manuales!$H$31="Todos",'Plan mensual'!D97,0)))*parametros_manuales!$I$31*parametros_manuales!$J$31</f>
        <v>28127.6264215</v>
      </c>
      <c r="C238" s="14" t="n">
        <f aca="false">(parametros_manuales!$D$31*('Plan mensual'!E90+IF(parametros_manuales!$H$31="Todos",'Plan mensual'!E94,0))+parametros_manuales!$E$31*('Plan mensual'!E91+IF(parametros_manuales!$H$31="Todos",'Plan mensual'!E95,0))+parametros_manuales!$F$31*('Plan mensual'!E92+IF(parametros_manuales!$H$31="Todos",'Plan mensual'!E96,0))+parametros_manuales!$G$31*('Plan mensual'!E93+IF(parametros_manuales!$H$31="Todos",'Plan mensual'!E97,0)))*parametros_manuales!$I$31*parametros_manuales!$J$31</f>
        <v>21449.74232036</v>
      </c>
      <c r="D238" s="14" t="n">
        <f aca="false">(parametros_manuales!$D$31*('Plan mensual'!F90+IF(parametros_manuales!$H$31="Todos",'Plan mensual'!F94,0))+parametros_manuales!$E$31*('Plan mensual'!F91+IF(parametros_manuales!$H$31="Todos",'Plan mensual'!F95,0))+parametros_manuales!$F$31*('Plan mensual'!F92+IF(parametros_manuales!$H$31="Todos",'Plan mensual'!F96,0))+parametros_manuales!$G$31*('Plan mensual'!F93+IF(parametros_manuales!$H$31="Todos",'Plan mensual'!F97,0)))*parametros_manuales!$I$31*parametros_manuales!$J$31</f>
        <v>20049.833463195</v>
      </c>
      <c r="E238" s="14" t="n">
        <f aca="false">(parametros_manuales!$D$31*('Plan mensual'!G90+IF(parametros_manuales!$H$31="Todos",'Plan mensual'!G94,0))+parametros_manuales!$E$31*('Plan mensual'!G91+IF(parametros_manuales!$H$31="Todos",'Plan mensual'!G95,0))+parametros_manuales!$F$31*('Plan mensual'!G92+IF(parametros_manuales!$H$31="Todos",'Plan mensual'!G96,0))+parametros_manuales!$G$31*('Plan mensual'!G93+IF(parametros_manuales!$H$31="Todos",'Plan mensual'!G97,0)))*parametros_manuales!$I$31*parametros_manuales!$J$31</f>
        <v>19172.867782495</v>
      </c>
      <c r="F238" s="14" t="n">
        <f aca="false">(parametros_manuales!$D$31*('Plan mensual'!H90+IF(parametros_manuales!$H$31="Todos",'Plan mensual'!H94,0))+parametros_manuales!$E$31*('Plan mensual'!H91+IF(parametros_manuales!$H$31="Todos",'Plan mensual'!H95,0))+parametros_manuales!$F$31*('Plan mensual'!H92+IF(parametros_manuales!$H$31="Todos",'Plan mensual'!H96,0))+parametros_manuales!$G$31*('Plan mensual'!H93+IF(parametros_manuales!$H$31="Todos",'Plan mensual'!H97,0)))*parametros_manuales!$I$31*parametros_manuales!$J$31</f>
        <v>17941.87959756</v>
      </c>
      <c r="G238" s="14" t="n">
        <f aca="false">(parametros_manuales!$D$31*('Plan mensual'!I90+IF(parametros_manuales!$H$31="Todos",'Plan mensual'!I94,0))+parametros_manuales!$E$31*('Plan mensual'!I91+IF(parametros_manuales!$H$31="Todos",'Plan mensual'!I95,0))+parametros_manuales!$F$31*('Plan mensual'!I92+IF(parametros_manuales!$H$31="Todos",'Plan mensual'!I96,0))+parametros_manuales!$G$31*('Plan mensual'!I93+IF(parametros_manuales!$H$31="Todos",'Plan mensual'!I97,0)))*parametros_manuales!$I$31*parametros_manuales!$J$31</f>
        <v>17587.857093325</v>
      </c>
      <c r="H238" s="14" t="n">
        <f aca="false">(parametros_manuales!$D$31*('Plan mensual'!J90+IF(parametros_manuales!$H$31="Todos",'Plan mensual'!J94,0))+parametros_manuales!$E$31*('Plan mensual'!J91+IF(parametros_manuales!$H$31="Todos",'Plan mensual'!J95,0))+parametros_manuales!$F$31*('Plan mensual'!J92+IF(parametros_manuales!$H$31="Todos",'Plan mensual'!J96,0))+parametros_manuales!$G$31*('Plan mensual'!J93+IF(parametros_manuales!$H$31="Todos",'Plan mensual'!J97,0)))*parametros_manuales!$I$31*parametros_manuales!$J$31</f>
        <v>18818.84527826</v>
      </c>
      <c r="I238" s="14" t="n">
        <f aca="false">(parametros_manuales!$D$31*('Plan mensual'!K90+IF(parametros_manuales!$H$31="Todos",'Plan mensual'!K94,0))+parametros_manuales!$E$31*('Plan mensual'!K91+IF(parametros_manuales!$H$31="Todos",'Plan mensual'!K95,0))+parametros_manuales!$F$31*('Plan mensual'!K92+IF(parametros_manuales!$H$31="Todos",'Plan mensual'!K96,0))+parametros_manuales!$G$31*('Plan mensual'!K93+IF(parametros_manuales!$H$31="Todos",'Plan mensual'!K97,0)))*parametros_manuales!$I$31*parametros_manuales!$J$31</f>
        <v>18818.84527826</v>
      </c>
      <c r="J238" s="14" t="n">
        <f aca="false">(parametros_manuales!$D$31*('Plan mensual'!L90+IF(parametros_manuales!$H$31="Todos",'Plan mensual'!L94,0))+parametros_manuales!$E$31*('Plan mensual'!L91+IF(parametros_manuales!$H$31="Todos",'Plan mensual'!L95,0))+parametros_manuales!$F$31*('Plan mensual'!L92+IF(parametros_manuales!$H$31="Todos",'Plan mensual'!L96,0))+parametros_manuales!$G$31*('Plan mensual'!L93+IF(parametros_manuales!$H$31="Todos",'Plan mensual'!L97,0)))*parametros_manuales!$I$31*parametros_manuales!$J$31</f>
        <v>18818.84527826</v>
      </c>
      <c r="K238" s="14" t="n">
        <f aca="false">(parametros_manuales!$D$31*('Plan mensual'!M90+IF(parametros_manuales!$H$31="Todos",'Plan mensual'!M94,0))+parametros_manuales!$E$31*('Plan mensual'!M91+IF(parametros_manuales!$H$31="Todos",'Plan mensual'!M95,0))+parametros_manuales!$F$31*('Plan mensual'!M92+IF(parametros_manuales!$H$31="Todos",'Plan mensual'!M96,0))+parametros_manuales!$G$31*('Plan mensual'!M93+IF(parametros_manuales!$H$31="Todos",'Plan mensual'!M97,0)))*parametros_manuales!$I$31*parametros_manuales!$J$31</f>
        <v>18464.822774025</v>
      </c>
      <c r="L238" s="14" t="n">
        <f aca="false">(parametros_manuales!$D$31*('Plan mensual'!N90+IF(parametros_manuales!$H$31="Todos",'Plan mensual'!N94,0))+parametros_manuales!$E$31*('Plan mensual'!N91+IF(parametros_manuales!$H$31="Todos",'Plan mensual'!N95,0))+parametros_manuales!$F$31*('Plan mensual'!N92+IF(parametros_manuales!$H$31="Todos",'Plan mensual'!N96,0))+parametros_manuales!$G$31*('Plan mensual'!N93+IF(parametros_manuales!$H$31="Todos",'Plan mensual'!N97,0)))*parametros_manuales!$I$31*parametros_manuales!$J$31</f>
        <v>18110.80026979</v>
      </c>
      <c r="M238" s="14" t="n">
        <f aca="false">(parametros_manuales!$D$31*('Plan mensual'!O90+IF(parametros_manuales!$H$31="Todos",'Plan mensual'!O94,0))+parametros_manuales!$E$31*('Plan mensual'!O91+IF(parametros_manuales!$H$31="Todos",'Plan mensual'!O95,0))+parametros_manuales!$F$31*('Plan mensual'!O92+IF(parametros_manuales!$H$31="Todos",'Plan mensual'!O96,0))+parametros_manuales!$G$31*('Plan mensual'!O93+IF(parametros_manuales!$H$31="Todos",'Plan mensual'!O97,0)))*parametros_manuales!$I$31*parametros_manuales!$J$31</f>
        <v>28835.67142997</v>
      </c>
      <c r="N238" s="14" t="n">
        <f aca="false">SUM(B238:M238)</f>
        <v>246197.636987</v>
      </c>
      <c r="O238" s="14" t="n">
        <f aca="false">MAX(B238:M238)</f>
        <v>28835.67142997</v>
      </c>
      <c r="P238" s="57" t="n">
        <f aca="false">O238/(parametros_manuales!$B$7)</f>
        <v>192.237809533133</v>
      </c>
      <c r="Q238" s="13" t="str">
        <f aca="false">IF(O238=0,"-",INDEX($B$225:$M$225,MATCH(O238,B238:M238,0)))</f>
        <v>Dic</v>
      </c>
    </row>
    <row r="239" customFormat="false" ht="14.25" hidden="false" customHeight="true" outlineLevel="0" collapsed="false">
      <c r="A239" s="13" t="str">
        <f aca="false">parametros_manuales!$B$32</f>
        <v>Control de calidad — Espesor</v>
      </c>
      <c r="B239" s="14" t="n">
        <f aca="false">(parametros_manuales!$D$32*('Plan mensual'!D90+IF(parametros_manuales!$H$32="Todos",'Plan mensual'!D94,0))+parametros_manuales!$E$32*('Plan mensual'!D91+IF(parametros_manuales!$H$32="Todos",'Plan mensual'!D95,0))+parametros_manuales!$F$32*('Plan mensual'!D92+IF(parametros_manuales!$H$32="Todos",'Plan mensual'!D96,0))+parametros_manuales!$G$32*('Plan mensual'!D93+IF(parametros_manuales!$H$32="Todos",'Plan mensual'!D97,0)))*parametros_manuales!$I$32*parametros_manuales!$J$32</f>
        <v>562.55252843</v>
      </c>
      <c r="C239" s="14" t="n">
        <f aca="false">(parametros_manuales!$D$32*('Plan mensual'!E90+IF(parametros_manuales!$H$32="Todos",'Plan mensual'!E94,0))+parametros_manuales!$E$32*('Plan mensual'!E91+IF(parametros_manuales!$H$32="Todos",'Plan mensual'!E95,0))+parametros_manuales!$F$32*('Plan mensual'!E92+IF(parametros_manuales!$H$32="Todos",'Plan mensual'!E96,0))+parametros_manuales!$G$32*('Plan mensual'!E93+IF(parametros_manuales!$H$32="Todos",'Plan mensual'!E97,0)))*parametros_manuales!$I$32*parametros_manuales!$J$32</f>
        <v>428.9948464072</v>
      </c>
      <c r="D239" s="14" t="n">
        <f aca="false">(parametros_manuales!$D$32*('Plan mensual'!F90+IF(parametros_manuales!$H$32="Todos",'Plan mensual'!F94,0))+parametros_manuales!$E$32*('Plan mensual'!F91+IF(parametros_manuales!$H$32="Todos",'Plan mensual'!F95,0))+parametros_manuales!$F$32*('Plan mensual'!F92+IF(parametros_manuales!$H$32="Todos",'Plan mensual'!F96,0))+parametros_manuales!$G$32*('Plan mensual'!F93+IF(parametros_manuales!$H$32="Todos",'Plan mensual'!F97,0)))*parametros_manuales!$I$32*parametros_manuales!$J$32</f>
        <v>400.9966692639</v>
      </c>
      <c r="E239" s="14" t="n">
        <f aca="false">(parametros_manuales!$D$32*('Plan mensual'!G90+IF(parametros_manuales!$H$32="Todos",'Plan mensual'!G94,0))+parametros_manuales!$E$32*('Plan mensual'!G91+IF(parametros_manuales!$H$32="Todos",'Plan mensual'!G95,0))+parametros_manuales!$F$32*('Plan mensual'!G92+IF(parametros_manuales!$H$32="Todos",'Plan mensual'!G96,0))+parametros_manuales!$G$32*('Plan mensual'!G93+IF(parametros_manuales!$H$32="Todos",'Plan mensual'!G97,0)))*parametros_manuales!$I$32*parametros_manuales!$J$32</f>
        <v>383.4573556499</v>
      </c>
      <c r="F239" s="14" t="n">
        <f aca="false">(parametros_manuales!$D$32*('Plan mensual'!H90+IF(parametros_manuales!$H$32="Todos",'Plan mensual'!H94,0))+parametros_manuales!$E$32*('Plan mensual'!H91+IF(parametros_manuales!$H$32="Todos",'Plan mensual'!H95,0))+parametros_manuales!$F$32*('Plan mensual'!H92+IF(parametros_manuales!$H$32="Todos",'Plan mensual'!H96,0))+parametros_manuales!$G$32*('Plan mensual'!H93+IF(parametros_manuales!$H$32="Todos",'Plan mensual'!H97,0)))*parametros_manuales!$I$32*parametros_manuales!$J$32</f>
        <v>358.8375919512</v>
      </c>
      <c r="G239" s="14" t="n">
        <f aca="false">(parametros_manuales!$D$32*('Plan mensual'!I90+IF(parametros_manuales!$H$32="Todos",'Plan mensual'!I94,0))+parametros_manuales!$E$32*('Plan mensual'!I91+IF(parametros_manuales!$H$32="Todos",'Plan mensual'!I95,0))+parametros_manuales!$F$32*('Plan mensual'!I92+IF(parametros_manuales!$H$32="Todos",'Plan mensual'!I96,0))+parametros_manuales!$G$32*('Plan mensual'!I93+IF(parametros_manuales!$H$32="Todos",'Plan mensual'!I97,0)))*parametros_manuales!$I$32*parametros_manuales!$J$32</f>
        <v>351.7571418665</v>
      </c>
      <c r="H239" s="14" t="n">
        <f aca="false">(parametros_manuales!$D$32*('Plan mensual'!J90+IF(parametros_manuales!$H$32="Todos",'Plan mensual'!J94,0))+parametros_manuales!$E$32*('Plan mensual'!J91+IF(parametros_manuales!$H$32="Todos",'Plan mensual'!J95,0))+parametros_manuales!$F$32*('Plan mensual'!J92+IF(parametros_manuales!$H$32="Todos",'Plan mensual'!J96,0))+parametros_manuales!$G$32*('Plan mensual'!J93+IF(parametros_manuales!$H$32="Todos",'Plan mensual'!J97,0)))*parametros_manuales!$I$32*parametros_manuales!$J$32</f>
        <v>376.3769055652</v>
      </c>
      <c r="I239" s="14" t="n">
        <f aca="false">(parametros_manuales!$D$32*('Plan mensual'!K90+IF(parametros_manuales!$H$32="Todos",'Plan mensual'!K94,0))+parametros_manuales!$E$32*('Plan mensual'!K91+IF(parametros_manuales!$H$32="Todos",'Plan mensual'!K95,0))+parametros_manuales!$F$32*('Plan mensual'!K92+IF(parametros_manuales!$H$32="Todos",'Plan mensual'!K96,0))+parametros_manuales!$G$32*('Plan mensual'!K93+IF(parametros_manuales!$H$32="Todos",'Plan mensual'!K97,0)))*parametros_manuales!$I$32*parametros_manuales!$J$32</f>
        <v>376.3769055652</v>
      </c>
      <c r="J239" s="14" t="n">
        <f aca="false">(parametros_manuales!$D$32*('Plan mensual'!L90+IF(parametros_manuales!$H$32="Todos",'Plan mensual'!L94,0))+parametros_manuales!$E$32*('Plan mensual'!L91+IF(parametros_manuales!$H$32="Todos",'Plan mensual'!L95,0))+parametros_manuales!$F$32*('Plan mensual'!L92+IF(parametros_manuales!$H$32="Todos",'Plan mensual'!L96,0))+parametros_manuales!$G$32*('Plan mensual'!L93+IF(parametros_manuales!$H$32="Todos",'Plan mensual'!L97,0)))*parametros_manuales!$I$32*parametros_manuales!$J$32</f>
        <v>376.3769055652</v>
      </c>
      <c r="K239" s="14" t="n">
        <f aca="false">(parametros_manuales!$D$32*('Plan mensual'!M90+IF(parametros_manuales!$H$32="Todos",'Plan mensual'!M94,0))+parametros_manuales!$E$32*('Plan mensual'!M91+IF(parametros_manuales!$H$32="Todos",'Plan mensual'!M95,0))+parametros_manuales!$F$32*('Plan mensual'!M92+IF(parametros_manuales!$H$32="Todos",'Plan mensual'!M96,0))+parametros_manuales!$G$32*('Plan mensual'!M93+IF(parametros_manuales!$H$32="Todos",'Plan mensual'!M97,0)))*parametros_manuales!$I$32*parametros_manuales!$J$32</f>
        <v>369.2964554805</v>
      </c>
      <c r="L239" s="14" t="n">
        <f aca="false">(parametros_manuales!$D$32*('Plan mensual'!N90+IF(parametros_manuales!$H$32="Todos",'Plan mensual'!N94,0))+parametros_manuales!$E$32*('Plan mensual'!N91+IF(parametros_manuales!$H$32="Todos",'Plan mensual'!N95,0))+parametros_manuales!$F$32*('Plan mensual'!N92+IF(parametros_manuales!$H$32="Todos",'Plan mensual'!N96,0))+parametros_manuales!$G$32*('Plan mensual'!N93+IF(parametros_manuales!$H$32="Todos",'Plan mensual'!N97,0)))*parametros_manuales!$I$32*parametros_manuales!$J$32</f>
        <v>362.2160053958</v>
      </c>
      <c r="M239" s="14" t="n">
        <f aca="false">(parametros_manuales!$D$32*('Plan mensual'!O90+IF(parametros_manuales!$H$32="Todos",'Plan mensual'!O94,0))+parametros_manuales!$E$32*('Plan mensual'!O91+IF(parametros_manuales!$H$32="Todos",'Plan mensual'!O95,0))+parametros_manuales!$F$32*('Plan mensual'!O92+IF(parametros_manuales!$H$32="Todos",'Plan mensual'!O96,0))+parametros_manuales!$G$32*('Plan mensual'!O93+IF(parametros_manuales!$H$32="Todos",'Plan mensual'!O97,0)))*parametros_manuales!$I$32*parametros_manuales!$J$32</f>
        <v>576.7134285994</v>
      </c>
      <c r="N239" s="14" t="n">
        <f aca="false">SUM(B239:M239)</f>
        <v>4923.95273974</v>
      </c>
      <c r="O239" s="14" t="n">
        <f aca="false">MAX(B239:M239)</f>
        <v>576.7134285994</v>
      </c>
      <c r="P239" s="57" t="n">
        <f aca="false">O239/(parametros_manuales!$B$7)</f>
        <v>3.84475619066267</v>
      </c>
      <c r="Q239" s="13" t="str">
        <f aca="false">IF(O239=0,"-",INDEX($B$225:$M$225,MATCH(O239,B239:M239,0)))</f>
        <v>Dic</v>
      </c>
    </row>
    <row r="240" customFormat="false" ht="14.25" hidden="false" customHeight="true" outlineLevel="0" collapsed="false">
      <c r="A240" s="13" t="str">
        <f aca="false">parametros_manuales!$B$33</f>
        <v>Prueba hidráulica</v>
      </c>
      <c r="B240" s="14" t="n">
        <f aca="false">(parametros_manuales!$D$33*('Plan mensual'!D90+IF(parametros_manuales!$H$33="Todos",'Plan mensual'!D94,0))+parametros_manuales!$E$33*('Plan mensual'!D91+IF(parametros_manuales!$H$33="Todos",'Plan mensual'!D95,0))+parametros_manuales!$F$33*('Plan mensual'!D92+IF(parametros_manuales!$H$33="Todos",'Plan mensual'!D96,0))+parametros_manuales!$G$33*('Plan mensual'!D93+IF(parametros_manuales!$H$33="Todos",'Plan mensual'!D97,0)))*parametros_manuales!$I$33*parametros_manuales!$J$33</f>
        <v>28127.6264215</v>
      </c>
      <c r="C240" s="14" t="n">
        <f aca="false">(parametros_manuales!$D$33*('Plan mensual'!E90+IF(parametros_manuales!$H$33="Todos",'Plan mensual'!E94,0))+parametros_manuales!$E$33*('Plan mensual'!E91+IF(parametros_manuales!$H$33="Todos",'Plan mensual'!E95,0))+parametros_manuales!$F$33*('Plan mensual'!E92+IF(parametros_manuales!$H$33="Todos",'Plan mensual'!E96,0))+parametros_manuales!$G$33*('Plan mensual'!E93+IF(parametros_manuales!$H$33="Todos",'Plan mensual'!E97,0)))*parametros_manuales!$I$33*parametros_manuales!$J$33</f>
        <v>21449.74232036</v>
      </c>
      <c r="D240" s="14" t="n">
        <f aca="false">(parametros_manuales!$D$33*('Plan mensual'!F90+IF(parametros_manuales!$H$33="Todos",'Plan mensual'!F94,0))+parametros_manuales!$E$33*('Plan mensual'!F91+IF(parametros_manuales!$H$33="Todos",'Plan mensual'!F95,0))+parametros_manuales!$F$33*('Plan mensual'!F92+IF(parametros_manuales!$H$33="Todos",'Plan mensual'!F96,0))+parametros_manuales!$G$33*('Plan mensual'!F93+IF(parametros_manuales!$H$33="Todos",'Plan mensual'!F97,0)))*parametros_manuales!$I$33*parametros_manuales!$J$33</f>
        <v>20049.833463195</v>
      </c>
      <c r="E240" s="14" t="n">
        <f aca="false">(parametros_manuales!$D$33*('Plan mensual'!G90+IF(parametros_manuales!$H$33="Todos",'Plan mensual'!G94,0))+parametros_manuales!$E$33*('Plan mensual'!G91+IF(parametros_manuales!$H$33="Todos",'Plan mensual'!G95,0))+parametros_manuales!$F$33*('Plan mensual'!G92+IF(parametros_manuales!$H$33="Todos",'Plan mensual'!G96,0))+parametros_manuales!$G$33*('Plan mensual'!G93+IF(parametros_manuales!$H$33="Todos",'Plan mensual'!G97,0)))*parametros_manuales!$I$33*parametros_manuales!$J$33</f>
        <v>19172.867782495</v>
      </c>
      <c r="F240" s="14" t="n">
        <f aca="false">(parametros_manuales!$D$33*('Plan mensual'!H90+IF(parametros_manuales!$H$33="Todos",'Plan mensual'!H94,0))+parametros_manuales!$E$33*('Plan mensual'!H91+IF(parametros_manuales!$H$33="Todos",'Plan mensual'!H95,0))+parametros_manuales!$F$33*('Plan mensual'!H92+IF(parametros_manuales!$H$33="Todos",'Plan mensual'!H96,0))+parametros_manuales!$G$33*('Plan mensual'!H93+IF(parametros_manuales!$H$33="Todos",'Plan mensual'!H97,0)))*parametros_manuales!$I$33*parametros_manuales!$J$33</f>
        <v>17941.87959756</v>
      </c>
      <c r="G240" s="14" t="n">
        <f aca="false">(parametros_manuales!$D$33*('Plan mensual'!I90+IF(parametros_manuales!$H$33="Todos",'Plan mensual'!I94,0))+parametros_manuales!$E$33*('Plan mensual'!I91+IF(parametros_manuales!$H$33="Todos",'Plan mensual'!I95,0))+parametros_manuales!$F$33*('Plan mensual'!I92+IF(parametros_manuales!$H$33="Todos",'Plan mensual'!I96,0))+parametros_manuales!$G$33*('Plan mensual'!I93+IF(parametros_manuales!$H$33="Todos",'Plan mensual'!I97,0)))*parametros_manuales!$I$33*parametros_manuales!$J$33</f>
        <v>17587.857093325</v>
      </c>
      <c r="H240" s="14" t="n">
        <f aca="false">(parametros_manuales!$D$33*('Plan mensual'!J90+IF(parametros_manuales!$H$33="Todos",'Plan mensual'!J94,0))+parametros_manuales!$E$33*('Plan mensual'!J91+IF(parametros_manuales!$H$33="Todos",'Plan mensual'!J95,0))+parametros_manuales!$F$33*('Plan mensual'!J92+IF(parametros_manuales!$H$33="Todos",'Plan mensual'!J96,0))+parametros_manuales!$G$33*('Plan mensual'!J93+IF(parametros_manuales!$H$33="Todos",'Plan mensual'!J97,0)))*parametros_manuales!$I$33*parametros_manuales!$J$33</f>
        <v>18818.84527826</v>
      </c>
      <c r="I240" s="14" t="n">
        <f aca="false">(parametros_manuales!$D$33*('Plan mensual'!K90+IF(parametros_manuales!$H$33="Todos",'Plan mensual'!K94,0))+parametros_manuales!$E$33*('Plan mensual'!K91+IF(parametros_manuales!$H$33="Todos",'Plan mensual'!K95,0))+parametros_manuales!$F$33*('Plan mensual'!K92+IF(parametros_manuales!$H$33="Todos",'Plan mensual'!K96,0))+parametros_manuales!$G$33*('Plan mensual'!K93+IF(parametros_manuales!$H$33="Todos",'Plan mensual'!K97,0)))*parametros_manuales!$I$33*parametros_manuales!$J$33</f>
        <v>18818.84527826</v>
      </c>
      <c r="J240" s="14" t="n">
        <f aca="false">(parametros_manuales!$D$33*('Plan mensual'!L90+IF(parametros_manuales!$H$33="Todos",'Plan mensual'!L94,0))+parametros_manuales!$E$33*('Plan mensual'!L91+IF(parametros_manuales!$H$33="Todos",'Plan mensual'!L95,0))+parametros_manuales!$F$33*('Plan mensual'!L92+IF(parametros_manuales!$H$33="Todos",'Plan mensual'!L96,0))+parametros_manuales!$G$33*('Plan mensual'!L93+IF(parametros_manuales!$H$33="Todos",'Plan mensual'!L97,0)))*parametros_manuales!$I$33*parametros_manuales!$J$33</f>
        <v>18818.84527826</v>
      </c>
      <c r="K240" s="14" t="n">
        <f aca="false">(parametros_manuales!$D$33*('Plan mensual'!M90+IF(parametros_manuales!$H$33="Todos",'Plan mensual'!M94,0))+parametros_manuales!$E$33*('Plan mensual'!M91+IF(parametros_manuales!$H$33="Todos",'Plan mensual'!M95,0))+parametros_manuales!$F$33*('Plan mensual'!M92+IF(parametros_manuales!$H$33="Todos",'Plan mensual'!M96,0))+parametros_manuales!$G$33*('Plan mensual'!M93+IF(parametros_manuales!$H$33="Todos",'Plan mensual'!M97,0)))*parametros_manuales!$I$33*parametros_manuales!$J$33</f>
        <v>18464.822774025</v>
      </c>
      <c r="L240" s="14" t="n">
        <f aca="false">(parametros_manuales!$D$33*('Plan mensual'!N90+IF(parametros_manuales!$H$33="Todos",'Plan mensual'!N94,0))+parametros_manuales!$E$33*('Plan mensual'!N91+IF(parametros_manuales!$H$33="Todos",'Plan mensual'!N95,0))+parametros_manuales!$F$33*('Plan mensual'!N92+IF(parametros_manuales!$H$33="Todos",'Plan mensual'!N96,0))+parametros_manuales!$G$33*('Plan mensual'!N93+IF(parametros_manuales!$H$33="Todos",'Plan mensual'!N97,0)))*parametros_manuales!$I$33*parametros_manuales!$J$33</f>
        <v>18110.80026979</v>
      </c>
      <c r="M240" s="14" t="n">
        <f aca="false">(parametros_manuales!$D$33*('Plan mensual'!O90+IF(parametros_manuales!$H$33="Todos",'Plan mensual'!O94,0))+parametros_manuales!$E$33*('Plan mensual'!O91+IF(parametros_manuales!$H$33="Todos",'Plan mensual'!O95,0))+parametros_manuales!$F$33*('Plan mensual'!O92+IF(parametros_manuales!$H$33="Todos",'Plan mensual'!O96,0))+parametros_manuales!$G$33*('Plan mensual'!O93+IF(parametros_manuales!$H$33="Todos",'Plan mensual'!O97,0)))*parametros_manuales!$I$33*parametros_manuales!$J$33</f>
        <v>28835.67142997</v>
      </c>
      <c r="N240" s="14" t="n">
        <f aca="false">SUM(B240:M240)</f>
        <v>246197.636987</v>
      </c>
      <c r="O240" s="14" t="n">
        <f aca="false">MAX(B240:M240)</f>
        <v>28835.67142997</v>
      </c>
      <c r="P240" s="57" t="n">
        <f aca="false">O240/(parametros_manuales!$B$7)</f>
        <v>192.237809533133</v>
      </c>
      <c r="Q240" s="13" t="str">
        <f aca="false">IF(O240=0,"-",INDEX($B$225:$M$225,MATCH(O240,B240:M240,0)))</f>
        <v>Dic</v>
      </c>
    </row>
    <row r="241" customFormat="false" ht="14.25" hidden="false" customHeight="true" outlineLevel="0" collapsed="false">
      <c r="A241" s="13" t="str">
        <f aca="false">parametros_manuales!$B$34</f>
        <v>Secado</v>
      </c>
      <c r="B241" s="14" t="n">
        <f aca="false">(parametros_manuales!$D$34*('Plan mensual'!D90+IF(parametros_manuales!$H$34="Todos",'Plan mensual'!D94,0))+parametros_manuales!$E$34*('Plan mensual'!D91+IF(parametros_manuales!$H$34="Todos",'Plan mensual'!D95,0))+parametros_manuales!$F$34*('Plan mensual'!D92+IF(parametros_manuales!$H$34="Todos",'Plan mensual'!D96,0))+parametros_manuales!$G$34*('Plan mensual'!D93+IF(parametros_manuales!$H$34="Todos",'Plan mensual'!D97,0)))*parametros_manuales!$I$34*parametros_manuales!$J$34</f>
        <v>28127.6264215</v>
      </c>
      <c r="C241" s="14" t="n">
        <f aca="false">(parametros_manuales!$D$34*('Plan mensual'!E90+IF(parametros_manuales!$H$34="Todos",'Plan mensual'!E94,0))+parametros_manuales!$E$34*('Plan mensual'!E91+IF(parametros_manuales!$H$34="Todos",'Plan mensual'!E95,0))+parametros_manuales!$F$34*('Plan mensual'!E92+IF(parametros_manuales!$H$34="Todos",'Plan mensual'!E96,0))+parametros_manuales!$G$34*('Plan mensual'!E93+IF(parametros_manuales!$H$34="Todos",'Plan mensual'!E97,0)))*parametros_manuales!$I$34*parametros_manuales!$J$34</f>
        <v>21449.74232036</v>
      </c>
      <c r="D241" s="14" t="n">
        <f aca="false">(parametros_manuales!$D$34*('Plan mensual'!F90+IF(parametros_manuales!$H$34="Todos",'Plan mensual'!F94,0))+parametros_manuales!$E$34*('Plan mensual'!F91+IF(parametros_manuales!$H$34="Todos",'Plan mensual'!F95,0))+parametros_manuales!$F$34*('Plan mensual'!F92+IF(parametros_manuales!$H$34="Todos",'Plan mensual'!F96,0))+parametros_manuales!$G$34*('Plan mensual'!F93+IF(parametros_manuales!$H$34="Todos",'Plan mensual'!F97,0)))*parametros_manuales!$I$34*parametros_manuales!$J$34</f>
        <v>20049.833463195</v>
      </c>
      <c r="E241" s="14" t="n">
        <f aca="false">(parametros_manuales!$D$34*('Plan mensual'!G90+IF(parametros_manuales!$H$34="Todos",'Plan mensual'!G94,0))+parametros_manuales!$E$34*('Plan mensual'!G91+IF(parametros_manuales!$H$34="Todos",'Plan mensual'!G95,0))+parametros_manuales!$F$34*('Plan mensual'!G92+IF(parametros_manuales!$H$34="Todos",'Plan mensual'!G96,0))+parametros_manuales!$G$34*('Plan mensual'!G93+IF(parametros_manuales!$H$34="Todos",'Plan mensual'!G97,0)))*parametros_manuales!$I$34*parametros_manuales!$J$34</f>
        <v>19172.867782495</v>
      </c>
      <c r="F241" s="14" t="n">
        <f aca="false">(parametros_manuales!$D$34*('Plan mensual'!H90+IF(parametros_manuales!$H$34="Todos",'Plan mensual'!H94,0))+parametros_manuales!$E$34*('Plan mensual'!H91+IF(parametros_manuales!$H$34="Todos",'Plan mensual'!H95,0))+parametros_manuales!$F$34*('Plan mensual'!H92+IF(parametros_manuales!$H$34="Todos",'Plan mensual'!H96,0))+parametros_manuales!$G$34*('Plan mensual'!H93+IF(parametros_manuales!$H$34="Todos",'Plan mensual'!H97,0)))*parametros_manuales!$I$34*parametros_manuales!$J$34</f>
        <v>17941.87959756</v>
      </c>
      <c r="G241" s="14" t="n">
        <f aca="false">(parametros_manuales!$D$34*('Plan mensual'!I90+IF(parametros_manuales!$H$34="Todos",'Plan mensual'!I94,0))+parametros_manuales!$E$34*('Plan mensual'!I91+IF(parametros_manuales!$H$34="Todos",'Plan mensual'!I95,0))+parametros_manuales!$F$34*('Plan mensual'!I92+IF(parametros_manuales!$H$34="Todos",'Plan mensual'!I96,0))+parametros_manuales!$G$34*('Plan mensual'!I93+IF(parametros_manuales!$H$34="Todos",'Plan mensual'!I97,0)))*parametros_manuales!$I$34*parametros_manuales!$J$34</f>
        <v>17587.857093325</v>
      </c>
      <c r="H241" s="14" t="n">
        <f aca="false">(parametros_manuales!$D$34*('Plan mensual'!J90+IF(parametros_manuales!$H$34="Todos",'Plan mensual'!J94,0))+parametros_manuales!$E$34*('Plan mensual'!J91+IF(parametros_manuales!$H$34="Todos",'Plan mensual'!J95,0))+parametros_manuales!$F$34*('Plan mensual'!J92+IF(parametros_manuales!$H$34="Todos",'Plan mensual'!J96,0))+parametros_manuales!$G$34*('Plan mensual'!J93+IF(parametros_manuales!$H$34="Todos",'Plan mensual'!J97,0)))*parametros_manuales!$I$34*parametros_manuales!$J$34</f>
        <v>18818.84527826</v>
      </c>
      <c r="I241" s="14" t="n">
        <f aca="false">(parametros_manuales!$D$34*('Plan mensual'!K90+IF(parametros_manuales!$H$34="Todos",'Plan mensual'!K94,0))+parametros_manuales!$E$34*('Plan mensual'!K91+IF(parametros_manuales!$H$34="Todos",'Plan mensual'!K95,0))+parametros_manuales!$F$34*('Plan mensual'!K92+IF(parametros_manuales!$H$34="Todos",'Plan mensual'!K96,0))+parametros_manuales!$G$34*('Plan mensual'!K93+IF(parametros_manuales!$H$34="Todos",'Plan mensual'!K97,0)))*parametros_manuales!$I$34*parametros_manuales!$J$34</f>
        <v>18818.84527826</v>
      </c>
      <c r="J241" s="14" t="n">
        <f aca="false">(parametros_manuales!$D$34*('Plan mensual'!L90+IF(parametros_manuales!$H$34="Todos",'Plan mensual'!L94,0))+parametros_manuales!$E$34*('Plan mensual'!L91+IF(parametros_manuales!$H$34="Todos",'Plan mensual'!L95,0))+parametros_manuales!$F$34*('Plan mensual'!L92+IF(parametros_manuales!$H$34="Todos",'Plan mensual'!L96,0))+parametros_manuales!$G$34*('Plan mensual'!L93+IF(parametros_manuales!$H$34="Todos",'Plan mensual'!L97,0)))*parametros_manuales!$I$34*parametros_manuales!$J$34</f>
        <v>18818.84527826</v>
      </c>
      <c r="K241" s="14" t="n">
        <f aca="false">(parametros_manuales!$D$34*('Plan mensual'!M90+IF(parametros_manuales!$H$34="Todos",'Plan mensual'!M94,0))+parametros_manuales!$E$34*('Plan mensual'!M91+IF(parametros_manuales!$H$34="Todos",'Plan mensual'!M95,0))+parametros_manuales!$F$34*('Plan mensual'!M92+IF(parametros_manuales!$H$34="Todos",'Plan mensual'!M96,0))+parametros_manuales!$G$34*('Plan mensual'!M93+IF(parametros_manuales!$H$34="Todos",'Plan mensual'!M97,0)))*parametros_manuales!$I$34*parametros_manuales!$J$34</f>
        <v>18464.822774025</v>
      </c>
      <c r="L241" s="14" t="n">
        <f aca="false">(parametros_manuales!$D$34*('Plan mensual'!N90+IF(parametros_manuales!$H$34="Todos",'Plan mensual'!N94,0))+parametros_manuales!$E$34*('Plan mensual'!N91+IF(parametros_manuales!$H$34="Todos",'Plan mensual'!N95,0))+parametros_manuales!$F$34*('Plan mensual'!N92+IF(parametros_manuales!$H$34="Todos",'Plan mensual'!N96,0))+parametros_manuales!$G$34*('Plan mensual'!N93+IF(parametros_manuales!$H$34="Todos",'Plan mensual'!N97,0)))*parametros_manuales!$I$34*parametros_manuales!$J$34</f>
        <v>18110.80026979</v>
      </c>
      <c r="M241" s="14" t="n">
        <f aca="false">(parametros_manuales!$D$34*('Plan mensual'!O90+IF(parametros_manuales!$H$34="Todos",'Plan mensual'!O94,0))+parametros_manuales!$E$34*('Plan mensual'!O91+IF(parametros_manuales!$H$34="Todos",'Plan mensual'!O95,0))+parametros_manuales!$F$34*('Plan mensual'!O92+IF(parametros_manuales!$H$34="Todos",'Plan mensual'!O96,0))+parametros_manuales!$G$34*('Plan mensual'!O93+IF(parametros_manuales!$H$34="Todos",'Plan mensual'!O97,0)))*parametros_manuales!$I$34*parametros_manuales!$J$34</f>
        <v>28835.67142997</v>
      </c>
      <c r="N241" s="14" t="n">
        <f aca="false">SUM(B241:M241)</f>
        <v>246197.636987</v>
      </c>
      <c r="O241" s="14" t="n">
        <f aca="false">MAX(B241:M241)</f>
        <v>28835.67142997</v>
      </c>
      <c r="P241" s="57" t="n">
        <f aca="false">O241/(parametros_manuales!$B$7)</f>
        <v>192.237809533133</v>
      </c>
      <c r="Q241" s="13" t="str">
        <f aca="false">IF(O241=0,"-",INDEX($B$225:$M$225,MATCH(O241,B241:M241,0)))</f>
        <v>Dic</v>
      </c>
    </row>
    <row r="242" customFormat="false" ht="14.25" hidden="false" customHeight="true" outlineLevel="0" collapsed="false">
      <c r="A242" s="13" t="str">
        <f aca="false">parametros_manuales!$B$35</f>
        <v>Granallado</v>
      </c>
      <c r="B242" s="14" t="n">
        <f aca="false">(parametros_manuales!$D$35*('Plan mensual'!D90+IF(parametros_manuales!$H$35="Todos",'Plan mensual'!D94,0))+parametros_manuales!$E$35*('Plan mensual'!D91+IF(parametros_manuales!$H$35="Todos",'Plan mensual'!D95,0))+parametros_manuales!$F$35*('Plan mensual'!D92+IF(parametros_manuales!$H$35="Todos",'Plan mensual'!D96,0))+parametros_manuales!$G$35*('Plan mensual'!D93+IF(parametros_manuales!$H$35="Todos",'Plan mensual'!D97,0)))*parametros_manuales!$I$35*parametros_manuales!$J$35</f>
        <v>28127.6264215</v>
      </c>
      <c r="C242" s="14" t="n">
        <f aca="false">(parametros_manuales!$D$35*('Plan mensual'!E90+IF(parametros_manuales!$H$35="Todos",'Plan mensual'!E94,0))+parametros_manuales!$E$35*('Plan mensual'!E91+IF(parametros_manuales!$H$35="Todos",'Plan mensual'!E95,0))+parametros_manuales!$F$35*('Plan mensual'!E92+IF(parametros_manuales!$H$35="Todos",'Plan mensual'!E96,0))+parametros_manuales!$G$35*('Plan mensual'!E93+IF(parametros_manuales!$H$35="Todos",'Plan mensual'!E97,0)))*parametros_manuales!$I$35*parametros_manuales!$J$35</f>
        <v>21449.74232036</v>
      </c>
      <c r="D242" s="14" t="n">
        <f aca="false">(parametros_manuales!$D$35*('Plan mensual'!F90+IF(parametros_manuales!$H$35="Todos",'Plan mensual'!F94,0))+parametros_manuales!$E$35*('Plan mensual'!F91+IF(parametros_manuales!$H$35="Todos",'Plan mensual'!F95,0))+parametros_manuales!$F$35*('Plan mensual'!F92+IF(parametros_manuales!$H$35="Todos",'Plan mensual'!F96,0))+parametros_manuales!$G$35*('Plan mensual'!F93+IF(parametros_manuales!$H$35="Todos",'Plan mensual'!F97,0)))*parametros_manuales!$I$35*parametros_manuales!$J$35</f>
        <v>20049.833463195</v>
      </c>
      <c r="E242" s="14" t="n">
        <f aca="false">(parametros_manuales!$D$35*('Plan mensual'!G90+IF(parametros_manuales!$H$35="Todos",'Plan mensual'!G94,0))+parametros_manuales!$E$35*('Plan mensual'!G91+IF(parametros_manuales!$H$35="Todos",'Plan mensual'!G95,0))+parametros_manuales!$F$35*('Plan mensual'!G92+IF(parametros_manuales!$H$35="Todos",'Plan mensual'!G96,0))+parametros_manuales!$G$35*('Plan mensual'!G93+IF(parametros_manuales!$H$35="Todos",'Plan mensual'!G97,0)))*parametros_manuales!$I$35*parametros_manuales!$J$35</f>
        <v>19172.867782495</v>
      </c>
      <c r="F242" s="14" t="n">
        <f aca="false">(parametros_manuales!$D$35*('Plan mensual'!H90+IF(parametros_manuales!$H$35="Todos",'Plan mensual'!H94,0))+parametros_manuales!$E$35*('Plan mensual'!H91+IF(parametros_manuales!$H$35="Todos",'Plan mensual'!H95,0))+parametros_manuales!$F$35*('Plan mensual'!H92+IF(parametros_manuales!$H$35="Todos",'Plan mensual'!H96,0))+parametros_manuales!$G$35*('Plan mensual'!H93+IF(parametros_manuales!$H$35="Todos",'Plan mensual'!H97,0)))*parametros_manuales!$I$35*parametros_manuales!$J$35</f>
        <v>17941.87959756</v>
      </c>
      <c r="G242" s="14" t="n">
        <f aca="false">(parametros_manuales!$D$35*('Plan mensual'!I90+IF(parametros_manuales!$H$35="Todos",'Plan mensual'!I94,0))+parametros_manuales!$E$35*('Plan mensual'!I91+IF(parametros_manuales!$H$35="Todos",'Plan mensual'!I95,0))+parametros_manuales!$F$35*('Plan mensual'!I92+IF(parametros_manuales!$H$35="Todos",'Plan mensual'!I96,0))+parametros_manuales!$G$35*('Plan mensual'!I93+IF(parametros_manuales!$H$35="Todos",'Plan mensual'!I97,0)))*parametros_manuales!$I$35*parametros_manuales!$J$35</f>
        <v>17587.857093325</v>
      </c>
      <c r="H242" s="14" t="n">
        <f aca="false">(parametros_manuales!$D$35*('Plan mensual'!J90+IF(parametros_manuales!$H$35="Todos",'Plan mensual'!J94,0))+parametros_manuales!$E$35*('Plan mensual'!J91+IF(parametros_manuales!$H$35="Todos",'Plan mensual'!J95,0))+parametros_manuales!$F$35*('Plan mensual'!J92+IF(parametros_manuales!$H$35="Todos",'Plan mensual'!J96,0))+parametros_manuales!$G$35*('Plan mensual'!J93+IF(parametros_manuales!$H$35="Todos",'Plan mensual'!J97,0)))*parametros_manuales!$I$35*parametros_manuales!$J$35</f>
        <v>18818.84527826</v>
      </c>
      <c r="I242" s="14" t="n">
        <f aca="false">(parametros_manuales!$D$35*('Plan mensual'!K90+IF(parametros_manuales!$H$35="Todos",'Plan mensual'!K94,0))+parametros_manuales!$E$35*('Plan mensual'!K91+IF(parametros_manuales!$H$35="Todos",'Plan mensual'!K95,0))+parametros_manuales!$F$35*('Plan mensual'!K92+IF(parametros_manuales!$H$35="Todos",'Plan mensual'!K96,0))+parametros_manuales!$G$35*('Plan mensual'!K93+IF(parametros_manuales!$H$35="Todos",'Plan mensual'!K97,0)))*parametros_manuales!$I$35*parametros_manuales!$J$35</f>
        <v>18818.84527826</v>
      </c>
      <c r="J242" s="14" t="n">
        <f aca="false">(parametros_manuales!$D$35*('Plan mensual'!L90+IF(parametros_manuales!$H$35="Todos",'Plan mensual'!L94,0))+parametros_manuales!$E$35*('Plan mensual'!L91+IF(parametros_manuales!$H$35="Todos",'Plan mensual'!L95,0))+parametros_manuales!$F$35*('Plan mensual'!L92+IF(parametros_manuales!$H$35="Todos",'Plan mensual'!L96,0))+parametros_manuales!$G$35*('Plan mensual'!L93+IF(parametros_manuales!$H$35="Todos",'Plan mensual'!L97,0)))*parametros_manuales!$I$35*parametros_manuales!$J$35</f>
        <v>18818.84527826</v>
      </c>
      <c r="K242" s="14" t="n">
        <f aca="false">(parametros_manuales!$D$35*('Plan mensual'!M90+IF(parametros_manuales!$H$35="Todos",'Plan mensual'!M94,0))+parametros_manuales!$E$35*('Plan mensual'!M91+IF(parametros_manuales!$H$35="Todos",'Plan mensual'!M95,0))+parametros_manuales!$F$35*('Plan mensual'!M92+IF(parametros_manuales!$H$35="Todos",'Plan mensual'!M96,0))+parametros_manuales!$G$35*('Plan mensual'!M93+IF(parametros_manuales!$H$35="Todos",'Plan mensual'!M97,0)))*parametros_manuales!$I$35*parametros_manuales!$J$35</f>
        <v>18464.822774025</v>
      </c>
      <c r="L242" s="14" t="n">
        <f aca="false">(parametros_manuales!$D$35*('Plan mensual'!N90+IF(parametros_manuales!$H$35="Todos",'Plan mensual'!N94,0))+parametros_manuales!$E$35*('Plan mensual'!N91+IF(parametros_manuales!$H$35="Todos",'Plan mensual'!N95,0))+parametros_manuales!$F$35*('Plan mensual'!N92+IF(parametros_manuales!$H$35="Todos",'Plan mensual'!N96,0))+parametros_manuales!$G$35*('Plan mensual'!N93+IF(parametros_manuales!$H$35="Todos",'Plan mensual'!N97,0)))*parametros_manuales!$I$35*parametros_manuales!$J$35</f>
        <v>18110.80026979</v>
      </c>
      <c r="M242" s="14" t="n">
        <f aca="false">(parametros_manuales!$D$35*('Plan mensual'!O90+IF(parametros_manuales!$H$35="Todos",'Plan mensual'!O94,0))+parametros_manuales!$E$35*('Plan mensual'!O91+IF(parametros_manuales!$H$35="Todos",'Plan mensual'!O95,0))+parametros_manuales!$F$35*('Plan mensual'!O92+IF(parametros_manuales!$H$35="Todos",'Plan mensual'!O96,0))+parametros_manuales!$G$35*('Plan mensual'!O93+IF(parametros_manuales!$H$35="Todos",'Plan mensual'!O97,0)))*parametros_manuales!$I$35*parametros_manuales!$J$35</f>
        <v>28835.67142997</v>
      </c>
      <c r="N242" s="14" t="n">
        <f aca="false">SUM(B242:M242)</f>
        <v>246197.636987</v>
      </c>
      <c r="O242" s="14" t="n">
        <f aca="false">MAX(B242:M242)</f>
        <v>28835.67142997</v>
      </c>
      <c r="P242" s="57" t="n">
        <f aca="false">O242/(parametros_manuales!$B$7)</f>
        <v>192.237809533133</v>
      </c>
      <c r="Q242" s="13" t="str">
        <f aca="false">IF(O242=0,"-",INDEX($B$225:$M$225,MATCH(O242,B242:M242,0)))</f>
        <v>Dic</v>
      </c>
    </row>
    <row r="243" customFormat="false" ht="14.25" hidden="false" customHeight="true" outlineLevel="0" collapsed="false">
      <c r="A243" s="13" t="str">
        <f aca="false">parametros_manuales!$B$36</f>
        <v>Detección de defectos</v>
      </c>
      <c r="B243" s="14" t="n">
        <f aca="false">(parametros_manuales!$D$36*('Plan mensual'!D90+IF(parametros_manuales!$H$36="Todos",'Plan mensual'!D94,0))+parametros_manuales!$E$36*('Plan mensual'!D91+IF(parametros_manuales!$H$36="Todos",'Plan mensual'!D95,0))+parametros_manuales!$F$36*('Plan mensual'!D92+IF(parametros_manuales!$H$36="Todos",'Plan mensual'!D96,0))+parametros_manuales!$G$36*('Plan mensual'!D93+IF(parametros_manuales!$H$36="Todos",'Plan mensual'!D97,0)))*parametros_manuales!$I$36*parametros_manuales!$J$36</f>
        <v>28127.6264215</v>
      </c>
      <c r="C243" s="14" t="n">
        <f aca="false">(parametros_manuales!$D$36*('Plan mensual'!E90+IF(parametros_manuales!$H$36="Todos",'Plan mensual'!E94,0))+parametros_manuales!$E$36*('Plan mensual'!E91+IF(parametros_manuales!$H$36="Todos",'Plan mensual'!E95,0))+parametros_manuales!$F$36*('Plan mensual'!E92+IF(parametros_manuales!$H$36="Todos",'Plan mensual'!E96,0))+parametros_manuales!$G$36*('Plan mensual'!E93+IF(parametros_manuales!$H$36="Todos",'Plan mensual'!E97,0)))*parametros_manuales!$I$36*parametros_manuales!$J$36</f>
        <v>21449.74232036</v>
      </c>
      <c r="D243" s="14" t="n">
        <f aca="false">(parametros_manuales!$D$36*('Plan mensual'!F90+IF(parametros_manuales!$H$36="Todos",'Plan mensual'!F94,0))+parametros_manuales!$E$36*('Plan mensual'!F91+IF(parametros_manuales!$H$36="Todos",'Plan mensual'!F95,0))+parametros_manuales!$F$36*('Plan mensual'!F92+IF(parametros_manuales!$H$36="Todos",'Plan mensual'!F96,0))+parametros_manuales!$G$36*('Plan mensual'!F93+IF(parametros_manuales!$H$36="Todos",'Plan mensual'!F97,0)))*parametros_manuales!$I$36*parametros_manuales!$J$36</f>
        <v>20049.833463195</v>
      </c>
      <c r="E243" s="14" t="n">
        <f aca="false">(parametros_manuales!$D$36*('Plan mensual'!G90+IF(parametros_manuales!$H$36="Todos",'Plan mensual'!G94,0))+parametros_manuales!$E$36*('Plan mensual'!G91+IF(parametros_manuales!$H$36="Todos",'Plan mensual'!G95,0))+parametros_manuales!$F$36*('Plan mensual'!G92+IF(parametros_manuales!$H$36="Todos",'Plan mensual'!G96,0))+parametros_manuales!$G$36*('Plan mensual'!G93+IF(parametros_manuales!$H$36="Todos",'Plan mensual'!G97,0)))*parametros_manuales!$I$36*parametros_manuales!$J$36</f>
        <v>19172.867782495</v>
      </c>
      <c r="F243" s="14" t="n">
        <f aca="false">(parametros_manuales!$D$36*('Plan mensual'!H90+IF(parametros_manuales!$H$36="Todos",'Plan mensual'!H94,0))+parametros_manuales!$E$36*('Plan mensual'!H91+IF(parametros_manuales!$H$36="Todos",'Plan mensual'!H95,0))+parametros_manuales!$F$36*('Plan mensual'!H92+IF(parametros_manuales!$H$36="Todos",'Plan mensual'!H96,0))+parametros_manuales!$G$36*('Plan mensual'!H93+IF(parametros_manuales!$H$36="Todos",'Plan mensual'!H97,0)))*parametros_manuales!$I$36*parametros_manuales!$J$36</f>
        <v>17941.87959756</v>
      </c>
      <c r="G243" s="14" t="n">
        <f aca="false">(parametros_manuales!$D$36*('Plan mensual'!I90+IF(parametros_manuales!$H$36="Todos",'Plan mensual'!I94,0))+parametros_manuales!$E$36*('Plan mensual'!I91+IF(parametros_manuales!$H$36="Todos",'Plan mensual'!I95,0))+parametros_manuales!$F$36*('Plan mensual'!I92+IF(parametros_manuales!$H$36="Todos",'Plan mensual'!I96,0))+parametros_manuales!$G$36*('Plan mensual'!I93+IF(parametros_manuales!$H$36="Todos",'Plan mensual'!I97,0)))*parametros_manuales!$I$36*parametros_manuales!$J$36</f>
        <v>17587.857093325</v>
      </c>
      <c r="H243" s="14" t="n">
        <f aca="false">(parametros_manuales!$D$36*('Plan mensual'!J90+IF(parametros_manuales!$H$36="Todos",'Plan mensual'!J94,0))+parametros_manuales!$E$36*('Plan mensual'!J91+IF(parametros_manuales!$H$36="Todos",'Plan mensual'!J95,0))+parametros_manuales!$F$36*('Plan mensual'!J92+IF(parametros_manuales!$H$36="Todos",'Plan mensual'!J96,0))+parametros_manuales!$G$36*('Plan mensual'!J93+IF(parametros_manuales!$H$36="Todos",'Plan mensual'!J97,0)))*parametros_manuales!$I$36*parametros_manuales!$J$36</f>
        <v>18818.84527826</v>
      </c>
      <c r="I243" s="14" t="n">
        <f aca="false">(parametros_manuales!$D$36*('Plan mensual'!K90+IF(parametros_manuales!$H$36="Todos",'Plan mensual'!K94,0))+parametros_manuales!$E$36*('Plan mensual'!K91+IF(parametros_manuales!$H$36="Todos",'Plan mensual'!K95,0))+parametros_manuales!$F$36*('Plan mensual'!K92+IF(parametros_manuales!$H$36="Todos",'Plan mensual'!K96,0))+parametros_manuales!$G$36*('Plan mensual'!K93+IF(parametros_manuales!$H$36="Todos",'Plan mensual'!K97,0)))*parametros_manuales!$I$36*parametros_manuales!$J$36</f>
        <v>18818.84527826</v>
      </c>
      <c r="J243" s="14" t="n">
        <f aca="false">(parametros_manuales!$D$36*('Plan mensual'!L90+IF(parametros_manuales!$H$36="Todos",'Plan mensual'!L94,0))+parametros_manuales!$E$36*('Plan mensual'!L91+IF(parametros_manuales!$H$36="Todos",'Plan mensual'!L95,0))+parametros_manuales!$F$36*('Plan mensual'!L92+IF(parametros_manuales!$H$36="Todos",'Plan mensual'!L96,0))+parametros_manuales!$G$36*('Plan mensual'!L93+IF(parametros_manuales!$H$36="Todos",'Plan mensual'!L97,0)))*parametros_manuales!$I$36*parametros_manuales!$J$36</f>
        <v>18818.84527826</v>
      </c>
      <c r="K243" s="14" t="n">
        <f aca="false">(parametros_manuales!$D$36*('Plan mensual'!M90+IF(parametros_manuales!$H$36="Todos",'Plan mensual'!M94,0))+parametros_manuales!$E$36*('Plan mensual'!M91+IF(parametros_manuales!$H$36="Todos",'Plan mensual'!M95,0))+parametros_manuales!$F$36*('Plan mensual'!M92+IF(parametros_manuales!$H$36="Todos",'Plan mensual'!M96,0))+parametros_manuales!$G$36*('Plan mensual'!M93+IF(parametros_manuales!$H$36="Todos",'Plan mensual'!M97,0)))*parametros_manuales!$I$36*parametros_manuales!$J$36</f>
        <v>18464.822774025</v>
      </c>
      <c r="L243" s="14" t="n">
        <f aca="false">(parametros_manuales!$D$36*('Plan mensual'!N90+IF(parametros_manuales!$H$36="Todos",'Plan mensual'!N94,0))+parametros_manuales!$E$36*('Plan mensual'!N91+IF(parametros_manuales!$H$36="Todos",'Plan mensual'!N95,0))+parametros_manuales!$F$36*('Plan mensual'!N92+IF(parametros_manuales!$H$36="Todos",'Plan mensual'!N96,0))+parametros_manuales!$G$36*('Plan mensual'!N93+IF(parametros_manuales!$H$36="Todos",'Plan mensual'!N97,0)))*parametros_manuales!$I$36*parametros_manuales!$J$36</f>
        <v>18110.80026979</v>
      </c>
      <c r="M243" s="14" t="n">
        <f aca="false">(parametros_manuales!$D$36*('Plan mensual'!O90+IF(parametros_manuales!$H$36="Todos",'Plan mensual'!O94,0))+parametros_manuales!$E$36*('Plan mensual'!O91+IF(parametros_manuales!$H$36="Todos",'Plan mensual'!O95,0))+parametros_manuales!$F$36*('Plan mensual'!O92+IF(parametros_manuales!$H$36="Todos",'Plan mensual'!O96,0))+parametros_manuales!$G$36*('Plan mensual'!O93+IF(parametros_manuales!$H$36="Todos",'Plan mensual'!O97,0)))*parametros_manuales!$I$36*parametros_manuales!$J$36</f>
        <v>28835.67142997</v>
      </c>
      <c r="N243" s="14" t="n">
        <f aca="false">SUM(B243:M243)</f>
        <v>246197.636987</v>
      </c>
      <c r="O243" s="14" t="n">
        <f aca="false">MAX(B243:M243)</f>
        <v>28835.67142997</v>
      </c>
      <c r="P243" s="57" t="n">
        <f aca="false">O243/(parametros_manuales!$B$7)</f>
        <v>192.237809533133</v>
      </c>
      <c r="Q243" s="13" t="str">
        <f aca="false">IF(O243=0,"-",INDEX($B$225:$M$225,MATCH(O243,B243:M243,0)))</f>
        <v>Dic</v>
      </c>
    </row>
    <row r="244" customFormat="false" ht="14.25" hidden="false" customHeight="true" outlineLevel="0" collapsed="false">
      <c r="A244" s="13" t="str">
        <f aca="false">parametros_manuales!$B$37</f>
        <v>Corrección de defectos</v>
      </c>
      <c r="B244" s="14" t="n">
        <f aca="false">(parametros_manuales!$D$37*('Plan mensual'!D90+IF(parametros_manuales!$H$37="Todos",'Plan mensual'!D94,0))+parametros_manuales!$E$37*('Plan mensual'!D91+IF(parametros_manuales!$H$37="Todos",'Plan mensual'!D95,0))+parametros_manuales!$F$37*('Plan mensual'!D92+IF(parametros_manuales!$H$37="Todos",'Plan mensual'!D96,0))+parametros_manuales!$G$37*('Plan mensual'!D93+IF(parametros_manuales!$H$37="Todos",'Plan mensual'!D97,0)))*parametros_manuales!$I$37*parametros_manuales!$J$37</f>
        <v>1406.381321075</v>
      </c>
      <c r="C244" s="14" t="n">
        <f aca="false">(parametros_manuales!$D$37*('Plan mensual'!E90+IF(parametros_manuales!$H$37="Todos",'Plan mensual'!E94,0))+parametros_manuales!$E$37*('Plan mensual'!E91+IF(parametros_manuales!$H$37="Todos",'Plan mensual'!E95,0))+parametros_manuales!$F$37*('Plan mensual'!E92+IF(parametros_manuales!$H$37="Todos",'Plan mensual'!E96,0))+parametros_manuales!$G$37*('Plan mensual'!E93+IF(parametros_manuales!$H$37="Todos",'Plan mensual'!E97,0)))*parametros_manuales!$I$37*parametros_manuales!$J$37</f>
        <v>1072.487116018</v>
      </c>
      <c r="D244" s="14" t="n">
        <f aca="false">(parametros_manuales!$D$37*('Plan mensual'!F90+IF(parametros_manuales!$H$37="Todos",'Plan mensual'!F94,0))+parametros_manuales!$E$37*('Plan mensual'!F91+IF(parametros_manuales!$H$37="Todos",'Plan mensual'!F95,0))+parametros_manuales!$F$37*('Plan mensual'!F92+IF(parametros_manuales!$H$37="Todos",'Plan mensual'!F96,0))+parametros_manuales!$G$37*('Plan mensual'!F93+IF(parametros_manuales!$H$37="Todos",'Plan mensual'!F97,0)))*parametros_manuales!$I$37*parametros_manuales!$J$37</f>
        <v>1002.49167315975</v>
      </c>
      <c r="E244" s="14" t="n">
        <f aca="false">(parametros_manuales!$D$37*('Plan mensual'!G90+IF(parametros_manuales!$H$37="Todos",'Plan mensual'!G94,0))+parametros_manuales!$E$37*('Plan mensual'!G91+IF(parametros_manuales!$H$37="Todos",'Plan mensual'!G95,0))+parametros_manuales!$F$37*('Plan mensual'!G92+IF(parametros_manuales!$H$37="Todos",'Plan mensual'!G96,0))+parametros_manuales!$G$37*('Plan mensual'!G93+IF(parametros_manuales!$H$37="Todos",'Plan mensual'!G97,0)))*parametros_manuales!$I$37*parametros_manuales!$J$37</f>
        <v>958.64338912475</v>
      </c>
      <c r="F244" s="14" t="n">
        <f aca="false">(parametros_manuales!$D$37*('Plan mensual'!H90+IF(parametros_manuales!$H$37="Todos",'Plan mensual'!H94,0))+parametros_manuales!$E$37*('Plan mensual'!H91+IF(parametros_manuales!$H$37="Todos",'Plan mensual'!H95,0))+parametros_manuales!$F$37*('Plan mensual'!H92+IF(parametros_manuales!$H$37="Todos",'Plan mensual'!H96,0))+parametros_manuales!$G$37*('Plan mensual'!H93+IF(parametros_manuales!$H$37="Todos",'Plan mensual'!H97,0)))*parametros_manuales!$I$37*parametros_manuales!$J$37</f>
        <v>897.093979878</v>
      </c>
      <c r="G244" s="14" t="n">
        <f aca="false">(parametros_manuales!$D$37*('Plan mensual'!I90+IF(parametros_manuales!$H$37="Todos",'Plan mensual'!I94,0))+parametros_manuales!$E$37*('Plan mensual'!I91+IF(parametros_manuales!$H$37="Todos",'Plan mensual'!I95,0))+parametros_manuales!$F$37*('Plan mensual'!I92+IF(parametros_manuales!$H$37="Todos",'Plan mensual'!I96,0))+parametros_manuales!$G$37*('Plan mensual'!I93+IF(parametros_manuales!$H$37="Todos",'Plan mensual'!I97,0)))*parametros_manuales!$I$37*parametros_manuales!$J$37</f>
        <v>879.39285466625</v>
      </c>
      <c r="H244" s="14" t="n">
        <f aca="false">(parametros_manuales!$D$37*('Plan mensual'!J90+IF(parametros_manuales!$H$37="Todos",'Plan mensual'!J94,0))+parametros_manuales!$E$37*('Plan mensual'!J91+IF(parametros_manuales!$H$37="Todos",'Plan mensual'!J95,0))+parametros_manuales!$F$37*('Plan mensual'!J92+IF(parametros_manuales!$H$37="Todos",'Plan mensual'!J96,0))+parametros_manuales!$G$37*('Plan mensual'!J93+IF(parametros_manuales!$H$37="Todos",'Plan mensual'!J97,0)))*parametros_manuales!$I$37*parametros_manuales!$J$37</f>
        <v>940.942263913</v>
      </c>
      <c r="I244" s="14" t="n">
        <f aca="false">(parametros_manuales!$D$37*('Plan mensual'!K90+IF(parametros_manuales!$H$37="Todos",'Plan mensual'!K94,0))+parametros_manuales!$E$37*('Plan mensual'!K91+IF(parametros_manuales!$H$37="Todos",'Plan mensual'!K95,0))+parametros_manuales!$F$37*('Plan mensual'!K92+IF(parametros_manuales!$H$37="Todos",'Plan mensual'!K96,0))+parametros_manuales!$G$37*('Plan mensual'!K93+IF(parametros_manuales!$H$37="Todos",'Plan mensual'!K97,0)))*parametros_manuales!$I$37*parametros_manuales!$J$37</f>
        <v>940.942263913</v>
      </c>
      <c r="J244" s="14" t="n">
        <f aca="false">(parametros_manuales!$D$37*('Plan mensual'!L90+IF(parametros_manuales!$H$37="Todos",'Plan mensual'!L94,0))+parametros_manuales!$E$37*('Plan mensual'!L91+IF(parametros_manuales!$H$37="Todos",'Plan mensual'!L95,0))+parametros_manuales!$F$37*('Plan mensual'!L92+IF(parametros_manuales!$H$37="Todos",'Plan mensual'!L96,0))+parametros_manuales!$G$37*('Plan mensual'!L93+IF(parametros_manuales!$H$37="Todos",'Plan mensual'!L97,0)))*parametros_manuales!$I$37*parametros_manuales!$J$37</f>
        <v>940.942263913</v>
      </c>
      <c r="K244" s="14" t="n">
        <f aca="false">(parametros_manuales!$D$37*('Plan mensual'!M90+IF(parametros_manuales!$H$37="Todos",'Plan mensual'!M94,0))+parametros_manuales!$E$37*('Plan mensual'!M91+IF(parametros_manuales!$H$37="Todos",'Plan mensual'!M95,0))+parametros_manuales!$F$37*('Plan mensual'!M92+IF(parametros_manuales!$H$37="Todos",'Plan mensual'!M96,0))+parametros_manuales!$G$37*('Plan mensual'!M93+IF(parametros_manuales!$H$37="Todos",'Plan mensual'!M97,0)))*parametros_manuales!$I$37*parametros_manuales!$J$37</f>
        <v>923.24113870125</v>
      </c>
      <c r="L244" s="14" t="n">
        <f aca="false">(parametros_manuales!$D$37*('Plan mensual'!N90+IF(parametros_manuales!$H$37="Todos",'Plan mensual'!N94,0))+parametros_manuales!$E$37*('Plan mensual'!N91+IF(parametros_manuales!$H$37="Todos",'Plan mensual'!N95,0))+parametros_manuales!$F$37*('Plan mensual'!N92+IF(parametros_manuales!$H$37="Todos",'Plan mensual'!N96,0))+parametros_manuales!$G$37*('Plan mensual'!N93+IF(parametros_manuales!$H$37="Todos",'Plan mensual'!N97,0)))*parametros_manuales!$I$37*parametros_manuales!$J$37</f>
        <v>905.5400134895</v>
      </c>
      <c r="M244" s="14" t="n">
        <f aca="false">(parametros_manuales!$D$37*('Plan mensual'!O90+IF(parametros_manuales!$H$37="Todos",'Plan mensual'!O94,0))+parametros_manuales!$E$37*('Plan mensual'!O91+IF(parametros_manuales!$H$37="Todos",'Plan mensual'!O95,0))+parametros_manuales!$F$37*('Plan mensual'!O92+IF(parametros_manuales!$H$37="Todos",'Plan mensual'!O96,0))+parametros_manuales!$G$37*('Plan mensual'!O93+IF(parametros_manuales!$H$37="Todos",'Plan mensual'!O97,0)))*parametros_manuales!$I$37*parametros_manuales!$J$37</f>
        <v>1441.7835714985</v>
      </c>
      <c r="N244" s="14" t="n">
        <f aca="false">SUM(B244:M244)</f>
        <v>12309.88184935</v>
      </c>
      <c r="O244" s="14" t="n">
        <f aca="false">MAX(B244:M244)</f>
        <v>1441.7835714985</v>
      </c>
      <c r="P244" s="57" t="n">
        <f aca="false">O244/(parametros_manuales!$B$7)</f>
        <v>9.61189047665667</v>
      </c>
      <c r="Q244" s="13" t="str">
        <f aca="false">IF(O244=0,"-",INDEX($B$225:$M$225,MATCH(O244,B244:M244,0)))</f>
        <v>Dic</v>
      </c>
    </row>
    <row r="245" customFormat="false" ht="14.25" hidden="false" customHeight="true" outlineLevel="0" collapsed="false">
      <c r="A245" s="13" t="str">
        <f aca="false">parametros_manuales!$B$38</f>
        <v>Pintura en polvo + horno</v>
      </c>
      <c r="B245" s="14" t="n">
        <f aca="false">(parametros_manuales!$D$38*('Plan mensual'!D90+IF(parametros_manuales!$H$38="Todos",'Plan mensual'!D94,0))+parametros_manuales!$E$38*('Plan mensual'!D91+IF(parametros_manuales!$H$38="Todos",'Plan mensual'!D95,0))+parametros_manuales!$F$38*('Plan mensual'!D92+IF(parametros_manuales!$H$38="Todos",'Plan mensual'!D96,0))+parametros_manuales!$G$38*('Plan mensual'!D93+IF(parametros_manuales!$H$38="Todos",'Plan mensual'!D97,0)))*parametros_manuales!$I$38*parametros_manuales!$J$38</f>
        <v>28127.6264215</v>
      </c>
      <c r="C245" s="14" t="n">
        <f aca="false">(parametros_manuales!$D$38*('Plan mensual'!E90+IF(parametros_manuales!$H$38="Todos",'Plan mensual'!E94,0))+parametros_manuales!$E$38*('Plan mensual'!E91+IF(parametros_manuales!$H$38="Todos",'Plan mensual'!E95,0))+parametros_manuales!$F$38*('Plan mensual'!E92+IF(parametros_manuales!$H$38="Todos",'Plan mensual'!E96,0))+parametros_manuales!$G$38*('Plan mensual'!E93+IF(parametros_manuales!$H$38="Todos",'Plan mensual'!E97,0)))*parametros_manuales!$I$38*parametros_manuales!$J$38</f>
        <v>21449.74232036</v>
      </c>
      <c r="D245" s="14" t="n">
        <f aca="false">(parametros_manuales!$D$38*('Plan mensual'!F90+IF(parametros_manuales!$H$38="Todos",'Plan mensual'!F94,0))+parametros_manuales!$E$38*('Plan mensual'!F91+IF(parametros_manuales!$H$38="Todos",'Plan mensual'!F95,0))+parametros_manuales!$F$38*('Plan mensual'!F92+IF(parametros_manuales!$H$38="Todos",'Plan mensual'!F96,0))+parametros_manuales!$G$38*('Plan mensual'!F93+IF(parametros_manuales!$H$38="Todos",'Plan mensual'!F97,0)))*parametros_manuales!$I$38*parametros_manuales!$J$38</f>
        <v>20049.833463195</v>
      </c>
      <c r="E245" s="14" t="n">
        <f aca="false">(parametros_manuales!$D$38*('Plan mensual'!G90+IF(parametros_manuales!$H$38="Todos",'Plan mensual'!G94,0))+parametros_manuales!$E$38*('Plan mensual'!G91+IF(parametros_manuales!$H$38="Todos",'Plan mensual'!G95,0))+parametros_manuales!$F$38*('Plan mensual'!G92+IF(parametros_manuales!$H$38="Todos",'Plan mensual'!G96,0))+parametros_manuales!$G$38*('Plan mensual'!G93+IF(parametros_manuales!$H$38="Todos",'Plan mensual'!G97,0)))*parametros_manuales!$I$38*parametros_manuales!$J$38</f>
        <v>19172.867782495</v>
      </c>
      <c r="F245" s="14" t="n">
        <f aca="false">(parametros_manuales!$D$38*('Plan mensual'!H90+IF(parametros_manuales!$H$38="Todos",'Plan mensual'!H94,0))+parametros_manuales!$E$38*('Plan mensual'!H91+IF(parametros_manuales!$H$38="Todos",'Plan mensual'!H95,0))+parametros_manuales!$F$38*('Plan mensual'!H92+IF(parametros_manuales!$H$38="Todos",'Plan mensual'!H96,0))+parametros_manuales!$G$38*('Plan mensual'!H93+IF(parametros_manuales!$H$38="Todos",'Plan mensual'!H97,0)))*parametros_manuales!$I$38*parametros_manuales!$J$38</f>
        <v>17941.87959756</v>
      </c>
      <c r="G245" s="14" t="n">
        <f aca="false">(parametros_manuales!$D$38*('Plan mensual'!I90+IF(parametros_manuales!$H$38="Todos",'Plan mensual'!I94,0))+parametros_manuales!$E$38*('Plan mensual'!I91+IF(parametros_manuales!$H$38="Todos",'Plan mensual'!I95,0))+parametros_manuales!$F$38*('Plan mensual'!I92+IF(parametros_manuales!$H$38="Todos",'Plan mensual'!I96,0))+parametros_manuales!$G$38*('Plan mensual'!I93+IF(parametros_manuales!$H$38="Todos",'Plan mensual'!I97,0)))*parametros_manuales!$I$38*parametros_manuales!$J$38</f>
        <v>17587.857093325</v>
      </c>
      <c r="H245" s="14" t="n">
        <f aca="false">(parametros_manuales!$D$38*('Plan mensual'!J90+IF(parametros_manuales!$H$38="Todos",'Plan mensual'!J94,0))+parametros_manuales!$E$38*('Plan mensual'!J91+IF(parametros_manuales!$H$38="Todos",'Plan mensual'!J95,0))+parametros_manuales!$F$38*('Plan mensual'!J92+IF(parametros_manuales!$H$38="Todos",'Plan mensual'!J96,0))+parametros_manuales!$G$38*('Plan mensual'!J93+IF(parametros_manuales!$H$38="Todos",'Plan mensual'!J97,0)))*parametros_manuales!$I$38*parametros_manuales!$J$38</f>
        <v>18818.84527826</v>
      </c>
      <c r="I245" s="14" t="n">
        <f aca="false">(parametros_manuales!$D$38*('Plan mensual'!K90+IF(parametros_manuales!$H$38="Todos",'Plan mensual'!K94,0))+parametros_manuales!$E$38*('Plan mensual'!K91+IF(parametros_manuales!$H$38="Todos",'Plan mensual'!K95,0))+parametros_manuales!$F$38*('Plan mensual'!K92+IF(parametros_manuales!$H$38="Todos",'Plan mensual'!K96,0))+parametros_manuales!$G$38*('Plan mensual'!K93+IF(parametros_manuales!$H$38="Todos",'Plan mensual'!K97,0)))*parametros_manuales!$I$38*parametros_manuales!$J$38</f>
        <v>18818.84527826</v>
      </c>
      <c r="J245" s="14" t="n">
        <f aca="false">(parametros_manuales!$D$38*('Plan mensual'!L90+IF(parametros_manuales!$H$38="Todos",'Plan mensual'!L94,0))+parametros_manuales!$E$38*('Plan mensual'!L91+IF(parametros_manuales!$H$38="Todos",'Plan mensual'!L95,0))+parametros_manuales!$F$38*('Plan mensual'!L92+IF(parametros_manuales!$H$38="Todos",'Plan mensual'!L96,0))+parametros_manuales!$G$38*('Plan mensual'!L93+IF(parametros_manuales!$H$38="Todos",'Plan mensual'!L97,0)))*parametros_manuales!$I$38*parametros_manuales!$J$38</f>
        <v>18818.84527826</v>
      </c>
      <c r="K245" s="14" t="n">
        <f aca="false">(parametros_manuales!$D$38*('Plan mensual'!M90+IF(parametros_manuales!$H$38="Todos",'Plan mensual'!M94,0))+parametros_manuales!$E$38*('Plan mensual'!M91+IF(parametros_manuales!$H$38="Todos",'Plan mensual'!M95,0))+parametros_manuales!$F$38*('Plan mensual'!M92+IF(parametros_manuales!$H$38="Todos",'Plan mensual'!M96,0))+parametros_manuales!$G$38*('Plan mensual'!M93+IF(parametros_manuales!$H$38="Todos",'Plan mensual'!M97,0)))*parametros_manuales!$I$38*parametros_manuales!$J$38</f>
        <v>18464.822774025</v>
      </c>
      <c r="L245" s="14" t="n">
        <f aca="false">(parametros_manuales!$D$38*('Plan mensual'!N90+IF(parametros_manuales!$H$38="Todos",'Plan mensual'!N94,0))+parametros_manuales!$E$38*('Plan mensual'!N91+IF(parametros_manuales!$H$38="Todos",'Plan mensual'!N95,0))+parametros_manuales!$F$38*('Plan mensual'!N92+IF(parametros_manuales!$H$38="Todos",'Plan mensual'!N96,0))+parametros_manuales!$G$38*('Plan mensual'!N93+IF(parametros_manuales!$H$38="Todos",'Plan mensual'!N97,0)))*parametros_manuales!$I$38*parametros_manuales!$J$38</f>
        <v>18110.80026979</v>
      </c>
      <c r="M245" s="14" t="n">
        <f aca="false">(parametros_manuales!$D$38*('Plan mensual'!O90+IF(parametros_manuales!$H$38="Todos",'Plan mensual'!O94,0))+parametros_manuales!$E$38*('Plan mensual'!O91+IF(parametros_manuales!$H$38="Todos",'Plan mensual'!O95,0))+parametros_manuales!$F$38*('Plan mensual'!O92+IF(parametros_manuales!$H$38="Todos",'Plan mensual'!O96,0))+parametros_manuales!$G$38*('Plan mensual'!O93+IF(parametros_manuales!$H$38="Todos",'Plan mensual'!O97,0)))*parametros_manuales!$I$38*parametros_manuales!$J$38</f>
        <v>28835.67142997</v>
      </c>
      <c r="N245" s="14" t="n">
        <f aca="false">SUM(B245:M245)</f>
        <v>246197.636987</v>
      </c>
      <c r="O245" s="14" t="n">
        <f aca="false">MAX(B245:M245)</f>
        <v>28835.67142997</v>
      </c>
      <c r="P245" s="57" t="n">
        <f aca="false">O245/(parametros_manuales!$B$7)</f>
        <v>192.237809533133</v>
      </c>
      <c r="Q245" s="13" t="str">
        <f aca="false">IF(O245=0,"-",INDEX($B$225:$M$225,MATCH(O245,B245:M245,0)))</f>
        <v>Dic</v>
      </c>
    </row>
    <row r="246" customFormat="false" ht="14.25" hidden="false" customHeight="true" outlineLevel="0" collapsed="false">
      <c r="A246" s="13" t="str">
        <f aca="false">parametros_manuales!$B$39</f>
        <v>Carga de polvo</v>
      </c>
      <c r="B246" s="14" t="n">
        <f aca="false">(parametros_manuales!$D$39*('Plan mensual'!D90+IF(parametros_manuales!$H$39="Todos",'Plan mensual'!D94,0))+parametros_manuales!$E$39*('Plan mensual'!D91+IF(parametros_manuales!$H$39="Todos",'Plan mensual'!D95,0))+parametros_manuales!$F$39*('Plan mensual'!D92+IF(parametros_manuales!$H$39="Todos",'Plan mensual'!D96,0))+parametros_manuales!$G$39*('Plan mensual'!D93+IF(parametros_manuales!$H$39="Todos",'Plan mensual'!D97,0)))*parametros_manuales!$I$39*parametros_manuales!$J$39</f>
        <v>6913.8184215</v>
      </c>
      <c r="C246" s="14" t="n">
        <f aca="false">(parametros_manuales!$D$39*('Plan mensual'!E90+IF(parametros_manuales!$H$39="Todos",'Plan mensual'!E94,0))+parametros_manuales!$E$39*('Plan mensual'!E91+IF(parametros_manuales!$H$39="Todos",'Plan mensual'!E95,0))+parametros_manuales!$F$39*('Plan mensual'!E92+IF(parametros_manuales!$H$39="Todos",'Plan mensual'!E96,0))+parametros_manuales!$G$39*('Plan mensual'!E93+IF(parametros_manuales!$H$39="Todos",'Plan mensual'!E97,0)))*parametros_manuales!$I$39*parametros_manuales!$J$39</f>
        <v>5359.61472036</v>
      </c>
      <c r="D246" s="14" t="n">
        <f aca="false">(parametros_manuales!$D$39*('Plan mensual'!F90+IF(parametros_manuales!$H$39="Todos",'Plan mensual'!F94,0))+parametros_manuales!$E$39*('Plan mensual'!F91+IF(parametros_manuales!$H$39="Todos",'Plan mensual'!F95,0))+parametros_manuales!$F$39*('Plan mensual'!F92+IF(parametros_manuales!$H$39="Todos",'Plan mensual'!F96,0))+parametros_manuales!$G$39*('Plan mensual'!F93+IF(parametros_manuales!$H$39="Todos",'Plan mensual'!F97,0)))*parametros_manuales!$I$39*parametros_manuales!$J$39</f>
        <v>5248.132263195</v>
      </c>
      <c r="E246" s="14" t="n">
        <f aca="false">(parametros_manuales!$D$39*('Plan mensual'!G90+IF(parametros_manuales!$H$39="Todos",'Plan mensual'!G94,0))+parametros_manuales!$E$39*('Plan mensual'!G91+IF(parametros_manuales!$H$39="Todos",'Plan mensual'!G95,0))+parametros_manuales!$F$39*('Plan mensual'!G92+IF(parametros_manuales!$H$39="Todos",'Plan mensual'!G96,0))+parametros_manuales!$G$39*('Plan mensual'!G93+IF(parametros_manuales!$H$39="Todos",'Plan mensual'!G97,0)))*parametros_manuales!$I$39*parametros_manuales!$J$39</f>
        <v>5105.265582495</v>
      </c>
      <c r="F246" s="14" t="n">
        <f aca="false">(parametros_manuales!$D$39*('Plan mensual'!H90+IF(parametros_manuales!$H$39="Todos",'Plan mensual'!H94,0))+parametros_manuales!$E$39*('Plan mensual'!H91+IF(parametros_manuales!$H$39="Todos",'Plan mensual'!H95,0))+parametros_manuales!$F$39*('Plan mensual'!H92+IF(parametros_manuales!$H$39="Todos",'Plan mensual'!H96,0))+parametros_manuales!$G$39*('Plan mensual'!H93+IF(parametros_manuales!$H$39="Todos",'Plan mensual'!H97,0)))*parametros_manuales!$I$39*parametros_manuales!$J$39</f>
        <v>4788.14799756</v>
      </c>
      <c r="G246" s="14" t="n">
        <f aca="false">(parametros_manuales!$D$39*('Plan mensual'!I90+IF(parametros_manuales!$H$39="Todos",'Plan mensual'!I94,0))+parametros_manuales!$E$39*('Plan mensual'!I91+IF(parametros_manuales!$H$39="Todos",'Plan mensual'!I95,0))+parametros_manuales!$F$39*('Plan mensual'!I92+IF(parametros_manuales!$H$39="Todos",'Plan mensual'!I96,0))+parametros_manuales!$G$39*('Plan mensual'!I93+IF(parametros_manuales!$H$39="Todos",'Plan mensual'!I97,0)))*parametros_manuales!$I$39*parametros_manuales!$J$39</f>
        <v>4613.897093325</v>
      </c>
      <c r="H246" s="14" t="n">
        <f aca="false">(parametros_manuales!$D$39*('Plan mensual'!J90+IF(parametros_manuales!$H$39="Todos",'Plan mensual'!J94,0))+parametros_manuales!$E$39*('Plan mensual'!J91+IF(parametros_manuales!$H$39="Todos",'Plan mensual'!J95,0))+parametros_manuales!$F$39*('Plan mensual'!J92+IF(parametros_manuales!$H$39="Todos",'Plan mensual'!J96,0))+parametros_manuales!$G$39*('Plan mensual'!J93+IF(parametros_manuales!$H$39="Todos",'Plan mensual'!J97,0)))*parametros_manuales!$I$39*parametros_manuales!$J$39</f>
        <v>4931.01467826</v>
      </c>
      <c r="I246" s="14" t="n">
        <f aca="false">(parametros_manuales!$D$39*('Plan mensual'!K90+IF(parametros_manuales!$H$39="Todos",'Plan mensual'!K94,0))+parametros_manuales!$E$39*('Plan mensual'!K91+IF(parametros_manuales!$H$39="Todos",'Plan mensual'!K95,0))+parametros_manuales!$F$39*('Plan mensual'!K92+IF(parametros_manuales!$H$39="Todos",'Plan mensual'!K96,0))+parametros_manuales!$G$39*('Plan mensual'!K93+IF(parametros_manuales!$H$39="Todos",'Plan mensual'!K97,0)))*parametros_manuales!$I$39*parametros_manuales!$J$39</f>
        <v>4931.01467826</v>
      </c>
      <c r="J246" s="14" t="n">
        <f aca="false">(parametros_manuales!$D$39*('Plan mensual'!L90+IF(parametros_manuales!$H$39="Todos",'Plan mensual'!L94,0))+parametros_manuales!$E$39*('Plan mensual'!L91+IF(parametros_manuales!$H$39="Todos",'Plan mensual'!L95,0))+parametros_manuales!$F$39*('Plan mensual'!L92+IF(parametros_manuales!$H$39="Todos",'Plan mensual'!L96,0))+parametros_manuales!$G$39*('Plan mensual'!L93+IF(parametros_manuales!$H$39="Todos",'Plan mensual'!L97,0)))*parametros_manuales!$I$39*parametros_manuales!$J$39</f>
        <v>4931.01467826</v>
      </c>
      <c r="K246" s="14" t="n">
        <f aca="false">(parametros_manuales!$D$39*('Plan mensual'!M90+IF(parametros_manuales!$H$39="Todos",'Plan mensual'!M94,0))+parametros_manuales!$E$39*('Plan mensual'!M91+IF(parametros_manuales!$H$39="Todos",'Plan mensual'!M95,0))+parametros_manuales!$F$39*('Plan mensual'!M92+IF(parametros_manuales!$H$39="Todos",'Plan mensual'!M96,0))+parametros_manuales!$G$39*('Plan mensual'!M93+IF(parametros_manuales!$H$39="Todos",'Plan mensual'!M97,0)))*parametros_manuales!$I$39*parametros_manuales!$J$39</f>
        <v>4756.763774025</v>
      </c>
      <c r="L246" s="14" t="n">
        <f aca="false">(parametros_manuales!$D$39*('Plan mensual'!N90+IF(parametros_manuales!$H$39="Todos",'Plan mensual'!N94,0))+parametros_manuales!$E$39*('Plan mensual'!N91+IF(parametros_manuales!$H$39="Todos",'Plan mensual'!N95,0))+parametros_manuales!$F$39*('Plan mensual'!N92+IF(parametros_manuales!$H$39="Todos",'Plan mensual'!N96,0))+parametros_manuales!$G$39*('Plan mensual'!N93+IF(parametros_manuales!$H$39="Todos",'Plan mensual'!N97,0)))*parametros_manuales!$I$39*parametros_manuales!$J$39</f>
        <v>4582.51286979</v>
      </c>
      <c r="M246" s="14" t="n">
        <f aca="false">(parametros_manuales!$D$39*('Plan mensual'!O90+IF(parametros_manuales!$H$39="Todos",'Plan mensual'!O94,0))+parametros_manuales!$E$39*('Plan mensual'!O91+IF(parametros_manuales!$H$39="Todos",'Plan mensual'!O95,0))+parametros_manuales!$F$39*('Plan mensual'!O92+IF(parametros_manuales!$H$39="Todos",'Plan mensual'!O96,0))+parametros_manuales!$G$39*('Plan mensual'!O93+IF(parametros_manuales!$H$39="Todos",'Plan mensual'!O97,0)))*parametros_manuales!$I$39*parametros_manuales!$J$39</f>
        <v>7262.32022997</v>
      </c>
      <c r="N246" s="14" t="n">
        <f aca="false">SUM(B246:M246)</f>
        <v>63423.516987</v>
      </c>
      <c r="O246" s="14" t="n">
        <f aca="false">MAX(B246:M246)</f>
        <v>7262.32022997</v>
      </c>
      <c r="P246" s="57" t="n">
        <f aca="false">O246/(parametros_manuales!$B$7)</f>
        <v>48.4154681998</v>
      </c>
      <c r="Q246" s="13" t="str">
        <f aca="false">IF(O246=0,"-",INDEX($B$225:$M$225,MATCH(O246,B246:M246,0)))</f>
        <v>Dic</v>
      </c>
    </row>
    <row r="247" customFormat="false" ht="14.25" hidden="false" customHeight="true" outlineLevel="0" collapsed="false">
      <c r="A247" s="13" t="str">
        <f aca="false">parametros_manuales!$B$40</f>
        <v>Ensamblaje</v>
      </c>
      <c r="B247" s="14" t="n">
        <f aca="false">(parametros_manuales!$D$40*('Plan mensual'!D90+IF(parametros_manuales!$H$40="Todos",'Plan mensual'!D94,0))+parametros_manuales!$E$40*('Plan mensual'!D91+IF(parametros_manuales!$H$40="Todos",'Plan mensual'!D95,0))+parametros_manuales!$F$40*('Plan mensual'!D92+IF(parametros_manuales!$H$40="Todos",'Plan mensual'!D96,0))+parametros_manuales!$G$40*('Plan mensual'!D93+IF(parametros_manuales!$H$40="Todos",'Plan mensual'!D97,0)))*parametros_manuales!$I$40*parametros_manuales!$J$40</f>
        <v>6913.8184215</v>
      </c>
      <c r="C247" s="14" t="n">
        <f aca="false">(parametros_manuales!$D$40*('Plan mensual'!E90+IF(parametros_manuales!$H$40="Todos",'Plan mensual'!E94,0))+parametros_manuales!$E$40*('Plan mensual'!E91+IF(parametros_manuales!$H$40="Todos",'Plan mensual'!E95,0))+parametros_manuales!$F$40*('Plan mensual'!E92+IF(parametros_manuales!$H$40="Todos",'Plan mensual'!E96,0))+parametros_manuales!$G$40*('Plan mensual'!E93+IF(parametros_manuales!$H$40="Todos",'Plan mensual'!E97,0)))*parametros_manuales!$I$40*parametros_manuales!$J$40</f>
        <v>5359.61472036</v>
      </c>
      <c r="D247" s="14" t="n">
        <f aca="false">(parametros_manuales!$D$40*('Plan mensual'!F90+IF(parametros_manuales!$H$40="Todos",'Plan mensual'!F94,0))+parametros_manuales!$E$40*('Plan mensual'!F91+IF(parametros_manuales!$H$40="Todos",'Plan mensual'!F95,0))+parametros_manuales!$F$40*('Plan mensual'!F92+IF(parametros_manuales!$H$40="Todos",'Plan mensual'!F96,0))+parametros_manuales!$G$40*('Plan mensual'!F93+IF(parametros_manuales!$H$40="Todos",'Plan mensual'!F97,0)))*parametros_manuales!$I$40*parametros_manuales!$J$40</f>
        <v>5248.132263195</v>
      </c>
      <c r="E247" s="14" t="n">
        <f aca="false">(parametros_manuales!$D$40*('Plan mensual'!G90+IF(parametros_manuales!$H$40="Todos",'Plan mensual'!G94,0))+parametros_manuales!$E$40*('Plan mensual'!G91+IF(parametros_manuales!$H$40="Todos",'Plan mensual'!G95,0))+parametros_manuales!$F$40*('Plan mensual'!G92+IF(parametros_manuales!$H$40="Todos",'Plan mensual'!G96,0))+parametros_manuales!$G$40*('Plan mensual'!G93+IF(parametros_manuales!$H$40="Todos",'Plan mensual'!G97,0)))*parametros_manuales!$I$40*parametros_manuales!$J$40</f>
        <v>5105.265582495</v>
      </c>
      <c r="F247" s="14" t="n">
        <f aca="false">(parametros_manuales!$D$40*('Plan mensual'!H90+IF(parametros_manuales!$H$40="Todos",'Plan mensual'!H94,0))+parametros_manuales!$E$40*('Plan mensual'!H91+IF(parametros_manuales!$H$40="Todos",'Plan mensual'!H95,0))+parametros_manuales!$F$40*('Plan mensual'!H92+IF(parametros_manuales!$H$40="Todos",'Plan mensual'!H96,0))+parametros_manuales!$G$40*('Plan mensual'!H93+IF(parametros_manuales!$H$40="Todos",'Plan mensual'!H97,0)))*parametros_manuales!$I$40*parametros_manuales!$J$40</f>
        <v>4788.14799756</v>
      </c>
      <c r="G247" s="14" t="n">
        <f aca="false">(parametros_manuales!$D$40*('Plan mensual'!I90+IF(parametros_manuales!$H$40="Todos",'Plan mensual'!I94,0))+parametros_manuales!$E$40*('Plan mensual'!I91+IF(parametros_manuales!$H$40="Todos",'Plan mensual'!I95,0))+parametros_manuales!$F$40*('Plan mensual'!I92+IF(parametros_manuales!$H$40="Todos",'Plan mensual'!I96,0))+parametros_manuales!$G$40*('Plan mensual'!I93+IF(parametros_manuales!$H$40="Todos",'Plan mensual'!I97,0)))*parametros_manuales!$I$40*parametros_manuales!$J$40</f>
        <v>4613.897093325</v>
      </c>
      <c r="H247" s="14" t="n">
        <f aca="false">(parametros_manuales!$D$40*('Plan mensual'!J90+IF(parametros_manuales!$H$40="Todos",'Plan mensual'!J94,0))+parametros_manuales!$E$40*('Plan mensual'!J91+IF(parametros_manuales!$H$40="Todos",'Plan mensual'!J95,0))+parametros_manuales!$F$40*('Plan mensual'!J92+IF(parametros_manuales!$H$40="Todos",'Plan mensual'!J96,0))+parametros_manuales!$G$40*('Plan mensual'!J93+IF(parametros_manuales!$H$40="Todos",'Plan mensual'!J97,0)))*parametros_manuales!$I$40*parametros_manuales!$J$40</f>
        <v>4931.01467826</v>
      </c>
      <c r="I247" s="14" t="n">
        <f aca="false">(parametros_manuales!$D$40*('Plan mensual'!K90+IF(parametros_manuales!$H$40="Todos",'Plan mensual'!K94,0))+parametros_manuales!$E$40*('Plan mensual'!K91+IF(parametros_manuales!$H$40="Todos",'Plan mensual'!K95,0))+parametros_manuales!$F$40*('Plan mensual'!K92+IF(parametros_manuales!$H$40="Todos",'Plan mensual'!K96,0))+parametros_manuales!$G$40*('Plan mensual'!K93+IF(parametros_manuales!$H$40="Todos",'Plan mensual'!K97,0)))*parametros_manuales!$I$40*parametros_manuales!$J$40</f>
        <v>4931.01467826</v>
      </c>
      <c r="J247" s="14" t="n">
        <f aca="false">(parametros_manuales!$D$40*('Plan mensual'!L90+IF(parametros_manuales!$H$40="Todos",'Plan mensual'!L94,0))+parametros_manuales!$E$40*('Plan mensual'!L91+IF(parametros_manuales!$H$40="Todos",'Plan mensual'!L95,0))+parametros_manuales!$F$40*('Plan mensual'!L92+IF(parametros_manuales!$H$40="Todos",'Plan mensual'!L96,0))+parametros_manuales!$G$40*('Plan mensual'!L93+IF(parametros_manuales!$H$40="Todos",'Plan mensual'!L97,0)))*parametros_manuales!$I$40*parametros_manuales!$J$40</f>
        <v>4931.01467826</v>
      </c>
      <c r="K247" s="14" t="n">
        <f aca="false">(parametros_manuales!$D$40*('Plan mensual'!M90+IF(parametros_manuales!$H$40="Todos",'Plan mensual'!M94,0))+parametros_manuales!$E$40*('Plan mensual'!M91+IF(parametros_manuales!$H$40="Todos",'Plan mensual'!M95,0))+parametros_manuales!$F$40*('Plan mensual'!M92+IF(parametros_manuales!$H$40="Todos",'Plan mensual'!M96,0))+parametros_manuales!$G$40*('Plan mensual'!M93+IF(parametros_manuales!$H$40="Todos",'Plan mensual'!M97,0)))*parametros_manuales!$I$40*parametros_manuales!$J$40</f>
        <v>4756.763774025</v>
      </c>
      <c r="L247" s="14" t="n">
        <f aca="false">(parametros_manuales!$D$40*('Plan mensual'!N90+IF(parametros_manuales!$H$40="Todos",'Plan mensual'!N94,0))+parametros_manuales!$E$40*('Plan mensual'!N91+IF(parametros_manuales!$H$40="Todos",'Plan mensual'!N95,0))+parametros_manuales!$F$40*('Plan mensual'!N92+IF(parametros_manuales!$H$40="Todos",'Plan mensual'!N96,0))+parametros_manuales!$G$40*('Plan mensual'!N93+IF(parametros_manuales!$H$40="Todos",'Plan mensual'!N97,0)))*parametros_manuales!$I$40*parametros_manuales!$J$40</f>
        <v>4582.51286979</v>
      </c>
      <c r="M247" s="14" t="n">
        <f aca="false">(parametros_manuales!$D$40*('Plan mensual'!O90+IF(parametros_manuales!$H$40="Todos",'Plan mensual'!O94,0))+parametros_manuales!$E$40*('Plan mensual'!O91+IF(parametros_manuales!$H$40="Todos",'Plan mensual'!O95,0))+parametros_manuales!$F$40*('Plan mensual'!O92+IF(parametros_manuales!$H$40="Todos",'Plan mensual'!O96,0))+parametros_manuales!$G$40*('Plan mensual'!O93+IF(parametros_manuales!$H$40="Todos",'Plan mensual'!O97,0)))*parametros_manuales!$I$40*parametros_manuales!$J$40</f>
        <v>7262.32022997</v>
      </c>
      <c r="N247" s="14" t="n">
        <f aca="false">SUM(B247:M247)</f>
        <v>63423.516987</v>
      </c>
      <c r="O247" s="14" t="n">
        <f aca="false">MAX(B247:M247)</f>
        <v>7262.32022997</v>
      </c>
      <c r="P247" s="57" t="n">
        <f aca="false">O247/(parametros_manuales!$B$7)</f>
        <v>48.4154681998</v>
      </c>
      <c r="Q247" s="13" t="str">
        <f aca="false">IF(O247=0,"-",INDEX($B$225:$M$225,MATCH(O247,B247:M247,0)))</f>
        <v>Dic</v>
      </c>
    </row>
    <row r="248" customFormat="false" ht="14.25" hidden="false" customHeight="true" outlineLevel="0" collapsed="false">
      <c r="A248" s="13" t="str">
        <f aca="false">parametros_manuales!$B$41</f>
        <v>Presurización</v>
      </c>
      <c r="B248" s="14" t="n">
        <f aca="false">(parametros_manuales!$D$41*('Plan mensual'!D90+IF(parametros_manuales!$H$41="Todos",'Plan mensual'!D94,0))+parametros_manuales!$E$41*('Plan mensual'!D91+IF(parametros_manuales!$H$41="Todos",'Plan mensual'!D95,0))+parametros_manuales!$F$41*('Plan mensual'!D92+IF(parametros_manuales!$H$41="Todos",'Plan mensual'!D96,0))+parametros_manuales!$G$41*('Plan mensual'!D93+IF(parametros_manuales!$H$41="Todos",'Plan mensual'!D97,0)))*parametros_manuales!$I$41*parametros_manuales!$J$41</f>
        <v>6913.8184215</v>
      </c>
      <c r="C248" s="14" t="n">
        <f aca="false">(parametros_manuales!$D$41*('Plan mensual'!E90+IF(parametros_manuales!$H$41="Todos",'Plan mensual'!E94,0))+parametros_manuales!$E$41*('Plan mensual'!E91+IF(parametros_manuales!$H$41="Todos",'Plan mensual'!E95,0))+parametros_manuales!$F$41*('Plan mensual'!E92+IF(parametros_manuales!$H$41="Todos",'Plan mensual'!E96,0))+parametros_manuales!$G$41*('Plan mensual'!E93+IF(parametros_manuales!$H$41="Todos",'Plan mensual'!E97,0)))*parametros_manuales!$I$41*parametros_manuales!$J$41</f>
        <v>5359.61472036</v>
      </c>
      <c r="D248" s="14" t="n">
        <f aca="false">(parametros_manuales!$D$41*('Plan mensual'!F90+IF(parametros_manuales!$H$41="Todos",'Plan mensual'!F94,0))+parametros_manuales!$E$41*('Plan mensual'!F91+IF(parametros_manuales!$H$41="Todos",'Plan mensual'!F95,0))+parametros_manuales!$F$41*('Plan mensual'!F92+IF(parametros_manuales!$H$41="Todos",'Plan mensual'!F96,0))+parametros_manuales!$G$41*('Plan mensual'!F93+IF(parametros_manuales!$H$41="Todos",'Plan mensual'!F97,0)))*parametros_manuales!$I$41*parametros_manuales!$J$41</f>
        <v>5248.132263195</v>
      </c>
      <c r="E248" s="14" t="n">
        <f aca="false">(parametros_manuales!$D$41*('Plan mensual'!G90+IF(parametros_manuales!$H$41="Todos",'Plan mensual'!G94,0))+parametros_manuales!$E$41*('Plan mensual'!G91+IF(parametros_manuales!$H$41="Todos",'Plan mensual'!G95,0))+parametros_manuales!$F$41*('Plan mensual'!G92+IF(parametros_manuales!$H$41="Todos",'Plan mensual'!G96,0))+parametros_manuales!$G$41*('Plan mensual'!G93+IF(parametros_manuales!$H$41="Todos",'Plan mensual'!G97,0)))*parametros_manuales!$I$41*parametros_manuales!$J$41</f>
        <v>5105.265582495</v>
      </c>
      <c r="F248" s="14" t="n">
        <f aca="false">(parametros_manuales!$D$41*('Plan mensual'!H90+IF(parametros_manuales!$H$41="Todos",'Plan mensual'!H94,0))+parametros_manuales!$E$41*('Plan mensual'!H91+IF(parametros_manuales!$H$41="Todos",'Plan mensual'!H95,0))+parametros_manuales!$F$41*('Plan mensual'!H92+IF(parametros_manuales!$H$41="Todos",'Plan mensual'!H96,0))+parametros_manuales!$G$41*('Plan mensual'!H93+IF(parametros_manuales!$H$41="Todos",'Plan mensual'!H97,0)))*parametros_manuales!$I$41*parametros_manuales!$J$41</f>
        <v>4788.14799756</v>
      </c>
      <c r="G248" s="14" t="n">
        <f aca="false">(parametros_manuales!$D$41*('Plan mensual'!I90+IF(parametros_manuales!$H$41="Todos",'Plan mensual'!I94,0))+parametros_manuales!$E$41*('Plan mensual'!I91+IF(parametros_manuales!$H$41="Todos",'Plan mensual'!I95,0))+parametros_manuales!$F$41*('Plan mensual'!I92+IF(parametros_manuales!$H$41="Todos",'Plan mensual'!I96,0))+parametros_manuales!$G$41*('Plan mensual'!I93+IF(parametros_manuales!$H$41="Todos",'Plan mensual'!I97,0)))*parametros_manuales!$I$41*parametros_manuales!$J$41</f>
        <v>4613.897093325</v>
      </c>
      <c r="H248" s="14" t="n">
        <f aca="false">(parametros_manuales!$D$41*('Plan mensual'!J90+IF(parametros_manuales!$H$41="Todos",'Plan mensual'!J94,0))+parametros_manuales!$E$41*('Plan mensual'!J91+IF(parametros_manuales!$H$41="Todos",'Plan mensual'!J95,0))+parametros_manuales!$F$41*('Plan mensual'!J92+IF(parametros_manuales!$H$41="Todos",'Plan mensual'!J96,0))+parametros_manuales!$G$41*('Plan mensual'!J93+IF(parametros_manuales!$H$41="Todos",'Plan mensual'!J97,0)))*parametros_manuales!$I$41*parametros_manuales!$J$41</f>
        <v>4931.01467826</v>
      </c>
      <c r="I248" s="14" t="n">
        <f aca="false">(parametros_manuales!$D$41*('Plan mensual'!K90+IF(parametros_manuales!$H$41="Todos",'Plan mensual'!K94,0))+parametros_manuales!$E$41*('Plan mensual'!K91+IF(parametros_manuales!$H$41="Todos",'Plan mensual'!K95,0))+parametros_manuales!$F$41*('Plan mensual'!K92+IF(parametros_manuales!$H$41="Todos",'Plan mensual'!K96,0))+parametros_manuales!$G$41*('Plan mensual'!K93+IF(parametros_manuales!$H$41="Todos",'Plan mensual'!K97,0)))*parametros_manuales!$I$41*parametros_manuales!$J$41</f>
        <v>4931.01467826</v>
      </c>
      <c r="J248" s="14" t="n">
        <f aca="false">(parametros_manuales!$D$41*('Plan mensual'!L90+IF(parametros_manuales!$H$41="Todos",'Plan mensual'!L94,0))+parametros_manuales!$E$41*('Plan mensual'!L91+IF(parametros_manuales!$H$41="Todos",'Plan mensual'!L95,0))+parametros_manuales!$F$41*('Plan mensual'!L92+IF(parametros_manuales!$H$41="Todos",'Plan mensual'!L96,0))+parametros_manuales!$G$41*('Plan mensual'!L93+IF(parametros_manuales!$H$41="Todos",'Plan mensual'!L97,0)))*parametros_manuales!$I$41*parametros_manuales!$J$41</f>
        <v>4931.01467826</v>
      </c>
      <c r="K248" s="14" t="n">
        <f aca="false">(parametros_manuales!$D$41*('Plan mensual'!M90+IF(parametros_manuales!$H$41="Todos",'Plan mensual'!M94,0))+parametros_manuales!$E$41*('Plan mensual'!M91+IF(parametros_manuales!$H$41="Todos",'Plan mensual'!M95,0))+parametros_manuales!$F$41*('Plan mensual'!M92+IF(parametros_manuales!$H$41="Todos",'Plan mensual'!M96,0))+parametros_manuales!$G$41*('Plan mensual'!M93+IF(parametros_manuales!$H$41="Todos",'Plan mensual'!M97,0)))*parametros_manuales!$I$41*parametros_manuales!$J$41</f>
        <v>4756.763774025</v>
      </c>
      <c r="L248" s="14" t="n">
        <f aca="false">(parametros_manuales!$D$41*('Plan mensual'!N90+IF(parametros_manuales!$H$41="Todos",'Plan mensual'!N94,0))+parametros_manuales!$E$41*('Plan mensual'!N91+IF(parametros_manuales!$H$41="Todos",'Plan mensual'!N95,0))+parametros_manuales!$F$41*('Plan mensual'!N92+IF(parametros_manuales!$H$41="Todos",'Plan mensual'!N96,0))+parametros_manuales!$G$41*('Plan mensual'!N93+IF(parametros_manuales!$H$41="Todos",'Plan mensual'!N97,0)))*parametros_manuales!$I$41*parametros_manuales!$J$41</f>
        <v>4582.51286979</v>
      </c>
      <c r="M248" s="14" t="n">
        <f aca="false">(parametros_manuales!$D$41*('Plan mensual'!O90+IF(parametros_manuales!$H$41="Todos",'Plan mensual'!O94,0))+parametros_manuales!$E$41*('Plan mensual'!O91+IF(parametros_manuales!$H$41="Todos",'Plan mensual'!O95,0))+parametros_manuales!$F$41*('Plan mensual'!O92+IF(parametros_manuales!$H$41="Todos",'Plan mensual'!O96,0))+parametros_manuales!$G$41*('Plan mensual'!O93+IF(parametros_manuales!$H$41="Todos",'Plan mensual'!O97,0)))*parametros_manuales!$I$41*parametros_manuales!$J$41</f>
        <v>7262.32022997</v>
      </c>
      <c r="N248" s="14" t="n">
        <f aca="false">SUM(B248:M248)</f>
        <v>63423.516987</v>
      </c>
      <c r="O248" s="14" t="n">
        <f aca="false">MAX(B248:M248)</f>
        <v>7262.32022997</v>
      </c>
      <c r="P248" s="57" t="n">
        <f aca="false">O248/(parametros_manuales!$B$7)</f>
        <v>48.4154681998</v>
      </c>
      <c r="Q248" s="13" t="str">
        <f aca="false">IF(O248=0,"-",INDEX($B$225:$M$225,MATCH(O248,B248:M248,0)))</f>
        <v>Dic</v>
      </c>
    </row>
    <row r="249" customFormat="false" ht="14.25" hidden="false" customHeight="true" outlineLevel="0" collapsed="false">
      <c r="A249" s="13" t="str">
        <f aca="false">parametros_manuales!$B$42</f>
        <v>Control de calidad — Ensayo de pérdidas</v>
      </c>
      <c r="B249" s="14" t="n">
        <f aca="false">(parametros_manuales!$D$42*('Plan mensual'!D90+IF(parametros_manuales!$H$42="Todos",'Plan mensual'!D94,0))+parametros_manuales!$E$42*('Plan mensual'!D91+IF(parametros_manuales!$H$42="Todos",'Plan mensual'!D95,0))+parametros_manuales!$F$42*('Plan mensual'!D92+IF(parametros_manuales!$H$42="Todos",'Plan mensual'!D96,0))+parametros_manuales!$G$42*('Plan mensual'!D93+IF(parametros_manuales!$H$42="Todos",'Plan mensual'!D97,0)))*parametros_manuales!$I$42*parametros_manuales!$J$42</f>
        <v>6913.8184215</v>
      </c>
      <c r="C249" s="14" t="n">
        <f aca="false">(parametros_manuales!$D$42*('Plan mensual'!E90+IF(parametros_manuales!$H$42="Todos",'Plan mensual'!E94,0))+parametros_manuales!$E$42*('Plan mensual'!E91+IF(parametros_manuales!$H$42="Todos",'Plan mensual'!E95,0))+parametros_manuales!$F$42*('Plan mensual'!E92+IF(parametros_manuales!$H$42="Todos",'Plan mensual'!E96,0))+parametros_manuales!$G$42*('Plan mensual'!E93+IF(parametros_manuales!$H$42="Todos",'Plan mensual'!E97,0)))*parametros_manuales!$I$42*parametros_manuales!$J$42</f>
        <v>5359.61472036</v>
      </c>
      <c r="D249" s="14" t="n">
        <f aca="false">(parametros_manuales!$D$42*('Plan mensual'!F90+IF(parametros_manuales!$H$42="Todos",'Plan mensual'!F94,0))+parametros_manuales!$E$42*('Plan mensual'!F91+IF(parametros_manuales!$H$42="Todos",'Plan mensual'!F95,0))+parametros_manuales!$F$42*('Plan mensual'!F92+IF(parametros_manuales!$H$42="Todos",'Plan mensual'!F96,0))+parametros_manuales!$G$42*('Plan mensual'!F93+IF(parametros_manuales!$H$42="Todos",'Plan mensual'!F97,0)))*parametros_manuales!$I$42*parametros_manuales!$J$42</f>
        <v>5248.132263195</v>
      </c>
      <c r="E249" s="14" t="n">
        <f aca="false">(parametros_manuales!$D$42*('Plan mensual'!G90+IF(parametros_manuales!$H$42="Todos",'Plan mensual'!G94,0))+parametros_manuales!$E$42*('Plan mensual'!G91+IF(parametros_manuales!$H$42="Todos",'Plan mensual'!G95,0))+parametros_manuales!$F$42*('Plan mensual'!G92+IF(parametros_manuales!$H$42="Todos",'Plan mensual'!G96,0))+parametros_manuales!$G$42*('Plan mensual'!G93+IF(parametros_manuales!$H$42="Todos",'Plan mensual'!G97,0)))*parametros_manuales!$I$42*parametros_manuales!$J$42</f>
        <v>5105.265582495</v>
      </c>
      <c r="F249" s="14" t="n">
        <f aca="false">(parametros_manuales!$D$42*('Plan mensual'!H90+IF(parametros_manuales!$H$42="Todos",'Plan mensual'!H94,0))+parametros_manuales!$E$42*('Plan mensual'!H91+IF(parametros_manuales!$H$42="Todos",'Plan mensual'!H95,0))+parametros_manuales!$F$42*('Plan mensual'!H92+IF(parametros_manuales!$H$42="Todos",'Plan mensual'!H96,0))+parametros_manuales!$G$42*('Plan mensual'!H93+IF(parametros_manuales!$H$42="Todos",'Plan mensual'!H97,0)))*parametros_manuales!$I$42*parametros_manuales!$J$42</f>
        <v>4788.14799756</v>
      </c>
      <c r="G249" s="14" t="n">
        <f aca="false">(parametros_manuales!$D$42*('Plan mensual'!I90+IF(parametros_manuales!$H$42="Todos",'Plan mensual'!I94,0))+parametros_manuales!$E$42*('Plan mensual'!I91+IF(parametros_manuales!$H$42="Todos",'Plan mensual'!I95,0))+parametros_manuales!$F$42*('Plan mensual'!I92+IF(parametros_manuales!$H$42="Todos",'Plan mensual'!I96,0))+parametros_manuales!$G$42*('Plan mensual'!I93+IF(parametros_manuales!$H$42="Todos",'Plan mensual'!I97,0)))*parametros_manuales!$I$42*parametros_manuales!$J$42</f>
        <v>4613.897093325</v>
      </c>
      <c r="H249" s="14" t="n">
        <f aca="false">(parametros_manuales!$D$42*('Plan mensual'!J90+IF(parametros_manuales!$H$42="Todos",'Plan mensual'!J94,0))+parametros_manuales!$E$42*('Plan mensual'!J91+IF(parametros_manuales!$H$42="Todos",'Plan mensual'!J95,0))+parametros_manuales!$F$42*('Plan mensual'!J92+IF(parametros_manuales!$H$42="Todos",'Plan mensual'!J96,0))+parametros_manuales!$G$42*('Plan mensual'!J93+IF(parametros_manuales!$H$42="Todos",'Plan mensual'!J97,0)))*parametros_manuales!$I$42*parametros_manuales!$J$42</f>
        <v>4931.01467826</v>
      </c>
      <c r="I249" s="14" t="n">
        <f aca="false">(parametros_manuales!$D$42*('Plan mensual'!K90+IF(parametros_manuales!$H$42="Todos",'Plan mensual'!K94,0))+parametros_manuales!$E$42*('Plan mensual'!K91+IF(parametros_manuales!$H$42="Todos",'Plan mensual'!K95,0))+parametros_manuales!$F$42*('Plan mensual'!K92+IF(parametros_manuales!$H$42="Todos",'Plan mensual'!K96,0))+parametros_manuales!$G$42*('Plan mensual'!K93+IF(parametros_manuales!$H$42="Todos",'Plan mensual'!K97,0)))*parametros_manuales!$I$42*parametros_manuales!$J$42</f>
        <v>4931.01467826</v>
      </c>
      <c r="J249" s="14" t="n">
        <f aca="false">(parametros_manuales!$D$42*('Plan mensual'!L90+IF(parametros_manuales!$H$42="Todos",'Plan mensual'!L94,0))+parametros_manuales!$E$42*('Plan mensual'!L91+IF(parametros_manuales!$H$42="Todos",'Plan mensual'!L95,0))+parametros_manuales!$F$42*('Plan mensual'!L92+IF(parametros_manuales!$H$42="Todos",'Plan mensual'!L96,0))+parametros_manuales!$G$42*('Plan mensual'!L93+IF(parametros_manuales!$H$42="Todos",'Plan mensual'!L97,0)))*parametros_manuales!$I$42*parametros_manuales!$J$42</f>
        <v>4931.01467826</v>
      </c>
      <c r="K249" s="14" t="n">
        <f aca="false">(parametros_manuales!$D$42*('Plan mensual'!M90+IF(parametros_manuales!$H$42="Todos",'Plan mensual'!M94,0))+parametros_manuales!$E$42*('Plan mensual'!M91+IF(parametros_manuales!$H$42="Todos",'Plan mensual'!M95,0))+parametros_manuales!$F$42*('Plan mensual'!M92+IF(parametros_manuales!$H$42="Todos",'Plan mensual'!M96,0))+parametros_manuales!$G$42*('Plan mensual'!M93+IF(parametros_manuales!$H$42="Todos",'Plan mensual'!M97,0)))*parametros_manuales!$I$42*parametros_manuales!$J$42</f>
        <v>4756.763774025</v>
      </c>
      <c r="L249" s="14" t="n">
        <f aca="false">(parametros_manuales!$D$42*('Plan mensual'!N90+IF(parametros_manuales!$H$42="Todos",'Plan mensual'!N94,0))+parametros_manuales!$E$42*('Plan mensual'!N91+IF(parametros_manuales!$H$42="Todos",'Plan mensual'!N95,0))+parametros_manuales!$F$42*('Plan mensual'!N92+IF(parametros_manuales!$H$42="Todos",'Plan mensual'!N96,0))+parametros_manuales!$G$42*('Plan mensual'!N93+IF(parametros_manuales!$H$42="Todos",'Plan mensual'!N97,0)))*parametros_manuales!$I$42*parametros_manuales!$J$42</f>
        <v>4582.51286979</v>
      </c>
      <c r="M249" s="14" t="n">
        <f aca="false">(parametros_manuales!$D$42*('Plan mensual'!O90+IF(parametros_manuales!$H$42="Todos",'Plan mensual'!O94,0))+parametros_manuales!$E$42*('Plan mensual'!O91+IF(parametros_manuales!$H$42="Todos",'Plan mensual'!O95,0))+parametros_manuales!$F$42*('Plan mensual'!O92+IF(parametros_manuales!$H$42="Todos",'Plan mensual'!O96,0))+parametros_manuales!$G$42*('Plan mensual'!O93+IF(parametros_manuales!$H$42="Todos",'Plan mensual'!O97,0)))*parametros_manuales!$I$42*parametros_manuales!$J$42</f>
        <v>7262.32022997</v>
      </c>
      <c r="N249" s="14" t="n">
        <f aca="false">SUM(B249:M249)</f>
        <v>63423.516987</v>
      </c>
      <c r="O249" s="14" t="n">
        <f aca="false">MAX(B249:M249)</f>
        <v>7262.32022997</v>
      </c>
      <c r="P249" s="57" t="n">
        <f aca="false">O249/(parametros_manuales!$B$7)</f>
        <v>48.4154681998</v>
      </c>
      <c r="Q249" s="13" t="str">
        <f aca="false">IF(O249=0,"-",INDEX($B$225:$M$225,MATCH(O249,B249:M249,0)))</f>
        <v>Dic</v>
      </c>
    </row>
    <row r="250" customFormat="false" ht="14.25" hidden="false" customHeight="true" outlineLevel="0" collapsed="false">
      <c r="A250" s="13" t="str">
        <f aca="false">parametros_manuales!$B$43</f>
        <v>Etiquetado</v>
      </c>
      <c r="B250" s="14" t="n">
        <f aca="false">(parametros_manuales!$D$43*('Plan mensual'!D90+IF(parametros_manuales!$H$43="Todos",'Plan mensual'!D94,0))+parametros_manuales!$E$43*('Plan mensual'!D91+IF(parametros_manuales!$H$43="Todos",'Plan mensual'!D95,0))+parametros_manuales!$F$43*('Plan mensual'!D92+IF(parametros_manuales!$H$43="Todos",'Plan mensual'!D96,0))+parametros_manuales!$G$43*('Plan mensual'!D93+IF(parametros_manuales!$H$43="Todos",'Plan mensual'!D97,0)))*parametros_manuales!$I$43*parametros_manuales!$J$43</f>
        <v>6913.8184215</v>
      </c>
      <c r="C250" s="14" t="n">
        <f aca="false">(parametros_manuales!$D$43*('Plan mensual'!E90+IF(parametros_manuales!$H$43="Todos",'Plan mensual'!E94,0))+parametros_manuales!$E$43*('Plan mensual'!E91+IF(parametros_manuales!$H$43="Todos",'Plan mensual'!E95,0))+parametros_manuales!$F$43*('Plan mensual'!E92+IF(parametros_manuales!$H$43="Todos",'Plan mensual'!E96,0))+parametros_manuales!$G$43*('Plan mensual'!E93+IF(parametros_manuales!$H$43="Todos",'Plan mensual'!E97,0)))*parametros_manuales!$I$43*parametros_manuales!$J$43</f>
        <v>5359.61472036</v>
      </c>
      <c r="D250" s="14" t="n">
        <f aca="false">(parametros_manuales!$D$43*('Plan mensual'!F90+IF(parametros_manuales!$H$43="Todos",'Plan mensual'!F94,0))+parametros_manuales!$E$43*('Plan mensual'!F91+IF(parametros_manuales!$H$43="Todos",'Plan mensual'!F95,0))+parametros_manuales!$F$43*('Plan mensual'!F92+IF(parametros_manuales!$H$43="Todos",'Plan mensual'!F96,0))+parametros_manuales!$G$43*('Plan mensual'!F93+IF(parametros_manuales!$H$43="Todos",'Plan mensual'!F97,0)))*parametros_manuales!$I$43*parametros_manuales!$J$43</f>
        <v>5248.132263195</v>
      </c>
      <c r="E250" s="14" t="n">
        <f aca="false">(parametros_manuales!$D$43*('Plan mensual'!G90+IF(parametros_manuales!$H$43="Todos",'Plan mensual'!G94,0))+parametros_manuales!$E$43*('Plan mensual'!G91+IF(parametros_manuales!$H$43="Todos",'Plan mensual'!G95,0))+parametros_manuales!$F$43*('Plan mensual'!G92+IF(parametros_manuales!$H$43="Todos",'Plan mensual'!G96,0))+parametros_manuales!$G$43*('Plan mensual'!G93+IF(parametros_manuales!$H$43="Todos",'Plan mensual'!G97,0)))*parametros_manuales!$I$43*parametros_manuales!$J$43</f>
        <v>5105.265582495</v>
      </c>
      <c r="F250" s="14" t="n">
        <f aca="false">(parametros_manuales!$D$43*('Plan mensual'!H90+IF(parametros_manuales!$H$43="Todos",'Plan mensual'!H94,0))+parametros_manuales!$E$43*('Plan mensual'!H91+IF(parametros_manuales!$H$43="Todos",'Plan mensual'!H95,0))+parametros_manuales!$F$43*('Plan mensual'!H92+IF(parametros_manuales!$H$43="Todos",'Plan mensual'!H96,0))+parametros_manuales!$G$43*('Plan mensual'!H93+IF(parametros_manuales!$H$43="Todos",'Plan mensual'!H97,0)))*parametros_manuales!$I$43*parametros_manuales!$J$43</f>
        <v>4788.14799756</v>
      </c>
      <c r="G250" s="14" t="n">
        <f aca="false">(parametros_manuales!$D$43*('Plan mensual'!I90+IF(parametros_manuales!$H$43="Todos",'Plan mensual'!I94,0))+parametros_manuales!$E$43*('Plan mensual'!I91+IF(parametros_manuales!$H$43="Todos",'Plan mensual'!I95,0))+parametros_manuales!$F$43*('Plan mensual'!I92+IF(parametros_manuales!$H$43="Todos",'Plan mensual'!I96,0))+parametros_manuales!$G$43*('Plan mensual'!I93+IF(parametros_manuales!$H$43="Todos",'Plan mensual'!I97,0)))*parametros_manuales!$I$43*parametros_manuales!$J$43</f>
        <v>4613.897093325</v>
      </c>
      <c r="H250" s="14" t="n">
        <f aca="false">(parametros_manuales!$D$43*('Plan mensual'!J90+IF(parametros_manuales!$H$43="Todos",'Plan mensual'!J94,0))+parametros_manuales!$E$43*('Plan mensual'!J91+IF(parametros_manuales!$H$43="Todos",'Plan mensual'!J95,0))+parametros_manuales!$F$43*('Plan mensual'!J92+IF(parametros_manuales!$H$43="Todos",'Plan mensual'!J96,0))+parametros_manuales!$G$43*('Plan mensual'!J93+IF(parametros_manuales!$H$43="Todos",'Plan mensual'!J97,0)))*parametros_manuales!$I$43*parametros_manuales!$J$43</f>
        <v>4931.01467826</v>
      </c>
      <c r="I250" s="14" t="n">
        <f aca="false">(parametros_manuales!$D$43*('Plan mensual'!K90+IF(parametros_manuales!$H$43="Todos",'Plan mensual'!K94,0))+parametros_manuales!$E$43*('Plan mensual'!K91+IF(parametros_manuales!$H$43="Todos",'Plan mensual'!K95,0))+parametros_manuales!$F$43*('Plan mensual'!K92+IF(parametros_manuales!$H$43="Todos",'Plan mensual'!K96,0))+parametros_manuales!$G$43*('Plan mensual'!K93+IF(parametros_manuales!$H$43="Todos",'Plan mensual'!K97,0)))*parametros_manuales!$I$43*parametros_manuales!$J$43</f>
        <v>4931.01467826</v>
      </c>
      <c r="J250" s="14" t="n">
        <f aca="false">(parametros_manuales!$D$43*('Plan mensual'!L90+IF(parametros_manuales!$H$43="Todos",'Plan mensual'!L94,0))+parametros_manuales!$E$43*('Plan mensual'!L91+IF(parametros_manuales!$H$43="Todos",'Plan mensual'!L95,0))+parametros_manuales!$F$43*('Plan mensual'!L92+IF(parametros_manuales!$H$43="Todos",'Plan mensual'!L96,0))+parametros_manuales!$G$43*('Plan mensual'!L93+IF(parametros_manuales!$H$43="Todos",'Plan mensual'!L97,0)))*parametros_manuales!$I$43*parametros_manuales!$J$43</f>
        <v>4931.01467826</v>
      </c>
      <c r="K250" s="14" t="n">
        <f aca="false">(parametros_manuales!$D$43*('Plan mensual'!M90+IF(parametros_manuales!$H$43="Todos",'Plan mensual'!M94,0))+parametros_manuales!$E$43*('Plan mensual'!M91+IF(parametros_manuales!$H$43="Todos",'Plan mensual'!M95,0))+parametros_manuales!$F$43*('Plan mensual'!M92+IF(parametros_manuales!$H$43="Todos",'Plan mensual'!M96,0))+parametros_manuales!$G$43*('Plan mensual'!M93+IF(parametros_manuales!$H$43="Todos",'Plan mensual'!M97,0)))*parametros_manuales!$I$43*parametros_manuales!$J$43</f>
        <v>4756.763774025</v>
      </c>
      <c r="L250" s="14" t="n">
        <f aca="false">(parametros_manuales!$D$43*('Plan mensual'!N90+IF(parametros_manuales!$H$43="Todos",'Plan mensual'!N94,0))+parametros_manuales!$E$43*('Plan mensual'!N91+IF(parametros_manuales!$H$43="Todos",'Plan mensual'!N95,0))+parametros_manuales!$F$43*('Plan mensual'!N92+IF(parametros_manuales!$H$43="Todos",'Plan mensual'!N96,0))+parametros_manuales!$G$43*('Plan mensual'!N93+IF(parametros_manuales!$H$43="Todos",'Plan mensual'!N97,0)))*parametros_manuales!$I$43*parametros_manuales!$J$43</f>
        <v>4582.51286979</v>
      </c>
      <c r="M250" s="14" t="n">
        <f aca="false">(parametros_manuales!$D$43*('Plan mensual'!O90+IF(parametros_manuales!$H$43="Todos",'Plan mensual'!O94,0))+parametros_manuales!$E$43*('Plan mensual'!O91+IF(parametros_manuales!$H$43="Todos",'Plan mensual'!O95,0))+parametros_manuales!$F$43*('Plan mensual'!O92+IF(parametros_manuales!$H$43="Todos",'Plan mensual'!O96,0))+parametros_manuales!$G$43*('Plan mensual'!O93+IF(parametros_manuales!$H$43="Todos",'Plan mensual'!O97,0)))*parametros_manuales!$I$43*parametros_manuales!$J$43</f>
        <v>7262.32022997</v>
      </c>
      <c r="N250" s="14" t="n">
        <f aca="false">SUM(B250:M250)</f>
        <v>63423.516987</v>
      </c>
      <c r="O250" s="14" t="n">
        <f aca="false">MAX(B250:M250)</f>
        <v>7262.32022997</v>
      </c>
      <c r="P250" s="57" t="n">
        <f aca="false">O250/(parametros_manuales!$B$7)</f>
        <v>48.4154681998</v>
      </c>
      <c r="Q250" s="13" t="str">
        <f aca="false">IF(O250=0,"-",INDEX($B$225:$M$225,MATCH(O250,B250:M250,0)))</f>
        <v>Dic</v>
      </c>
    </row>
    <row r="251" customFormat="false" ht="14.25" hidden="false" customHeight="true" outlineLevel="0" collapsed="false">
      <c r="A251" s="13" t="str">
        <f aca="false">parametros_manuales!$B$44</f>
        <v>Embalaje y paletizado</v>
      </c>
      <c r="B251" s="14" t="n">
        <f aca="false">(parametros_manuales!$D$44*('Plan mensual'!D90+IF(parametros_manuales!$H$44="Todos",'Plan mensual'!D94,0))+parametros_manuales!$E$44*('Plan mensual'!D91+IF(parametros_manuales!$H$44="Todos",'Plan mensual'!D95,0))+parametros_manuales!$F$44*('Plan mensual'!D92+IF(parametros_manuales!$H$44="Todos",'Plan mensual'!D96,0))+parametros_manuales!$G$44*('Plan mensual'!D93+IF(parametros_manuales!$H$44="Todos",'Plan mensual'!D97,0)))*parametros_manuales!$I$44*parametros_manuales!$J$44</f>
        <v>28127.6264215</v>
      </c>
      <c r="C251" s="14" t="n">
        <f aca="false">(parametros_manuales!$D$44*('Plan mensual'!E90+IF(parametros_manuales!$H$44="Todos",'Plan mensual'!E94,0))+parametros_manuales!$E$44*('Plan mensual'!E91+IF(parametros_manuales!$H$44="Todos",'Plan mensual'!E95,0))+parametros_manuales!$F$44*('Plan mensual'!E92+IF(parametros_manuales!$H$44="Todos",'Plan mensual'!E96,0))+parametros_manuales!$G$44*('Plan mensual'!E93+IF(parametros_manuales!$H$44="Todos",'Plan mensual'!E97,0)))*parametros_manuales!$I$44*parametros_manuales!$J$44</f>
        <v>21449.74232036</v>
      </c>
      <c r="D251" s="14" t="n">
        <f aca="false">(parametros_manuales!$D$44*('Plan mensual'!F90+IF(parametros_manuales!$H$44="Todos",'Plan mensual'!F94,0))+parametros_manuales!$E$44*('Plan mensual'!F91+IF(parametros_manuales!$H$44="Todos",'Plan mensual'!F95,0))+parametros_manuales!$F$44*('Plan mensual'!F92+IF(parametros_manuales!$H$44="Todos",'Plan mensual'!F96,0))+parametros_manuales!$G$44*('Plan mensual'!F93+IF(parametros_manuales!$H$44="Todos",'Plan mensual'!F97,0)))*parametros_manuales!$I$44*parametros_manuales!$J$44</f>
        <v>20049.833463195</v>
      </c>
      <c r="E251" s="14" t="n">
        <f aca="false">(parametros_manuales!$D$44*('Plan mensual'!G90+IF(parametros_manuales!$H$44="Todos",'Plan mensual'!G94,0))+parametros_manuales!$E$44*('Plan mensual'!G91+IF(parametros_manuales!$H$44="Todos",'Plan mensual'!G95,0))+parametros_manuales!$F$44*('Plan mensual'!G92+IF(parametros_manuales!$H$44="Todos",'Plan mensual'!G96,0))+parametros_manuales!$G$44*('Plan mensual'!G93+IF(parametros_manuales!$H$44="Todos",'Plan mensual'!G97,0)))*parametros_manuales!$I$44*parametros_manuales!$J$44</f>
        <v>19172.867782495</v>
      </c>
      <c r="F251" s="14" t="n">
        <f aca="false">(parametros_manuales!$D$44*('Plan mensual'!H90+IF(parametros_manuales!$H$44="Todos",'Plan mensual'!H94,0))+parametros_manuales!$E$44*('Plan mensual'!H91+IF(parametros_manuales!$H$44="Todos",'Plan mensual'!H95,0))+parametros_manuales!$F$44*('Plan mensual'!H92+IF(parametros_manuales!$H$44="Todos",'Plan mensual'!H96,0))+parametros_manuales!$G$44*('Plan mensual'!H93+IF(parametros_manuales!$H$44="Todos",'Plan mensual'!H97,0)))*parametros_manuales!$I$44*parametros_manuales!$J$44</f>
        <v>17941.87959756</v>
      </c>
      <c r="G251" s="14" t="n">
        <f aca="false">(parametros_manuales!$D$44*('Plan mensual'!I90+IF(parametros_manuales!$H$44="Todos",'Plan mensual'!I94,0))+parametros_manuales!$E$44*('Plan mensual'!I91+IF(parametros_manuales!$H$44="Todos",'Plan mensual'!I95,0))+parametros_manuales!$F$44*('Plan mensual'!I92+IF(parametros_manuales!$H$44="Todos",'Plan mensual'!I96,0))+parametros_manuales!$G$44*('Plan mensual'!I93+IF(parametros_manuales!$H$44="Todos",'Plan mensual'!I97,0)))*parametros_manuales!$I$44*parametros_manuales!$J$44</f>
        <v>17587.857093325</v>
      </c>
      <c r="H251" s="14" t="n">
        <f aca="false">(parametros_manuales!$D$44*('Plan mensual'!J90+IF(parametros_manuales!$H$44="Todos",'Plan mensual'!J94,0))+parametros_manuales!$E$44*('Plan mensual'!J91+IF(parametros_manuales!$H$44="Todos",'Plan mensual'!J95,0))+parametros_manuales!$F$44*('Plan mensual'!J92+IF(parametros_manuales!$H$44="Todos",'Plan mensual'!J96,0))+parametros_manuales!$G$44*('Plan mensual'!J93+IF(parametros_manuales!$H$44="Todos",'Plan mensual'!J97,0)))*parametros_manuales!$I$44*parametros_manuales!$J$44</f>
        <v>18818.84527826</v>
      </c>
      <c r="I251" s="14" t="n">
        <f aca="false">(parametros_manuales!$D$44*('Plan mensual'!K90+IF(parametros_manuales!$H$44="Todos",'Plan mensual'!K94,0))+parametros_manuales!$E$44*('Plan mensual'!K91+IF(parametros_manuales!$H$44="Todos",'Plan mensual'!K95,0))+parametros_manuales!$F$44*('Plan mensual'!K92+IF(parametros_manuales!$H$44="Todos",'Plan mensual'!K96,0))+parametros_manuales!$G$44*('Plan mensual'!K93+IF(parametros_manuales!$H$44="Todos",'Plan mensual'!K97,0)))*parametros_manuales!$I$44*parametros_manuales!$J$44</f>
        <v>18818.84527826</v>
      </c>
      <c r="J251" s="14" t="n">
        <f aca="false">(parametros_manuales!$D$44*('Plan mensual'!L90+IF(parametros_manuales!$H$44="Todos",'Plan mensual'!L94,0))+parametros_manuales!$E$44*('Plan mensual'!L91+IF(parametros_manuales!$H$44="Todos",'Plan mensual'!L95,0))+parametros_manuales!$F$44*('Plan mensual'!L92+IF(parametros_manuales!$H$44="Todos",'Plan mensual'!L96,0))+parametros_manuales!$G$44*('Plan mensual'!L93+IF(parametros_manuales!$H$44="Todos",'Plan mensual'!L97,0)))*parametros_manuales!$I$44*parametros_manuales!$J$44</f>
        <v>18818.84527826</v>
      </c>
      <c r="K251" s="14" t="n">
        <f aca="false">(parametros_manuales!$D$44*('Plan mensual'!M90+IF(parametros_manuales!$H$44="Todos",'Plan mensual'!M94,0))+parametros_manuales!$E$44*('Plan mensual'!M91+IF(parametros_manuales!$H$44="Todos",'Plan mensual'!M95,0))+parametros_manuales!$F$44*('Plan mensual'!M92+IF(parametros_manuales!$H$44="Todos",'Plan mensual'!M96,0))+parametros_manuales!$G$44*('Plan mensual'!M93+IF(parametros_manuales!$H$44="Todos",'Plan mensual'!M97,0)))*parametros_manuales!$I$44*parametros_manuales!$J$44</f>
        <v>18464.822774025</v>
      </c>
      <c r="L251" s="14" t="n">
        <f aca="false">(parametros_manuales!$D$44*('Plan mensual'!N90+IF(parametros_manuales!$H$44="Todos",'Plan mensual'!N94,0))+parametros_manuales!$E$44*('Plan mensual'!N91+IF(parametros_manuales!$H$44="Todos",'Plan mensual'!N95,0))+parametros_manuales!$F$44*('Plan mensual'!N92+IF(parametros_manuales!$H$44="Todos",'Plan mensual'!N96,0))+parametros_manuales!$G$44*('Plan mensual'!N93+IF(parametros_manuales!$H$44="Todos",'Plan mensual'!N97,0)))*parametros_manuales!$I$44*parametros_manuales!$J$44</f>
        <v>18110.80026979</v>
      </c>
      <c r="M251" s="14" t="n">
        <f aca="false">(parametros_manuales!$D$44*('Plan mensual'!O90+IF(parametros_manuales!$H$44="Todos",'Plan mensual'!O94,0))+parametros_manuales!$E$44*('Plan mensual'!O91+IF(parametros_manuales!$H$44="Todos",'Plan mensual'!O95,0))+parametros_manuales!$F$44*('Plan mensual'!O92+IF(parametros_manuales!$H$44="Todos",'Plan mensual'!O96,0))+parametros_manuales!$G$44*('Plan mensual'!O93+IF(parametros_manuales!$H$44="Todos",'Plan mensual'!O97,0)))*parametros_manuales!$I$44*parametros_manuales!$J$44</f>
        <v>28835.67142997</v>
      </c>
      <c r="N251" s="14" t="n">
        <f aca="false">SUM(B251:M251)</f>
        <v>246197.636987</v>
      </c>
      <c r="O251" s="14" t="n">
        <f aca="false">MAX(B251:M251)</f>
        <v>28835.67142997</v>
      </c>
      <c r="P251" s="57" t="n">
        <f aca="false">O251/(parametros_manuales!$B$7)</f>
        <v>192.237809533133</v>
      </c>
      <c r="Q251" s="13" t="str">
        <f aca="false">IF(O251=0,"-",INDEX($B$225:$M$225,MATCH(O251,B251:M251,0)))</f>
        <v>Dic</v>
      </c>
    </row>
    <row r="252" customFormat="false" ht="14.25" hidden="false" customHeight="true" outlineLevel="0" collapsed="false"/>
    <row r="253" customFormat="false" ht="14.25" hidden="false" customHeight="true" outlineLevel="0" collapsed="false">
      <c r="A253" s="12" t="s">
        <v>277</v>
      </c>
      <c r="B253" s="12" t="s">
        <v>37</v>
      </c>
      <c r="C253" s="12" t="s">
        <v>38</v>
      </c>
      <c r="D253" s="12" t="s">
        <v>39</v>
      </c>
      <c r="E253" s="12" t="s">
        <v>40</v>
      </c>
      <c r="F253" s="12" t="s">
        <v>41</v>
      </c>
      <c r="G253" s="12" t="s">
        <v>42</v>
      </c>
      <c r="H253" s="12" t="s">
        <v>43</v>
      </c>
      <c r="I253" s="12" t="s">
        <v>44</v>
      </c>
      <c r="J253" s="12" t="s">
        <v>45</v>
      </c>
      <c r="K253" s="12" t="s">
        <v>46</v>
      </c>
      <c r="L253" s="12" t="s">
        <v>47</v>
      </c>
      <c r="M253" s="12" t="s">
        <v>48</v>
      </c>
      <c r="N253" s="12" t="s">
        <v>261</v>
      </c>
      <c r="O253" s="12" t="s">
        <v>266</v>
      </c>
      <c r="P253" s="12" t="s">
        <v>267</v>
      </c>
      <c r="Q253" s="12" t="s">
        <v>268</v>
      </c>
    </row>
    <row r="254" customFormat="false" ht="14.25" hidden="false" customHeight="true" outlineLevel="0" collapsed="false">
      <c r="A254" s="13" t="str">
        <f aca="false">parametros_manuales!$B$19</f>
        <v>Recepción de materia prima</v>
      </c>
      <c r="B254" s="14" t="n">
        <f aca="false">(parametros_manuales!$D$19*('Plan mensual'!D101+IF(parametros_manuales!$H$19="Todos",'Plan mensual'!D105,0))+parametros_manuales!$E$19*('Plan mensual'!D102+IF(parametros_manuales!$H$19="Todos",'Plan mensual'!D106,0))+parametros_manuales!$F$19*('Plan mensual'!D103+IF(parametros_manuales!$H$19="Todos",'Plan mensual'!D107,0))+parametros_manuales!$G$19*('Plan mensual'!D104+IF(parametros_manuales!$H$19="Todos",'Plan mensual'!D108,0)))*parametros_manuales!$I$19*parametros_manuales!$J$19</f>
        <v>32498.6692199</v>
      </c>
      <c r="C254" s="14" t="n">
        <f aca="false">(parametros_manuales!$D$19*('Plan mensual'!E101+IF(parametros_manuales!$H$19="Todos",'Plan mensual'!E105,0))+parametros_manuales!$E$19*('Plan mensual'!E102+IF(parametros_manuales!$H$19="Todos",'Plan mensual'!E106,0))+parametros_manuales!$F$19*('Plan mensual'!E103+IF(parametros_manuales!$H$19="Todos",'Plan mensual'!E107,0))+parametros_manuales!$G$19*('Plan mensual'!E104+IF(parametros_manuales!$H$19="Todos",'Plan mensual'!E108,0)))*parametros_manuales!$I$19*parametros_manuales!$J$19</f>
        <v>24783.21154114</v>
      </c>
      <c r="D254" s="14" t="n">
        <f aca="false">(parametros_manuales!$D$19*('Plan mensual'!F101+IF(parametros_manuales!$H$19="Todos",'Plan mensual'!F105,0))+parametros_manuales!$E$19*('Plan mensual'!F102+IF(parametros_manuales!$H$19="Todos",'Plan mensual'!F106,0))+parametros_manuales!$F$19*('Plan mensual'!F103+IF(parametros_manuales!$H$19="Todos",'Plan mensual'!F107,0))+parametros_manuales!$G$19*('Plan mensual'!F104+IF(parametros_manuales!$H$19="Todos",'Plan mensual'!F108,0)))*parametros_manuales!$I$19*parametros_manuales!$J$19</f>
        <v>23166.214776055</v>
      </c>
      <c r="E254" s="14" t="n">
        <f aca="false">(parametros_manuales!$D$19*('Plan mensual'!G101+IF(parametros_manuales!$H$19="Todos",'Plan mensual'!G105,0))+parametros_manuales!$E$19*('Plan mensual'!G102+IF(parametros_manuales!$H$19="Todos",'Plan mensual'!G106,0))+parametros_manuales!$F$19*('Plan mensual'!G103+IF(parametros_manuales!$H$19="Todos",'Plan mensual'!G107,0))+parametros_manuales!$G$19*('Plan mensual'!G104+IF(parametros_manuales!$H$19="Todos",'Plan mensual'!G108,0)))*parametros_manuales!$I$19*parametros_manuales!$J$19</f>
        <v>22153.111580405</v>
      </c>
      <c r="F254" s="14" t="n">
        <f aca="false">(parametros_manuales!$D$19*('Plan mensual'!H101+IF(parametros_manuales!$H$19="Todos",'Plan mensual'!H105,0))+parametros_manuales!$E$19*('Plan mensual'!H102+IF(parametros_manuales!$H$19="Todos",'Plan mensual'!H106,0))+parametros_manuales!$F$19*('Plan mensual'!H103+IF(parametros_manuales!$H$19="Todos",'Plan mensual'!H107,0))+parametros_manuales!$G$19*('Plan mensual'!H104+IF(parametros_manuales!$H$19="Todos",'Plan mensual'!H108,0)))*parametros_manuales!$I$19*parametros_manuales!$J$19</f>
        <v>20730.79875854</v>
      </c>
      <c r="G254" s="14" t="n">
        <f aca="false">(parametros_manuales!$D$19*('Plan mensual'!I101+IF(parametros_manuales!$H$19="Todos",'Plan mensual'!I105,0))+parametros_manuales!$E$19*('Plan mensual'!I102+IF(parametros_manuales!$H$19="Todos",'Plan mensual'!I106,0))+parametros_manuales!$F$19*('Plan mensual'!I103+IF(parametros_manuales!$H$19="Todos",'Plan mensual'!I107,0))+parametros_manuales!$G$19*('Plan mensual'!I104+IF(parametros_manuales!$H$19="Todos",'Plan mensual'!I108,0)))*parametros_manuales!$I$19*parametros_manuales!$J$19</f>
        <v>20321.589132325</v>
      </c>
      <c r="H254" s="14" t="n">
        <f aca="false">(parametros_manuales!$D$19*('Plan mensual'!J101+IF(parametros_manuales!$H$19="Todos",'Plan mensual'!J105,0))+parametros_manuales!$E$19*('Plan mensual'!J102+IF(parametros_manuales!$H$19="Todos",'Plan mensual'!J106,0))+parametros_manuales!$F$19*('Plan mensual'!J103+IF(parametros_manuales!$H$19="Todos",'Plan mensual'!J107,0))+parametros_manuales!$G$19*('Plan mensual'!J104+IF(parametros_manuales!$H$19="Todos",'Plan mensual'!J108,0)))*parametros_manuales!$I$19*parametros_manuales!$J$19</f>
        <v>21743.90195419</v>
      </c>
      <c r="I254" s="14" t="n">
        <f aca="false">(parametros_manuales!$D$19*('Plan mensual'!K101+IF(parametros_manuales!$H$19="Todos",'Plan mensual'!K105,0))+parametros_manuales!$E$19*('Plan mensual'!K102+IF(parametros_manuales!$H$19="Todos",'Plan mensual'!K106,0))+parametros_manuales!$F$19*('Plan mensual'!K103+IF(parametros_manuales!$H$19="Todos",'Plan mensual'!K107,0))+parametros_manuales!$G$19*('Plan mensual'!K104+IF(parametros_manuales!$H$19="Todos",'Plan mensual'!K108,0)))*parametros_manuales!$I$19*parametros_manuales!$J$19</f>
        <v>21743.90195419</v>
      </c>
      <c r="J254" s="14" t="n">
        <f aca="false">(parametros_manuales!$D$19*('Plan mensual'!L101+IF(parametros_manuales!$H$19="Todos",'Plan mensual'!L105,0))+parametros_manuales!$E$19*('Plan mensual'!L102+IF(parametros_manuales!$H$19="Todos",'Plan mensual'!L106,0))+parametros_manuales!$F$19*('Plan mensual'!L103+IF(parametros_manuales!$H$19="Todos",'Plan mensual'!L107,0))+parametros_manuales!$G$19*('Plan mensual'!L104+IF(parametros_manuales!$H$19="Todos",'Plan mensual'!L108,0)))*parametros_manuales!$I$19*parametros_manuales!$J$19</f>
        <v>21743.90195419</v>
      </c>
      <c r="K254" s="14" t="n">
        <f aca="false">(parametros_manuales!$D$19*('Plan mensual'!M101+IF(parametros_manuales!$H$19="Todos",'Plan mensual'!M105,0))+parametros_manuales!$E$19*('Plan mensual'!M102+IF(parametros_manuales!$H$19="Todos",'Plan mensual'!M106,0))+parametros_manuales!$F$19*('Plan mensual'!M103+IF(parametros_manuales!$H$19="Todos",'Plan mensual'!M107,0))+parametros_manuales!$G$19*('Plan mensual'!M104+IF(parametros_manuales!$H$19="Todos",'Plan mensual'!M108,0)))*parametros_manuales!$I$19*parametros_manuales!$J$19</f>
        <v>21334.692327975</v>
      </c>
      <c r="L254" s="14" t="n">
        <f aca="false">(parametros_manuales!$D$19*('Plan mensual'!N101+IF(parametros_manuales!$H$19="Todos",'Plan mensual'!N105,0))+parametros_manuales!$E$19*('Plan mensual'!N102+IF(parametros_manuales!$H$19="Todos",'Plan mensual'!N106,0))+parametros_manuales!$F$19*('Plan mensual'!N103+IF(parametros_manuales!$H$19="Todos",'Plan mensual'!N107,0))+parametros_manuales!$G$19*('Plan mensual'!N104+IF(parametros_manuales!$H$19="Todos",'Plan mensual'!N108,0)))*parametros_manuales!$I$19*parametros_manuales!$J$19</f>
        <v>20925.48270176</v>
      </c>
      <c r="M254" s="14" t="n">
        <f aca="false">(parametros_manuales!$D$19*('Plan mensual'!O101+IF(parametros_manuales!$H$19="Todos",'Plan mensual'!O105,0))+parametros_manuales!$E$19*('Plan mensual'!O102+IF(parametros_manuales!$H$19="Todos",'Plan mensual'!O106,0))+parametros_manuales!$F$19*('Plan mensual'!O103+IF(parametros_manuales!$H$19="Todos",'Plan mensual'!O107,0))+parametros_manuales!$G$19*('Plan mensual'!O104+IF(parametros_manuales!$H$19="Todos",'Plan mensual'!O108,0)))*parametros_manuales!$I$19*parametros_manuales!$J$19</f>
        <v>33317.08847233</v>
      </c>
      <c r="N254" s="14" t="n">
        <f aca="false">SUM(B254:M254)</f>
        <v>284462.564373</v>
      </c>
      <c r="O254" s="14" t="n">
        <f aca="false">MAX(B254:M254)</f>
        <v>33317.08847233</v>
      </c>
      <c r="P254" s="57" t="n">
        <f aca="false">O254/(parametros_manuales!$B$7)</f>
        <v>222.113923148867</v>
      </c>
      <c r="Q254" s="13" t="str">
        <f aca="false">IF(O254=0,"-",INDEX($B$253:$M$253,MATCH(O254,B254:M254,0)))</f>
        <v>Dic</v>
      </c>
    </row>
    <row r="255" customFormat="false" ht="14.25" hidden="false" customHeight="true" outlineLevel="0" collapsed="false">
      <c r="A255" s="13" t="str">
        <f aca="false">parametros_manuales!$B$20</f>
        <v>Corte de chapa — 1.er corte en franjas (guillotina 1, manuales + carros)</v>
      </c>
      <c r="B255" s="14" t="n">
        <f aca="false">(parametros_manuales!$D$20*('Plan mensual'!D101+IF(parametros_manuales!$H$20="Todos",'Plan mensual'!D105,0))+parametros_manuales!$E$20*('Plan mensual'!D102+IF(parametros_manuales!$H$20="Todos",'Plan mensual'!D106,0))+parametros_manuales!$F$20*('Plan mensual'!D103+IF(parametros_manuales!$H$20="Todos",'Plan mensual'!D107,0))+parametros_manuales!$G$20*('Plan mensual'!D104+IF(parametros_manuales!$H$20="Todos",'Plan mensual'!D108,0)))*parametros_manuales!$I$20*parametros_manuales!$J$20+parametros_manuales!$B$157</f>
        <v>34426.2572786017</v>
      </c>
      <c r="C255" s="14" t="n">
        <f aca="false">(parametros_manuales!$D$20*('Plan mensual'!E101+IF(parametros_manuales!$H$20="Todos",'Plan mensual'!E105,0))+parametros_manuales!$E$20*('Plan mensual'!E102+IF(parametros_manuales!$H$20="Todos",'Plan mensual'!E106,0))+parametros_manuales!$F$20*('Plan mensual'!E103+IF(parametros_manuales!$H$20="Todos",'Plan mensual'!E107,0))+parametros_manuales!$G$20*('Plan mensual'!E104+IF(parametros_manuales!$H$20="Todos",'Plan mensual'!E108,0)))*parametros_manuales!$I$20*parametros_manuales!$J$20+parametros_manuales!$C$157</f>
        <v>26484.0245341121</v>
      </c>
      <c r="D255" s="14" t="n">
        <f aca="false">(parametros_manuales!$D$20*('Plan mensual'!F101+IF(parametros_manuales!$H$20="Todos",'Plan mensual'!F105,0))+parametros_manuales!$E$20*('Plan mensual'!F102+IF(parametros_manuales!$H$20="Todos",'Plan mensual'!F106,0))+parametros_manuales!$F$20*('Plan mensual'!F103+IF(parametros_manuales!$H$20="Todos",'Plan mensual'!F107,0))+parametros_manuales!$G$20*('Plan mensual'!F104+IF(parametros_manuales!$H$20="Todos",'Plan mensual'!F108,0)))*parametros_manuales!$I$20*parametros_manuales!$J$20+parametros_manuales!$D$157</f>
        <v>25207.1903676216</v>
      </c>
      <c r="E255" s="14" t="n">
        <f aca="false">(parametros_manuales!$D$20*('Plan mensual'!G101+IF(parametros_manuales!$H$20="Todos",'Plan mensual'!G105,0))+parametros_manuales!$E$20*('Plan mensual'!G102+IF(parametros_manuales!$H$20="Todos",'Plan mensual'!G106,0))+parametros_manuales!$F$20*('Plan mensual'!G103+IF(parametros_manuales!$H$20="Todos",'Plan mensual'!G107,0))+parametros_manuales!$G$20*('Plan mensual'!G104+IF(parametros_manuales!$H$20="Todos",'Plan mensual'!G108,0)))*parametros_manuales!$I$20*parametros_manuales!$J$20+parametros_manuales!$E$157</f>
        <v>24194.0871719716</v>
      </c>
      <c r="F255" s="14" t="n">
        <f aca="false">(parametros_manuales!$D$20*('Plan mensual'!H101+IF(parametros_manuales!$H$20="Todos",'Plan mensual'!H105,0))+parametros_manuales!$E$20*('Plan mensual'!H102+IF(parametros_manuales!$H$20="Todos",'Plan mensual'!H106,0))+parametros_manuales!$F$20*('Plan mensual'!H103+IF(parametros_manuales!$H$20="Todos",'Plan mensual'!H107,0))+parametros_manuales!$G$20*('Plan mensual'!H104+IF(parametros_manuales!$H$20="Todos",'Plan mensual'!H108,0)))*parametros_manuales!$I$20*parametros_manuales!$J$20+parametros_manuales!$F$157</f>
        <v>22771.7743501066</v>
      </c>
      <c r="G255" s="14" t="n">
        <f aca="false">(parametros_manuales!$D$20*('Plan mensual'!I101+IF(parametros_manuales!$H$20="Todos",'Plan mensual'!I105,0))+parametros_manuales!$E$20*('Plan mensual'!I102+IF(parametros_manuales!$H$20="Todos",'Plan mensual'!I106,0))+parametros_manuales!$F$20*('Plan mensual'!I103+IF(parametros_manuales!$H$20="Todos",'Plan mensual'!I107,0))+parametros_manuales!$G$20*('Plan mensual'!I104+IF(parametros_manuales!$H$20="Todos",'Plan mensual'!I108,0)))*parametros_manuales!$I$20*parametros_manuales!$J$20+parametros_manuales!$G$157</f>
        <v>22135.7896581619</v>
      </c>
      <c r="H255" s="14" t="n">
        <f aca="false">(parametros_manuales!$D$20*('Plan mensual'!J101+IF(parametros_manuales!$H$20="Todos",'Plan mensual'!J105,0))+parametros_manuales!$E$20*('Plan mensual'!J102+IF(parametros_manuales!$H$20="Todos",'Plan mensual'!J106,0))+parametros_manuales!$F$20*('Plan mensual'!J103+IF(parametros_manuales!$H$20="Todos",'Plan mensual'!J107,0))+parametros_manuales!$G$20*('Plan mensual'!J104+IF(parametros_manuales!$H$20="Todos",'Plan mensual'!J108,0)))*parametros_manuales!$I$20*parametros_manuales!$J$20+parametros_manuales!$H$157</f>
        <v>23784.8775457566</v>
      </c>
      <c r="I255" s="14" t="n">
        <f aca="false">(parametros_manuales!$D$20*('Plan mensual'!K101+IF(parametros_manuales!$H$20="Todos",'Plan mensual'!K105,0))+parametros_manuales!$E$20*('Plan mensual'!K102+IF(parametros_manuales!$H$20="Todos",'Plan mensual'!K106,0))+parametros_manuales!$F$20*('Plan mensual'!K103+IF(parametros_manuales!$H$20="Todos",'Plan mensual'!K107,0))+parametros_manuales!$G$20*('Plan mensual'!K104+IF(parametros_manuales!$H$20="Todos",'Plan mensual'!K108,0)))*parametros_manuales!$I$20*parametros_manuales!$J$20+parametros_manuales!$I$157</f>
        <v>23784.8775457566</v>
      </c>
      <c r="J255" s="14" t="n">
        <f aca="false">(parametros_manuales!$D$20*('Plan mensual'!L101+IF(parametros_manuales!$H$20="Todos",'Plan mensual'!L105,0))+parametros_manuales!$E$20*('Plan mensual'!L102+IF(parametros_manuales!$H$20="Todos",'Plan mensual'!L106,0))+parametros_manuales!$F$20*('Plan mensual'!L103+IF(parametros_manuales!$H$20="Todos",'Plan mensual'!L107,0))+parametros_manuales!$G$20*('Plan mensual'!L104+IF(parametros_manuales!$H$20="Todos",'Plan mensual'!L108,0)))*parametros_manuales!$I$20*parametros_manuales!$J$20+parametros_manuales!$J$157</f>
        <v>23671.4900128917</v>
      </c>
      <c r="K255" s="14" t="n">
        <f aca="false">(parametros_manuales!$D$20*('Plan mensual'!M101+IF(parametros_manuales!$H$20="Todos",'Plan mensual'!M105,0))+parametros_manuales!$E$20*('Plan mensual'!M102+IF(parametros_manuales!$H$20="Todos",'Plan mensual'!M106,0))+parametros_manuales!$F$20*('Plan mensual'!M103+IF(parametros_manuales!$H$20="Todos",'Plan mensual'!M107,0))+parametros_manuales!$G$20*('Plan mensual'!M104+IF(parametros_manuales!$H$20="Todos",'Plan mensual'!M108,0)))*parametros_manuales!$I$20*parametros_manuales!$J$20+parametros_manuales!$K$157</f>
        <v>23035.5053209471</v>
      </c>
      <c r="L255" s="14" t="n">
        <f aca="false">(parametros_manuales!$D$20*('Plan mensual'!N101+IF(parametros_manuales!$H$20="Todos",'Plan mensual'!N105,0))+parametros_manuales!$E$20*('Plan mensual'!N102+IF(parametros_manuales!$H$20="Todos",'Plan mensual'!N106,0))+parametros_manuales!$F$20*('Plan mensual'!N103+IF(parametros_manuales!$H$20="Todos",'Plan mensual'!N107,0))+parametros_manuales!$G$20*('Plan mensual'!N104+IF(parametros_manuales!$H$20="Todos",'Plan mensual'!N108,0)))*parametros_manuales!$I$20*parametros_manuales!$J$20+parametros_manuales!$L$157</f>
        <v>22512.9081618673</v>
      </c>
      <c r="M255" s="14" t="n">
        <f aca="false">(parametros_manuales!$D$20*('Plan mensual'!O101+IF(parametros_manuales!$H$20="Todos",'Plan mensual'!O105,0))+parametros_manuales!$E$20*('Plan mensual'!O102+IF(parametros_manuales!$H$20="Todos",'Plan mensual'!O106,0))+parametros_manuales!$F$20*('Plan mensual'!O103+IF(parametros_manuales!$H$20="Todos",'Plan mensual'!O107,0))+parametros_manuales!$G$20*('Plan mensual'!O104+IF(parametros_manuales!$H$20="Todos",'Plan mensual'!O108,0)))*parametros_manuales!$I$20*parametros_manuales!$J$20+parametros_manuales!$M$157</f>
        <v>35131.2889981669</v>
      </c>
      <c r="N255" s="14" t="n">
        <f aca="false">SUM(B255:M255)</f>
        <v>307140.070945962</v>
      </c>
      <c r="O255" s="14" t="n">
        <f aca="false">MAX(B255:M255)</f>
        <v>35131.2889981669</v>
      </c>
      <c r="P255" s="57" t="n">
        <f aca="false">O255/(parametros_manuales!$B$7)</f>
        <v>234.208593321113</v>
      </c>
      <c r="Q255" s="13" t="str">
        <f aca="false">IF(O255=0,"-",INDEX($B$253:$M$253,MATCH(O255,B255:M255,0)))</f>
        <v>Dic</v>
      </c>
    </row>
    <row r="256" customFormat="false" ht="14.25" hidden="false" customHeight="true" outlineLevel="0" collapsed="false">
      <c r="A256" s="13" t="str">
        <f aca="false">parametros_manuales!$B$21</f>
        <v>Corte de chapa — 2.º corte en piezas (guillotina 2, manuales + carros)</v>
      </c>
      <c r="B256" s="14" t="n">
        <f aca="false">(parametros_manuales!$D$21*('Plan mensual'!D101+IF(parametros_manuales!$H$21="Todos",'Plan mensual'!D105,0))+parametros_manuales!$E$21*('Plan mensual'!D102+IF(parametros_manuales!$H$21="Todos",'Plan mensual'!D106,0))+parametros_manuales!$F$21*('Plan mensual'!D103+IF(parametros_manuales!$H$21="Todos",'Plan mensual'!D107,0))+parametros_manuales!$G$21*('Plan mensual'!D104+IF(parametros_manuales!$H$21="Todos",'Plan mensual'!D108,0)))*parametros_manuales!$I$21*parametros_manuales!$J$21+parametros_manuales!$B$169</f>
        <v>35001.3135923065</v>
      </c>
      <c r="C256" s="14" t="n">
        <f aca="false">(parametros_manuales!$D$21*('Plan mensual'!E101+IF(parametros_manuales!$H$21="Todos",'Plan mensual'!E105,0))+parametros_manuales!$E$21*('Plan mensual'!E102+IF(parametros_manuales!$H$21="Todos",'Plan mensual'!E106,0))+parametros_manuales!$F$21*('Plan mensual'!E103+IF(parametros_manuales!$H$21="Todos",'Plan mensual'!E107,0))+parametros_manuales!$G$21*('Plan mensual'!E104+IF(parametros_manuales!$H$21="Todos",'Plan mensual'!E108,0)))*parametros_manuales!$I$21*parametros_manuales!$J$21+parametros_manuales!$C$169</f>
        <v>26991.4271638516</v>
      </c>
      <c r="D256" s="14" t="n">
        <f aca="false">(parametros_manuales!$D$21*('Plan mensual'!F101+IF(parametros_manuales!$H$21="Todos",'Plan mensual'!F105,0))+parametros_manuales!$E$21*('Plan mensual'!F102+IF(parametros_manuales!$H$21="Todos",'Plan mensual'!F106,0))+parametros_manuales!$F$21*('Plan mensual'!F103+IF(parametros_manuales!$H$21="Todos",'Plan mensual'!F107,0))+parametros_manuales!$G$21*('Plan mensual'!F104+IF(parametros_manuales!$H$21="Todos",'Plan mensual'!F108,0)))*parametros_manuales!$I$21*parametros_manuales!$J$21+parametros_manuales!$D$169</f>
        <v>25816.0735233089</v>
      </c>
      <c r="E256" s="14" t="n">
        <f aca="false">(parametros_manuales!$D$21*('Plan mensual'!G101+IF(parametros_manuales!$H$21="Todos",'Plan mensual'!G105,0))+parametros_manuales!$E$21*('Plan mensual'!G102+IF(parametros_manuales!$H$21="Todos",'Plan mensual'!G106,0))+parametros_manuales!$F$21*('Plan mensual'!G103+IF(parametros_manuales!$H$21="Todos",'Plan mensual'!G107,0))+parametros_manuales!$G$21*('Plan mensual'!G104+IF(parametros_manuales!$H$21="Todos",'Plan mensual'!G108,0)))*parametros_manuales!$I$21*parametros_manuales!$J$21+parametros_manuales!$E$169</f>
        <v>24802.9703276589</v>
      </c>
      <c r="F256" s="14" t="n">
        <f aca="false">(parametros_manuales!$D$21*('Plan mensual'!H101+IF(parametros_manuales!$H$21="Todos",'Plan mensual'!H105,0))+parametros_manuales!$E$21*('Plan mensual'!H102+IF(parametros_manuales!$H$21="Todos",'Plan mensual'!H106,0))+parametros_manuales!$F$21*('Plan mensual'!H103+IF(parametros_manuales!$H$21="Todos",'Plan mensual'!H107,0))+parametros_manuales!$G$21*('Plan mensual'!H104+IF(parametros_manuales!$H$21="Todos",'Plan mensual'!H108,0)))*parametros_manuales!$I$21*parametros_manuales!$J$21+parametros_manuales!$F$169</f>
        <v>23380.6575057939</v>
      </c>
      <c r="G256" s="14" t="n">
        <f aca="false">(parametros_manuales!$D$21*('Plan mensual'!I101+IF(parametros_manuales!$H$21="Todos",'Plan mensual'!I105,0))+parametros_manuales!$E$21*('Plan mensual'!I102+IF(parametros_manuales!$H$21="Todos",'Plan mensual'!I106,0))+parametros_manuales!$F$21*('Plan mensual'!I103+IF(parametros_manuales!$H$21="Todos",'Plan mensual'!I107,0))+parametros_manuales!$G$21*('Plan mensual'!I104+IF(parametros_manuales!$H$21="Todos",'Plan mensual'!I108,0)))*parametros_manuales!$I$21*parametros_manuales!$J$21+parametros_manuales!$G$169</f>
        <v>22677.019129884</v>
      </c>
      <c r="H256" s="14" t="n">
        <f aca="false">(parametros_manuales!$D$21*('Plan mensual'!J101+IF(parametros_manuales!$H$21="Todos",'Plan mensual'!J105,0))+parametros_manuales!$E$21*('Plan mensual'!J102+IF(parametros_manuales!$H$21="Todos",'Plan mensual'!J106,0))+parametros_manuales!$F$21*('Plan mensual'!J103+IF(parametros_manuales!$H$21="Todos",'Plan mensual'!J107,0))+parametros_manuales!$G$21*('Plan mensual'!J104+IF(parametros_manuales!$H$21="Todos",'Plan mensual'!J108,0)))*parametros_manuales!$I$21*parametros_manuales!$J$21+parametros_manuales!$H$169</f>
        <v>24393.7607014439</v>
      </c>
      <c r="I256" s="14" t="n">
        <f aca="false">(parametros_manuales!$D$21*('Plan mensual'!K101+IF(parametros_manuales!$H$21="Todos",'Plan mensual'!K105,0))+parametros_manuales!$E$21*('Plan mensual'!K102+IF(parametros_manuales!$H$21="Todos",'Plan mensual'!K106,0))+parametros_manuales!$F$21*('Plan mensual'!K103+IF(parametros_manuales!$H$21="Todos",'Plan mensual'!K107,0))+parametros_manuales!$G$21*('Plan mensual'!K104+IF(parametros_manuales!$H$21="Todos",'Plan mensual'!K108,0)))*parametros_manuales!$I$21*parametros_manuales!$J$21+parametros_manuales!$I$169</f>
        <v>24393.7607014439</v>
      </c>
      <c r="J256" s="14" t="n">
        <f aca="false">(parametros_manuales!$D$21*('Plan mensual'!L101+IF(parametros_manuales!$H$21="Todos",'Plan mensual'!L105,0))+parametros_manuales!$E$21*('Plan mensual'!L102+IF(parametros_manuales!$H$21="Todos",'Plan mensual'!L106,0))+parametros_manuales!$F$21*('Plan mensual'!L103+IF(parametros_manuales!$H$21="Todos",'Plan mensual'!L107,0))+parametros_manuales!$G$21*('Plan mensual'!L104+IF(parametros_manuales!$H$21="Todos",'Plan mensual'!L108,0)))*parametros_manuales!$I$21*parametros_manuales!$J$21+parametros_manuales!$J$169</f>
        <v>24246.5463265964</v>
      </c>
      <c r="K256" s="14" t="n">
        <f aca="false">(parametros_manuales!$D$21*('Plan mensual'!M101+IF(parametros_manuales!$H$21="Todos",'Plan mensual'!M105,0))+parametros_manuales!$E$21*('Plan mensual'!M102+IF(parametros_manuales!$H$21="Todos",'Plan mensual'!M106,0))+parametros_manuales!$F$21*('Plan mensual'!M103+IF(parametros_manuales!$H$21="Todos",'Plan mensual'!M107,0))+parametros_manuales!$G$21*('Plan mensual'!M104+IF(parametros_manuales!$H$21="Todos",'Plan mensual'!M108,0)))*parametros_manuales!$I$21*parametros_manuales!$J$21+parametros_manuales!$K$169</f>
        <v>23542.9079506866</v>
      </c>
      <c r="L256" s="14" t="n">
        <f aca="false">(parametros_manuales!$D$21*('Plan mensual'!N101+IF(parametros_manuales!$H$21="Todos",'Plan mensual'!N105,0))+parametros_manuales!$E$21*('Plan mensual'!N102+IF(parametros_manuales!$H$21="Todos",'Plan mensual'!N106,0))+parametros_manuales!$F$21*('Plan mensual'!N103+IF(parametros_manuales!$H$21="Todos",'Plan mensual'!N107,0))+parametros_manuales!$G$21*('Plan mensual'!N104+IF(parametros_manuales!$H$21="Todos",'Plan mensual'!N108,0)))*parametros_manuales!$I$21*parametros_manuales!$J$21+parametros_manuales!$L$169</f>
        <v>22986.4839496241</v>
      </c>
      <c r="M256" s="14" t="n">
        <f aca="false">(parametros_manuales!$D$21*('Plan mensual'!O101+IF(parametros_manuales!$H$21="Todos",'Plan mensual'!O105,0))+parametros_manuales!$E$21*('Plan mensual'!O102+IF(parametros_manuales!$H$21="Todos",'Plan mensual'!O106,0))+parametros_manuales!$F$21*('Plan mensual'!O103+IF(parametros_manuales!$H$21="Todos",'Plan mensual'!O107,0))+parametros_manuales!$G$21*('Plan mensual'!O104+IF(parametros_manuales!$H$21="Todos",'Plan mensual'!O108,0)))*parametros_manuales!$I$21*parametros_manuales!$J$21+parametros_manuales!$M$169</f>
        <v>35672.518469889</v>
      </c>
      <c r="N256" s="14" t="n">
        <f aca="false">SUM(B256:M256)</f>
        <v>313905.439342488</v>
      </c>
      <c r="O256" s="14" t="n">
        <f aca="false">MAX(B256:M256)</f>
        <v>35672.518469889</v>
      </c>
      <c r="P256" s="57" t="n">
        <f aca="false">O256/(parametros_manuales!$B$7)</f>
        <v>237.81678979926</v>
      </c>
      <c r="Q256" s="13" t="str">
        <f aca="false">IF(O256=0,"-",INDEX($B$253:$M$253,MATCH(O256,B256:M256,0)))</f>
        <v>Dic</v>
      </c>
    </row>
    <row r="257" customFormat="false" ht="14.25" hidden="false" customHeight="true" outlineLevel="0" collapsed="false">
      <c r="A257" s="13" t="str">
        <f aca="false">parametros_manuales!$B$22</f>
        <v>Corte de disco y embutido (cúpula y fondo)</v>
      </c>
      <c r="B257" s="14" t="n">
        <f aca="false">(parametros_manuales!$D$22*('Plan mensual'!D101+IF(parametros_manuales!$H$22="Todos",'Plan mensual'!D105,0))+parametros_manuales!$E$22*('Plan mensual'!D102+IF(parametros_manuales!$H$22="Todos",'Plan mensual'!D106,0))+parametros_manuales!$F$22*('Plan mensual'!D103+IF(parametros_manuales!$H$22="Todos",'Plan mensual'!D107,0))+parametros_manuales!$G$22*('Plan mensual'!D104+IF(parametros_manuales!$H$22="Todos",'Plan mensual'!D108,0)))*parametros_manuales!$I$22*parametros_manuales!$J$22</f>
        <v>64997.3384398</v>
      </c>
      <c r="C257" s="14" t="n">
        <f aca="false">(parametros_manuales!$D$22*('Plan mensual'!E101+IF(parametros_manuales!$H$22="Todos",'Plan mensual'!E105,0))+parametros_manuales!$E$22*('Plan mensual'!E102+IF(parametros_manuales!$H$22="Todos",'Plan mensual'!E106,0))+parametros_manuales!$F$22*('Plan mensual'!E103+IF(parametros_manuales!$H$22="Todos",'Plan mensual'!E107,0))+parametros_manuales!$G$22*('Plan mensual'!E104+IF(parametros_manuales!$H$22="Todos",'Plan mensual'!E108,0)))*parametros_manuales!$I$22*parametros_manuales!$J$22</f>
        <v>49566.42308228</v>
      </c>
      <c r="D257" s="14" t="n">
        <f aca="false">(parametros_manuales!$D$22*('Plan mensual'!F101+IF(parametros_manuales!$H$22="Todos",'Plan mensual'!F105,0))+parametros_manuales!$E$22*('Plan mensual'!F102+IF(parametros_manuales!$H$22="Todos",'Plan mensual'!F106,0))+parametros_manuales!$F$22*('Plan mensual'!F103+IF(parametros_manuales!$H$22="Todos",'Plan mensual'!F107,0))+parametros_manuales!$G$22*('Plan mensual'!F104+IF(parametros_manuales!$H$22="Todos",'Plan mensual'!F108,0)))*parametros_manuales!$I$22*parametros_manuales!$J$22</f>
        <v>46332.42955211</v>
      </c>
      <c r="E257" s="14" t="n">
        <f aca="false">(parametros_manuales!$D$22*('Plan mensual'!G101+IF(parametros_manuales!$H$22="Todos",'Plan mensual'!G105,0))+parametros_manuales!$E$22*('Plan mensual'!G102+IF(parametros_manuales!$H$22="Todos",'Plan mensual'!G106,0))+parametros_manuales!$F$22*('Plan mensual'!G103+IF(parametros_manuales!$H$22="Todos",'Plan mensual'!G107,0))+parametros_manuales!$G$22*('Plan mensual'!G104+IF(parametros_manuales!$H$22="Todos",'Plan mensual'!G108,0)))*parametros_manuales!$I$22*parametros_manuales!$J$22</f>
        <v>44306.22316081</v>
      </c>
      <c r="F257" s="14" t="n">
        <f aca="false">(parametros_manuales!$D$22*('Plan mensual'!H101+IF(parametros_manuales!$H$22="Todos",'Plan mensual'!H105,0))+parametros_manuales!$E$22*('Plan mensual'!H102+IF(parametros_manuales!$H$22="Todos",'Plan mensual'!H106,0))+parametros_manuales!$F$22*('Plan mensual'!H103+IF(parametros_manuales!$H$22="Todos",'Plan mensual'!H107,0))+parametros_manuales!$G$22*('Plan mensual'!H104+IF(parametros_manuales!$H$22="Todos",'Plan mensual'!H108,0)))*parametros_manuales!$I$22*parametros_manuales!$J$22</f>
        <v>41461.59751708</v>
      </c>
      <c r="G257" s="14" t="n">
        <f aca="false">(parametros_manuales!$D$22*('Plan mensual'!I101+IF(parametros_manuales!$H$22="Todos",'Plan mensual'!I105,0))+parametros_manuales!$E$22*('Plan mensual'!I102+IF(parametros_manuales!$H$22="Todos",'Plan mensual'!I106,0))+parametros_manuales!$F$22*('Plan mensual'!I103+IF(parametros_manuales!$H$22="Todos",'Plan mensual'!I107,0))+parametros_manuales!$G$22*('Plan mensual'!I104+IF(parametros_manuales!$H$22="Todos",'Plan mensual'!I108,0)))*parametros_manuales!$I$22*parametros_manuales!$J$22</f>
        <v>40643.17826465</v>
      </c>
      <c r="H257" s="14" t="n">
        <f aca="false">(parametros_manuales!$D$22*('Plan mensual'!J101+IF(parametros_manuales!$H$22="Todos",'Plan mensual'!J105,0))+parametros_manuales!$E$22*('Plan mensual'!J102+IF(parametros_manuales!$H$22="Todos",'Plan mensual'!J106,0))+parametros_manuales!$F$22*('Plan mensual'!J103+IF(parametros_manuales!$H$22="Todos",'Plan mensual'!J107,0))+parametros_manuales!$G$22*('Plan mensual'!J104+IF(parametros_manuales!$H$22="Todos",'Plan mensual'!J108,0)))*parametros_manuales!$I$22*parametros_manuales!$J$22</f>
        <v>43487.80390838</v>
      </c>
      <c r="I257" s="14" t="n">
        <f aca="false">(parametros_manuales!$D$22*('Plan mensual'!K101+IF(parametros_manuales!$H$22="Todos",'Plan mensual'!K105,0))+parametros_manuales!$E$22*('Plan mensual'!K102+IF(parametros_manuales!$H$22="Todos",'Plan mensual'!K106,0))+parametros_manuales!$F$22*('Plan mensual'!K103+IF(parametros_manuales!$H$22="Todos",'Plan mensual'!K107,0))+parametros_manuales!$G$22*('Plan mensual'!K104+IF(parametros_manuales!$H$22="Todos",'Plan mensual'!K108,0)))*parametros_manuales!$I$22*parametros_manuales!$J$22</f>
        <v>43487.80390838</v>
      </c>
      <c r="J257" s="14" t="n">
        <f aca="false">(parametros_manuales!$D$22*('Plan mensual'!L101+IF(parametros_manuales!$H$22="Todos",'Plan mensual'!L105,0))+parametros_manuales!$E$22*('Plan mensual'!L102+IF(parametros_manuales!$H$22="Todos",'Plan mensual'!L106,0))+parametros_manuales!$F$22*('Plan mensual'!L103+IF(parametros_manuales!$H$22="Todos",'Plan mensual'!L107,0))+parametros_manuales!$G$22*('Plan mensual'!L104+IF(parametros_manuales!$H$22="Todos",'Plan mensual'!L108,0)))*parametros_manuales!$I$22*parametros_manuales!$J$22</f>
        <v>43487.80390838</v>
      </c>
      <c r="K257" s="14" t="n">
        <f aca="false">(parametros_manuales!$D$22*('Plan mensual'!M101+IF(parametros_manuales!$H$22="Todos",'Plan mensual'!M105,0))+parametros_manuales!$E$22*('Plan mensual'!M102+IF(parametros_manuales!$H$22="Todos",'Plan mensual'!M106,0))+parametros_manuales!$F$22*('Plan mensual'!M103+IF(parametros_manuales!$H$22="Todos",'Plan mensual'!M107,0))+parametros_manuales!$G$22*('Plan mensual'!M104+IF(parametros_manuales!$H$22="Todos",'Plan mensual'!M108,0)))*parametros_manuales!$I$22*parametros_manuales!$J$22</f>
        <v>42669.38465595</v>
      </c>
      <c r="L257" s="14" t="n">
        <f aca="false">(parametros_manuales!$D$22*('Plan mensual'!N101+IF(parametros_manuales!$H$22="Todos",'Plan mensual'!N105,0))+parametros_manuales!$E$22*('Plan mensual'!N102+IF(parametros_manuales!$H$22="Todos",'Plan mensual'!N106,0))+parametros_manuales!$F$22*('Plan mensual'!N103+IF(parametros_manuales!$H$22="Todos",'Plan mensual'!N107,0))+parametros_manuales!$G$22*('Plan mensual'!N104+IF(parametros_manuales!$H$22="Todos",'Plan mensual'!N108,0)))*parametros_manuales!$I$22*parametros_manuales!$J$22</f>
        <v>41850.96540352</v>
      </c>
      <c r="M257" s="14" t="n">
        <f aca="false">(parametros_manuales!$D$22*('Plan mensual'!O101+IF(parametros_manuales!$H$22="Todos",'Plan mensual'!O105,0))+parametros_manuales!$E$22*('Plan mensual'!O102+IF(parametros_manuales!$H$22="Todos",'Plan mensual'!O106,0))+parametros_manuales!$F$22*('Plan mensual'!O103+IF(parametros_manuales!$H$22="Todos",'Plan mensual'!O107,0))+parametros_manuales!$G$22*('Plan mensual'!O104+IF(parametros_manuales!$H$22="Todos",'Plan mensual'!O108,0)))*parametros_manuales!$I$22*parametros_manuales!$J$22</f>
        <v>66634.17694466</v>
      </c>
      <c r="N257" s="14" t="n">
        <f aca="false">SUM(B257:M257)</f>
        <v>568925.128746</v>
      </c>
      <c r="O257" s="14" t="n">
        <f aca="false">MAX(B257:M257)</f>
        <v>66634.17694466</v>
      </c>
      <c r="P257" s="57" t="n">
        <f aca="false">O257/(parametros_manuales!$B$7)</f>
        <v>444.227846297733</v>
      </c>
      <c r="Q257" s="13" t="str">
        <f aca="false">IF(O257=0,"-",INDEX($B$253:$M$253,MATCH(O257,B257:M257,0)))</f>
        <v>Dic</v>
      </c>
    </row>
    <row r="258" customFormat="false" ht="14.25" hidden="false" customHeight="true" outlineLevel="0" collapsed="false">
      <c r="A258" s="13" t="str">
        <f aca="false">parametros_manuales!$B$23</f>
        <v>Preparación de cuello</v>
      </c>
      <c r="B258" s="14" t="n">
        <f aca="false">(parametros_manuales!$D$23*('Plan mensual'!D101+IF(parametros_manuales!$H$23="Todos",'Plan mensual'!D105,0))+parametros_manuales!$E$23*('Plan mensual'!D102+IF(parametros_manuales!$H$23="Todos",'Plan mensual'!D106,0))+parametros_manuales!$F$23*('Plan mensual'!D103+IF(parametros_manuales!$H$23="Todos",'Plan mensual'!D107,0))+parametros_manuales!$G$23*('Plan mensual'!D104+IF(parametros_manuales!$H$23="Todos",'Plan mensual'!D108,0)))*parametros_manuales!$I$23*parametros_manuales!$J$23</f>
        <v>32498.6692199</v>
      </c>
      <c r="C258" s="14" t="n">
        <f aca="false">(parametros_manuales!$D$23*('Plan mensual'!E101+IF(parametros_manuales!$H$23="Todos",'Plan mensual'!E105,0))+parametros_manuales!$E$23*('Plan mensual'!E102+IF(parametros_manuales!$H$23="Todos",'Plan mensual'!E106,0))+parametros_manuales!$F$23*('Plan mensual'!E103+IF(parametros_manuales!$H$23="Todos",'Plan mensual'!E107,0))+parametros_manuales!$G$23*('Plan mensual'!E104+IF(parametros_manuales!$H$23="Todos",'Plan mensual'!E108,0)))*parametros_manuales!$I$23*parametros_manuales!$J$23</f>
        <v>24783.21154114</v>
      </c>
      <c r="D258" s="14" t="n">
        <f aca="false">(parametros_manuales!$D$23*('Plan mensual'!F101+IF(parametros_manuales!$H$23="Todos",'Plan mensual'!F105,0))+parametros_manuales!$E$23*('Plan mensual'!F102+IF(parametros_manuales!$H$23="Todos",'Plan mensual'!F106,0))+parametros_manuales!$F$23*('Plan mensual'!F103+IF(parametros_manuales!$H$23="Todos",'Plan mensual'!F107,0))+parametros_manuales!$G$23*('Plan mensual'!F104+IF(parametros_manuales!$H$23="Todos",'Plan mensual'!F108,0)))*parametros_manuales!$I$23*parametros_manuales!$J$23</f>
        <v>23166.214776055</v>
      </c>
      <c r="E258" s="14" t="n">
        <f aca="false">(parametros_manuales!$D$23*('Plan mensual'!G101+IF(parametros_manuales!$H$23="Todos",'Plan mensual'!G105,0))+parametros_manuales!$E$23*('Plan mensual'!G102+IF(parametros_manuales!$H$23="Todos",'Plan mensual'!G106,0))+parametros_manuales!$F$23*('Plan mensual'!G103+IF(parametros_manuales!$H$23="Todos",'Plan mensual'!G107,0))+parametros_manuales!$G$23*('Plan mensual'!G104+IF(parametros_manuales!$H$23="Todos",'Plan mensual'!G108,0)))*parametros_manuales!$I$23*parametros_manuales!$J$23</f>
        <v>22153.111580405</v>
      </c>
      <c r="F258" s="14" t="n">
        <f aca="false">(parametros_manuales!$D$23*('Plan mensual'!H101+IF(parametros_manuales!$H$23="Todos",'Plan mensual'!H105,0))+parametros_manuales!$E$23*('Plan mensual'!H102+IF(parametros_manuales!$H$23="Todos",'Plan mensual'!H106,0))+parametros_manuales!$F$23*('Plan mensual'!H103+IF(parametros_manuales!$H$23="Todos",'Plan mensual'!H107,0))+parametros_manuales!$G$23*('Plan mensual'!H104+IF(parametros_manuales!$H$23="Todos",'Plan mensual'!H108,0)))*parametros_manuales!$I$23*parametros_manuales!$J$23</f>
        <v>20730.79875854</v>
      </c>
      <c r="G258" s="14" t="n">
        <f aca="false">(parametros_manuales!$D$23*('Plan mensual'!I101+IF(parametros_manuales!$H$23="Todos",'Plan mensual'!I105,0))+parametros_manuales!$E$23*('Plan mensual'!I102+IF(parametros_manuales!$H$23="Todos",'Plan mensual'!I106,0))+parametros_manuales!$F$23*('Plan mensual'!I103+IF(parametros_manuales!$H$23="Todos",'Plan mensual'!I107,0))+parametros_manuales!$G$23*('Plan mensual'!I104+IF(parametros_manuales!$H$23="Todos",'Plan mensual'!I108,0)))*parametros_manuales!$I$23*parametros_manuales!$J$23</f>
        <v>20321.589132325</v>
      </c>
      <c r="H258" s="14" t="n">
        <f aca="false">(parametros_manuales!$D$23*('Plan mensual'!J101+IF(parametros_manuales!$H$23="Todos",'Plan mensual'!J105,0))+parametros_manuales!$E$23*('Plan mensual'!J102+IF(parametros_manuales!$H$23="Todos",'Plan mensual'!J106,0))+parametros_manuales!$F$23*('Plan mensual'!J103+IF(parametros_manuales!$H$23="Todos",'Plan mensual'!J107,0))+parametros_manuales!$G$23*('Plan mensual'!J104+IF(parametros_manuales!$H$23="Todos",'Plan mensual'!J108,0)))*parametros_manuales!$I$23*parametros_manuales!$J$23</f>
        <v>21743.90195419</v>
      </c>
      <c r="I258" s="14" t="n">
        <f aca="false">(parametros_manuales!$D$23*('Plan mensual'!K101+IF(parametros_manuales!$H$23="Todos",'Plan mensual'!K105,0))+parametros_manuales!$E$23*('Plan mensual'!K102+IF(parametros_manuales!$H$23="Todos",'Plan mensual'!K106,0))+parametros_manuales!$F$23*('Plan mensual'!K103+IF(parametros_manuales!$H$23="Todos",'Plan mensual'!K107,0))+parametros_manuales!$G$23*('Plan mensual'!K104+IF(parametros_manuales!$H$23="Todos",'Plan mensual'!K108,0)))*parametros_manuales!$I$23*parametros_manuales!$J$23</f>
        <v>21743.90195419</v>
      </c>
      <c r="J258" s="14" t="n">
        <f aca="false">(parametros_manuales!$D$23*('Plan mensual'!L101+IF(parametros_manuales!$H$23="Todos",'Plan mensual'!L105,0))+parametros_manuales!$E$23*('Plan mensual'!L102+IF(parametros_manuales!$H$23="Todos",'Plan mensual'!L106,0))+parametros_manuales!$F$23*('Plan mensual'!L103+IF(parametros_manuales!$H$23="Todos",'Plan mensual'!L107,0))+parametros_manuales!$G$23*('Plan mensual'!L104+IF(parametros_manuales!$H$23="Todos",'Plan mensual'!L108,0)))*parametros_manuales!$I$23*parametros_manuales!$J$23</f>
        <v>21743.90195419</v>
      </c>
      <c r="K258" s="14" t="n">
        <f aca="false">(parametros_manuales!$D$23*('Plan mensual'!M101+IF(parametros_manuales!$H$23="Todos",'Plan mensual'!M105,0))+parametros_manuales!$E$23*('Plan mensual'!M102+IF(parametros_manuales!$H$23="Todos",'Plan mensual'!M106,0))+parametros_manuales!$F$23*('Plan mensual'!M103+IF(parametros_manuales!$H$23="Todos",'Plan mensual'!M107,0))+parametros_manuales!$G$23*('Plan mensual'!M104+IF(parametros_manuales!$H$23="Todos",'Plan mensual'!M108,0)))*parametros_manuales!$I$23*parametros_manuales!$J$23</f>
        <v>21334.692327975</v>
      </c>
      <c r="L258" s="14" t="n">
        <f aca="false">(parametros_manuales!$D$23*('Plan mensual'!N101+IF(parametros_manuales!$H$23="Todos",'Plan mensual'!N105,0))+parametros_manuales!$E$23*('Plan mensual'!N102+IF(parametros_manuales!$H$23="Todos",'Plan mensual'!N106,0))+parametros_manuales!$F$23*('Plan mensual'!N103+IF(parametros_manuales!$H$23="Todos",'Plan mensual'!N107,0))+parametros_manuales!$G$23*('Plan mensual'!N104+IF(parametros_manuales!$H$23="Todos",'Plan mensual'!N108,0)))*parametros_manuales!$I$23*parametros_manuales!$J$23</f>
        <v>20925.48270176</v>
      </c>
      <c r="M258" s="14" t="n">
        <f aca="false">(parametros_manuales!$D$23*('Plan mensual'!O101+IF(parametros_manuales!$H$23="Todos",'Plan mensual'!O105,0))+parametros_manuales!$E$23*('Plan mensual'!O102+IF(parametros_manuales!$H$23="Todos",'Plan mensual'!O106,0))+parametros_manuales!$F$23*('Plan mensual'!O103+IF(parametros_manuales!$H$23="Todos",'Plan mensual'!O107,0))+parametros_manuales!$G$23*('Plan mensual'!O104+IF(parametros_manuales!$H$23="Todos",'Plan mensual'!O108,0)))*parametros_manuales!$I$23*parametros_manuales!$J$23</f>
        <v>33317.08847233</v>
      </c>
      <c r="N258" s="14" t="n">
        <f aca="false">SUM(B258:M258)</f>
        <v>284462.564373</v>
      </c>
      <c r="O258" s="14" t="n">
        <f aca="false">MAX(B258:M258)</f>
        <v>33317.08847233</v>
      </c>
      <c r="P258" s="57" t="n">
        <f aca="false">O258/(parametros_manuales!$B$7)</f>
        <v>222.113923148867</v>
      </c>
      <c r="Q258" s="13" t="str">
        <f aca="false">IF(O258=0,"-",INDEX($B$253:$M$253,MATCH(O258,B258:M258,0)))</f>
        <v>Dic</v>
      </c>
    </row>
    <row r="259" customFormat="false" ht="14.25" hidden="false" customHeight="true" outlineLevel="0" collapsed="false">
      <c r="A259" s="13" t="str">
        <f aca="false">parametros_manuales!$B$24</f>
        <v>Numerado de cúpula</v>
      </c>
      <c r="B259" s="14" t="n">
        <f aca="false">(parametros_manuales!$D$24*('Plan mensual'!D101+IF(parametros_manuales!$H$24="Todos",'Plan mensual'!D105,0))+parametros_manuales!$E$24*('Plan mensual'!D102+IF(parametros_manuales!$H$24="Todos",'Plan mensual'!D106,0))+parametros_manuales!$F$24*('Plan mensual'!D103+IF(parametros_manuales!$H$24="Todos",'Plan mensual'!D107,0))+parametros_manuales!$G$24*('Plan mensual'!D104+IF(parametros_manuales!$H$24="Todos",'Plan mensual'!D108,0)))*parametros_manuales!$I$24*parametros_manuales!$J$24</f>
        <v>32498.6692199</v>
      </c>
      <c r="C259" s="14" t="n">
        <f aca="false">(parametros_manuales!$D$24*('Plan mensual'!E101+IF(parametros_manuales!$H$24="Todos",'Plan mensual'!E105,0))+parametros_manuales!$E$24*('Plan mensual'!E102+IF(parametros_manuales!$H$24="Todos",'Plan mensual'!E106,0))+parametros_manuales!$F$24*('Plan mensual'!E103+IF(parametros_manuales!$H$24="Todos",'Plan mensual'!E107,0))+parametros_manuales!$G$24*('Plan mensual'!E104+IF(parametros_manuales!$H$24="Todos",'Plan mensual'!E108,0)))*parametros_manuales!$I$24*parametros_manuales!$J$24</f>
        <v>24783.21154114</v>
      </c>
      <c r="D259" s="14" t="n">
        <f aca="false">(parametros_manuales!$D$24*('Plan mensual'!F101+IF(parametros_manuales!$H$24="Todos",'Plan mensual'!F105,0))+parametros_manuales!$E$24*('Plan mensual'!F102+IF(parametros_manuales!$H$24="Todos",'Plan mensual'!F106,0))+parametros_manuales!$F$24*('Plan mensual'!F103+IF(parametros_manuales!$H$24="Todos",'Plan mensual'!F107,0))+parametros_manuales!$G$24*('Plan mensual'!F104+IF(parametros_manuales!$H$24="Todos",'Plan mensual'!F108,0)))*parametros_manuales!$I$24*parametros_manuales!$J$24</f>
        <v>23166.214776055</v>
      </c>
      <c r="E259" s="14" t="n">
        <f aca="false">(parametros_manuales!$D$24*('Plan mensual'!G101+IF(parametros_manuales!$H$24="Todos",'Plan mensual'!G105,0))+parametros_manuales!$E$24*('Plan mensual'!G102+IF(parametros_manuales!$H$24="Todos",'Plan mensual'!G106,0))+parametros_manuales!$F$24*('Plan mensual'!G103+IF(parametros_manuales!$H$24="Todos",'Plan mensual'!G107,0))+parametros_manuales!$G$24*('Plan mensual'!G104+IF(parametros_manuales!$H$24="Todos",'Plan mensual'!G108,0)))*parametros_manuales!$I$24*parametros_manuales!$J$24</f>
        <v>22153.111580405</v>
      </c>
      <c r="F259" s="14" t="n">
        <f aca="false">(parametros_manuales!$D$24*('Plan mensual'!H101+IF(parametros_manuales!$H$24="Todos",'Plan mensual'!H105,0))+parametros_manuales!$E$24*('Plan mensual'!H102+IF(parametros_manuales!$H$24="Todos",'Plan mensual'!H106,0))+parametros_manuales!$F$24*('Plan mensual'!H103+IF(parametros_manuales!$H$24="Todos",'Plan mensual'!H107,0))+parametros_manuales!$G$24*('Plan mensual'!H104+IF(parametros_manuales!$H$24="Todos",'Plan mensual'!H108,0)))*parametros_manuales!$I$24*parametros_manuales!$J$24</f>
        <v>20730.79875854</v>
      </c>
      <c r="G259" s="14" t="n">
        <f aca="false">(parametros_manuales!$D$24*('Plan mensual'!I101+IF(parametros_manuales!$H$24="Todos",'Plan mensual'!I105,0))+parametros_manuales!$E$24*('Plan mensual'!I102+IF(parametros_manuales!$H$24="Todos",'Plan mensual'!I106,0))+parametros_manuales!$F$24*('Plan mensual'!I103+IF(parametros_manuales!$H$24="Todos",'Plan mensual'!I107,0))+parametros_manuales!$G$24*('Plan mensual'!I104+IF(parametros_manuales!$H$24="Todos",'Plan mensual'!I108,0)))*parametros_manuales!$I$24*parametros_manuales!$J$24</f>
        <v>20321.589132325</v>
      </c>
      <c r="H259" s="14" t="n">
        <f aca="false">(parametros_manuales!$D$24*('Plan mensual'!J101+IF(parametros_manuales!$H$24="Todos",'Plan mensual'!J105,0))+parametros_manuales!$E$24*('Plan mensual'!J102+IF(parametros_manuales!$H$24="Todos",'Plan mensual'!J106,0))+parametros_manuales!$F$24*('Plan mensual'!J103+IF(parametros_manuales!$H$24="Todos",'Plan mensual'!J107,0))+parametros_manuales!$G$24*('Plan mensual'!J104+IF(parametros_manuales!$H$24="Todos",'Plan mensual'!J108,0)))*parametros_manuales!$I$24*parametros_manuales!$J$24</f>
        <v>21743.90195419</v>
      </c>
      <c r="I259" s="14" t="n">
        <f aca="false">(parametros_manuales!$D$24*('Plan mensual'!K101+IF(parametros_manuales!$H$24="Todos",'Plan mensual'!K105,0))+parametros_manuales!$E$24*('Plan mensual'!K102+IF(parametros_manuales!$H$24="Todos",'Plan mensual'!K106,0))+parametros_manuales!$F$24*('Plan mensual'!K103+IF(parametros_manuales!$H$24="Todos",'Plan mensual'!K107,0))+parametros_manuales!$G$24*('Plan mensual'!K104+IF(parametros_manuales!$H$24="Todos",'Plan mensual'!K108,0)))*parametros_manuales!$I$24*parametros_manuales!$J$24</f>
        <v>21743.90195419</v>
      </c>
      <c r="J259" s="14" t="n">
        <f aca="false">(parametros_manuales!$D$24*('Plan mensual'!L101+IF(parametros_manuales!$H$24="Todos",'Plan mensual'!L105,0))+parametros_manuales!$E$24*('Plan mensual'!L102+IF(parametros_manuales!$H$24="Todos",'Plan mensual'!L106,0))+parametros_manuales!$F$24*('Plan mensual'!L103+IF(parametros_manuales!$H$24="Todos",'Plan mensual'!L107,0))+parametros_manuales!$G$24*('Plan mensual'!L104+IF(parametros_manuales!$H$24="Todos",'Plan mensual'!L108,0)))*parametros_manuales!$I$24*parametros_manuales!$J$24</f>
        <v>21743.90195419</v>
      </c>
      <c r="K259" s="14" t="n">
        <f aca="false">(parametros_manuales!$D$24*('Plan mensual'!M101+IF(parametros_manuales!$H$24="Todos",'Plan mensual'!M105,0))+parametros_manuales!$E$24*('Plan mensual'!M102+IF(parametros_manuales!$H$24="Todos",'Plan mensual'!M106,0))+parametros_manuales!$F$24*('Plan mensual'!M103+IF(parametros_manuales!$H$24="Todos",'Plan mensual'!M107,0))+parametros_manuales!$G$24*('Plan mensual'!M104+IF(parametros_manuales!$H$24="Todos",'Plan mensual'!M108,0)))*parametros_manuales!$I$24*parametros_manuales!$J$24</f>
        <v>21334.692327975</v>
      </c>
      <c r="L259" s="14" t="n">
        <f aca="false">(parametros_manuales!$D$24*('Plan mensual'!N101+IF(parametros_manuales!$H$24="Todos",'Plan mensual'!N105,0))+parametros_manuales!$E$24*('Plan mensual'!N102+IF(parametros_manuales!$H$24="Todos",'Plan mensual'!N106,0))+parametros_manuales!$F$24*('Plan mensual'!N103+IF(parametros_manuales!$H$24="Todos",'Plan mensual'!N107,0))+parametros_manuales!$G$24*('Plan mensual'!N104+IF(parametros_manuales!$H$24="Todos",'Plan mensual'!N108,0)))*parametros_manuales!$I$24*parametros_manuales!$J$24</f>
        <v>20925.48270176</v>
      </c>
      <c r="M259" s="14" t="n">
        <f aca="false">(parametros_manuales!$D$24*('Plan mensual'!O101+IF(parametros_manuales!$H$24="Todos",'Plan mensual'!O105,0))+parametros_manuales!$E$24*('Plan mensual'!O102+IF(parametros_manuales!$H$24="Todos",'Plan mensual'!O106,0))+parametros_manuales!$F$24*('Plan mensual'!O103+IF(parametros_manuales!$H$24="Todos",'Plan mensual'!O107,0))+parametros_manuales!$G$24*('Plan mensual'!O104+IF(parametros_manuales!$H$24="Todos",'Plan mensual'!O108,0)))*parametros_manuales!$I$24*parametros_manuales!$J$24</f>
        <v>33317.08847233</v>
      </c>
      <c r="N259" s="14" t="n">
        <f aca="false">SUM(B259:M259)</f>
        <v>284462.564373</v>
      </c>
      <c r="O259" s="14" t="n">
        <f aca="false">MAX(B259:M259)</f>
        <v>33317.08847233</v>
      </c>
      <c r="P259" s="57" t="n">
        <f aca="false">O259/(parametros_manuales!$B$7)</f>
        <v>222.113923148867</v>
      </c>
      <c r="Q259" s="13" t="str">
        <f aca="false">IF(O259=0,"-",INDEX($B$253:$M$253,MATCH(O259,B259:M259,0)))</f>
        <v>Dic</v>
      </c>
    </row>
    <row r="260" customFormat="false" ht="14.25" hidden="false" customHeight="true" outlineLevel="0" collapsed="false">
      <c r="A260" s="13" t="str">
        <f aca="false">parametros_manuales!$B$25</f>
        <v>Soldadura del cuello a la cúpula</v>
      </c>
      <c r="B260" s="14" t="n">
        <f aca="false">(parametros_manuales!$D$25*('Plan mensual'!D101+IF(parametros_manuales!$H$25="Todos",'Plan mensual'!D105,0))+parametros_manuales!$E$25*('Plan mensual'!D102+IF(parametros_manuales!$H$25="Todos",'Plan mensual'!D106,0))+parametros_manuales!$F$25*('Plan mensual'!D103+IF(parametros_manuales!$H$25="Todos",'Plan mensual'!D107,0))+parametros_manuales!$G$25*('Plan mensual'!D104+IF(parametros_manuales!$H$25="Todos",'Plan mensual'!D108,0)))*parametros_manuales!$I$25*parametros_manuales!$J$25</f>
        <v>32498.6692199</v>
      </c>
      <c r="C260" s="14" t="n">
        <f aca="false">(parametros_manuales!$D$25*('Plan mensual'!E101+IF(parametros_manuales!$H$25="Todos",'Plan mensual'!E105,0))+parametros_manuales!$E$25*('Plan mensual'!E102+IF(parametros_manuales!$H$25="Todos",'Plan mensual'!E106,0))+parametros_manuales!$F$25*('Plan mensual'!E103+IF(parametros_manuales!$H$25="Todos",'Plan mensual'!E107,0))+parametros_manuales!$G$25*('Plan mensual'!E104+IF(parametros_manuales!$H$25="Todos",'Plan mensual'!E108,0)))*parametros_manuales!$I$25*parametros_manuales!$J$25</f>
        <v>24783.21154114</v>
      </c>
      <c r="D260" s="14" t="n">
        <f aca="false">(parametros_manuales!$D$25*('Plan mensual'!F101+IF(parametros_manuales!$H$25="Todos",'Plan mensual'!F105,0))+parametros_manuales!$E$25*('Plan mensual'!F102+IF(parametros_manuales!$H$25="Todos",'Plan mensual'!F106,0))+parametros_manuales!$F$25*('Plan mensual'!F103+IF(parametros_manuales!$H$25="Todos",'Plan mensual'!F107,0))+parametros_manuales!$G$25*('Plan mensual'!F104+IF(parametros_manuales!$H$25="Todos",'Plan mensual'!F108,0)))*parametros_manuales!$I$25*parametros_manuales!$J$25</f>
        <v>23166.214776055</v>
      </c>
      <c r="E260" s="14" t="n">
        <f aca="false">(parametros_manuales!$D$25*('Plan mensual'!G101+IF(parametros_manuales!$H$25="Todos",'Plan mensual'!G105,0))+parametros_manuales!$E$25*('Plan mensual'!G102+IF(parametros_manuales!$H$25="Todos",'Plan mensual'!G106,0))+parametros_manuales!$F$25*('Plan mensual'!G103+IF(parametros_manuales!$H$25="Todos",'Plan mensual'!G107,0))+parametros_manuales!$G$25*('Plan mensual'!G104+IF(parametros_manuales!$H$25="Todos",'Plan mensual'!G108,0)))*parametros_manuales!$I$25*parametros_manuales!$J$25</f>
        <v>22153.111580405</v>
      </c>
      <c r="F260" s="14" t="n">
        <f aca="false">(parametros_manuales!$D$25*('Plan mensual'!H101+IF(parametros_manuales!$H$25="Todos",'Plan mensual'!H105,0))+parametros_manuales!$E$25*('Plan mensual'!H102+IF(parametros_manuales!$H$25="Todos",'Plan mensual'!H106,0))+parametros_manuales!$F$25*('Plan mensual'!H103+IF(parametros_manuales!$H$25="Todos",'Plan mensual'!H107,0))+parametros_manuales!$G$25*('Plan mensual'!H104+IF(parametros_manuales!$H$25="Todos",'Plan mensual'!H108,0)))*parametros_manuales!$I$25*parametros_manuales!$J$25</f>
        <v>20730.79875854</v>
      </c>
      <c r="G260" s="14" t="n">
        <f aca="false">(parametros_manuales!$D$25*('Plan mensual'!I101+IF(parametros_manuales!$H$25="Todos",'Plan mensual'!I105,0))+parametros_manuales!$E$25*('Plan mensual'!I102+IF(parametros_manuales!$H$25="Todos",'Plan mensual'!I106,0))+parametros_manuales!$F$25*('Plan mensual'!I103+IF(parametros_manuales!$H$25="Todos",'Plan mensual'!I107,0))+parametros_manuales!$G$25*('Plan mensual'!I104+IF(parametros_manuales!$H$25="Todos",'Plan mensual'!I108,0)))*parametros_manuales!$I$25*parametros_manuales!$J$25</f>
        <v>20321.589132325</v>
      </c>
      <c r="H260" s="14" t="n">
        <f aca="false">(parametros_manuales!$D$25*('Plan mensual'!J101+IF(parametros_manuales!$H$25="Todos",'Plan mensual'!J105,0))+parametros_manuales!$E$25*('Plan mensual'!J102+IF(parametros_manuales!$H$25="Todos",'Plan mensual'!J106,0))+parametros_manuales!$F$25*('Plan mensual'!J103+IF(parametros_manuales!$H$25="Todos",'Plan mensual'!J107,0))+parametros_manuales!$G$25*('Plan mensual'!J104+IF(parametros_manuales!$H$25="Todos",'Plan mensual'!J108,0)))*parametros_manuales!$I$25*parametros_manuales!$J$25</f>
        <v>21743.90195419</v>
      </c>
      <c r="I260" s="14" t="n">
        <f aca="false">(parametros_manuales!$D$25*('Plan mensual'!K101+IF(parametros_manuales!$H$25="Todos",'Plan mensual'!K105,0))+parametros_manuales!$E$25*('Plan mensual'!K102+IF(parametros_manuales!$H$25="Todos",'Plan mensual'!K106,0))+parametros_manuales!$F$25*('Plan mensual'!K103+IF(parametros_manuales!$H$25="Todos",'Plan mensual'!K107,0))+parametros_manuales!$G$25*('Plan mensual'!K104+IF(parametros_manuales!$H$25="Todos",'Plan mensual'!K108,0)))*parametros_manuales!$I$25*parametros_manuales!$J$25</f>
        <v>21743.90195419</v>
      </c>
      <c r="J260" s="14" t="n">
        <f aca="false">(parametros_manuales!$D$25*('Plan mensual'!L101+IF(parametros_manuales!$H$25="Todos",'Plan mensual'!L105,0))+parametros_manuales!$E$25*('Plan mensual'!L102+IF(parametros_manuales!$H$25="Todos",'Plan mensual'!L106,0))+parametros_manuales!$F$25*('Plan mensual'!L103+IF(parametros_manuales!$H$25="Todos",'Plan mensual'!L107,0))+parametros_manuales!$G$25*('Plan mensual'!L104+IF(parametros_manuales!$H$25="Todos",'Plan mensual'!L108,0)))*parametros_manuales!$I$25*parametros_manuales!$J$25</f>
        <v>21743.90195419</v>
      </c>
      <c r="K260" s="14" t="n">
        <f aca="false">(parametros_manuales!$D$25*('Plan mensual'!M101+IF(parametros_manuales!$H$25="Todos",'Plan mensual'!M105,0))+parametros_manuales!$E$25*('Plan mensual'!M102+IF(parametros_manuales!$H$25="Todos",'Plan mensual'!M106,0))+parametros_manuales!$F$25*('Plan mensual'!M103+IF(parametros_manuales!$H$25="Todos",'Plan mensual'!M107,0))+parametros_manuales!$G$25*('Plan mensual'!M104+IF(parametros_manuales!$H$25="Todos",'Plan mensual'!M108,0)))*parametros_manuales!$I$25*parametros_manuales!$J$25</f>
        <v>21334.692327975</v>
      </c>
      <c r="L260" s="14" t="n">
        <f aca="false">(parametros_manuales!$D$25*('Plan mensual'!N101+IF(parametros_manuales!$H$25="Todos",'Plan mensual'!N105,0))+parametros_manuales!$E$25*('Plan mensual'!N102+IF(parametros_manuales!$H$25="Todos",'Plan mensual'!N106,0))+parametros_manuales!$F$25*('Plan mensual'!N103+IF(parametros_manuales!$H$25="Todos",'Plan mensual'!N107,0))+parametros_manuales!$G$25*('Plan mensual'!N104+IF(parametros_manuales!$H$25="Todos",'Plan mensual'!N108,0)))*parametros_manuales!$I$25*parametros_manuales!$J$25</f>
        <v>20925.48270176</v>
      </c>
      <c r="M260" s="14" t="n">
        <f aca="false">(parametros_manuales!$D$25*('Plan mensual'!O101+IF(parametros_manuales!$H$25="Todos",'Plan mensual'!O105,0))+parametros_manuales!$E$25*('Plan mensual'!O102+IF(parametros_manuales!$H$25="Todos",'Plan mensual'!O106,0))+parametros_manuales!$F$25*('Plan mensual'!O103+IF(parametros_manuales!$H$25="Todos",'Plan mensual'!O107,0))+parametros_manuales!$G$25*('Plan mensual'!O104+IF(parametros_manuales!$H$25="Todos",'Plan mensual'!O108,0)))*parametros_manuales!$I$25*parametros_manuales!$J$25</f>
        <v>33317.08847233</v>
      </c>
      <c r="N260" s="14" t="n">
        <f aca="false">SUM(B260:M260)</f>
        <v>284462.564373</v>
      </c>
      <c r="O260" s="14" t="n">
        <f aca="false">MAX(B260:M260)</f>
        <v>33317.08847233</v>
      </c>
      <c r="P260" s="57" t="n">
        <f aca="false">O260/(parametros_manuales!$B$7)</f>
        <v>222.113923148867</v>
      </c>
      <c r="Q260" s="13" t="str">
        <f aca="false">IF(O260=0,"-",INDEX($B$253:$M$253,MATCH(O260,B260:M260,0)))</f>
        <v>Dic</v>
      </c>
    </row>
    <row r="261" customFormat="false" ht="14.25" hidden="false" customHeight="true" outlineLevel="0" collapsed="false">
      <c r="A261" s="13" t="str">
        <f aca="false">parametros_manuales!$B$26</f>
        <v>Cilindrado</v>
      </c>
      <c r="B261" s="14" t="n">
        <f aca="false">(parametros_manuales!$D$26*('Plan mensual'!D101+IF(parametros_manuales!$H$26="Todos",'Plan mensual'!D105,0))+parametros_manuales!$E$26*('Plan mensual'!D102+IF(parametros_manuales!$H$26="Todos",'Plan mensual'!D106,0))+parametros_manuales!$F$26*('Plan mensual'!D103+IF(parametros_manuales!$H$26="Todos",'Plan mensual'!D107,0))+parametros_manuales!$G$26*('Plan mensual'!D104+IF(parametros_manuales!$H$26="Todos",'Plan mensual'!D108,0)))*parametros_manuales!$I$26*parametros_manuales!$J$26</f>
        <v>32498.6692199</v>
      </c>
      <c r="C261" s="14" t="n">
        <f aca="false">(parametros_manuales!$D$26*('Plan mensual'!E101+IF(parametros_manuales!$H$26="Todos",'Plan mensual'!E105,0))+parametros_manuales!$E$26*('Plan mensual'!E102+IF(parametros_manuales!$H$26="Todos",'Plan mensual'!E106,0))+parametros_manuales!$F$26*('Plan mensual'!E103+IF(parametros_manuales!$H$26="Todos",'Plan mensual'!E107,0))+parametros_manuales!$G$26*('Plan mensual'!E104+IF(parametros_manuales!$H$26="Todos",'Plan mensual'!E108,0)))*parametros_manuales!$I$26*parametros_manuales!$J$26</f>
        <v>24783.21154114</v>
      </c>
      <c r="D261" s="14" t="n">
        <f aca="false">(parametros_manuales!$D$26*('Plan mensual'!F101+IF(parametros_manuales!$H$26="Todos",'Plan mensual'!F105,0))+parametros_manuales!$E$26*('Plan mensual'!F102+IF(parametros_manuales!$H$26="Todos",'Plan mensual'!F106,0))+parametros_manuales!$F$26*('Plan mensual'!F103+IF(parametros_manuales!$H$26="Todos",'Plan mensual'!F107,0))+parametros_manuales!$G$26*('Plan mensual'!F104+IF(parametros_manuales!$H$26="Todos",'Plan mensual'!F108,0)))*parametros_manuales!$I$26*parametros_manuales!$J$26</f>
        <v>23166.214776055</v>
      </c>
      <c r="E261" s="14" t="n">
        <f aca="false">(parametros_manuales!$D$26*('Plan mensual'!G101+IF(parametros_manuales!$H$26="Todos",'Plan mensual'!G105,0))+parametros_manuales!$E$26*('Plan mensual'!G102+IF(parametros_manuales!$H$26="Todos",'Plan mensual'!G106,0))+parametros_manuales!$F$26*('Plan mensual'!G103+IF(parametros_manuales!$H$26="Todos",'Plan mensual'!G107,0))+parametros_manuales!$G$26*('Plan mensual'!G104+IF(parametros_manuales!$H$26="Todos",'Plan mensual'!G108,0)))*parametros_manuales!$I$26*parametros_manuales!$J$26</f>
        <v>22153.111580405</v>
      </c>
      <c r="F261" s="14" t="n">
        <f aca="false">(parametros_manuales!$D$26*('Plan mensual'!H101+IF(parametros_manuales!$H$26="Todos",'Plan mensual'!H105,0))+parametros_manuales!$E$26*('Plan mensual'!H102+IF(parametros_manuales!$H$26="Todos",'Plan mensual'!H106,0))+parametros_manuales!$F$26*('Plan mensual'!H103+IF(parametros_manuales!$H$26="Todos",'Plan mensual'!H107,0))+parametros_manuales!$G$26*('Plan mensual'!H104+IF(parametros_manuales!$H$26="Todos",'Plan mensual'!H108,0)))*parametros_manuales!$I$26*parametros_manuales!$J$26</f>
        <v>20730.79875854</v>
      </c>
      <c r="G261" s="14" t="n">
        <f aca="false">(parametros_manuales!$D$26*('Plan mensual'!I101+IF(parametros_manuales!$H$26="Todos",'Plan mensual'!I105,0))+parametros_manuales!$E$26*('Plan mensual'!I102+IF(parametros_manuales!$H$26="Todos",'Plan mensual'!I106,0))+parametros_manuales!$F$26*('Plan mensual'!I103+IF(parametros_manuales!$H$26="Todos",'Plan mensual'!I107,0))+parametros_manuales!$G$26*('Plan mensual'!I104+IF(parametros_manuales!$H$26="Todos",'Plan mensual'!I108,0)))*parametros_manuales!$I$26*parametros_manuales!$J$26</f>
        <v>20321.589132325</v>
      </c>
      <c r="H261" s="14" t="n">
        <f aca="false">(parametros_manuales!$D$26*('Plan mensual'!J101+IF(parametros_manuales!$H$26="Todos",'Plan mensual'!J105,0))+parametros_manuales!$E$26*('Plan mensual'!J102+IF(parametros_manuales!$H$26="Todos",'Plan mensual'!J106,0))+parametros_manuales!$F$26*('Plan mensual'!J103+IF(parametros_manuales!$H$26="Todos",'Plan mensual'!J107,0))+parametros_manuales!$G$26*('Plan mensual'!J104+IF(parametros_manuales!$H$26="Todos",'Plan mensual'!J108,0)))*parametros_manuales!$I$26*parametros_manuales!$J$26</f>
        <v>21743.90195419</v>
      </c>
      <c r="I261" s="14" t="n">
        <f aca="false">(parametros_manuales!$D$26*('Plan mensual'!K101+IF(parametros_manuales!$H$26="Todos",'Plan mensual'!K105,0))+parametros_manuales!$E$26*('Plan mensual'!K102+IF(parametros_manuales!$H$26="Todos",'Plan mensual'!K106,0))+parametros_manuales!$F$26*('Plan mensual'!K103+IF(parametros_manuales!$H$26="Todos",'Plan mensual'!K107,0))+parametros_manuales!$G$26*('Plan mensual'!K104+IF(parametros_manuales!$H$26="Todos",'Plan mensual'!K108,0)))*parametros_manuales!$I$26*parametros_manuales!$J$26</f>
        <v>21743.90195419</v>
      </c>
      <c r="J261" s="14" t="n">
        <f aca="false">(parametros_manuales!$D$26*('Plan mensual'!L101+IF(parametros_manuales!$H$26="Todos",'Plan mensual'!L105,0))+parametros_manuales!$E$26*('Plan mensual'!L102+IF(parametros_manuales!$H$26="Todos",'Plan mensual'!L106,0))+parametros_manuales!$F$26*('Plan mensual'!L103+IF(parametros_manuales!$H$26="Todos",'Plan mensual'!L107,0))+parametros_manuales!$G$26*('Plan mensual'!L104+IF(parametros_manuales!$H$26="Todos",'Plan mensual'!L108,0)))*parametros_manuales!$I$26*parametros_manuales!$J$26</f>
        <v>21743.90195419</v>
      </c>
      <c r="K261" s="14" t="n">
        <f aca="false">(parametros_manuales!$D$26*('Plan mensual'!M101+IF(parametros_manuales!$H$26="Todos",'Plan mensual'!M105,0))+parametros_manuales!$E$26*('Plan mensual'!M102+IF(parametros_manuales!$H$26="Todos",'Plan mensual'!M106,0))+parametros_manuales!$F$26*('Plan mensual'!M103+IF(parametros_manuales!$H$26="Todos",'Plan mensual'!M107,0))+parametros_manuales!$G$26*('Plan mensual'!M104+IF(parametros_manuales!$H$26="Todos",'Plan mensual'!M108,0)))*parametros_manuales!$I$26*parametros_manuales!$J$26</f>
        <v>21334.692327975</v>
      </c>
      <c r="L261" s="14" t="n">
        <f aca="false">(parametros_manuales!$D$26*('Plan mensual'!N101+IF(parametros_manuales!$H$26="Todos",'Plan mensual'!N105,0))+parametros_manuales!$E$26*('Plan mensual'!N102+IF(parametros_manuales!$H$26="Todos",'Plan mensual'!N106,0))+parametros_manuales!$F$26*('Plan mensual'!N103+IF(parametros_manuales!$H$26="Todos",'Plan mensual'!N107,0))+parametros_manuales!$G$26*('Plan mensual'!N104+IF(parametros_manuales!$H$26="Todos",'Plan mensual'!N108,0)))*parametros_manuales!$I$26*parametros_manuales!$J$26</f>
        <v>20925.48270176</v>
      </c>
      <c r="M261" s="14" t="n">
        <f aca="false">(parametros_manuales!$D$26*('Plan mensual'!O101+IF(parametros_manuales!$H$26="Todos",'Plan mensual'!O105,0))+parametros_manuales!$E$26*('Plan mensual'!O102+IF(parametros_manuales!$H$26="Todos",'Plan mensual'!O106,0))+parametros_manuales!$F$26*('Plan mensual'!O103+IF(parametros_manuales!$H$26="Todos",'Plan mensual'!O107,0))+parametros_manuales!$G$26*('Plan mensual'!O104+IF(parametros_manuales!$H$26="Todos",'Plan mensual'!O108,0)))*parametros_manuales!$I$26*parametros_manuales!$J$26</f>
        <v>33317.08847233</v>
      </c>
      <c r="N261" s="14" t="n">
        <f aca="false">SUM(B261:M261)</f>
        <v>284462.564373</v>
      </c>
      <c r="O261" s="14" t="n">
        <f aca="false">MAX(B261:M261)</f>
        <v>33317.08847233</v>
      </c>
      <c r="P261" s="57" t="n">
        <f aca="false">O261/(parametros_manuales!$B$7)</f>
        <v>222.113923148867</v>
      </c>
      <c r="Q261" s="13" t="str">
        <f aca="false">IF(O261=0,"-",INDEX($B$253:$M$253,MATCH(O261,B261:M261,0)))</f>
        <v>Dic</v>
      </c>
    </row>
    <row r="262" customFormat="false" ht="14.25" hidden="false" customHeight="true" outlineLevel="0" collapsed="false">
      <c r="A262" s="13" t="str">
        <f aca="false">parametros_manuales!$B$27</f>
        <v>Soldadura longitudinal — 2,5 a 10 kg</v>
      </c>
      <c r="B262" s="14" t="n">
        <f aca="false">(parametros_manuales!$D$27*('Plan mensual'!D101+IF(parametros_manuales!$H$27="Todos",'Plan mensual'!D105,0))+parametros_manuales!$E$27*('Plan mensual'!D102+IF(parametros_manuales!$H$27="Todos",'Plan mensual'!D106,0))+parametros_manuales!$F$27*('Plan mensual'!D103+IF(parametros_manuales!$H$27="Todos",'Plan mensual'!D107,0))+parametros_manuales!$G$27*('Plan mensual'!D104+IF(parametros_manuales!$H$27="Todos",'Plan mensual'!D108,0)))*parametros_manuales!$I$27*parametros_manuales!$J$27</f>
        <v>8184.1925243</v>
      </c>
      <c r="C262" s="14" t="n">
        <f aca="false">(parametros_manuales!$D$27*('Plan mensual'!E101+IF(parametros_manuales!$H$27="Todos",'Plan mensual'!E105,0))+parametros_manuales!$E$27*('Plan mensual'!E102+IF(parametros_manuales!$H$27="Todos",'Plan mensual'!E106,0))+parametros_manuales!$F$27*('Plan mensual'!E103+IF(parametros_manuales!$H$27="Todos",'Plan mensual'!E107,0))+parametros_manuales!$G$27*('Plan mensual'!E104+IF(parametros_manuales!$H$27="Todos",'Plan mensual'!E108,0)))*parametros_manuales!$I$27*parametros_manuales!$J$27</f>
        <v>6547.35401944</v>
      </c>
      <c r="D262" s="14" t="n">
        <f aca="false">(parametros_manuales!$D$27*('Plan mensual'!F101+IF(parametros_manuales!$H$27="Todos",'Plan mensual'!F105,0))+parametros_manuales!$E$27*('Plan mensual'!F102+IF(parametros_manuales!$H$27="Todos",'Plan mensual'!F106,0))+parametros_manuales!$F$27*('Plan mensual'!F103+IF(parametros_manuales!$H$27="Todos",'Plan mensual'!F107,0))+parametros_manuales!$G$27*('Plan mensual'!F104+IF(parametros_manuales!$H$27="Todos",'Plan mensual'!F108,0)))*parametros_manuales!$I$27*parametros_manuales!$J$27</f>
        <v>6956.563645655</v>
      </c>
      <c r="E262" s="14" t="n">
        <f aca="false">(parametros_manuales!$D$27*('Plan mensual'!G101+IF(parametros_manuales!$H$27="Todos",'Plan mensual'!G105,0))+parametros_manuales!$E$27*('Plan mensual'!G102+IF(parametros_manuales!$H$27="Todos",'Plan mensual'!G106,0))+parametros_manuales!$F$27*('Plan mensual'!G103+IF(parametros_manuales!$H$27="Todos",'Plan mensual'!G107,0))+parametros_manuales!$G$27*('Plan mensual'!G104+IF(parametros_manuales!$H$27="Todos",'Plan mensual'!G108,0)))*parametros_manuales!$I$27*parametros_manuales!$J$27</f>
        <v>6956.563645655</v>
      </c>
      <c r="F262" s="14" t="n">
        <f aca="false">(parametros_manuales!$D$27*('Plan mensual'!H101+IF(parametros_manuales!$H$27="Todos",'Plan mensual'!H105,0))+parametros_manuales!$E$27*('Plan mensual'!H102+IF(parametros_manuales!$H$27="Todos",'Plan mensual'!H106,0))+parametros_manuales!$F$27*('Plan mensual'!H103+IF(parametros_manuales!$H$27="Todos",'Plan mensual'!H107,0))+parametros_manuales!$G$27*('Plan mensual'!H104+IF(parametros_manuales!$H$27="Todos",'Plan mensual'!H108,0)))*parametros_manuales!$I$27*parametros_manuales!$J$27</f>
        <v>6547.35401944</v>
      </c>
      <c r="G262" s="14" t="n">
        <f aca="false">(parametros_manuales!$D$27*('Plan mensual'!I101+IF(parametros_manuales!$H$27="Todos",'Plan mensual'!I105,0))+parametros_manuales!$E$27*('Plan mensual'!I102+IF(parametros_manuales!$H$27="Todos",'Plan mensual'!I106,0))+parametros_manuales!$F$27*('Plan mensual'!I103+IF(parametros_manuales!$H$27="Todos",'Plan mensual'!I107,0))+parametros_manuales!$G$27*('Plan mensual'!I104+IF(parametros_manuales!$H$27="Todos",'Plan mensual'!I108,0)))*parametros_manuales!$I$27*parametros_manuales!$J$27</f>
        <v>6138.144393225</v>
      </c>
      <c r="H262" s="14" t="n">
        <f aca="false">(parametros_manuales!$D$27*('Plan mensual'!J101+IF(parametros_manuales!$H$27="Todos",'Plan mensual'!J105,0))+parametros_manuales!$E$27*('Plan mensual'!J102+IF(parametros_manuales!$H$27="Todos",'Plan mensual'!J106,0))+parametros_manuales!$F$27*('Plan mensual'!J103+IF(parametros_manuales!$H$27="Todos",'Plan mensual'!J107,0))+parametros_manuales!$G$27*('Plan mensual'!J104+IF(parametros_manuales!$H$27="Todos",'Plan mensual'!J108,0)))*parametros_manuales!$I$27*parametros_manuales!$J$27</f>
        <v>6547.35401944</v>
      </c>
      <c r="I262" s="14" t="n">
        <f aca="false">(parametros_manuales!$D$27*('Plan mensual'!K101+IF(parametros_manuales!$H$27="Todos",'Plan mensual'!K105,0))+parametros_manuales!$E$27*('Plan mensual'!K102+IF(parametros_manuales!$H$27="Todos",'Plan mensual'!K106,0))+parametros_manuales!$F$27*('Plan mensual'!K103+IF(parametros_manuales!$H$27="Todos",'Plan mensual'!K107,0))+parametros_manuales!$G$27*('Plan mensual'!K104+IF(parametros_manuales!$H$27="Todos",'Plan mensual'!K108,0)))*parametros_manuales!$I$27*parametros_manuales!$J$27</f>
        <v>6547.35401944</v>
      </c>
      <c r="J262" s="14" t="n">
        <f aca="false">(parametros_manuales!$D$27*('Plan mensual'!L101+IF(parametros_manuales!$H$27="Todos",'Plan mensual'!L105,0))+parametros_manuales!$E$27*('Plan mensual'!L102+IF(parametros_manuales!$H$27="Todos",'Plan mensual'!L106,0))+parametros_manuales!$F$27*('Plan mensual'!L103+IF(parametros_manuales!$H$27="Todos",'Plan mensual'!L107,0))+parametros_manuales!$G$27*('Plan mensual'!L104+IF(parametros_manuales!$H$27="Todos",'Plan mensual'!L108,0)))*parametros_manuales!$I$27*parametros_manuales!$J$27</f>
        <v>6547.35401944</v>
      </c>
      <c r="K262" s="14" t="n">
        <f aca="false">(parametros_manuales!$D$27*('Plan mensual'!M101+IF(parametros_manuales!$H$27="Todos",'Plan mensual'!M105,0))+parametros_manuales!$E$27*('Plan mensual'!M102+IF(parametros_manuales!$H$27="Todos",'Plan mensual'!M106,0))+parametros_manuales!$F$27*('Plan mensual'!M103+IF(parametros_manuales!$H$27="Todos",'Plan mensual'!M107,0))+parametros_manuales!$G$27*('Plan mensual'!M104+IF(parametros_manuales!$H$27="Todos",'Plan mensual'!M108,0)))*parametros_manuales!$I$27*parametros_manuales!$J$27</f>
        <v>6138.144393225</v>
      </c>
      <c r="L262" s="14" t="n">
        <f aca="false">(parametros_manuales!$D$27*('Plan mensual'!N101+IF(parametros_manuales!$H$27="Todos",'Plan mensual'!N105,0))+parametros_manuales!$E$27*('Plan mensual'!N102+IF(parametros_manuales!$H$27="Todos",'Plan mensual'!N106,0))+parametros_manuales!$F$27*('Plan mensual'!N103+IF(parametros_manuales!$H$27="Todos",'Plan mensual'!N107,0))+parametros_manuales!$G$27*('Plan mensual'!N104+IF(parametros_manuales!$H$27="Todos",'Plan mensual'!N108,0)))*parametros_manuales!$I$27*parametros_manuales!$J$27</f>
        <v>5728.93476701</v>
      </c>
      <c r="M262" s="14" t="n">
        <f aca="false">(parametros_manuales!$D$27*('Plan mensual'!O101+IF(parametros_manuales!$H$27="Todos",'Plan mensual'!O105,0))+parametros_manuales!$E$27*('Plan mensual'!O102+IF(parametros_manuales!$H$27="Todos",'Plan mensual'!O106,0))+parametros_manuales!$F$27*('Plan mensual'!O103+IF(parametros_manuales!$H$27="Todos",'Plan mensual'!O107,0))+parametros_manuales!$G$27*('Plan mensual'!O104+IF(parametros_manuales!$H$27="Todos",'Plan mensual'!O108,0)))*parametros_manuales!$I$27*parametros_manuales!$J$27</f>
        <v>9002.61177673</v>
      </c>
      <c r="N262" s="14" t="n">
        <f aca="false">SUM(B262:M262)</f>
        <v>81841.925243</v>
      </c>
      <c r="O262" s="14" t="n">
        <f aca="false">MAX(B262:M262)</f>
        <v>9002.61177673</v>
      </c>
      <c r="P262" s="57" t="n">
        <f aca="false">O262/(parametros_manuales!$B$7)</f>
        <v>60.0174118448667</v>
      </c>
      <c r="Q262" s="13" t="str">
        <f aca="false">IF(O262=0,"-",INDEX($B$253:$M$253,MATCH(O262,B262:M262,0)))</f>
        <v>Dic</v>
      </c>
    </row>
    <row r="263" customFormat="false" ht="14.25" hidden="false" customHeight="true" outlineLevel="0" collapsed="false">
      <c r="A263" s="13" t="str">
        <f aca="false">parametros_manuales!$B$28</f>
        <v>Soldadura longitudinal TIG — 1 kg</v>
      </c>
      <c r="B263" s="14" t="n">
        <f aca="false">(parametros_manuales!$D$28*('Plan mensual'!D101+IF(parametros_manuales!$H$28="Todos",'Plan mensual'!D105,0))+parametros_manuales!$E$28*('Plan mensual'!D102+IF(parametros_manuales!$H$28="Todos",'Plan mensual'!D106,0))+parametros_manuales!$F$28*('Plan mensual'!D103+IF(parametros_manuales!$H$28="Todos",'Plan mensual'!D107,0))+parametros_manuales!$G$28*('Plan mensual'!D104+IF(parametros_manuales!$H$28="Todos",'Plan mensual'!D108,0)))*parametros_manuales!$I$28*parametros_manuales!$J$28</f>
        <v>24314.4766956</v>
      </c>
      <c r="C263" s="14" t="n">
        <f aca="false">(parametros_manuales!$D$28*('Plan mensual'!E101+IF(parametros_manuales!$H$28="Todos",'Plan mensual'!E105,0))+parametros_manuales!$E$28*('Plan mensual'!E102+IF(parametros_manuales!$H$28="Todos",'Plan mensual'!E106,0))+parametros_manuales!$F$28*('Plan mensual'!E103+IF(parametros_manuales!$H$28="Todos",'Plan mensual'!E107,0))+parametros_manuales!$G$28*('Plan mensual'!E104+IF(parametros_manuales!$H$28="Todos",'Plan mensual'!E108,0)))*parametros_manuales!$I$28*parametros_manuales!$J$28</f>
        <v>18235.8575217</v>
      </c>
      <c r="D263" s="14" t="n">
        <f aca="false">(parametros_manuales!$D$28*('Plan mensual'!F101+IF(parametros_manuales!$H$28="Todos",'Plan mensual'!F105,0))+parametros_manuales!$E$28*('Plan mensual'!F102+IF(parametros_manuales!$H$28="Todos",'Plan mensual'!F106,0))+parametros_manuales!$F$28*('Plan mensual'!F103+IF(parametros_manuales!$H$28="Todos",'Plan mensual'!F107,0))+parametros_manuales!$G$28*('Plan mensual'!F104+IF(parametros_manuales!$H$28="Todos",'Plan mensual'!F108,0)))*parametros_manuales!$I$28*parametros_manuales!$J$28</f>
        <v>16209.6511304</v>
      </c>
      <c r="E263" s="14" t="n">
        <f aca="false">(parametros_manuales!$D$28*('Plan mensual'!G101+IF(parametros_manuales!$H$28="Todos",'Plan mensual'!G105,0))+parametros_manuales!$E$28*('Plan mensual'!G102+IF(parametros_manuales!$H$28="Todos",'Plan mensual'!G106,0))+parametros_manuales!$F$28*('Plan mensual'!G103+IF(parametros_manuales!$H$28="Todos",'Plan mensual'!G107,0))+parametros_manuales!$G$28*('Plan mensual'!G104+IF(parametros_manuales!$H$28="Todos",'Plan mensual'!G108,0)))*parametros_manuales!$I$28*parametros_manuales!$J$28</f>
        <v>15196.54793475</v>
      </c>
      <c r="F263" s="14" t="n">
        <f aca="false">(parametros_manuales!$D$28*('Plan mensual'!H101+IF(parametros_manuales!$H$28="Todos",'Plan mensual'!H105,0))+parametros_manuales!$E$28*('Plan mensual'!H102+IF(parametros_manuales!$H$28="Todos",'Plan mensual'!H106,0))+parametros_manuales!$F$28*('Plan mensual'!H103+IF(parametros_manuales!$H$28="Todos",'Plan mensual'!H107,0))+parametros_manuales!$G$28*('Plan mensual'!H104+IF(parametros_manuales!$H$28="Todos",'Plan mensual'!H108,0)))*parametros_manuales!$I$28*parametros_manuales!$J$28</f>
        <v>14183.4447391</v>
      </c>
      <c r="G263" s="14" t="n">
        <f aca="false">(parametros_manuales!$D$28*('Plan mensual'!I101+IF(parametros_manuales!$H$28="Todos",'Plan mensual'!I105,0))+parametros_manuales!$E$28*('Plan mensual'!I102+IF(parametros_manuales!$H$28="Todos",'Plan mensual'!I106,0))+parametros_manuales!$F$28*('Plan mensual'!I103+IF(parametros_manuales!$H$28="Todos",'Plan mensual'!I107,0))+parametros_manuales!$G$28*('Plan mensual'!I104+IF(parametros_manuales!$H$28="Todos",'Plan mensual'!I108,0)))*parametros_manuales!$I$28*parametros_manuales!$J$28</f>
        <v>14183.4447391</v>
      </c>
      <c r="H263" s="14" t="n">
        <f aca="false">(parametros_manuales!$D$28*('Plan mensual'!J101+IF(parametros_manuales!$H$28="Todos",'Plan mensual'!J105,0))+parametros_manuales!$E$28*('Plan mensual'!J102+IF(parametros_manuales!$H$28="Todos",'Plan mensual'!J106,0))+parametros_manuales!$F$28*('Plan mensual'!J103+IF(parametros_manuales!$H$28="Todos",'Plan mensual'!J107,0))+parametros_manuales!$G$28*('Plan mensual'!J104+IF(parametros_manuales!$H$28="Todos",'Plan mensual'!J108,0)))*parametros_manuales!$I$28*parametros_manuales!$J$28</f>
        <v>15196.54793475</v>
      </c>
      <c r="I263" s="14" t="n">
        <f aca="false">(parametros_manuales!$D$28*('Plan mensual'!K101+IF(parametros_manuales!$H$28="Todos",'Plan mensual'!K105,0))+parametros_manuales!$E$28*('Plan mensual'!K102+IF(parametros_manuales!$H$28="Todos",'Plan mensual'!K106,0))+parametros_manuales!$F$28*('Plan mensual'!K103+IF(parametros_manuales!$H$28="Todos",'Plan mensual'!K107,0))+parametros_manuales!$G$28*('Plan mensual'!K104+IF(parametros_manuales!$H$28="Todos",'Plan mensual'!K108,0)))*parametros_manuales!$I$28*parametros_manuales!$J$28</f>
        <v>15196.54793475</v>
      </c>
      <c r="J263" s="14" t="n">
        <f aca="false">(parametros_manuales!$D$28*('Plan mensual'!L101+IF(parametros_manuales!$H$28="Todos",'Plan mensual'!L105,0))+parametros_manuales!$E$28*('Plan mensual'!L102+IF(parametros_manuales!$H$28="Todos",'Plan mensual'!L106,0))+parametros_manuales!$F$28*('Plan mensual'!L103+IF(parametros_manuales!$H$28="Todos",'Plan mensual'!L107,0))+parametros_manuales!$G$28*('Plan mensual'!L104+IF(parametros_manuales!$H$28="Todos",'Plan mensual'!L108,0)))*parametros_manuales!$I$28*parametros_manuales!$J$28</f>
        <v>15196.54793475</v>
      </c>
      <c r="K263" s="14" t="n">
        <f aca="false">(parametros_manuales!$D$28*('Plan mensual'!M101+IF(parametros_manuales!$H$28="Todos",'Plan mensual'!M105,0))+parametros_manuales!$E$28*('Plan mensual'!M102+IF(parametros_manuales!$H$28="Todos",'Plan mensual'!M106,0))+parametros_manuales!$F$28*('Plan mensual'!M103+IF(parametros_manuales!$H$28="Todos",'Plan mensual'!M107,0))+parametros_manuales!$G$28*('Plan mensual'!M104+IF(parametros_manuales!$H$28="Todos",'Plan mensual'!M108,0)))*parametros_manuales!$I$28*parametros_manuales!$J$28</f>
        <v>15196.54793475</v>
      </c>
      <c r="L263" s="14" t="n">
        <f aca="false">(parametros_manuales!$D$28*('Plan mensual'!N101+IF(parametros_manuales!$H$28="Todos",'Plan mensual'!N105,0))+parametros_manuales!$E$28*('Plan mensual'!N102+IF(parametros_manuales!$H$28="Todos",'Plan mensual'!N106,0))+parametros_manuales!$F$28*('Plan mensual'!N103+IF(parametros_manuales!$H$28="Todos",'Plan mensual'!N107,0))+parametros_manuales!$G$28*('Plan mensual'!N104+IF(parametros_manuales!$H$28="Todos",'Plan mensual'!N108,0)))*parametros_manuales!$I$28*parametros_manuales!$J$28</f>
        <v>15196.54793475</v>
      </c>
      <c r="M263" s="14" t="n">
        <f aca="false">(parametros_manuales!$D$28*('Plan mensual'!O101+IF(parametros_manuales!$H$28="Todos",'Plan mensual'!O105,0))+parametros_manuales!$E$28*('Plan mensual'!O102+IF(parametros_manuales!$H$28="Todos",'Plan mensual'!O106,0))+parametros_manuales!$F$28*('Plan mensual'!O103+IF(parametros_manuales!$H$28="Todos",'Plan mensual'!O107,0))+parametros_manuales!$G$28*('Plan mensual'!O104+IF(parametros_manuales!$H$28="Todos",'Plan mensual'!O108,0)))*parametros_manuales!$I$28*parametros_manuales!$J$28</f>
        <v>24314.4766956</v>
      </c>
      <c r="N263" s="14" t="n">
        <f aca="false">SUM(B263:M263)</f>
        <v>202620.63913</v>
      </c>
      <c r="O263" s="14" t="n">
        <f aca="false">MAX(B263:M263)</f>
        <v>24314.4766956</v>
      </c>
      <c r="P263" s="57" t="n">
        <f aca="false">O263/(parametros_manuales!$B$7)</f>
        <v>162.096511304</v>
      </c>
      <c r="Q263" s="13" t="str">
        <f aca="false">IF(O263=0,"-",INDEX($B$253:$M$253,MATCH(O263,B263:M263,0)))</f>
        <v>Ene</v>
      </c>
    </row>
    <row r="264" customFormat="false" ht="14.25" hidden="false" customHeight="true" outlineLevel="0" collapsed="false">
      <c r="A264" s="13" t="str">
        <f aca="false">parametros_manuales!$B$29</f>
        <v>Encastre de fondo</v>
      </c>
      <c r="B264" s="14" t="n">
        <f aca="false">(parametros_manuales!$D$29*('Plan mensual'!D101+IF(parametros_manuales!$H$29="Todos",'Plan mensual'!D105,0))+parametros_manuales!$E$29*('Plan mensual'!D102+IF(parametros_manuales!$H$29="Todos",'Plan mensual'!D106,0))+parametros_manuales!$F$29*('Plan mensual'!D103+IF(parametros_manuales!$H$29="Todos",'Plan mensual'!D107,0))+parametros_manuales!$G$29*('Plan mensual'!D104+IF(parametros_manuales!$H$29="Todos",'Plan mensual'!D108,0)))*parametros_manuales!$I$29*parametros_manuales!$J$29</f>
        <v>32498.6692199</v>
      </c>
      <c r="C264" s="14" t="n">
        <f aca="false">(parametros_manuales!$D$29*('Plan mensual'!E101+IF(parametros_manuales!$H$29="Todos",'Plan mensual'!E105,0))+parametros_manuales!$E$29*('Plan mensual'!E102+IF(parametros_manuales!$H$29="Todos",'Plan mensual'!E106,0))+parametros_manuales!$F$29*('Plan mensual'!E103+IF(parametros_manuales!$H$29="Todos",'Plan mensual'!E107,0))+parametros_manuales!$G$29*('Plan mensual'!E104+IF(parametros_manuales!$H$29="Todos",'Plan mensual'!E108,0)))*parametros_manuales!$I$29*parametros_manuales!$J$29</f>
        <v>24783.21154114</v>
      </c>
      <c r="D264" s="14" t="n">
        <f aca="false">(parametros_manuales!$D$29*('Plan mensual'!F101+IF(parametros_manuales!$H$29="Todos",'Plan mensual'!F105,0))+parametros_manuales!$E$29*('Plan mensual'!F102+IF(parametros_manuales!$H$29="Todos",'Plan mensual'!F106,0))+parametros_manuales!$F$29*('Plan mensual'!F103+IF(parametros_manuales!$H$29="Todos",'Plan mensual'!F107,0))+parametros_manuales!$G$29*('Plan mensual'!F104+IF(parametros_manuales!$H$29="Todos",'Plan mensual'!F108,0)))*parametros_manuales!$I$29*parametros_manuales!$J$29</f>
        <v>23166.214776055</v>
      </c>
      <c r="E264" s="14" t="n">
        <f aca="false">(parametros_manuales!$D$29*('Plan mensual'!G101+IF(parametros_manuales!$H$29="Todos",'Plan mensual'!G105,0))+parametros_manuales!$E$29*('Plan mensual'!G102+IF(parametros_manuales!$H$29="Todos",'Plan mensual'!G106,0))+parametros_manuales!$F$29*('Plan mensual'!G103+IF(parametros_manuales!$H$29="Todos",'Plan mensual'!G107,0))+parametros_manuales!$G$29*('Plan mensual'!G104+IF(parametros_manuales!$H$29="Todos",'Plan mensual'!G108,0)))*parametros_manuales!$I$29*parametros_manuales!$J$29</f>
        <v>22153.111580405</v>
      </c>
      <c r="F264" s="14" t="n">
        <f aca="false">(parametros_manuales!$D$29*('Plan mensual'!H101+IF(parametros_manuales!$H$29="Todos",'Plan mensual'!H105,0))+parametros_manuales!$E$29*('Plan mensual'!H102+IF(parametros_manuales!$H$29="Todos",'Plan mensual'!H106,0))+parametros_manuales!$F$29*('Plan mensual'!H103+IF(parametros_manuales!$H$29="Todos",'Plan mensual'!H107,0))+parametros_manuales!$G$29*('Plan mensual'!H104+IF(parametros_manuales!$H$29="Todos",'Plan mensual'!H108,0)))*parametros_manuales!$I$29*parametros_manuales!$J$29</f>
        <v>20730.79875854</v>
      </c>
      <c r="G264" s="14" t="n">
        <f aca="false">(parametros_manuales!$D$29*('Plan mensual'!I101+IF(parametros_manuales!$H$29="Todos",'Plan mensual'!I105,0))+parametros_manuales!$E$29*('Plan mensual'!I102+IF(parametros_manuales!$H$29="Todos",'Plan mensual'!I106,0))+parametros_manuales!$F$29*('Plan mensual'!I103+IF(parametros_manuales!$H$29="Todos",'Plan mensual'!I107,0))+parametros_manuales!$G$29*('Plan mensual'!I104+IF(parametros_manuales!$H$29="Todos",'Plan mensual'!I108,0)))*parametros_manuales!$I$29*parametros_manuales!$J$29</f>
        <v>20321.589132325</v>
      </c>
      <c r="H264" s="14" t="n">
        <f aca="false">(parametros_manuales!$D$29*('Plan mensual'!J101+IF(parametros_manuales!$H$29="Todos",'Plan mensual'!J105,0))+parametros_manuales!$E$29*('Plan mensual'!J102+IF(parametros_manuales!$H$29="Todos",'Plan mensual'!J106,0))+parametros_manuales!$F$29*('Plan mensual'!J103+IF(parametros_manuales!$H$29="Todos",'Plan mensual'!J107,0))+parametros_manuales!$G$29*('Plan mensual'!J104+IF(parametros_manuales!$H$29="Todos",'Plan mensual'!J108,0)))*parametros_manuales!$I$29*parametros_manuales!$J$29</f>
        <v>21743.90195419</v>
      </c>
      <c r="I264" s="14" t="n">
        <f aca="false">(parametros_manuales!$D$29*('Plan mensual'!K101+IF(parametros_manuales!$H$29="Todos",'Plan mensual'!K105,0))+parametros_manuales!$E$29*('Plan mensual'!K102+IF(parametros_manuales!$H$29="Todos",'Plan mensual'!K106,0))+parametros_manuales!$F$29*('Plan mensual'!K103+IF(parametros_manuales!$H$29="Todos",'Plan mensual'!K107,0))+parametros_manuales!$G$29*('Plan mensual'!K104+IF(parametros_manuales!$H$29="Todos",'Plan mensual'!K108,0)))*parametros_manuales!$I$29*parametros_manuales!$J$29</f>
        <v>21743.90195419</v>
      </c>
      <c r="J264" s="14" t="n">
        <f aca="false">(parametros_manuales!$D$29*('Plan mensual'!L101+IF(parametros_manuales!$H$29="Todos",'Plan mensual'!L105,0))+parametros_manuales!$E$29*('Plan mensual'!L102+IF(parametros_manuales!$H$29="Todos",'Plan mensual'!L106,0))+parametros_manuales!$F$29*('Plan mensual'!L103+IF(parametros_manuales!$H$29="Todos",'Plan mensual'!L107,0))+parametros_manuales!$G$29*('Plan mensual'!L104+IF(parametros_manuales!$H$29="Todos",'Plan mensual'!L108,0)))*parametros_manuales!$I$29*parametros_manuales!$J$29</f>
        <v>21743.90195419</v>
      </c>
      <c r="K264" s="14" t="n">
        <f aca="false">(parametros_manuales!$D$29*('Plan mensual'!M101+IF(parametros_manuales!$H$29="Todos",'Plan mensual'!M105,0))+parametros_manuales!$E$29*('Plan mensual'!M102+IF(parametros_manuales!$H$29="Todos",'Plan mensual'!M106,0))+parametros_manuales!$F$29*('Plan mensual'!M103+IF(parametros_manuales!$H$29="Todos",'Plan mensual'!M107,0))+parametros_manuales!$G$29*('Plan mensual'!M104+IF(parametros_manuales!$H$29="Todos",'Plan mensual'!M108,0)))*parametros_manuales!$I$29*parametros_manuales!$J$29</f>
        <v>21334.692327975</v>
      </c>
      <c r="L264" s="14" t="n">
        <f aca="false">(parametros_manuales!$D$29*('Plan mensual'!N101+IF(parametros_manuales!$H$29="Todos",'Plan mensual'!N105,0))+parametros_manuales!$E$29*('Plan mensual'!N102+IF(parametros_manuales!$H$29="Todos",'Plan mensual'!N106,0))+parametros_manuales!$F$29*('Plan mensual'!N103+IF(parametros_manuales!$H$29="Todos",'Plan mensual'!N107,0))+parametros_manuales!$G$29*('Plan mensual'!N104+IF(parametros_manuales!$H$29="Todos",'Plan mensual'!N108,0)))*parametros_manuales!$I$29*parametros_manuales!$J$29</f>
        <v>20925.48270176</v>
      </c>
      <c r="M264" s="14" t="n">
        <f aca="false">(parametros_manuales!$D$29*('Plan mensual'!O101+IF(parametros_manuales!$H$29="Todos",'Plan mensual'!O105,0))+parametros_manuales!$E$29*('Plan mensual'!O102+IF(parametros_manuales!$H$29="Todos",'Plan mensual'!O106,0))+parametros_manuales!$F$29*('Plan mensual'!O103+IF(parametros_manuales!$H$29="Todos",'Plan mensual'!O107,0))+parametros_manuales!$G$29*('Plan mensual'!O104+IF(parametros_manuales!$H$29="Todos",'Plan mensual'!O108,0)))*parametros_manuales!$I$29*parametros_manuales!$J$29</f>
        <v>33317.08847233</v>
      </c>
      <c r="N264" s="14" t="n">
        <f aca="false">SUM(B264:M264)</f>
        <v>284462.564373</v>
      </c>
      <c r="O264" s="14" t="n">
        <f aca="false">MAX(B264:M264)</f>
        <v>33317.08847233</v>
      </c>
      <c r="P264" s="57" t="n">
        <f aca="false">O264/(parametros_manuales!$B$7)</f>
        <v>222.113923148867</v>
      </c>
      <c r="Q264" s="13" t="str">
        <f aca="false">IF(O264=0,"-",INDEX($B$253:$M$253,MATCH(O264,B264:M264,0)))</f>
        <v>Dic</v>
      </c>
    </row>
    <row r="265" customFormat="false" ht="14.25" hidden="false" customHeight="true" outlineLevel="0" collapsed="false">
      <c r="A265" s="13" t="str">
        <f aca="false">parametros_manuales!$B$30</f>
        <v>Bordoneado</v>
      </c>
      <c r="B265" s="14" t="n">
        <f aca="false">(parametros_manuales!$D$30*('Plan mensual'!D101+IF(parametros_manuales!$H$30="Todos",'Plan mensual'!D105,0))+parametros_manuales!$E$30*('Plan mensual'!D102+IF(parametros_manuales!$H$30="Todos",'Plan mensual'!D106,0))+parametros_manuales!$F$30*('Plan mensual'!D103+IF(parametros_manuales!$H$30="Todos",'Plan mensual'!D107,0))+parametros_manuales!$G$30*('Plan mensual'!D104+IF(parametros_manuales!$H$30="Todos",'Plan mensual'!D108,0)))*parametros_manuales!$I$30*parametros_manuales!$J$30</f>
        <v>32498.6692199</v>
      </c>
      <c r="C265" s="14" t="n">
        <f aca="false">(parametros_manuales!$D$30*('Plan mensual'!E101+IF(parametros_manuales!$H$30="Todos",'Plan mensual'!E105,0))+parametros_manuales!$E$30*('Plan mensual'!E102+IF(parametros_manuales!$H$30="Todos",'Plan mensual'!E106,0))+parametros_manuales!$F$30*('Plan mensual'!E103+IF(parametros_manuales!$H$30="Todos",'Plan mensual'!E107,0))+parametros_manuales!$G$30*('Plan mensual'!E104+IF(parametros_manuales!$H$30="Todos",'Plan mensual'!E108,0)))*parametros_manuales!$I$30*parametros_manuales!$J$30</f>
        <v>24783.21154114</v>
      </c>
      <c r="D265" s="14" t="n">
        <f aca="false">(parametros_manuales!$D$30*('Plan mensual'!F101+IF(parametros_manuales!$H$30="Todos",'Plan mensual'!F105,0))+parametros_manuales!$E$30*('Plan mensual'!F102+IF(parametros_manuales!$H$30="Todos",'Plan mensual'!F106,0))+parametros_manuales!$F$30*('Plan mensual'!F103+IF(parametros_manuales!$H$30="Todos",'Plan mensual'!F107,0))+parametros_manuales!$G$30*('Plan mensual'!F104+IF(parametros_manuales!$H$30="Todos",'Plan mensual'!F108,0)))*parametros_manuales!$I$30*parametros_manuales!$J$30</f>
        <v>23166.214776055</v>
      </c>
      <c r="E265" s="14" t="n">
        <f aca="false">(parametros_manuales!$D$30*('Plan mensual'!G101+IF(parametros_manuales!$H$30="Todos",'Plan mensual'!G105,0))+parametros_manuales!$E$30*('Plan mensual'!G102+IF(parametros_manuales!$H$30="Todos",'Plan mensual'!G106,0))+parametros_manuales!$F$30*('Plan mensual'!G103+IF(parametros_manuales!$H$30="Todos",'Plan mensual'!G107,0))+parametros_manuales!$G$30*('Plan mensual'!G104+IF(parametros_manuales!$H$30="Todos",'Plan mensual'!G108,0)))*parametros_manuales!$I$30*parametros_manuales!$J$30</f>
        <v>22153.111580405</v>
      </c>
      <c r="F265" s="14" t="n">
        <f aca="false">(parametros_manuales!$D$30*('Plan mensual'!H101+IF(parametros_manuales!$H$30="Todos",'Plan mensual'!H105,0))+parametros_manuales!$E$30*('Plan mensual'!H102+IF(parametros_manuales!$H$30="Todos",'Plan mensual'!H106,0))+parametros_manuales!$F$30*('Plan mensual'!H103+IF(parametros_manuales!$H$30="Todos",'Plan mensual'!H107,0))+parametros_manuales!$G$30*('Plan mensual'!H104+IF(parametros_manuales!$H$30="Todos",'Plan mensual'!H108,0)))*parametros_manuales!$I$30*parametros_manuales!$J$30</f>
        <v>20730.79875854</v>
      </c>
      <c r="G265" s="14" t="n">
        <f aca="false">(parametros_manuales!$D$30*('Plan mensual'!I101+IF(parametros_manuales!$H$30="Todos",'Plan mensual'!I105,0))+parametros_manuales!$E$30*('Plan mensual'!I102+IF(parametros_manuales!$H$30="Todos",'Plan mensual'!I106,0))+parametros_manuales!$F$30*('Plan mensual'!I103+IF(parametros_manuales!$H$30="Todos",'Plan mensual'!I107,0))+parametros_manuales!$G$30*('Plan mensual'!I104+IF(parametros_manuales!$H$30="Todos",'Plan mensual'!I108,0)))*parametros_manuales!$I$30*parametros_manuales!$J$30</f>
        <v>20321.589132325</v>
      </c>
      <c r="H265" s="14" t="n">
        <f aca="false">(parametros_manuales!$D$30*('Plan mensual'!J101+IF(parametros_manuales!$H$30="Todos",'Plan mensual'!J105,0))+parametros_manuales!$E$30*('Plan mensual'!J102+IF(parametros_manuales!$H$30="Todos",'Plan mensual'!J106,0))+parametros_manuales!$F$30*('Plan mensual'!J103+IF(parametros_manuales!$H$30="Todos",'Plan mensual'!J107,0))+parametros_manuales!$G$30*('Plan mensual'!J104+IF(parametros_manuales!$H$30="Todos",'Plan mensual'!J108,0)))*parametros_manuales!$I$30*parametros_manuales!$J$30</f>
        <v>21743.90195419</v>
      </c>
      <c r="I265" s="14" t="n">
        <f aca="false">(parametros_manuales!$D$30*('Plan mensual'!K101+IF(parametros_manuales!$H$30="Todos",'Plan mensual'!K105,0))+parametros_manuales!$E$30*('Plan mensual'!K102+IF(parametros_manuales!$H$30="Todos",'Plan mensual'!K106,0))+parametros_manuales!$F$30*('Plan mensual'!K103+IF(parametros_manuales!$H$30="Todos",'Plan mensual'!K107,0))+parametros_manuales!$G$30*('Plan mensual'!K104+IF(parametros_manuales!$H$30="Todos",'Plan mensual'!K108,0)))*parametros_manuales!$I$30*parametros_manuales!$J$30</f>
        <v>21743.90195419</v>
      </c>
      <c r="J265" s="14" t="n">
        <f aca="false">(parametros_manuales!$D$30*('Plan mensual'!L101+IF(parametros_manuales!$H$30="Todos",'Plan mensual'!L105,0))+parametros_manuales!$E$30*('Plan mensual'!L102+IF(parametros_manuales!$H$30="Todos",'Plan mensual'!L106,0))+parametros_manuales!$F$30*('Plan mensual'!L103+IF(parametros_manuales!$H$30="Todos",'Plan mensual'!L107,0))+parametros_manuales!$G$30*('Plan mensual'!L104+IF(parametros_manuales!$H$30="Todos",'Plan mensual'!L108,0)))*parametros_manuales!$I$30*parametros_manuales!$J$30</f>
        <v>21743.90195419</v>
      </c>
      <c r="K265" s="14" t="n">
        <f aca="false">(parametros_manuales!$D$30*('Plan mensual'!M101+IF(parametros_manuales!$H$30="Todos",'Plan mensual'!M105,0))+parametros_manuales!$E$30*('Plan mensual'!M102+IF(parametros_manuales!$H$30="Todos",'Plan mensual'!M106,0))+parametros_manuales!$F$30*('Plan mensual'!M103+IF(parametros_manuales!$H$30="Todos",'Plan mensual'!M107,0))+parametros_manuales!$G$30*('Plan mensual'!M104+IF(parametros_manuales!$H$30="Todos",'Plan mensual'!M108,0)))*parametros_manuales!$I$30*parametros_manuales!$J$30</f>
        <v>21334.692327975</v>
      </c>
      <c r="L265" s="14" t="n">
        <f aca="false">(parametros_manuales!$D$30*('Plan mensual'!N101+IF(parametros_manuales!$H$30="Todos",'Plan mensual'!N105,0))+parametros_manuales!$E$30*('Plan mensual'!N102+IF(parametros_manuales!$H$30="Todos",'Plan mensual'!N106,0))+parametros_manuales!$F$30*('Plan mensual'!N103+IF(parametros_manuales!$H$30="Todos",'Plan mensual'!N107,0))+parametros_manuales!$G$30*('Plan mensual'!N104+IF(parametros_manuales!$H$30="Todos",'Plan mensual'!N108,0)))*parametros_manuales!$I$30*parametros_manuales!$J$30</f>
        <v>20925.48270176</v>
      </c>
      <c r="M265" s="14" t="n">
        <f aca="false">(parametros_manuales!$D$30*('Plan mensual'!O101+IF(parametros_manuales!$H$30="Todos",'Plan mensual'!O105,0))+parametros_manuales!$E$30*('Plan mensual'!O102+IF(parametros_manuales!$H$30="Todos",'Plan mensual'!O106,0))+parametros_manuales!$F$30*('Plan mensual'!O103+IF(parametros_manuales!$H$30="Todos",'Plan mensual'!O107,0))+parametros_manuales!$G$30*('Plan mensual'!O104+IF(parametros_manuales!$H$30="Todos",'Plan mensual'!O108,0)))*parametros_manuales!$I$30*parametros_manuales!$J$30</f>
        <v>33317.08847233</v>
      </c>
      <c r="N265" s="14" t="n">
        <f aca="false">SUM(B265:M265)</f>
        <v>284462.564373</v>
      </c>
      <c r="O265" s="14" t="n">
        <f aca="false">MAX(B265:M265)</f>
        <v>33317.08847233</v>
      </c>
      <c r="P265" s="57" t="n">
        <f aca="false">O265/(parametros_manuales!$B$7)</f>
        <v>222.113923148867</v>
      </c>
      <c r="Q265" s="13" t="str">
        <f aca="false">IF(O265=0,"-",INDEX($B$253:$M$253,MATCH(O265,B265:M265,0)))</f>
        <v>Dic</v>
      </c>
    </row>
    <row r="266" customFormat="false" ht="14.25" hidden="false" customHeight="true" outlineLevel="0" collapsed="false">
      <c r="A266" s="13" t="str">
        <f aca="false">parametros_manuales!$B$31</f>
        <v>Soldadura circunferencial de cúpula y fondo</v>
      </c>
      <c r="B266" s="14" t="n">
        <f aca="false">(parametros_manuales!$D$31*('Plan mensual'!D101+IF(parametros_manuales!$H$31="Todos",'Plan mensual'!D105,0))+parametros_manuales!$E$31*('Plan mensual'!D102+IF(parametros_manuales!$H$31="Todos",'Plan mensual'!D106,0))+parametros_manuales!$F$31*('Plan mensual'!D103+IF(parametros_manuales!$H$31="Todos",'Plan mensual'!D107,0))+parametros_manuales!$G$31*('Plan mensual'!D104+IF(parametros_manuales!$H$31="Todos",'Plan mensual'!D108,0)))*parametros_manuales!$I$31*parametros_manuales!$J$31</f>
        <v>32498.6692199</v>
      </c>
      <c r="C266" s="14" t="n">
        <f aca="false">(parametros_manuales!$D$31*('Plan mensual'!E101+IF(parametros_manuales!$H$31="Todos",'Plan mensual'!E105,0))+parametros_manuales!$E$31*('Plan mensual'!E102+IF(parametros_manuales!$H$31="Todos",'Plan mensual'!E106,0))+parametros_manuales!$F$31*('Plan mensual'!E103+IF(parametros_manuales!$H$31="Todos",'Plan mensual'!E107,0))+parametros_manuales!$G$31*('Plan mensual'!E104+IF(parametros_manuales!$H$31="Todos",'Plan mensual'!E108,0)))*parametros_manuales!$I$31*parametros_manuales!$J$31</f>
        <v>24783.21154114</v>
      </c>
      <c r="D266" s="14" t="n">
        <f aca="false">(parametros_manuales!$D$31*('Plan mensual'!F101+IF(parametros_manuales!$H$31="Todos",'Plan mensual'!F105,0))+parametros_manuales!$E$31*('Plan mensual'!F102+IF(parametros_manuales!$H$31="Todos",'Plan mensual'!F106,0))+parametros_manuales!$F$31*('Plan mensual'!F103+IF(parametros_manuales!$H$31="Todos",'Plan mensual'!F107,0))+parametros_manuales!$G$31*('Plan mensual'!F104+IF(parametros_manuales!$H$31="Todos",'Plan mensual'!F108,0)))*parametros_manuales!$I$31*parametros_manuales!$J$31</f>
        <v>23166.214776055</v>
      </c>
      <c r="E266" s="14" t="n">
        <f aca="false">(parametros_manuales!$D$31*('Plan mensual'!G101+IF(parametros_manuales!$H$31="Todos",'Plan mensual'!G105,0))+parametros_manuales!$E$31*('Plan mensual'!G102+IF(parametros_manuales!$H$31="Todos",'Plan mensual'!G106,0))+parametros_manuales!$F$31*('Plan mensual'!G103+IF(parametros_manuales!$H$31="Todos",'Plan mensual'!G107,0))+parametros_manuales!$G$31*('Plan mensual'!G104+IF(parametros_manuales!$H$31="Todos",'Plan mensual'!G108,0)))*parametros_manuales!$I$31*parametros_manuales!$J$31</f>
        <v>22153.111580405</v>
      </c>
      <c r="F266" s="14" t="n">
        <f aca="false">(parametros_manuales!$D$31*('Plan mensual'!H101+IF(parametros_manuales!$H$31="Todos",'Plan mensual'!H105,0))+parametros_manuales!$E$31*('Plan mensual'!H102+IF(parametros_manuales!$H$31="Todos",'Plan mensual'!H106,0))+parametros_manuales!$F$31*('Plan mensual'!H103+IF(parametros_manuales!$H$31="Todos",'Plan mensual'!H107,0))+parametros_manuales!$G$31*('Plan mensual'!H104+IF(parametros_manuales!$H$31="Todos",'Plan mensual'!H108,0)))*parametros_manuales!$I$31*parametros_manuales!$J$31</f>
        <v>20730.79875854</v>
      </c>
      <c r="G266" s="14" t="n">
        <f aca="false">(parametros_manuales!$D$31*('Plan mensual'!I101+IF(parametros_manuales!$H$31="Todos",'Plan mensual'!I105,0))+parametros_manuales!$E$31*('Plan mensual'!I102+IF(parametros_manuales!$H$31="Todos",'Plan mensual'!I106,0))+parametros_manuales!$F$31*('Plan mensual'!I103+IF(parametros_manuales!$H$31="Todos",'Plan mensual'!I107,0))+parametros_manuales!$G$31*('Plan mensual'!I104+IF(parametros_manuales!$H$31="Todos",'Plan mensual'!I108,0)))*parametros_manuales!$I$31*parametros_manuales!$J$31</f>
        <v>20321.589132325</v>
      </c>
      <c r="H266" s="14" t="n">
        <f aca="false">(parametros_manuales!$D$31*('Plan mensual'!J101+IF(parametros_manuales!$H$31="Todos",'Plan mensual'!J105,0))+parametros_manuales!$E$31*('Plan mensual'!J102+IF(parametros_manuales!$H$31="Todos",'Plan mensual'!J106,0))+parametros_manuales!$F$31*('Plan mensual'!J103+IF(parametros_manuales!$H$31="Todos",'Plan mensual'!J107,0))+parametros_manuales!$G$31*('Plan mensual'!J104+IF(parametros_manuales!$H$31="Todos",'Plan mensual'!J108,0)))*parametros_manuales!$I$31*parametros_manuales!$J$31</f>
        <v>21743.90195419</v>
      </c>
      <c r="I266" s="14" t="n">
        <f aca="false">(parametros_manuales!$D$31*('Plan mensual'!K101+IF(parametros_manuales!$H$31="Todos",'Plan mensual'!K105,0))+parametros_manuales!$E$31*('Plan mensual'!K102+IF(parametros_manuales!$H$31="Todos",'Plan mensual'!K106,0))+parametros_manuales!$F$31*('Plan mensual'!K103+IF(parametros_manuales!$H$31="Todos",'Plan mensual'!K107,0))+parametros_manuales!$G$31*('Plan mensual'!K104+IF(parametros_manuales!$H$31="Todos",'Plan mensual'!K108,0)))*parametros_manuales!$I$31*parametros_manuales!$J$31</f>
        <v>21743.90195419</v>
      </c>
      <c r="J266" s="14" t="n">
        <f aca="false">(parametros_manuales!$D$31*('Plan mensual'!L101+IF(parametros_manuales!$H$31="Todos",'Plan mensual'!L105,0))+parametros_manuales!$E$31*('Plan mensual'!L102+IF(parametros_manuales!$H$31="Todos",'Plan mensual'!L106,0))+parametros_manuales!$F$31*('Plan mensual'!L103+IF(parametros_manuales!$H$31="Todos",'Plan mensual'!L107,0))+parametros_manuales!$G$31*('Plan mensual'!L104+IF(parametros_manuales!$H$31="Todos",'Plan mensual'!L108,0)))*parametros_manuales!$I$31*parametros_manuales!$J$31</f>
        <v>21743.90195419</v>
      </c>
      <c r="K266" s="14" t="n">
        <f aca="false">(parametros_manuales!$D$31*('Plan mensual'!M101+IF(parametros_manuales!$H$31="Todos",'Plan mensual'!M105,0))+parametros_manuales!$E$31*('Plan mensual'!M102+IF(parametros_manuales!$H$31="Todos",'Plan mensual'!M106,0))+parametros_manuales!$F$31*('Plan mensual'!M103+IF(parametros_manuales!$H$31="Todos",'Plan mensual'!M107,0))+parametros_manuales!$G$31*('Plan mensual'!M104+IF(parametros_manuales!$H$31="Todos",'Plan mensual'!M108,0)))*parametros_manuales!$I$31*parametros_manuales!$J$31</f>
        <v>21334.692327975</v>
      </c>
      <c r="L266" s="14" t="n">
        <f aca="false">(parametros_manuales!$D$31*('Plan mensual'!N101+IF(parametros_manuales!$H$31="Todos",'Plan mensual'!N105,0))+parametros_manuales!$E$31*('Plan mensual'!N102+IF(parametros_manuales!$H$31="Todos",'Plan mensual'!N106,0))+parametros_manuales!$F$31*('Plan mensual'!N103+IF(parametros_manuales!$H$31="Todos",'Plan mensual'!N107,0))+parametros_manuales!$G$31*('Plan mensual'!N104+IF(parametros_manuales!$H$31="Todos",'Plan mensual'!N108,0)))*parametros_manuales!$I$31*parametros_manuales!$J$31</f>
        <v>20925.48270176</v>
      </c>
      <c r="M266" s="14" t="n">
        <f aca="false">(parametros_manuales!$D$31*('Plan mensual'!O101+IF(parametros_manuales!$H$31="Todos",'Plan mensual'!O105,0))+parametros_manuales!$E$31*('Plan mensual'!O102+IF(parametros_manuales!$H$31="Todos",'Plan mensual'!O106,0))+parametros_manuales!$F$31*('Plan mensual'!O103+IF(parametros_manuales!$H$31="Todos",'Plan mensual'!O107,0))+parametros_manuales!$G$31*('Plan mensual'!O104+IF(parametros_manuales!$H$31="Todos",'Plan mensual'!O108,0)))*parametros_manuales!$I$31*parametros_manuales!$J$31</f>
        <v>33317.08847233</v>
      </c>
      <c r="N266" s="14" t="n">
        <f aca="false">SUM(B266:M266)</f>
        <v>284462.564373</v>
      </c>
      <c r="O266" s="14" t="n">
        <f aca="false">MAX(B266:M266)</f>
        <v>33317.08847233</v>
      </c>
      <c r="P266" s="57" t="n">
        <f aca="false">O266/(parametros_manuales!$B$7)</f>
        <v>222.113923148867</v>
      </c>
      <c r="Q266" s="13" t="str">
        <f aca="false">IF(O266=0,"-",INDEX($B$253:$M$253,MATCH(O266,B266:M266,0)))</f>
        <v>Dic</v>
      </c>
    </row>
    <row r="267" customFormat="false" ht="14.25" hidden="false" customHeight="true" outlineLevel="0" collapsed="false">
      <c r="A267" s="13" t="str">
        <f aca="false">parametros_manuales!$B$32</f>
        <v>Control de calidad — Espesor</v>
      </c>
      <c r="B267" s="14" t="n">
        <f aca="false">(parametros_manuales!$D$32*('Plan mensual'!D101+IF(parametros_manuales!$H$32="Todos",'Plan mensual'!D105,0))+parametros_manuales!$E$32*('Plan mensual'!D102+IF(parametros_manuales!$H$32="Todos",'Plan mensual'!D106,0))+parametros_manuales!$F$32*('Plan mensual'!D103+IF(parametros_manuales!$H$32="Todos",'Plan mensual'!D107,0))+parametros_manuales!$G$32*('Plan mensual'!D104+IF(parametros_manuales!$H$32="Todos",'Plan mensual'!D108,0)))*parametros_manuales!$I$32*parametros_manuales!$J$32</f>
        <v>649.973384398</v>
      </c>
      <c r="C267" s="14" t="n">
        <f aca="false">(parametros_manuales!$D$32*('Plan mensual'!E101+IF(parametros_manuales!$H$32="Todos",'Plan mensual'!E105,0))+parametros_manuales!$E$32*('Plan mensual'!E102+IF(parametros_manuales!$H$32="Todos",'Plan mensual'!E106,0))+parametros_manuales!$F$32*('Plan mensual'!E103+IF(parametros_manuales!$H$32="Todos",'Plan mensual'!E107,0))+parametros_manuales!$G$32*('Plan mensual'!E104+IF(parametros_manuales!$H$32="Todos",'Plan mensual'!E108,0)))*parametros_manuales!$I$32*parametros_manuales!$J$32</f>
        <v>495.6642308228</v>
      </c>
      <c r="D267" s="14" t="n">
        <f aca="false">(parametros_manuales!$D$32*('Plan mensual'!F101+IF(parametros_manuales!$H$32="Todos",'Plan mensual'!F105,0))+parametros_manuales!$E$32*('Plan mensual'!F102+IF(parametros_manuales!$H$32="Todos",'Plan mensual'!F106,0))+parametros_manuales!$F$32*('Plan mensual'!F103+IF(parametros_manuales!$H$32="Todos",'Plan mensual'!F107,0))+parametros_manuales!$G$32*('Plan mensual'!F104+IF(parametros_manuales!$H$32="Todos",'Plan mensual'!F108,0)))*parametros_manuales!$I$32*parametros_manuales!$J$32</f>
        <v>463.3242955211</v>
      </c>
      <c r="E267" s="14" t="n">
        <f aca="false">(parametros_manuales!$D$32*('Plan mensual'!G101+IF(parametros_manuales!$H$32="Todos",'Plan mensual'!G105,0))+parametros_manuales!$E$32*('Plan mensual'!G102+IF(parametros_manuales!$H$32="Todos",'Plan mensual'!G106,0))+parametros_manuales!$F$32*('Plan mensual'!G103+IF(parametros_manuales!$H$32="Todos",'Plan mensual'!G107,0))+parametros_manuales!$G$32*('Plan mensual'!G104+IF(parametros_manuales!$H$32="Todos",'Plan mensual'!G108,0)))*parametros_manuales!$I$32*parametros_manuales!$J$32</f>
        <v>443.0622316081</v>
      </c>
      <c r="F267" s="14" t="n">
        <f aca="false">(parametros_manuales!$D$32*('Plan mensual'!H101+IF(parametros_manuales!$H$32="Todos",'Plan mensual'!H105,0))+parametros_manuales!$E$32*('Plan mensual'!H102+IF(parametros_manuales!$H$32="Todos",'Plan mensual'!H106,0))+parametros_manuales!$F$32*('Plan mensual'!H103+IF(parametros_manuales!$H$32="Todos",'Plan mensual'!H107,0))+parametros_manuales!$G$32*('Plan mensual'!H104+IF(parametros_manuales!$H$32="Todos",'Plan mensual'!H108,0)))*parametros_manuales!$I$32*parametros_manuales!$J$32</f>
        <v>414.6159751708</v>
      </c>
      <c r="G267" s="14" t="n">
        <f aca="false">(parametros_manuales!$D$32*('Plan mensual'!I101+IF(parametros_manuales!$H$32="Todos",'Plan mensual'!I105,0))+parametros_manuales!$E$32*('Plan mensual'!I102+IF(parametros_manuales!$H$32="Todos",'Plan mensual'!I106,0))+parametros_manuales!$F$32*('Plan mensual'!I103+IF(parametros_manuales!$H$32="Todos",'Plan mensual'!I107,0))+parametros_manuales!$G$32*('Plan mensual'!I104+IF(parametros_manuales!$H$32="Todos",'Plan mensual'!I108,0)))*parametros_manuales!$I$32*parametros_manuales!$J$32</f>
        <v>406.4317826465</v>
      </c>
      <c r="H267" s="14" t="n">
        <f aca="false">(parametros_manuales!$D$32*('Plan mensual'!J101+IF(parametros_manuales!$H$32="Todos",'Plan mensual'!J105,0))+parametros_manuales!$E$32*('Plan mensual'!J102+IF(parametros_manuales!$H$32="Todos",'Plan mensual'!J106,0))+parametros_manuales!$F$32*('Plan mensual'!J103+IF(parametros_manuales!$H$32="Todos",'Plan mensual'!J107,0))+parametros_manuales!$G$32*('Plan mensual'!J104+IF(parametros_manuales!$H$32="Todos",'Plan mensual'!J108,0)))*parametros_manuales!$I$32*parametros_manuales!$J$32</f>
        <v>434.8780390838</v>
      </c>
      <c r="I267" s="14" t="n">
        <f aca="false">(parametros_manuales!$D$32*('Plan mensual'!K101+IF(parametros_manuales!$H$32="Todos",'Plan mensual'!K105,0))+parametros_manuales!$E$32*('Plan mensual'!K102+IF(parametros_manuales!$H$32="Todos",'Plan mensual'!K106,0))+parametros_manuales!$F$32*('Plan mensual'!K103+IF(parametros_manuales!$H$32="Todos",'Plan mensual'!K107,0))+parametros_manuales!$G$32*('Plan mensual'!K104+IF(parametros_manuales!$H$32="Todos",'Plan mensual'!K108,0)))*parametros_manuales!$I$32*parametros_manuales!$J$32</f>
        <v>434.8780390838</v>
      </c>
      <c r="J267" s="14" t="n">
        <f aca="false">(parametros_manuales!$D$32*('Plan mensual'!L101+IF(parametros_manuales!$H$32="Todos",'Plan mensual'!L105,0))+parametros_manuales!$E$32*('Plan mensual'!L102+IF(parametros_manuales!$H$32="Todos",'Plan mensual'!L106,0))+parametros_manuales!$F$32*('Plan mensual'!L103+IF(parametros_manuales!$H$32="Todos",'Plan mensual'!L107,0))+parametros_manuales!$G$32*('Plan mensual'!L104+IF(parametros_manuales!$H$32="Todos",'Plan mensual'!L108,0)))*parametros_manuales!$I$32*parametros_manuales!$J$32</f>
        <v>434.8780390838</v>
      </c>
      <c r="K267" s="14" t="n">
        <f aca="false">(parametros_manuales!$D$32*('Plan mensual'!M101+IF(parametros_manuales!$H$32="Todos",'Plan mensual'!M105,0))+parametros_manuales!$E$32*('Plan mensual'!M102+IF(parametros_manuales!$H$32="Todos",'Plan mensual'!M106,0))+parametros_manuales!$F$32*('Plan mensual'!M103+IF(parametros_manuales!$H$32="Todos",'Plan mensual'!M107,0))+parametros_manuales!$G$32*('Plan mensual'!M104+IF(parametros_manuales!$H$32="Todos",'Plan mensual'!M108,0)))*parametros_manuales!$I$32*parametros_manuales!$J$32</f>
        <v>426.6938465595</v>
      </c>
      <c r="L267" s="14" t="n">
        <f aca="false">(parametros_manuales!$D$32*('Plan mensual'!N101+IF(parametros_manuales!$H$32="Todos",'Plan mensual'!N105,0))+parametros_manuales!$E$32*('Plan mensual'!N102+IF(parametros_manuales!$H$32="Todos",'Plan mensual'!N106,0))+parametros_manuales!$F$32*('Plan mensual'!N103+IF(parametros_manuales!$H$32="Todos",'Plan mensual'!N107,0))+parametros_manuales!$G$32*('Plan mensual'!N104+IF(parametros_manuales!$H$32="Todos",'Plan mensual'!N108,0)))*parametros_manuales!$I$32*parametros_manuales!$J$32</f>
        <v>418.5096540352</v>
      </c>
      <c r="M267" s="14" t="n">
        <f aca="false">(parametros_manuales!$D$32*('Plan mensual'!O101+IF(parametros_manuales!$H$32="Todos",'Plan mensual'!O105,0))+parametros_manuales!$E$32*('Plan mensual'!O102+IF(parametros_manuales!$H$32="Todos",'Plan mensual'!O106,0))+parametros_manuales!$F$32*('Plan mensual'!O103+IF(parametros_manuales!$H$32="Todos",'Plan mensual'!O107,0))+parametros_manuales!$G$32*('Plan mensual'!O104+IF(parametros_manuales!$H$32="Todos",'Plan mensual'!O108,0)))*parametros_manuales!$I$32*parametros_manuales!$J$32</f>
        <v>666.3417694466</v>
      </c>
      <c r="N267" s="14" t="n">
        <f aca="false">SUM(B267:M267)</f>
        <v>5689.25128746</v>
      </c>
      <c r="O267" s="14" t="n">
        <f aca="false">MAX(B267:M267)</f>
        <v>666.3417694466</v>
      </c>
      <c r="P267" s="57" t="n">
        <f aca="false">O267/(parametros_manuales!$B$7)</f>
        <v>4.44227846297733</v>
      </c>
      <c r="Q267" s="13" t="str">
        <f aca="false">IF(O267=0,"-",INDEX($B$253:$M$253,MATCH(O267,B267:M267,0)))</f>
        <v>Dic</v>
      </c>
    </row>
    <row r="268" customFormat="false" ht="14.25" hidden="false" customHeight="true" outlineLevel="0" collapsed="false">
      <c r="A268" s="13" t="str">
        <f aca="false">parametros_manuales!$B$33</f>
        <v>Prueba hidráulica</v>
      </c>
      <c r="B268" s="14" t="n">
        <f aca="false">(parametros_manuales!$D$33*('Plan mensual'!D101+IF(parametros_manuales!$H$33="Todos",'Plan mensual'!D105,0))+parametros_manuales!$E$33*('Plan mensual'!D102+IF(parametros_manuales!$H$33="Todos",'Plan mensual'!D106,0))+parametros_manuales!$F$33*('Plan mensual'!D103+IF(parametros_manuales!$H$33="Todos",'Plan mensual'!D107,0))+parametros_manuales!$G$33*('Plan mensual'!D104+IF(parametros_manuales!$H$33="Todos",'Plan mensual'!D108,0)))*parametros_manuales!$I$33*parametros_manuales!$J$33</f>
        <v>32498.6692199</v>
      </c>
      <c r="C268" s="14" t="n">
        <f aca="false">(parametros_manuales!$D$33*('Plan mensual'!E101+IF(parametros_manuales!$H$33="Todos",'Plan mensual'!E105,0))+parametros_manuales!$E$33*('Plan mensual'!E102+IF(parametros_manuales!$H$33="Todos",'Plan mensual'!E106,0))+parametros_manuales!$F$33*('Plan mensual'!E103+IF(parametros_manuales!$H$33="Todos",'Plan mensual'!E107,0))+parametros_manuales!$G$33*('Plan mensual'!E104+IF(parametros_manuales!$H$33="Todos",'Plan mensual'!E108,0)))*parametros_manuales!$I$33*parametros_manuales!$J$33</f>
        <v>24783.21154114</v>
      </c>
      <c r="D268" s="14" t="n">
        <f aca="false">(parametros_manuales!$D$33*('Plan mensual'!F101+IF(parametros_manuales!$H$33="Todos",'Plan mensual'!F105,0))+parametros_manuales!$E$33*('Plan mensual'!F102+IF(parametros_manuales!$H$33="Todos",'Plan mensual'!F106,0))+parametros_manuales!$F$33*('Plan mensual'!F103+IF(parametros_manuales!$H$33="Todos",'Plan mensual'!F107,0))+parametros_manuales!$G$33*('Plan mensual'!F104+IF(parametros_manuales!$H$33="Todos",'Plan mensual'!F108,0)))*parametros_manuales!$I$33*parametros_manuales!$J$33</f>
        <v>23166.214776055</v>
      </c>
      <c r="E268" s="14" t="n">
        <f aca="false">(parametros_manuales!$D$33*('Plan mensual'!G101+IF(parametros_manuales!$H$33="Todos",'Plan mensual'!G105,0))+parametros_manuales!$E$33*('Plan mensual'!G102+IF(parametros_manuales!$H$33="Todos",'Plan mensual'!G106,0))+parametros_manuales!$F$33*('Plan mensual'!G103+IF(parametros_manuales!$H$33="Todos",'Plan mensual'!G107,0))+parametros_manuales!$G$33*('Plan mensual'!G104+IF(parametros_manuales!$H$33="Todos",'Plan mensual'!G108,0)))*parametros_manuales!$I$33*parametros_manuales!$J$33</f>
        <v>22153.111580405</v>
      </c>
      <c r="F268" s="14" t="n">
        <f aca="false">(parametros_manuales!$D$33*('Plan mensual'!H101+IF(parametros_manuales!$H$33="Todos",'Plan mensual'!H105,0))+parametros_manuales!$E$33*('Plan mensual'!H102+IF(parametros_manuales!$H$33="Todos",'Plan mensual'!H106,0))+parametros_manuales!$F$33*('Plan mensual'!H103+IF(parametros_manuales!$H$33="Todos",'Plan mensual'!H107,0))+parametros_manuales!$G$33*('Plan mensual'!H104+IF(parametros_manuales!$H$33="Todos",'Plan mensual'!H108,0)))*parametros_manuales!$I$33*parametros_manuales!$J$33</f>
        <v>20730.79875854</v>
      </c>
      <c r="G268" s="14" t="n">
        <f aca="false">(parametros_manuales!$D$33*('Plan mensual'!I101+IF(parametros_manuales!$H$33="Todos",'Plan mensual'!I105,0))+parametros_manuales!$E$33*('Plan mensual'!I102+IF(parametros_manuales!$H$33="Todos",'Plan mensual'!I106,0))+parametros_manuales!$F$33*('Plan mensual'!I103+IF(parametros_manuales!$H$33="Todos",'Plan mensual'!I107,0))+parametros_manuales!$G$33*('Plan mensual'!I104+IF(parametros_manuales!$H$33="Todos",'Plan mensual'!I108,0)))*parametros_manuales!$I$33*parametros_manuales!$J$33</f>
        <v>20321.589132325</v>
      </c>
      <c r="H268" s="14" t="n">
        <f aca="false">(parametros_manuales!$D$33*('Plan mensual'!J101+IF(parametros_manuales!$H$33="Todos",'Plan mensual'!J105,0))+parametros_manuales!$E$33*('Plan mensual'!J102+IF(parametros_manuales!$H$33="Todos",'Plan mensual'!J106,0))+parametros_manuales!$F$33*('Plan mensual'!J103+IF(parametros_manuales!$H$33="Todos",'Plan mensual'!J107,0))+parametros_manuales!$G$33*('Plan mensual'!J104+IF(parametros_manuales!$H$33="Todos",'Plan mensual'!J108,0)))*parametros_manuales!$I$33*parametros_manuales!$J$33</f>
        <v>21743.90195419</v>
      </c>
      <c r="I268" s="14" t="n">
        <f aca="false">(parametros_manuales!$D$33*('Plan mensual'!K101+IF(parametros_manuales!$H$33="Todos",'Plan mensual'!K105,0))+parametros_manuales!$E$33*('Plan mensual'!K102+IF(parametros_manuales!$H$33="Todos",'Plan mensual'!K106,0))+parametros_manuales!$F$33*('Plan mensual'!K103+IF(parametros_manuales!$H$33="Todos",'Plan mensual'!K107,0))+parametros_manuales!$G$33*('Plan mensual'!K104+IF(parametros_manuales!$H$33="Todos",'Plan mensual'!K108,0)))*parametros_manuales!$I$33*parametros_manuales!$J$33</f>
        <v>21743.90195419</v>
      </c>
      <c r="J268" s="14" t="n">
        <f aca="false">(parametros_manuales!$D$33*('Plan mensual'!L101+IF(parametros_manuales!$H$33="Todos",'Plan mensual'!L105,0))+parametros_manuales!$E$33*('Plan mensual'!L102+IF(parametros_manuales!$H$33="Todos",'Plan mensual'!L106,0))+parametros_manuales!$F$33*('Plan mensual'!L103+IF(parametros_manuales!$H$33="Todos",'Plan mensual'!L107,0))+parametros_manuales!$G$33*('Plan mensual'!L104+IF(parametros_manuales!$H$33="Todos",'Plan mensual'!L108,0)))*parametros_manuales!$I$33*parametros_manuales!$J$33</f>
        <v>21743.90195419</v>
      </c>
      <c r="K268" s="14" t="n">
        <f aca="false">(parametros_manuales!$D$33*('Plan mensual'!M101+IF(parametros_manuales!$H$33="Todos",'Plan mensual'!M105,0))+parametros_manuales!$E$33*('Plan mensual'!M102+IF(parametros_manuales!$H$33="Todos",'Plan mensual'!M106,0))+parametros_manuales!$F$33*('Plan mensual'!M103+IF(parametros_manuales!$H$33="Todos",'Plan mensual'!M107,0))+parametros_manuales!$G$33*('Plan mensual'!M104+IF(parametros_manuales!$H$33="Todos",'Plan mensual'!M108,0)))*parametros_manuales!$I$33*parametros_manuales!$J$33</f>
        <v>21334.692327975</v>
      </c>
      <c r="L268" s="14" t="n">
        <f aca="false">(parametros_manuales!$D$33*('Plan mensual'!N101+IF(parametros_manuales!$H$33="Todos",'Plan mensual'!N105,0))+parametros_manuales!$E$33*('Plan mensual'!N102+IF(parametros_manuales!$H$33="Todos",'Plan mensual'!N106,0))+parametros_manuales!$F$33*('Plan mensual'!N103+IF(parametros_manuales!$H$33="Todos",'Plan mensual'!N107,0))+parametros_manuales!$G$33*('Plan mensual'!N104+IF(parametros_manuales!$H$33="Todos",'Plan mensual'!N108,0)))*parametros_manuales!$I$33*parametros_manuales!$J$33</f>
        <v>20925.48270176</v>
      </c>
      <c r="M268" s="14" t="n">
        <f aca="false">(parametros_manuales!$D$33*('Plan mensual'!O101+IF(parametros_manuales!$H$33="Todos",'Plan mensual'!O105,0))+parametros_manuales!$E$33*('Plan mensual'!O102+IF(parametros_manuales!$H$33="Todos",'Plan mensual'!O106,0))+parametros_manuales!$F$33*('Plan mensual'!O103+IF(parametros_manuales!$H$33="Todos",'Plan mensual'!O107,0))+parametros_manuales!$G$33*('Plan mensual'!O104+IF(parametros_manuales!$H$33="Todos",'Plan mensual'!O108,0)))*parametros_manuales!$I$33*parametros_manuales!$J$33</f>
        <v>33317.08847233</v>
      </c>
      <c r="N268" s="14" t="n">
        <f aca="false">SUM(B268:M268)</f>
        <v>284462.564373</v>
      </c>
      <c r="O268" s="14" t="n">
        <f aca="false">MAX(B268:M268)</f>
        <v>33317.08847233</v>
      </c>
      <c r="P268" s="57" t="n">
        <f aca="false">O268/(parametros_manuales!$B$7)</f>
        <v>222.113923148867</v>
      </c>
      <c r="Q268" s="13" t="str">
        <f aca="false">IF(O268=0,"-",INDEX($B$253:$M$253,MATCH(O268,B268:M268,0)))</f>
        <v>Dic</v>
      </c>
    </row>
    <row r="269" customFormat="false" ht="14.25" hidden="false" customHeight="true" outlineLevel="0" collapsed="false">
      <c r="A269" s="13" t="str">
        <f aca="false">parametros_manuales!$B$34</f>
        <v>Secado</v>
      </c>
      <c r="B269" s="14" t="n">
        <f aca="false">(parametros_manuales!$D$34*('Plan mensual'!D101+IF(parametros_manuales!$H$34="Todos",'Plan mensual'!D105,0))+parametros_manuales!$E$34*('Plan mensual'!D102+IF(parametros_manuales!$H$34="Todos",'Plan mensual'!D106,0))+parametros_manuales!$F$34*('Plan mensual'!D103+IF(parametros_manuales!$H$34="Todos",'Plan mensual'!D107,0))+parametros_manuales!$G$34*('Plan mensual'!D104+IF(parametros_manuales!$H$34="Todos",'Plan mensual'!D108,0)))*parametros_manuales!$I$34*parametros_manuales!$J$34</f>
        <v>32498.6692199</v>
      </c>
      <c r="C269" s="14" t="n">
        <f aca="false">(parametros_manuales!$D$34*('Plan mensual'!E101+IF(parametros_manuales!$H$34="Todos",'Plan mensual'!E105,0))+parametros_manuales!$E$34*('Plan mensual'!E102+IF(parametros_manuales!$H$34="Todos",'Plan mensual'!E106,0))+parametros_manuales!$F$34*('Plan mensual'!E103+IF(parametros_manuales!$H$34="Todos",'Plan mensual'!E107,0))+parametros_manuales!$G$34*('Plan mensual'!E104+IF(parametros_manuales!$H$34="Todos",'Plan mensual'!E108,0)))*parametros_manuales!$I$34*parametros_manuales!$J$34</f>
        <v>24783.21154114</v>
      </c>
      <c r="D269" s="14" t="n">
        <f aca="false">(parametros_manuales!$D$34*('Plan mensual'!F101+IF(parametros_manuales!$H$34="Todos",'Plan mensual'!F105,0))+parametros_manuales!$E$34*('Plan mensual'!F102+IF(parametros_manuales!$H$34="Todos",'Plan mensual'!F106,0))+parametros_manuales!$F$34*('Plan mensual'!F103+IF(parametros_manuales!$H$34="Todos",'Plan mensual'!F107,0))+parametros_manuales!$G$34*('Plan mensual'!F104+IF(parametros_manuales!$H$34="Todos",'Plan mensual'!F108,0)))*parametros_manuales!$I$34*parametros_manuales!$J$34</f>
        <v>23166.214776055</v>
      </c>
      <c r="E269" s="14" t="n">
        <f aca="false">(parametros_manuales!$D$34*('Plan mensual'!G101+IF(parametros_manuales!$H$34="Todos",'Plan mensual'!G105,0))+parametros_manuales!$E$34*('Plan mensual'!G102+IF(parametros_manuales!$H$34="Todos",'Plan mensual'!G106,0))+parametros_manuales!$F$34*('Plan mensual'!G103+IF(parametros_manuales!$H$34="Todos",'Plan mensual'!G107,0))+parametros_manuales!$G$34*('Plan mensual'!G104+IF(parametros_manuales!$H$34="Todos",'Plan mensual'!G108,0)))*parametros_manuales!$I$34*parametros_manuales!$J$34</f>
        <v>22153.111580405</v>
      </c>
      <c r="F269" s="14" t="n">
        <f aca="false">(parametros_manuales!$D$34*('Plan mensual'!H101+IF(parametros_manuales!$H$34="Todos",'Plan mensual'!H105,0))+parametros_manuales!$E$34*('Plan mensual'!H102+IF(parametros_manuales!$H$34="Todos",'Plan mensual'!H106,0))+parametros_manuales!$F$34*('Plan mensual'!H103+IF(parametros_manuales!$H$34="Todos",'Plan mensual'!H107,0))+parametros_manuales!$G$34*('Plan mensual'!H104+IF(parametros_manuales!$H$34="Todos",'Plan mensual'!H108,0)))*parametros_manuales!$I$34*parametros_manuales!$J$34</f>
        <v>20730.79875854</v>
      </c>
      <c r="G269" s="14" t="n">
        <f aca="false">(parametros_manuales!$D$34*('Plan mensual'!I101+IF(parametros_manuales!$H$34="Todos",'Plan mensual'!I105,0))+parametros_manuales!$E$34*('Plan mensual'!I102+IF(parametros_manuales!$H$34="Todos",'Plan mensual'!I106,0))+parametros_manuales!$F$34*('Plan mensual'!I103+IF(parametros_manuales!$H$34="Todos",'Plan mensual'!I107,0))+parametros_manuales!$G$34*('Plan mensual'!I104+IF(parametros_manuales!$H$34="Todos",'Plan mensual'!I108,0)))*parametros_manuales!$I$34*parametros_manuales!$J$34</f>
        <v>20321.589132325</v>
      </c>
      <c r="H269" s="14" t="n">
        <f aca="false">(parametros_manuales!$D$34*('Plan mensual'!J101+IF(parametros_manuales!$H$34="Todos",'Plan mensual'!J105,0))+parametros_manuales!$E$34*('Plan mensual'!J102+IF(parametros_manuales!$H$34="Todos",'Plan mensual'!J106,0))+parametros_manuales!$F$34*('Plan mensual'!J103+IF(parametros_manuales!$H$34="Todos",'Plan mensual'!J107,0))+parametros_manuales!$G$34*('Plan mensual'!J104+IF(parametros_manuales!$H$34="Todos",'Plan mensual'!J108,0)))*parametros_manuales!$I$34*parametros_manuales!$J$34</f>
        <v>21743.90195419</v>
      </c>
      <c r="I269" s="14" t="n">
        <f aca="false">(parametros_manuales!$D$34*('Plan mensual'!K101+IF(parametros_manuales!$H$34="Todos",'Plan mensual'!K105,0))+parametros_manuales!$E$34*('Plan mensual'!K102+IF(parametros_manuales!$H$34="Todos",'Plan mensual'!K106,0))+parametros_manuales!$F$34*('Plan mensual'!K103+IF(parametros_manuales!$H$34="Todos",'Plan mensual'!K107,0))+parametros_manuales!$G$34*('Plan mensual'!K104+IF(parametros_manuales!$H$34="Todos",'Plan mensual'!K108,0)))*parametros_manuales!$I$34*parametros_manuales!$J$34</f>
        <v>21743.90195419</v>
      </c>
      <c r="J269" s="14" t="n">
        <f aca="false">(parametros_manuales!$D$34*('Plan mensual'!L101+IF(parametros_manuales!$H$34="Todos",'Plan mensual'!L105,0))+parametros_manuales!$E$34*('Plan mensual'!L102+IF(parametros_manuales!$H$34="Todos",'Plan mensual'!L106,0))+parametros_manuales!$F$34*('Plan mensual'!L103+IF(parametros_manuales!$H$34="Todos",'Plan mensual'!L107,0))+parametros_manuales!$G$34*('Plan mensual'!L104+IF(parametros_manuales!$H$34="Todos",'Plan mensual'!L108,0)))*parametros_manuales!$I$34*parametros_manuales!$J$34</f>
        <v>21743.90195419</v>
      </c>
      <c r="K269" s="14" t="n">
        <f aca="false">(parametros_manuales!$D$34*('Plan mensual'!M101+IF(parametros_manuales!$H$34="Todos",'Plan mensual'!M105,0))+parametros_manuales!$E$34*('Plan mensual'!M102+IF(parametros_manuales!$H$34="Todos",'Plan mensual'!M106,0))+parametros_manuales!$F$34*('Plan mensual'!M103+IF(parametros_manuales!$H$34="Todos",'Plan mensual'!M107,0))+parametros_manuales!$G$34*('Plan mensual'!M104+IF(parametros_manuales!$H$34="Todos",'Plan mensual'!M108,0)))*parametros_manuales!$I$34*parametros_manuales!$J$34</f>
        <v>21334.692327975</v>
      </c>
      <c r="L269" s="14" t="n">
        <f aca="false">(parametros_manuales!$D$34*('Plan mensual'!N101+IF(parametros_manuales!$H$34="Todos",'Plan mensual'!N105,0))+parametros_manuales!$E$34*('Plan mensual'!N102+IF(parametros_manuales!$H$34="Todos",'Plan mensual'!N106,0))+parametros_manuales!$F$34*('Plan mensual'!N103+IF(parametros_manuales!$H$34="Todos",'Plan mensual'!N107,0))+parametros_manuales!$G$34*('Plan mensual'!N104+IF(parametros_manuales!$H$34="Todos",'Plan mensual'!N108,0)))*parametros_manuales!$I$34*parametros_manuales!$J$34</f>
        <v>20925.48270176</v>
      </c>
      <c r="M269" s="14" t="n">
        <f aca="false">(parametros_manuales!$D$34*('Plan mensual'!O101+IF(parametros_manuales!$H$34="Todos",'Plan mensual'!O105,0))+parametros_manuales!$E$34*('Plan mensual'!O102+IF(parametros_manuales!$H$34="Todos",'Plan mensual'!O106,0))+parametros_manuales!$F$34*('Plan mensual'!O103+IF(parametros_manuales!$H$34="Todos",'Plan mensual'!O107,0))+parametros_manuales!$G$34*('Plan mensual'!O104+IF(parametros_manuales!$H$34="Todos",'Plan mensual'!O108,0)))*parametros_manuales!$I$34*parametros_manuales!$J$34</f>
        <v>33317.08847233</v>
      </c>
      <c r="N269" s="14" t="n">
        <f aca="false">SUM(B269:M269)</f>
        <v>284462.564373</v>
      </c>
      <c r="O269" s="14" t="n">
        <f aca="false">MAX(B269:M269)</f>
        <v>33317.08847233</v>
      </c>
      <c r="P269" s="57" t="n">
        <f aca="false">O269/(parametros_manuales!$B$7)</f>
        <v>222.113923148867</v>
      </c>
      <c r="Q269" s="13" t="str">
        <f aca="false">IF(O269=0,"-",INDEX($B$253:$M$253,MATCH(O269,B269:M269,0)))</f>
        <v>Dic</v>
      </c>
    </row>
    <row r="270" customFormat="false" ht="14.25" hidden="false" customHeight="true" outlineLevel="0" collapsed="false">
      <c r="A270" s="13" t="str">
        <f aca="false">parametros_manuales!$B$35</f>
        <v>Granallado</v>
      </c>
      <c r="B270" s="14" t="n">
        <f aca="false">(parametros_manuales!$D$35*('Plan mensual'!D101+IF(parametros_manuales!$H$35="Todos",'Plan mensual'!D105,0))+parametros_manuales!$E$35*('Plan mensual'!D102+IF(parametros_manuales!$H$35="Todos",'Plan mensual'!D106,0))+parametros_manuales!$F$35*('Plan mensual'!D103+IF(parametros_manuales!$H$35="Todos",'Plan mensual'!D107,0))+parametros_manuales!$G$35*('Plan mensual'!D104+IF(parametros_manuales!$H$35="Todos",'Plan mensual'!D108,0)))*parametros_manuales!$I$35*parametros_manuales!$J$35</f>
        <v>32498.6692199</v>
      </c>
      <c r="C270" s="14" t="n">
        <f aca="false">(parametros_manuales!$D$35*('Plan mensual'!E101+IF(parametros_manuales!$H$35="Todos",'Plan mensual'!E105,0))+parametros_manuales!$E$35*('Plan mensual'!E102+IF(parametros_manuales!$H$35="Todos",'Plan mensual'!E106,0))+parametros_manuales!$F$35*('Plan mensual'!E103+IF(parametros_manuales!$H$35="Todos",'Plan mensual'!E107,0))+parametros_manuales!$G$35*('Plan mensual'!E104+IF(parametros_manuales!$H$35="Todos",'Plan mensual'!E108,0)))*parametros_manuales!$I$35*parametros_manuales!$J$35</f>
        <v>24783.21154114</v>
      </c>
      <c r="D270" s="14" t="n">
        <f aca="false">(parametros_manuales!$D$35*('Plan mensual'!F101+IF(parametros_manuales!$H$35="Todos",'Plan mensual'!F105,0))+parametros_manuales!$E$35*('Plan mensual'!F102+IF(parametros_manuales!$H$35="Todos",'Plan mensual'!F106,0))+parametros_manuales!$F$35*('Plan mensual'!F103+IF(parametros_manuales!$H$35="Todos",'Plan mensual'!F107,0))+parametros_manuales!$G$35*('Plan mensual'!F104+IF(parametros_manuales!$H$35="Todos",'Plan mensual'!F108,0)))*parametros_manuales!$I$35*parametros_manuales!$J$35</f>
        <v>23166.214776055</v>
      </c>
      <c r="E270" s="14" t="n">
        <f aca="false">(parametros_manuales!$D$35*('Plan mensual'!G101+IF(parametros_manuales!$H$35="Todos",'Plan mensual'!G105,0))+parametros_manuales!$E$35*('Plan mensual'!G102+IF(parametros_manuales!$H$35="Todos",'Plan mensual'!G106,0))+parametros_manuales!$F$35*('Plan mensual'!G103+IF(parametros_manuales!$H$35="Todos",'Plan mensual'!G107,0))+parametros_manuales!$G$35*('Plan mensual'!G104+IF(parametros_manuales!$H$35="Todos",'Plan mensual'!G108,0)))*parametros_manuales!$I$35*parametros_manuales!$J$35</f>
        <v>22153.111580405</v>
      </c>
      <c r="F270" s="14" t="n">
        <f aca="false">(parametros_manuales!$D$35*('Plan mensual'!H101+IF(parametros_manuales!$H$35="Todos",'Plan mensual'!H105,0))+parametros_manuales!$E$35*('Plan mensual'!H102+IF(parametros_manuales!$H$35="Todos",'Plan mensual'!H106,0))+parametros_manuales!$F$35*('Plan mensual'!H103+IF(parametros_manuales!$H$35="Todos",'Plan mensual'!H107,0))+parametros_manuales!$G$35*('Plan mensual'!H104+IF(parametros_manuales!$H$35="Todos",'Plan mensual'!H108,0)))*parametros_manuales!$I$35*parametros_manuales!$J$35</f>
        <v>20730.79875854</v>
      </c>
      <c r="G270" s="14" t="n">
        <f aca="false">(parametros_manuales!$D$35*('Plan mensual'!I101+IF(parametros_manuales!$H$35="Todos",'Plan mensual'!I105,0))+parametros_manuales!$E$35*('Plan mensual'!I102+IF(parametros_manuales!$H$35="Todos",'Plan mensual'!I106,0))+parametros_manuales!$F$35*('Plan mensual'!I103+IF(parametros_manuales!$H$35="Todos",'Plan mensual'!I107,0))+parametros_manuales!$G$35*('Plan mensual'!I104+IF(parametros_manuales!$H$35="Todos",'Plan mensual'!I108,0)))*parametros_manuales!$I$35*parametros_manuales!$J$35</f>
        <v>20321.589132325</v>
      </c>
      <c r="H270" s="14" t="n">
        <f aca="false">(parametros_manuales!$D$35*('Plan mensual'!J101+IF(parametros_manuales!$H$35="Todos",'Plan mensual'!J105,0))+parametros_manuales!$E$35*('Plan mensual'!J102+IF(parametros_manuales!$H$35="Todos",'Plan mensual'!J106,0))+parametros_manuales!$F$35*('Plan mensual'!J103+IF(parametros_manuales!$H$35="Todos",'Plan mensual'!J107,0))+parametros_manuales!$G$35*('Plan mensual'!J104+IF(parametros_manuales!$H$35="Todos",'Plan mensual'!J108,0)))*parametros_manuales!$I$35*parametros_manuales!$J$35</f>
        <v>21743.90195419</v>
      </c>
      <c r="I270" s="14" t="n">
        <f aca="false">(parametros_manuales!$D$35*('Plan mensual'!K101+IF(parametros_manuales!$H$35="Todos",'Plan mensual'!K105,0))+parametros_manuales!$E$35*('Plan mensual'!K102+IF(parametros_manuales!$H$35="Todos",'Plan mensual'!K106,0))+parametros_manuales!$F$35*('Plan mensual'!K103+IF(parametros_manuales!$H$35="Todos",'Plan mensual'!K107,0))+parametros_manuales!$G$35*('Plan mensual'!K104+IF(parametros_manuales!$H$35="Todos",'Plan mensual'!K108,0)))*parametros_manuales!$I$35*parametros_manuales!$J$35</f>
        <v>21743.90195419</v>
      </c>
      <c r="J270" s="14" t="n">
        <f aca="false">(parametros_manuales!$D$35*('Plan mensual'!L101+IF(parametros_manuales!$H$35="Todos",'Plan mensual'!L105,0))+parametros_manuales!$E$35*('Plan mensual'!L102+IF(parametros_manuales!$H$35="Todos",'Plan mensual'!L106,0))+parametros_manuales!$F$35*('Plan mensual'!L103+IF(parametros_manuales!$H$35="Todos",'Plan mensual'!L107,0))+parametros_manuales!$G$35*('Plan mensual'!L104+IF(parametros_manuales!$H$35="Todos",'Plan mensual'!L108,0)))*parametros_manuales!$I$35*parametros_manuales!$J$35</f>
        <v>21743.90195419</v>
      </c>
      <c r="K270" s="14" t="n">
        <f aca="false">(parametros_manuales!$D$35*('Plan mensual'!M101+IF(parametros_manuales!$H$35="Todos",'Plan mensual'!M105,0))+parametros_manuales!$E$35*('Plan mensual'!M102+IF(parametros_manuales!$H$35="Todos",'Plan mensual'!M106,0))+parametros_manuales!$F$35*('Plan mensual'!M103+IF(parametros_manuales!$H$35="Todos",'Plan mensual'!M107,0))+parametros_manuales!$G$35*('Plan mensual'!M104+IF(parametros_manuales!$H$35="Todos",'Plan mensual'!M108,0)))*parametros_manuales!$I$35*parametros_manuales!$J$35</f>
        <v>21334.692327975</v>
      </c>
      <c r="L270" s="14" t="n">
        <f aca="false">(parametros_manuales!$D$35*('Plan mensual'!N101+IF(parametros_manuales!$H$35="Todos",'Plan mensual'!N105,0))+parametros_manuales!$E$35*('Plan mensual'!N102+IF(parametros_manuales!$H$35="Todos",'Plan mensual'!N106,0))+parametros_manuales!$F$35*('Plan mensual'!N103+IF(parametros_manuales!$H$35="Todos",'Plan mensual'!N107,0))+parametros_manuales!$G$35*('Plan mensual'!N104+IF(parametros_manuales!$H$35="Todos",'Plan mensual'!N108,0)))*parametros_manuales!$I$35*parametros_manuales!$J$35</f>
        <v>20925.48270176</v>
      </c>
      <c r="M270" s="14" t="n">
        <f aca="false">(parametros_manuales!$D$35*('Plan mensual'!O101+IF(parametros_manuales!$H$35="Todos",'Plan mensual'!O105,0))+parametros_manuales!$E$35*('Plan mensual'!O102+IF(parametros_manuales!$H$35="Todos",'Plan mensual'!O106,0))+parametros_manuales!$F$35*('Plan mensual'!O103+IF(parametros_manuales!$H$35="Todos",'Plan mensual'!O107,0))+parametros_manuales!$G$35*('Plan mensual'!O104+IF(parametros_manuales!$H$35="Todos",'Plan mensual'!O108,0)))*parametros_manuales!$I$35*parametros_manuales!$J$35</f>
        <v>33317.08847233</v>
      </c>
      <c r="N270" s="14" t="n">
        <f aca="false">SUM(B270:M270)</f>
        <v>284462.564373</v>
      </c>
      <c r="O270" s="14" t="n">
        <f aca="false">MAX(B270:M270)</f>
        <v>33317.08847233</v>
      </c>
      <c r="P270" s="57" t="n">
        <f aca="false">O270/(parametros_manuales!$B$7)</f>
        <v>222.113923148867</v>
      </c>
      <c r="Q270" s="13" t="str">
        <f aca="false">IF(O270=0,"-",INDEX($B$253:$M$253,MATCH(O270,B270:M270,0)))</f>
        <v>Dic</v>
      </c>
    </row>
    <row r="271" customFormat="false" ht="14.25" hidden="false" customHeight="true" outlineLevel="0" collapsed="false">
      <c r="A271" s="13" t="str">
        <f aca="false">parametros_manuales!$B$36</f>
        <v>Detección de defectos</v>
      </c>
      <c r="B271" s="14" t="n">
        <f aca="false">(parametros_manuales!$D$36*('Plan mensual'!D101+IF(parametros_manuales!$H$36="Todos",'Plan mensual'!D105,0))+parametros_manuales!$E$36*('Plan mensual'!D102+IF(parametros_manuales!$H$36="Todos",'Plan mensual'!D106,0))+parametros_manuales!$F$36*('Plan mensual'!D103+IF(parametros_manuales!$H$36="Todos",'Plan mensual'!D107,0))+parametros_manuales!$G$36*('Plan mensual'!D104+IF(parametros_manuales!$H$36="Todos",'Plan mensual'!D108,0)))*parametros_manuales!$I$36*parametros_manuales!$J$36</f>
        <v>32498.6692199</v>
      </c>
      <c r="C271" s="14" t="n">
        <f aca="false">(parametros_manuales!$D$36*('Plan mensual'!E101+IF(parametros_manuales!$H$36="Todos",'Plan mensual'!E105,0))+parametros_manuales!$E$36*('Plan mensual'!E102+IF(parametros_manuales!$H$36="Todos",'Plan mensual'!E106,0))+parametros_manuales!$F$36*('Plan mensual'!E103+IF(parametros_manuales!$H$36="Todos",'Plan mensual'!E107,0))+parametros_manuales!$G$36*('Plan mensual'!E104+IF(parametros_manuales!$H$36="Todos",'Plan mensual'!E108,0)))*parametros_manuales!$I$36*parametros_manuales!$J$36</f>
        <v>24783.21154114</v>
      </c>
      <c r="D271" s="14" t="n">
        <f aca="false">(parametros_manuales!$D$36*('Plan mensual'!F101+IF(parametros_manuales!$H$36="Todos",'Plan mensual'!F105,0))+parametros_manuales!$E$36*('Plan mensual'!F102+IF(parametros_manuales!$H$36="Todos",'Plan mensual'!F106,0))+parametros_manuales!$F$36*('Plan mensual'!F103+IF(parametros_manuales!$H$36="Todos",'Plan mensual'!F107,0))+parametros_manuales!$G$36*('Plan mensual'!F104+IF(parametros_manuales!$H$36="Todos",'Plan mensual'!F108,0)))*parametros_manuales!$I$36*parametros_manuales!$J$36</f>
        <v>23166.214776055</v>
      </c>
      <c r="E271" s="14" t="n">
        <f aca="false">(parametros_manuales!$D$36*('Plan mensual'!G101+IF(parametros_manuales!$H$36="Todos",'Plan mensual'!G105,0))+parametros_manuales!$E$36*('Plan mensual'!G102+IF(parametros_manuales!$H$36="Todos",'Plan mensual'!G106,0))+parametros_manuales!$F$36*('Plan mensual'!G103+IF(parametros_manuales!$H$36="Todos",'Plan mensual'!G107,0))+parametros_manuales!$G$36*('Plan mensual'!G104+IF(parametros_manuales!$H$36="Todos",'Plan mensual'!G108,0)))*parametros_manuales!$I$36*parametros_manuales!$J$36</f>
        <v>22153.111580405</v>
      </c>
      <c r="F271" s="14" t="n">
        <f aca="false">(parametros_manuales!$D$36*('Plan mensual'!H101+IF(parametros_manuales!$H$36="Todos",'Plan mensual'!H105,0))+parametros_manuales!$E$36*('Plan mensual'!H102+IF(parametros_manuales!$H$36="Todos",'Plan mensual'!H106,0))+parametros_manuales!$F$36*('Plan mensual'!H103+IF(parametros_manuales!$H$36="Todos",'Plan mensual'!H107,0))+parametros_manuales!$G$36*('Plan mensual'!H104+IF(parametros_manuales!$H$36="Todos",'Plan mensual'!H108,0)))*parametros_manuales!$I$36*parametros_manuales!$J$36</f>
        <v>20730.79875854</v>
      </c>
      <c r="G271" s="14" t="n">
        <f aca="false">(parametros_manuales!$D$36*('Plan mensual'!I101+IF(parametros_manuales!$H$36="Todos",'Plan mensual'!I105,0))+parametros_manuales!$E$36*('Plan mensual'!I102+IF(parametros_manuales!$H$36="Todos",'Plan mensual'!I106,0))+parametros_manuales!$F$36*('Plan mensual'!I103+IF(parametros_manuales!$H$36="Todos",'Plan mensual'!I107,0))+parametros_manuales!$G$36*('Plan mensual'!I104+IF(parametros_manuales!$H$36="Todos",'Plan mensual'!I108,0)))*parametros_manuales!$I$36*parametros_manuales!$J$36</f>
        <v>20321.589132325</v>
      </c>
      <c r="H271" s="14" t="n">
        <f aca="false">(parametros_manuales!$D$36*('Plan mensual'!J101+IF(parametros_manuales!$H$36="Todos",'Plan mensual'!J105,0))+parametros_manuales!$E$36*('Plan mensual'!J102+IF(parametros_manuales!$H$36="Todos",'Plan mensual'!J106,0))+parametros_manuales!$F$36*('Plan mensual'!J103+IF(parametros_manuales!$H$36="Todos",'Plan mensual'!J107,0))+parametros_manuales!$G$36*('Plan mensual'!J104+IF(parametros_manuales!$H$36="Todos",'Plan mensual'!J108,0)))*parametros_manuales!$I$36*parametros_manuales!$J$36</f>
        <v>21743.90195419</v>
      </c>
      <c r="I271" s="14" t="n">
        <f aca="false">(parametros_manuales!$D$36*('Plan mensual'!K101+IF(parametros_manuales!$H$36="Todos",'Plan mensual'!K105,0))+parametros_manuales!$E$36*('Plan mensual'!K102+IF(parametros_manuales!$H$36="Todos",'Plan mensual'!K106,0))+parametros_manuales!$F$36*('Plan mensual'!K103+IF(parametros_manuales!$H$36="Todos",'Plan mensual'!K107,0))+parametros_manuales!$G$36*('Plan mensual'!K104+IF(parametros_manuales!$H$36="Todos",'Plan mensual'!K108,0)))*parametros_manuales!$I$36*parametros_manuales!$J$36</f>
        <v>21743.90195419</v>
      </c>
      <c r="J271" s="14" t="n">
        <f aca="false">(parametros_manuales!$D$36*('Plan mensual'!L101+IF(parametros_manuales!$H$36="Todos",'Plan mensual'!L105,0))+parametros_manuales!$E$36*('Plan mensual'!L102+IF(parametros_manuales!$H$36="Todos",'Plan mensual'!L106,0))+parametros_manuales!$F$36*('Plan mensual'!L103+IF(parametros_manuales!$H$36="Todos",'Plan mensual'!L107,0))+parametros_manuales!$G$36*('Plan mensual'!L104+IF(parametros_manuales!$H$36="Todos",'Plan mensual'!L108,0)))*parametros_manuales!$I$36*parametros_manuales!$J$36</f>
        <v>21743.90195419</v>
      </c>
      <c r="K271" s="14" t="n">
        <f aca="false">(parametros_manuales!$D$36*('Plan mensual'!M101+IF(parametros_manuales!$H$36="Todos",'Plan mensual'!M105,0))+parametros_manuales!$E$36*('Plan mensual'!M102+IF(parametros_manuales!$H$36="Todos",'Plan mensual'!M106,0))+parametros_manuales!$F$36*('Plan mensual'!M103+IF(parametros_manuales!$H$36="Todos",'Plan mensual'!M107,0))+parametros_manuales!$G$36*('Plan mensual'!M104+IF(parametros_manuales!$H$36="Todos",'Plan mensual'!M108,0)))*parametros_manuales!$I$36*parametros_manuales!$J$36</f>
        <v>21334.692327975</v>
      </c>
      <c r="L271" s="14" t="n">
        <f aca="false">(parametros_manuales!$D$36*('Plan mensual'!N101+IF(parametros_manuales!$H$36="Todos",'Plan mensual'!N105,0))+parametros_manuales!$E$36*('Plan mensual'!N102+IF(parametros_manuales!$H$36="Todos",'Plan mensual'!N106,0))+parametros_manuales!$F$36*('Plan mensual'!N103+IF(parametros_manuales!$H$36="Todos",'Plan mensual'!N107,0))+parametros_manuales!$G$36*('Plan mensual'!N104+IF(parametros_manuales!$H$36="Todos",'Plan mensual'!N108,0)))*parametros_manuales!$I$36*parametros_manuales!$J$36</f>
        <v>20925.48270176</v>
      </c>
      <c r="M271" s="14" t="n">
        <f aca="false">(parametros_manuales!$D$36*('Plan mensual'!O101+IF(parametros_manuales!$H$36="Todos",'Plan mensual'!O105,0))+parametros_manuales!$E$36*('Plan mensual'!O102+IF(parametros_manuales!$H$36="Todos",'Plan mensual'!O106,0))+parametros_manuales!$F$36*('Plan mensual'!O103+IF(parametros_manuales!$H$36="Todos",'Plan mensual'!O107,0))+parametros_manuales!$G$36*('Plan mensual'!O104+IF(parametros_manuales!$H$36="Todos",'Plan mensual'!O108,0)))*parametros_manuales!$I$36*parametros_manuales!$J$36</f>
        <v>33317.08847233</v>
      </c>
      <c r="N271" s="14" t="n">
        <f aca="false">SUM(B271:M271)</f>
        <v>284462.564373</v>
      </c>
      <c r="O271" s="14" t="n">
        <f aca="false">MAX(B271:M271)</f>
        <v>33317.08847233</v>
      </c>
      <c r="P271" s="57" t="n">
        <f aca="false">O271/(parametros_manuales!$B$7)</f>
        <v>222.113923148867</v>
      </c>
      <c r="Q271" s="13" t="str">
        <f aca="false">IF(O271=0,"-",INDEX($B$253:$M$253,MATCH(O271,B271:M271,0)))</f>
        <v>Dic</v>
      </c>
    </row>
    <row r="272" customFormat="false" ht="14.25" hidden="false" customHeight="true" outlineLevel="0" collapsed="false">
      <c r="A272" s="13" t="str">
        <f aca="false">parametros_manuales!$B$37</f>
        <v>Corrección de defectos</v>
      </c>
      <c r="B272" s="14" t="n">
        <f aca="false">(parametros_manuales!$D$37*('Plan mensual'!D101+IF(parametros_manuales!$H$37="Todos",'Plan mensual'!D105,0))+parametros_manuales!$E$37*('Plan mensual'!D102+IF(parametros_manuales!$H$37="Todos",'Plan mensual'!D106,0))+parametros_manuales!$F$37*('Plan mensual'!D103+IF(parametros_manuales!$H$37="Todos",'Plan mensual'!D107,0))+parametros_manuales!$G$37*('Plan mensual'!D104+IF(parametros_manuales!$H$37="Todos",'Plan mensual'!D108,0)))*parametros_manuales!$I$37*parametros_manuales!$J$37</f>
        <v>1624.933460995</v>
      </c>
      <c r="C272" s="14" t="n">
        <f aca="false">(parametros_manuales!$D$37*('Plan mensual'!E101+IF(parametros_manuales!$H$37="Todos",'Plan mensual'!E105,0))+parametros_manuales!$E$37*('Plan mensual'!E102+IF(parametros_manuales!$H$37="Todos",'Plan mensual'!E106,0))+parametros_manuales!$F$37*('Plan mensual'!E103+IF(parametros_manuales!$H$37="Todos",'Plan mensual'!E107,0))+parametros_manuales!$G$37*('Plan mensual'!E104+IF(parametros_manuales!$H$37="Todos",'Plan mensual'!E108,0)))*parametros_manuales!$I$37*parametros_manuales!$J$37</f>
        <v>1239.160577057</v>
      </c>
      <c r="D272" s="14" t="n">
        <f aca="false">(parametros_manuales!$D$37*('Plan mensual'!F101+IF(parametros_manuales!$H$37="Todos",'Plan mensual'!F105,0))+parametros_manuales!$E$37*('Plan mensual'!F102+IF(parametros_manuales!$H$37="Todos",'Plan mensual'!F106,0))+parametros_manuales!$F$37*('Plan mensual'!F103+IF(parametros_manuales!$H$37="Todos",'Plan mensual'!F107,0))+parametros_manuales!$G$37*('Plan mensual'!F104+IF(parametros_manuales!$H$37="Todos",'Plan mensual'!F108,0)))*parametros_manuales!$I$37*parametros_manuales!$J$37</f>
        <v>1158.31073880275</v>
      </c>
      <c r="E272" s="14" t="n">
        <f aca="false">(parametros_manuales!$D$37*('Plan mensual'!G101+IF(parametros_manuales!$H$37="Todos",'Plan mensual'!G105,0))+parametros_manuales!$E$37*('Plan mensual'!G102+IF(parametros_manuales!$H$37="Todos",'Plan mensual'!G106,0))+parametros_manuales!$F$37*('Plan mensual'!G103+IF(parametros_manuales!$H$37="Todos",'Plan mensual'!G107,0))+parametros_manuales!$G$37*('Plan mensual'!G104+IF(parametros_manuales!$H$37="Todos",'Plan mensual'!G108,0)))*parametros_manuales!$I$37*parametros_manuales!$J$37</f>
        <v>1107.65557902025</v>
      </c>
      <c r="F272" s="14" t="n">
        <f aca="false">(parametros_manuales!$D$37*('Plan mensual'!H101+IF(parametros_manuales!$H$37="Todos",'Plan mensual'!H105,0))+parametros_manuales!$E$37*('Plan mensual'!H102+IF(parametros_manuales!$H$37="Todos",'Plan mensual'!H106,0))+parametros_manuales!$F$37*('Plan mensual'!H103+IF(parametros_manuales!$H$37="Todos",'Plan mensual'!H107,0))+parametros_manuales!$G$37*('Plan mensual'!H104+IF(parametros_manuales!$H$37="Todos",'Plan mensual'!H108,0)))*parametros_manuales!$I$37*parametros_manuales!$J$37</f>
        <v>1036.539937927</v>
      </c>
      <c r="G272" s="14" t="n">
        <f aca="false">(parametros_manuales!$D$37*('Plan mensual'!I101+IF(parametros_manuales!$H$37="Todos",'Plan mensual'!I105,0))+parametros_manuales!$E$37*('Plan mensual'!I102+IF(parametros_manuales!$H$37="Todos",'Plan mensual'!I106,0))+parametros_manuales!$F$37*('Plan mensual'!I103+IF(parametros_manuales!$H$37="Todos",'Plan mensual'!I107,0))+parametros_manuales!$G$37*('Plan mensual'!I104+IF(parametros_manuales!$H$37="Todos",'Plan mensual'!I108,0)))*parametros_manuales!$I$37*parametros_manuales!$J$37</f>
        <v>1016.07945661625</v>
      </c>
      <c r="H272" s="14" t="n">
        <f aca="false">(parametros_manuales!$D$37*('Plan mensual'!J101+IF(parametros_manuales!$H$37="Todos",'Plan mensual'!J105,0))+parametros_manuales!$E$37*('Plan mensual'!J102+IF(parametros_manuales!$H$37="Todos",'Plan mensual'!J106,0))+parametros_manuales!$F$37*('Plan mensual'!J103+IF(parametros_manuales!$H$37="Todos",'Plan mensual'!J107,0))+parametros_manuales!$G$37*('Plan mensual'!J104+IF(parametros_manuales!$H$37="Todos",'Plan mensual'!J108,0)))*parametros_manuales!$I$37*parametros_manuales!$J$37</f>
        <v>1087.1950977095</v>
      </c>
      <c r="I272" s="14" t="n">
        <f aca="false">(parametros_manuales!$D$37*('Plan mensual'!K101+IF(parametros_manuales!$H$37="Todos",'Plan mensual'!K105,0))+parametros_manuales!$E$37*('Plan mensual'!K102+IF(parametros_manuales!$H$37="Todos",'Plan mensual'!K106,0))+parametros_manuales!$F$37*('Plan mensual'!K103+IF(parametros_manuales!$H$37="Todos",'Plan mensual'!K107,0))+parametros_manuales!$G$37*('Plan mensual'!K104+IF(parametros_manuales!$H$37="Todos",'Plan mensual'!K108,0)))*parametros_manuales!$I$37*parametros_manuales!$J$37</f>
        <v>1087.1950977095</v>
      </c>
      <c r="J272" s="14" t="n">
        <f aca="false">(parametros_manuales!$D$37*('Plan mensual'!L101+IF(parametros_manuales!$H$37="Todos",'Plan mensual'!L105,0))+parametros_manuales!$E$37*('Plan mensual'!L102+IF(parametros_manuales!$H$37="Todos",'Plan mensual'!L106,0))+parametros_manuales!$F$37*('Plan mensual'!L103+IF(parametros_manuales!$H$37="Todos",'Plan mensual'!L107,0))+parametros_manuales!$G$37*('Plan mensual'!L104+IF(parametros_manuales!$H$37="Todos",'Plan mensual'!L108,0)))*parametros_manuales!$I$37*parametros_manuales!$J$37</f>
        <v>1087.1950977095</v>
      </c>
      <c r="K272" s="14" t="n">
        <f aca="false">(parametros_manuales!$D$37*('Plan mensual'!M101+IF(parametros_manuales!$H$37="Todos",'Plan mensual'!M105,0))+parametros_manuales!$E$37*('Plan mensual'!M102+IF(parametros_manuales!$H$37="Todos",'Plan mensual'!M106,0))+parametros_manuales!$F$37*('Plan mensual'!M103+IF(parametros_manuales!$H$37="Todos",'Plan mensual'!M107,0))+parametros_manuales!$G$37*('Plan mensual'!M104+IF(parametros_manuales!$H$37="Todos",'Plan mensual'!M108,0)))*parametros_manuales!$I$37*parametros_manuales!$J$37</f>
        <v>1066.73461639875</v>
      </c>
      <c r="L272" s="14" t="n">
        <f aca="false">(parametros_manuales!$D$37*('Plan mensual'!N101+IF(parametros_manuales!$H$37="Todos",'Plan mensual'!N105,0))+parametros_manuales!$E$37*('Plan mensual'!N102+IF(parametros_manuales!$H$37="Todos",'Plan mensual'!N106,0))+parametros_manuales!$F$37*('Plan mensual'!N103+IF(parametros_manuales!$H$37="Todos",'Plan mensual'!N107,0))+parametros_manuales!$G$37*('Plan mensual'!N104+IF(parametros_manuales!$H$37="Todos",'Plan mensual'!N108,0)))*parametros_manuales!$I$37*parametros_manuales!$J$37</f>
        <v>1046.274135088</v>
      </c>
      <c r="M272" s="14" t="n">
        <f aca="false">(parametros_manuales!$D$37*('Plan mensual'!O101+IF(parametros_manuales!$H$37="Todos",'Plan mensual'!O105,0))+parametros_manuales!$E$37*('Plan mensual'!O102+IF(parametros_manuales!$H$37="Todos",'Plan mensual'!O106,0))+parametros_manuales!$F$37*('Plan mensual'!O103+IF(parametros_manuales!$H$37="Todos",'Plan mensual'!O107,0))+parametros_manuales!$G$37*('Plan mensual'!O104+IF(parametros_manuales!$H$37="Todos",'Plan mensual'!O108,0)))*parametros_manuales!$I$37*parametros_manuales!$J$37</f>
        <v>1665.8544236165</v>
      </c>
      <c r="N272" s="14" t="n">
        <f aca="false">SUM(B272:M272)</f>
        <v>14223.12821865</v>
      </c>
      <c r="O272" s="14" t="n">
        <f aca="false">MAX(B272:M272)</f>
        <v>1665.8544236165</v>
      </c>
      <c r="P272" s="57" t="n">
        <f aca="false">O272/(parametros_manuales!$B$7)</f>
        <v>11.1056961574433</v>
      </c>
      <c r="Q272" s="13" t="str">
        <f aca="false">IF(O272=0,"-",INDEX($B$253:$M$253,MATCH(O272,B272:M272,0)))</f>
        <v>Dic</v>
      </c>
    </row>
    <row r="273" customFormat="false" ht="14.25" hidden="false" customHeight="true" outlineLevel="0" collapsed="false">
      <c r="A273" s="13" t="str">
        <f aca="false">parametros_manuales!$B$38</f>
        <v>Pintura en polvo + horno</v>
      </c>
      <c r="B273" s="14" t="n">
        <f aca="false">(parametros_manuales!$D$38*('Plan mensual'!D101+IF(parametros_manuales!$H$38="Todos",'Plan mensual'!D105,0))+parametros_manuales!$E$38*('Plan mensual'!D102+IF(parametros_manuales!$H$38="Todos",'Plan mensual'!D106,0))+parametros_manuales!$F$38*('Plan mensual'!D103+IF(parametros_manuales!$H$38="Todos",'Plan mensual'!D107,0))+parametros_manuales!$G$38*('Plan mensual'!D104+IF(parametros_manuales!$H$38="Todos",'Plan mensual'!D108,0)))*parametros_manuales!$I$38*parametros_manuales!$J$38</f>
        <v>32498.6692199</v>
      </c>
      <c r="C273" s="14" t="n">
        <f aca="false">(parametros_manuales!$D$38*('Plan mensual'!E101+IF(parametros_manuales!$H$38="Todos",'Plan mensual'!E105,0))+parametros_manuales!$E$38*('Plan mensual'!E102+IF(parametros_manuales!$H$38="Todos",'Plan mensual'!E106,0))+parametros_manuales!$F$38*('Plan mensual'!E103+IF(parametros_manuales!$H$38="Todos",'Plan mensual'!E107,0))+parametros_manuales!$G$38*('Plan mensual'!E104+IF(parametros_manuales!$H$38="Todos",'Plan mensual'!E108,0)))*parametros_manuales!$I$38*parametros_manuales!$J$38</f>
        <v>24783.21154114</v>
      </c>
      <c r="D273" s="14" t="n">
        <f aca="false">(parametros_manuales!$D$38*('Plan mensual'!F101+IF(parametros_manuales!$H$38="Todos",'Plan mensual'!F105,0))+parametros_manuales!$E$38*('Plan mensual'!F102+IF(parametros_manuales!$H$38="Todos",'Plan mensual'!F106,0))+parametros_manuales!$F$38*('Plan mensual'!F103+IF(parametros_manuales!$H$38="Todos",'Plan mensual'!F107,0))+parametros_manuales!$G$38*('Plan mensual'!F104+IF(parametros_manuales!$H$38="Todos",'Plan mensual'!F108,0)))*parametros_manuales!$I$38*parametros_manuales!$J$38</f>
        <v>23166.214776055</v>
      </c>
      <c r="E273" s="14" t="n">
        <f aca="false">(parametros_manuales!$D$38*('Plan mensual'!G101+IF(parametros_manuales!$H$38="Todos",'Plan mensual'!G105,0))+parametros_manuales!$E$38*('Plan mensual'!G102+IF(parametros_manuales!$H$38="Todos",'Plan mensual'!G106,0))+parametros_manuales!$F$38*('Plan mensual'!G103+IF(parametros_manuales!$H$38="Todos",'Plan mensual'!G107,0))+parametros_manuales!$G$38*('Plan mensual'!G104+IF(parametros_manuales!$H$38="Todos",'Plan mensual'!G108,0)))*parametros_manuales!$I$38*parametros_manuales!$J$38</f>
        <v>22153.111580405</v>
      </c>
      <c r="F273" s="14" t="n">
        <f aca="false">(parametros_manuales!$D$38*('Plan mensual'!H101+IF(parametros_manuales!$H$38="Todos",'Plan mensual'!H105,0))+parametros_manuales!$E$38*('Plan mensual'!H102+IF(parametros_manuales!$H$38="Todos",'Plan mensual'!H106,0))+parametros_manuales!$F$38*('Plan mensual'!H103+IF(parametros_manuales!$H$38="Todos",'Plan mensual'!H107,0))+parametros_manuales!$G$38*('Plan mensual'!H104+IF(parametros_manuales!$H$38="Todos",'Plan mensual'!H108,0)))*parametros_manuales!$I$38*parametros_manuales!$J$38</f>
        <v>20730.79875854</v>
      </c>
      <c r="G273" s="14" t="n">
        <f aca="false">(parametros_manuales!$D$38*('Plan mensual'!I101+IF(parametros_manuales!$H$38="Todos",'Plan mensual'!I105,0))+parametros_manuales!$E$38*('Plan mensual'!I102+IF(parametros_manuales!$H$38="Todos",'Plan mensual'!I106,0))+parametros_manuales!$F$38*('Plan mensual'!I103+IF(parametros_manuales!$H$38="Todos",'Plan mensual'!I107,0))+parametros_manuales!$G$38*('Plan mensual'!I104+IF(parametros_manuales!$H$38="Todos",'Plan mensual'!I108,0)))*parametros_manuales!$I$38*parametros_manuales!$J$38</f>
        <v>20321.589132325</v>
      </c>
      <c r="H273" s="14" t="n">
        <f aca="false">(parametros_manuales!$D$38*('Plan mensual'!J101+IF(parametros_manuales!$H$38="Todos",'Plan mensual'!J105,0))+parametros_manuales!$E$38*('Plan mensual'!J102+IF(parametros_manuales!$H$38="Todos",'Plan mensual'!J106,0))+parametros_manuales!$F$38*('Plan mensual'!J103+IF(parametros_manuales!$H$38="Todos",'Plan mensual'!J107,0))+parametros_manuales!$G$38*('Plan mensual'!J104+IF(parametros_manuales!$H$38="Todos",'Plan mensual'!J108,0)))*parametros_manuales!$I$38*parametros_manuales!$J$38</f>
        <v>21743.90195419</v>
      </c>
      <c r="I273" s="14" t="n">
        <f aca="false">(parametros_manuales!$D$38*('Plan mensual'!K101+IF(parametros_manuales!$H$38="Todos",'Plan mensual'!K105,0))+parametros_manuales!$E$38*('Plan mensual'!K102+IF(parametros_manuales!$H$38="Todos",'Plan mensual'!K106,0))+parametros_manuales!$F$38*('Plan mensual'!K103+IF(parametros_manuales!$H$38="Todos",'Plan mensual'!K107,0))+parametros_manuales!$G$38*('Plan mensual'!K104+IF(parametros_manuales!$H$38="Todos",'Plan mensual'!K108,0)))*parametros_manuales!$I$38*parametros_manuales!$J$38</f>
        <v>21743.90195419</v>
      </c>
      <c r="J273" s="14" t="n">
        <f aca="false">(parametros_manuales!$D$38*('Plan mensual'!L101+IF(parametros_manuales!$H$38="Todos",'Plan mensual'!L105,0))+parametros_manuales!$E$38*('Plan mensual'!L102+IF(parametros_manuales!$H$38="Todos",'Plan mensual'!L106,0))+parametros_manuales!$F$38*('Plan mensual'!L103+IF(parametros_manuales!$H$38="Todos",'Plan mensual'!L107,0))+parametros_manuales!$G$38*('Plan mensual'!L104+IF(parametros_manuales!$H$38="Todos",'Plan mensual'!L108,0)))*parametros_manuales!$I$38*parametros_manuales!$J$38</f>
        <v>21743.90195419</v>
      </c>
      <c r="K273" s="14" t="n">
        <f aca="false">(parametros_manuales!$D$38*('Plan mensual'!M101+IF(parametros_manuales!$H$38="Todos",'Plan mensual'!M105,0))+parametros_manuales!$E$38*('Plan mensual'!M102+IF(parametros_manuales!$H$38="Todos",'Plan mensual'!M106,0))+parametros_manuales!$F$38*('Plan mensual'!M103+IF(parametros_manuales!$H$38="Todos",'Plan mensual'!M107,0))+parametros_manuales!$G$38*('Plan mensual'!M104+IF(parametros_manuales!$H$38="Todos",'Plan mensual'!M108,0)))*parametros_manuales!$I$38*parametros_manuales!$J$38</f>
        <v>21334.692327975</v>
      </c>
      <c r="L273" s="14" t="n">
        <f aca="false">(parametros_manuales!$D$38*('Plan mensual'!N101+IF(parametros_manuales!$H$38="Todos",'Plan mensual'!N105,0))+parametros_manuales!$E$38*('Plan mensual'!N102+IF(parametros_manuales!$H$38="Todos",'Plan mensual'!N106,0))+parametros_manuales!$F$38*('Plan mensual'!N103+IF(parametros_manuales!$H$38="Todos",'Plan mensual'!N107,0))+parametros_manuales!$G$38*('Plan mensual'!N104+IF(parametros_manuales!$H$38="Todos",'Plan mensual'!N108,0)))*parametros_manuales!$I$38*parametros_manuales!$J$38</f>
        <v>20925.48270176</v>
      </c>
      <c r="M273" s="14" t="n">
        <f aca="false">(parametros_manuales!$D$38*('Plan mensual'!O101+IF(parametros_manuales!$H$38="Todos",'Plan mensual'!O105,0))+parametros_manuales!$E$38*('Plan mensual'!O102+IF(parametros_manuales!$H$38="Todos",'Plan mensual'!O106,0))+parametros_manuales!$F$38*('Plan mensual'!O103+IF(parametros_manuales!$H$38="Todos",'Plan mensual'!O107,0))+parametros_manuales!$G$38*('Plan mensual'!O104+IF(parametros_manuales!$H$38="Todos",'Plan mensual'!O108,0)))*parametros_manuales!$I$38*parametros_manuales!$J$38</f>
        <v>33317.08847233</v>
      </c>
      <c r="N273" s="14" t="n">
        <f aca="false">SUM(B273:M273)</f>
        <v>284462.564373</v>
      </c>
      <c r="O273" s="14" t="n">
        <f aca="false">MAX(B273:M273)</f>
        <v>33317.08847233</v>
      </c>
      <c r="P273" s="57" t="n">
        <f aca="false">O273/(parametros_manuales!$B$7)</f>
        <v>222.113923148867</v>
      </c>
      <c r="Q273" s="13" t="str">
        <f aca="false">IF(O273=0,"-",INDEX($B$253:$M$253,MATCH(O273,B273:M273,0)))</f>
        <v>Dic</v>
      </c>
    </row>
    <row r="274" customFormat="false" ht="14.25" hidden="false" customHeight="true" outlineLevel="0" collapsed="false">
      <c r="A274" s="13" t="str">
        <f aca="false">parametros_manuales!$B$39</f>
        <v>Carga de polvo</v>
      </c>
      <c r="B274" s="14" t="n">
        <f aca="false">(parametros_manuales!$D$39*('Plan mensual'!D101+IF(parametros_manuales!$H$39="Todos",'Plan mensual'!D105,0))+parametros_manuales!$E$39*('Plan mensual'!D102+IF(parametros_manuales!$H$39="Todos",'Plan mensual'!D106,0))+parametros_manuales!$F$39*('Plan mensual'!D103+IF(parametros_manuales!$H$39="Todos",'Plan mensual'!D107,0))+parametros_manuales!$G$39*('Plan mensual'!D104+IF(parametros_manuales!$H$39="Todos",'Plan mensual'!D108,0)))*parametros_manuales!$I$39*parametros_manuales!$J$39</f>
        <v>7858.3532199</v>
      </c>
      <c r="C274" s="14" t="n">
        <f aca="false">(parametros_manuales!$D$39*('Plan mensual'!E101+IF(parametros_manuales!$H$39="Todos",'Plan mensual'!E105,0))+parametros_manuales!$E$39*('Plan mensual'!E102+IF(parametros_manuales!$H$39="Todos",'Plan mensual'!E106,0))+parametros_manuales!$F$39*('Plan mensual'!E103+IF(parametros_manuales!$H$39="Todos",'Plan mensual'!E107,0))+parametros_manuales!$G$39*('Plan mensual'!E104+IF(parametros_manuales!$H$39="Todos",'Plan mensual'!E108,0)))*parametros_manuales!$I$39*parametros_manuales!$J$39</f>
        <v>6094.24674114</v>
      </c>
      <c r="D274" s="14" t="n">
        <f aca="false">(parametros_manuales!$D$39*('Plan mensual'!F101+IF(parametros_manuales!$H$39="Todos",'Plan mensual'!F105,0))+parametros_manuales!$E$39*('Plan mensual'!F102+IF(parametros_manuales!$H$39="Todos",'Plan mensual'!F106,0))+parametros_manuales!$F$39*('Plan mensual'!F103+IF(parametros_manuales!$H$39="Todos",'Plan mensual'!F107,0))+parametros_manuales!$G$39*('Plan mensual'!F104+IF(parametros_manuales!$H$39="Todos",'Plan mensual'!F108,0)))*parametros_manuales!$I$39*parametros_manuales!$J$39</f>
        <v>5974.002176055</v>
      </c>
      <c r="E274" s="14" t="n">
        <f aca="false">(parametros_manuales!$D$39*('Plan mensual'!G101+IF(parametros_manuales!$H$39="Todos",'Plan mensual'!G105,0))+parametros_manuales!$E$39*('Plan mensual'!G102+IF(parametros_manuales!$H$39="Todos",'Plan mensual'!G106,0))+parametros_manuales!$F$39*('Plan mensual'!G103+IF(parametros_manuales!$H$39="Todos",'Plan mensual'!G107,0))+parametros_manuales!$G$39*('Plan mensual'!G104+IF(parametros_manuales!$H$39="Todos",'Plan mensual'!G108,0)))*parametros_manuales!$I$39*parametros_manuales!$J$39</f>
        <v>5813.638980405</v>
      </c>
      <c r="F274" s="14" t="n">
        <f aca="false">(parametros_manuales!$D$39*('Plan mensual'!H101+IF(parametros_manuales!$H$39="Todos",'Plan mensual'!H105,0))+parametros_manuales!$E$39*('Plan mensual'!H102+IF(parametros_manuales!$H$39="Todos",'Plan mensual'!H106,0))+parametros_manuales!$F$39*('Plan mensual'!H103+IF(parametros_manuales!$H$39="Todos",'Plan mensual'!H107,0))+parametros_manuales!$G$39*('Plan mensual'!H104+IF(parametros_manuales!$H$39="Todos",'Plan mensual'!H108,0)))*parametros_manuales!$I$39*parametros_manuales!$J$39</f>
        <v>5452.79395854</v>
      </c>
      <c r="G274" s="14" t="n">
        <f aca="false">(parametros_manuales!$D$39*('Plan mensual'!I101+IF(parametros_manuales!$H$39="Todos",'Plan mensual'!I105,0))+parametros_manuales!$E$39*('Plan mensual'!I102+IF(parametros_manuales!$H$39="Todos",'Plan mensual'!I106,0))+parametros_manuales!$F$39*('Plan mensual'!I103+IF(parametros_manuales!$H$39="Todos",'Plan mensual'!I107,0))+parametros_manuales!$G$39*('Plan mensual'!I104+IF(parametros_manuales!$H$39="Todos",'Plan mensual'!I108,0)))*parametros_manuales!$I$39*parametros_manuales!$J$39</f>
        <v>5252.312132325</v>
      </c>
      <c r="H274" s="14" t="n">
        <f aca="false">(parametros_manuales!$D$39*('Plan mensual'!J101+IF(parametros_manuales!$H$39="Todos",'Plan mensual'!J105,0))+parametros_manuales!$E$39*('Plan mensual'!J102+IF(parametros_manuales!$H$39="Todos",'Plan mensual'!J106,0))+parametros_manuales!$F$39*('Plan mensual'!J103+IF(parametros_manuales!$H$39="Todos",'Plan mensual'!J107,0))+parametros_manuales!$G$39*('Plan mensual'!J104+IF(parametros_manuales!$H$39="Todos",'Plan mensual'!J108,0)))*parametros_manuales!$I$39*parametros_manuales!$J$39</f>
        <v>5613.15715419</v>
      </c>
      <c r="I274" s="14" t="n">
        <f aca="false">(parametros_manuales!$D$39*('Plan mensual'!K101+IF(parametros_manuales!$H$39="Todos",'Plan mensual'!K105,0))+parametros_manuales!$E$39*('Plan mensual'!K102+IF(parametros_manuales!$H$39="Todos",'Plan mensual'!K106,0))+parametros_manuales!$F$39*('Plan mensual'!K103+IF(parametros_manuales!$H$39="Todos",'Plan mensual'!K107,0))+parametros_manuales!$G$39*('Plan mensual'!K104+IF(parametros_manuales!$H$39="Todos",'Plan mensual'!K108,0)))*parametros_manuales!$I$39*parametros_manuales!$J$39</f>
        <v>5613.15715419</v>
      </c>
      <c r="J274" s="14" t="n">
        <f aca="false">(parametros_manuales!$D$39*('Plan mensual'!L101+IF(parametros_manuales!$H$39="Todos",'Plan mensual'!L105,0))+parametros_manuales!$E$39*('Plan mensual'!L102+IF(parametros_manuales!$H$39="Todos",'Plan mensual'!L106,0))+parametros_manuales!$F$39*('Plan mensual'!L103+IF(parametros_manuales!$H$39="Todos",'Plan mensual'!L107,0))+parametros_manuales!$G$39*('Plan mensual'!L104+IF(parametros_manuales!$H$39="Todos",'Plan mensual'!L108,0)))*parametros_manuales!$I$39*parametros_manuales!$J$39</f>
        <v>5613.15715419</v>
      </c>
      <c r="K274" s="14" t="n">
        <f aca="false">(parametros_manuales!$D$39*('Plan mensual'!M101+IF(parametros_manuales!$H$39="Todos",'Plan mensual'!M105,0))+parametros_manuales!$E$39*('Plan mensual'!M102+IF(parametros_manuales!$H$39="Todos",'Plan mensual'!M106,0))+parametros_manuales!$F$39*('Plan mensual'!M103+IF(parametros_manuales!$H$39="Todos",'Plan mensual'!M107,0))+parametros_manuales!$G$39*('Plan mensual'!M104+IF(parametros_manuales!$H$39="Todos",'Plan mensual'!M108,0)))*parametros_manuales!$I$39*parametros_manuales!$J$39</f>
        <v>5412.675327975</v>
      </c>
      <c r="L274" s="14" t="n">
        <f aca="false">(parametros_manuales!$D$39*('Plan mensual'!N101+IF(parametros_manuales!$H$39="Todos",'Plan mensual'!N105,0))+parametros_manuales!$E$39*('Plan mensual'!N102+IF(parametros_manuales!$H$39="Todos",'Plan mensual'!N106,0))+parametros_manuales!$F$39*('Plan mensual'!N103+IF(parametros_manuales!$H$39="Todos",'Plan mensual'!N107,0))+parametros_manuales!$G$39*('Plan mensual'!N104+IF(parametros_manuales!$H$39="Todos",'Plan mensual'!N108,0)))*parametros_manuales!$I$39*parametros_manuales!$J$39</f>
        <v>5212.19350176</v>
      </c>
      <c r="M274" s="14" t="n">
        <f aca="false">(parametros_manuales!$D$39*('Plan mensual'!O101+IF(parametros_manuales!$H$39="Todos",'Plan mensual'!O105,0))+parametros_manuales!$E$39*('Plan mensual'!O102+IF(parametros_manuales!$H$39="Todos",'Plan mensual'!O106,0))+parametros_manuales!$F$39*('Plan mensual'!O103+IF(parametros_manuales!$H$39="Todos",'Plan mensual'!O107,0))+parametros_manuales!$G$39*('Plan mensual'!O104+IF(parametros_manuales!$H$39="Todos",'Plan mensual'!O108,0)))*parametros_manuales!$I$39*parametros_manuales!$J$39</f>
        <v>8259.31687233</v>
      </c>
      <c r="N274" s="14" t="n">
        <f aca="false">SUM(B274:M274)</f>
        <v>72169.004373</v>
      </c>
      <c r="O274" s="14" t="n">
        <f aca="false">MAX(B274:M274)</f>
        <v>8259.31687233</v>
      </c>
      <c r="P274" s="57" t="n">
        <f aca="false">O274/(parametros_manuales!$B$7)</f>
        <v>55.0621124822</v>
      </c>
      <c r="Q274" s="13" t="str">
        <f aca="false">IF(O274=0,"-",INDEX($B$253:$M$253,MATCH(O274,B274:M274,0)))</f>
        <v>Dic</v>
      </c>
    </row>
    <row r="275" customFormat="false" ht="14.25" hidden="false" customHeight="true" outlineLevel="0" collapsed="false">
      <c r="A275" s="13" t="str">
        <f aca="false">parametros_manuales!$B$40</f>
        <v>Ensamblaje</v>
      </c>
      <c r="B275" s="14" t="n">
        <f aca="false">(parametros_manuales!$D$40*('Plan mensual'!D101+IF(parametros_manuales!$H$40="Todos",'Plan mensual'!D105,0))+parametros_manuales!$E$40*('Plan mensual'!D102+IF(parametros_manuales!$H$40="Todos",'Plan mensual'!D106,0))+parametros_manuales!$F$40*('Plan mensual'!D103+IF(parametros_manuales!$H$40="Todos",'Plan mensual'!D107,0))+parametros_manuales!$G$40*('Plan mensual'!D104+IF(parametros_manuales!$H$40="Todos",'Plan mensual'!D108,0)))*parametros_manuales!$I$40*parametros_manuales!$J$40</f>
        <v>7858.3532199</v>
      </c>
      <c r="C275" s="14" t="n">
        <f aca="false">(parametros_manuales!$D$40*('Plan mensual'!E101+IF(parametros_manuales!$H$40="Todos",'Plan mensual'!E105,0))+parametros_manuales!$E$40*('Plan mensual'!E102+IF(parametros_manuales!$H$40="Todos",'Plan mensual'!E106,0))+parametros_manuales!$F$40*('Plan mensual'!E103+IF(parametros_manuales!$H$40="Todos",'Plan mensual'!E107,0))+parametros_manuales!$G$40*('Plan mensual'!E104+IF(parametros_manuales!$H$40="Todos",'Plan mensual'!E108,0)))*parametros_manuales!$I$40*parametros_manuales!$J$40</f>
        <v>6094.24674114</v>
      </c>
      <c r="D275" s="14" t="n">
        <f aca="false">(parametros_manuales!$D$40*('Plan mensual'!F101+IF(parametros_manuales!$H$40="Todos",'Plan mensual'!F105,0))+parametros_manuales!$E$40*('Plan mensual'!F102+IF(parametros_manuales!$H$40="Todos",'Plan mensual'!F106,0))+parametros_manuales!$F$40*('Plan mensual'!F103+IF(parametros_manuales!$H$40="Todos",'Plan mensual'!F107,0))+parametros_manuales!$G$40*('Plan mensual'!F104+IF(parametros_manuales!$H$40="Todos",'Plan mensual'!F108,0)))*parametros_manuales!$I$40*parametros_manuales!$J$40</f>
        <v>5974.002176055</v>
      </c>
      <c r="E275" s="14" t="n">
        <f aca="false">(parametros_manuales!$D$40*('Plan mensual'!G101+IF(parametros_manuales!$H$40="Todos",'Plan mensual'!G105,0))+parametros_manuales!$E$40*('Plan mensual'!G102+IF(parametros_manuales!$H$40="Todos",'Plan mensual'!G106,0))+parametros_manuales!$F$40*('Plan mensual'!G103+IF(parametros_manuales!$H$40="Todos",'Plan mensual'!G107,0))+parametros_manuales!$G$40*('Plan mensual'!G104+IF(parametros_manuales!$H$40="Todos",'Plan mensual'!G108,0)))*parametros_manuales!$I$40*parametros_manuales!$J$40</f>
        <v>5813.638980405</v>
      </c>
      <c r="F275" s="14" t="n">
        <f aca="false">(parametros_manuales!$D$40*('Plan mensual'!H101+IF(parametros_manuales!$H$40="Todos",'Plan mensual'!H105,0))+parametros_manuales!$E$40*('Plan mensual'!H102+IF(parametros_manuales!$H$40="Todos",'Plan mensual'!H106,0))+parametros_manuales!$F$40*('Plan mensual'!H103+IF(parametros_manuales!$H$40="Todos",'Plan mensual'!H107,0))+parametros_manuales!$G$40*('Plan mensual'!H104+IF(parametros_manuales!$H$40="Todos",'Plan mensual'!H108,0)))*parametros_manuales!$I$40*parametros_manuales!$J$40</f>
        <v>5452.79395854</v>
      </c>
      <c r="G275" s="14" t="n">
        <f aca="false">(parametros_manuales!$D$40*('Plan mensual'!I101+IF(parametros_manuales!$H$40="Todos",'Plan mensual'!I105,0))+parametros_manuales!$E$40*('Plan mensual'!I102+IF(parametros_manuales!$H$40="Todos",'Plan mensual'!I106,0))+parametros_manuales!$F$40*('Plan mensual'!I103+IF(parametros_manuales!$H$40="Todos",'Plan mensual'!I107,0))+parametros_manuales!$G$40*('Plan mensual'!I104+IF(parametros_manuales!$H$40="Todos",'Plan mensual'!I108,0)))*parametros_manuales!$I$40*parametros_manuales!$J$40</f>
        <v>5252.312132325</v>
      </c>
      <c r="H275" s="14" t="n">
        <f aca="false">(parametros_manuales!$D$40*('Plan mensual'!J101+IF(parametros_manuales!$H$40="Todos",'Plan mensual'!J105,0))+parametros_manuales!$E$40*('Plan mensual'!J102+IF(parametros_manuales!$H$40="Todos",'Plan mensual'!J106,0))+parametros_manuales!$F$40*('Plan mensual'!J103+IF(parametros_manuales!$H$40="Todos",'Plan mensual'!J107,0))+parametros_manuales!$G$40*('Plan mensual'!J104+IF(parametros_manuales!$H$40="Todos",'Plan mensual'!J108,0)))*parametros_manuales!$I$40*parametros_manuales!$J$40</f>
        <v>5613.15715419</v>
      </c>
      <c r="I275" s="14" t="n">
        <f aca="false">(parametros_manuales!$D$40*('Plan mensual'!K101+IF(parametros_manuales!$H$40="Todos",'Plan mensual'!K105,0))+parametros_manuales!$E$40*('Plan mensual'!K102+IF(parametros_manuales!$H$40="Todos",'Plan mensual'!K106,0))+parametros_manuales!$F$40*('Plan mensual'!K103+IF(parametros_manuales!$H$40="Todos",'Plan mensual'!K107,0))+parametros_manuales!$G$40*('Plan mensual'!K104+IF(parametros_manuales!$H$40="Todos",'Plan mensual'!K108,0)))*parametros_manuales!$I$40*parametros_manuales!$J$40</f>
        <v>5613.15715419</v>
      </c>
      <c r="J275" s="14" t="n">
        <f aca="false">(parametros_manuales!$D$40*('Plan mensual'!L101+IF(parametros_manuales!$H$40="Todos",'Plan mensual'!L105,0))+parametros_manuales!$E$40*('Plan mensual'!L102+IF(parametros_manuales!$H$40="Todos",'Plan mensual'!L106,0))+parametros_manuales!$F$40*('Plan mensual'!L103+IF(parametros_manuales!$H$40="Todos",'Plan mensual'!L107,0))+parametros_manuales!$G$40*('Plan mensual'!L104+IF(parametros_manuales!$H$40="Todos",'Plan mensual'!L108,0)))*parametros_manuales!$I$40*parametros_manuales!$J$40</f>
        <v>5613.15715419</v>
      </c>
      <c r="K275" s="14" t="n">
        <f aca="false">(parametros_manuales!$D$40*('Plan mensual'!M101+IF(parametros_manuales!$H$40="Todos",'Plan mensual'!M105,0))+parametros_manuales!$E$40*('Plan mensual'!M102+IF(parametros_manuales!$H$40="Todos",'Plan mensual'!M106,0))+parametros_manuales!$F$40*('Plan mensual'!M103+IF(parametros_manuales!$H$40="Todos",'Plan mensual'!M107,0))+parametros_manuales!$G$40*('Plan mensual'!M104+IF(parametros_manuales!$H$40="Todos",'Plan mensual'!M108,0)))*parametros_manuales!$I$40*parametros_manuales!$J$40</f>
        <v>5412.675327975</v>
      </c>
      <c r="L275" s="14" t="n">
        <f aca="false">(parametros_manuales!$D$40*('Plan mensual'!N101+IF(parametros_manuales!$H$40="Todos",'Plan mensual'!N105,0))+parametros_manuales!$E$40*('Plan mensual'!N102+IF(parametros_manuales!$H$40="Todos",'Plan mensual'!N106,0))+parametros_manuales!$F$40*('Plan mensual'!N103+IF(parametros_manuales!$H$40="Todos",'Plan mensual'!N107,0))+parametros_manuales!$G$40*('Plan mensual'!N104+IF(parametros_manuales!$H$40="Todos",'Plan mensual'!N108,0)))*parametros_manuales!$I$40*parametros_manuales!$J$40</f>
        <v>5212.19350176</v>
      </c>
      <c r="M275" s="14" t="n">
        <f aca="false">(parametros_manuales!$D$40*('Plan mensual'!O101+IF(parametros_manuales!$H$40="Todos",'Plan mensual'!O105,0))+parametros_manuales!$E$40*('Plan mensual'!O102+IF(parametros_manuales!$H$40="Todos",'Plan mensual'!O106,0))+parametros_manuales!$F$40*('Plan mensual'!O103+IF(parametros_manuales!$H$40="Todos",'Plan mensual'!O107,0))+parametros_manuales!$G$40*('Plan mensual'!O104+IF(parametros_manuales!$H$40="Todos",'Plan mensual'!O108,0)))*parametros_manuales!$I$40*parametros_manuales!$J$40</f>
        <v>8259.31687233</v>
      </c>
      <c r="N275" s="14" t="n">
        <f aca="false">SUM(B275:M275)</f>
        <v>72169.004373</v>
      </c>
      <c r="O275" s="14" t="n">
        <f aca="false">MAX(B275:M275)</f>
        <v>8259.31687233</v>
      </c>
      <c r="P275" s="57" t="n">
        <f aca="false">O275/(parametros_manuales!$B$7)</f>
        <v>55.0621124822</v>
      </c>
      <c r="Q275" s="13" t="str">
        <f aca="false">IF(O275=0,"-",INDEX($B$253:$M$253,MATCH(O275,B275:M275,0)))</f>
        <v>Dic</v>
      </c>
    </row>
    <row r="276" customFormat="false" ht="14.25" hidden="false" customHeight="true" outlineLevel="0" collapsed="false">
      <c r="A276" s="13" t="str">
        <f aca="false">parametros_manuales!$B$41</f>
        <v>Presurización</v>
      </c>
      <c r="B276" s="14" t="n">
        <f aca="false">(parametros_manuales!$D$41*('Plan mensual'!D101+IF(parametros_manuales!$H$41="Todos",'Plan mensual'!D105,0))+parametros_manuales!$E$41*('Plan mensual'!D102+IF(parametros_manuales!$H$41="Todos",'Plan mensual'!D106,0))+parametros_manuales!$F$41*('Plan mensual'!D103+IF(parametros_manuales!$H$41="Todos",'Plan mensual'!D107,0))+parametros_manuales!$G$41*('Plan mensual'!D104+IF(parametros_manuales!$H$41="Todos",'Plan mensual'!D108,0)))*parametros_manuales!$I$41*parametros_manuales!$J$41</f>
        <v>7858.3532199</v>
      </c>
      <c r="C276" s="14" t="n">
        <f aca="false">(parametros_manuales!$D$41*('Plan mensual'!E101+IF(parametros_manuales!$H$41="Todos",'Plan mensual'!E105,0))+parametros_manuales!$E$41*('Plan mensual'!E102+IF(parametros_manuales!$H$41="Todos",'Plan mensual'!E106,0))+parametros_manuales!$F$41*('Plan mensual'!E103+IF(parametros_manuales!$H$41="Todos",'Plan mensual'!E107,0))+parametros_manuales!$G$41*('Plan mensual'!E104+IF(parametros_manuales!$H$41="Todos",'Plan mensual'!E108,0)))*parametros_manuales!$I$41*parametros_manuales!$J$41</f>
        <v>6094.24674114</v>
      </c>
      <c r="D276" s="14" t="n">
        <f aca="false">(parametros_manuales!$D$41*('Plan mensual'!F101+IF(parametros_manuales!$H$41="Todos",'Plan mensual'!F105,0))+parametros_manuales!$E$41*('Plan mensual'!F102+IF(parametros_manuales!$H$41="Todos",'Plan mensual'!F106,0))+parametros_manuales!$F$41*('Plan mensual'!F103+IF(parametros_manuales!$H$41="Todos",'Plan mensual'!F107,0))+parametros_manuales!$G$41*('Plan mensual'!F104+IF(parametros_manuales!$H$41="Todos",'Plan mensual'!F108,0)))*parametros_manuales!$I$41*parametros_manuales!$J$41</f>
        <v>5974.002176055</v>
      </c>
      <c r="E276" s="14" t="n">
        <f aca="false">(parametros_manuales!$D$41*('Plan mensual'!G101+IF(parametros_manuales!$H$41="Todos",'Plan mensual'!G105,0))+parametros_manuales!$E$41*('Plan mensual'!G102+IF(parametros_manuales!$H$41="Todos",'Plan mensual'!G106,0))+parametros_manuales!$F$41*('Plan mensual'!G103+IF(parametros_manuales!$H$41="Todos",'Plan mensual'!G107,0))+parametros_manuales!$G$41*('Plan mensual'!G104+IF(parametros_manuales!$H$41="Todos",'Plan mensual'!G108,0)))*parametros_manuales!$I$41*parametros_manuales!$J$41</f>
        <v>5813.638980405</v>
      </c>
      <c r="F276" s="14" t="n">
        <f aca="false">(parametros_manuales!$D$41*('Plan mensual'!H101+IF(parametros_manuales!$H$41="Todos",'Plan mensual'!H105,0))+parametros_manuales!$E$41*('Plan mensual'!H102+IF(parametros_manuales!$H$41="Todos",'Plan mensual'!H106,0))+parametros_manuales!$F$41*('Plan mensual'!H103+IF(parametros_manuales!$H$41="Todos",'Plan mensual'!H107,0))+parametros_manuales!$G$41*('Plan mensual'!H104+IF(parametros_manuales!$H$41="Todos",'Plan mensual'!H108,0)))*parametros_manuales!$I$41*parametros_manuales!$J$41</f>
        <v>5452.79395854</v>
      </c>
      <c r="G276" s="14" t="n">
        <f aca="false">(parametros_manuales!$D$41*('Plan mensual'!I101+IF(parametros_manuales!$H$41="Todos",'Plan mensual'!I105,0))+parametros_manuales!$E$41*('Plan mensual'!I102+IF(parametros_manuales!$H$41="Todos",'Plan mensual'!I106,0))+parametros_manuales!$F$41*('Plan mensual'!I103+IF(parametros_manuales!$H$41="Todos",'Plan mensual'!I107,0))+parametros_manuales!$G$41*('Plan mensual'!I104+IF(parametros_manuales!$H$41="Todos",'Plan mensual'!I108,0)))*parametros_manuales!$I$41*parametros_manuales!$J$41</f>
        <v>5252.312132325</v>
      </c>
      <c r="H276" s="14" t="n">
        <f aca="false">(parametros_manuales!$D$41*('Plan mensual'!J101+IF(parametros_manuales!$H$41="Todos",'Plan mensual'!J105,0))+parametros_manuales!$E$41*('Plan mensual'!J102+IF(parametros_manuales!$H$41="Todos",'Plan mensual'!J106,0))+parametros_manuales!$F$41*('Plan mensual'!J103+IF(parametros_manuales!$H$41="Todos",'Plan mensual'!J107,0))+parametros_manuales!$G$41*('Plan mensual'!J104+IF(parametros_manuales!$H$41="Todos",'Plan mensual'!J108,0)))*parametros_manuales!$I$41*parametros_manuales!$J$41</f>
        <v>5613.15715419</v>
      </c>
      <c r="I276" s="14" t="n">
        <f aca="false">(parametros_manuales!$D$41*('Plan mensual'!K101+IF(parametros_manuales!$H$41="Todos",'Plan mensual'!K105,0))+parametros_manuales!$E$41*('Plan mensual'!K102+IF(parametros_manuales!$H$41="Todos",'Plan mensual'!K106,0))+parametros_manuales!$F$41*('Plan mensual'!K103+IF(parametros_manuales!$H$41="Todos",'Plan mensual'!K107,0))+parametros_manuales!$G$41*('Plan mensual'!K104+IF(parametros_manuales!$H$41="Todos",'Plan mensual'!K108,0)))*parametros_manuales!$I$41*parametros_manuales!$J$41</f>
        <v>5613.15715419</v>
      </c>
      <c r="J276" s="14" t="n">
        <f aca="false">(parametros_manuales!$D$41*('Plan mensual'!L101+IF(parametros_manuales!$H$41="Todos",'Plan mensual'!L105,0))+parametros_manuales!$E$41*('Plan mensual'!L102+IF(parametros_manuales!$H$41="Todos",'Plan mensual'!L106,0))+parametros_manuales!$F$41*('Plan mensual'!L103+IF(parametros_manuales!$H$41="Todos",'Plan mensual'!L107,0))+parametros_manuales!$G$41*('Plan mensual'!L104+IF(parametros_manuales!$H$41="Todos",'Plan mensual'!L108,0)))*parametros_manuales!$I$41*parametros_manuales!$J$41</f>
        <v>5613.15715419</v>
      </c>
      <c r="K276" s="14" t="n">
        <f aca="false">(parametros_manuales!$D$41*('Plan mensual'!M101+IF(parametros_manuales!$H$41="Todos",'Plan mensual'!M105,0))+parametros_manuales!$E$41*('Plan mensual'!M102+IF(parametros_manuales!$H$41="Todos",'Plan mensual'!M106,0))+parametros_manuales!$F$41*('Plan mensual'!M103+IF(parametros_manuales!$H$41="Todos",'Plan mensual'!M107,0))+parametros_manuales!$G$41*('Plan mensual'!M104+IF(parametros_manuales!$H$41="Todos",'Plan mensual'!M108,0)))*parametros_manuales!$I$41*parametros_manuales!$J$41</f>
        <v>5412.675327975</v>
      </c>
      <c r="L276" s="14" t="n">
        <f aca="false">(parametros_manuales!$D$41*('Plan mensual'!N101+IF(parametros_manuales!$H$41="Todos",'Plan mensual'!N105,0))+parametros_manuales!$E$41*('Plan mensual'!N102+IF(parametros_manuales!$H$41="Todos",'Plan mensual'!N106,0))+parametros_manuales!$F$41*('Plan mensual'!N103+IF(parametros_manuales!$H$41="Todos",'Plan mensual'!N107,0))+parametros_manuales!$G$41*('Plan mensual'!N104+IF(parametros_manuales!$H$41="Todos",'Plan mensual'!N108,0)))*parametros_manuales!$I$41*parametros_manuales!$J$41</f>
        <v>5212.19350176</v>
      </c>
      <c r="M276" s="14" t="n">
        <f aca="false">(parametros_manuales!$D$41*('Plan mensual'!O101+IF(parametros_manuales!$H$41="Todos",'Plan mensual'!O105,0))+parametros_manuales!$E$41*('Plan mensual'!O102+IF(parametros_manuales!$H$41="Todos",'Plan mensual'!O106,0))+parametros_manuales!$F$41*('Plan mensual'!O103+IF(parametros_manuales!$H$41="Todos",'Plan mensual'!O107,0))+parametros_manuales!$G$41*('Plan mensual'!O104+IF(parametros_manuales!$H$41="Todos",'Plan mensual'!O108,0)))*parametros_manuales!$I$41*parametros_manuales!$J$41</f>
        <v>8259.31687233</v>
      </c>
      <c r="N276" s="14" t="n">
        <f aca="false">SUM(B276:M276)</f>
        <v>72169.004373</v>
      </c>
      <c r="O276" s="14" t="n">
        <f aca="false">MAX(B276:M276)</f>
        <v>8259.31687233</v>
      </c>
      <c r="P276" s="57" t="n">
        <f aca="false">O276/(parametros_manuales!$B$7)</f>
        <v>55.0621124822</v>
      </c>
      <c r="Q276" s="13" t="str">
        <f aca="false">IF(O276=0,"-",INDEX($B$253:$M$253,MATCH(O276,B276:M276,0)))</f>
        <v>Dic</v>
      </c>
    </row>
    <row r="277" customFormat="false" ht="14.25" hidden="false" customHeight="true" outlineLevel="0" collapsed="false">
      <c r="A277" s="13" t="str">
        <f aca="false">parametros_manuales!$B$42</f>
        <v>Control de calidad — Ensayo de pérdidas</v>
      </c>
      <c r="B277" s="14" t="n">
        <f aca="false">(parametros_manuales!$D$42*('Plan mensual'!D101+IF(parametros_manuales!$H$42="Todos",'Plan mensual'!D105,0))+parametros_manuales!$E$42*('Plan mensual'!D102+IF(parametros_manuales!$H$42="Todos",'Plan mensual'!D106,0))+parametros_manuales!$F$42*('Plan mensual'!D103+IF(parametros_manuales!$H$42="Todos",'Plan mensual'!D107,0))+parametros_manuales!$G$42*('Plan mensual'!D104+IF(parametros_manuales!$H$42="Todos",'Plan mensual'!D108,0)))*parametros_manuales!$I$42*parametros_manuales!$J$42</f>
        <v>7858.3532199</v>
      </c>
      <c r="C277" s="14" t="n">
        <f aca="false">(parametros_manuales!$D$42*('Plan mensual'!E101+IF(parametros_manuales!$H$42="Todos",'Plan mensual'!E105,0))+parametros_manuales!$E$42*('Plan mensual'!E102+IF(parametros_manuales!$H$42="Todos",'Plan mensual'!E106,0))+parametros_manuales!$F$42*('Plan mensual'!E103+IF(parametros_manuales!$H$42="Todos",'Plan mensual'!E107,0))+parametros_manuales!$G$42*('Plan mensual'!E104+IF(parametros_manuales!$H$42="Todos",'Plan mensual'!E108,0)))*parametros_manuales!$I$42*parametros_manuales!$J$42</f>
        <v>6094.24674114</v>
      </c>
      <c r="D277" s="14" t="n">
        <f aca="false">(parametros_manuales!$D$42*('Plan mensual'!F101+IF(parametros_manuales!$H$42="Todos",'Plan mensual'!F105,0))+parametros_manuales!$E$42*('Plan mensual'!F102+IF(parametros_manuales!$H$42="Todos",'Plan mensual'!F106,0))+parametros_manuales!$F$42*('Plan mensual'!F103+IF(parametros_manuales!$H$42="Todos",'Plan mensual'!F107,0))+parametros_manuales!$G$42*('Plan mensual'!F104+IF(parametros_manuales!$H$42="Todos",'Plan mensual'!F108,0)))*parametros_manuales!$I$42*parametros_manuales!$J$42</f>
        <v>5974.002176055</v>
      </c>
      <c r="E277" s="14" t="n">
        <f aca="false">(parametros_manuales!$D$42*('Plan mensual'!G101+IF(parametros_manuales!$H$42="Todos",'Plan mensual'!G105,0))+parametros_manuales!$E$42*('Plan mensual'!G102+IF(parametros_manuales!$H$42="Todos",'Plan mensual'!G106,0))+parametros_manuales!$F$42*('Plan mensual'!G103+IF(parametros_manuales!$H$42="Todos",'Plan mensual'!G107,0))+parametros_manuales!$G$42*('Plan mensual'!G104+IF(parametros_manuales!$H$42="Todos",'Plan mensual'!G108,0)))*parametros_manuales!$I$42*parametros_manuales!$J$42</f>
        <v>5813.638980405</v>
      </c>
      <c r="F277" s="14" t="n">
        <f aca="false">(parametros_manuales!$D$42*('Plan mensual'!H101+IF(parametros_manuales!$H$42="Todos",'Plan mensual'!H105,0))+parametros_manuales!$E$42*('Plan mensual'!H102+IF(parametros_manuales!$H$42="Todos",'Plan mensual'!H106,0))+parametros_manuales!$F$42*('Plan mensual'!H103+IF(parametros_manuales!$H$42="Todos",'Plan mensual'!H107,0))+parametros_manuales!$G$42*('Plan mensual'!H104+IF(parametros_manuales!$H$42="Todos",'Plan mensual'!H108,0)))*parametros_manuales!$I$42*parametros_manuales!$J$42</f>
        <v>5452.79395854</v>
      </c>
      <c r="G277" s="14" t="n">
        <f aca="false">(parametros_manuales!$D$42*('Plan mensual'!I101+IF(parametros_manuales!$H$42="Todos",'Plan mensual'!I105,0))+parametros_manuales!$E$42*('Plan mensual'!I102+IF(parametros_manuales!$H$42="Todos",'Plan mensual'!I106,0))+parametros_manuales!$F$42*('Plan mensual'!I103+IF(parametros_manuales!$H$42="Todos",'Plan mensual'!I107,0))+parametros_manuales!$G$42*('Plan mensual'!I104+IF(parametros_manuales!$H$42="Todos",'Plan mensual'!I108,0)))*parametros_manuales!$I$42*parametros_manuales!$J$42</f>
        <v>5252.312132325</v>
      </c>
      <c r="H277" s="14" t="n">
        <f aca="false">(parametros_manuales!$D$42*('Plan mensual'!J101+IF(parametros_manuales!$H$42="Todos",'Plan mensual'!J105,0))+parametros_manuales!$E$42*('Plan mensual'!J102+IF(parametros_manuales!$H$42="Todos",'Plan mensual'!J106,0))+parametros_manuales!$F$42*('Plan mensual'!J103+IF(parametros_manuales!$H$42="Todos",'Plan mensual'!J107,0))+parametros_manuales!$G$42*('Plan mensual'!J104+IF(parametros_manuales!$H$42="Todos",'Plan mensual'!J108,0)))*parametros_manuales!$I$42*parametros_manuales!$J$42</f>
        <v>5613.15715419</v>
      </c>
      <c r="I277" s="14" t="n">
        <f aca="false">(parametros_manuales!$D$42*('Plan mensual'!K101+IF(parametros_manuales!$H$42="Todos",'Plan mensual'!K105,0))+parametros_manuales!$E$42*('Plan mensual'!K102+IF(parametros_manuales!$H$42="Todos",'Plan mensual'!K106,0))+parametros_manuales!$F$42*('Plan mensual'!K103+IF(parametros_manuales!$H$42="Todos",'Plan mensual'!K107,0))+parametros_manuales!$G$42*('Plan mensual'!K104+IF(parametros_manuales!$H$42="Todos",'Plan mensual'!K108,0)))*parametros_manuales!$I$42*parametros_manuales!$J$42</f>
        <v>5613.15715419</v>
      </c>
      <c r="J277" s="14" t="n">
        <f aca="false">(parametros_manuales!$D$42*('Plan mensual'!L101+IF(parametros_manuales!$H$42="Todos",'Plan mensual'!L105,0))+parametros_manuales!$E$42*('Plan mensual'!L102+IF(parametros_manuales!$H$42="Todos",'Plan mensual'!L106,0))+parametros_manuales!$F$42*('Plan mensual'!L103+IF(parametros_manuales!$H$42="Todos",'Plan mensual'!L107,0))+parametros_manuales!$G$42*('Plan mensual'!L104+IF(parametros_manuales!$H$42="Todos",'Plan mensual'!L108,0)))*parametros_manuales!$I$42*parametros_manuales!$J$42</f>
        <v>5613.15715419</v>
      </c>
      <c r="K277" s="14" t="n">
        <f aca="false">(parametros_manuales!$D$42*('Plan mensual'!M101+IF(parametros_manuales!$H$42="Todos",'Plan mensual'!M105,0))+parametros_manuales!$E$42*('Plan mensual'!M102+IF(parametros_manuales!$H$42="Todos",'Plan mensual'!M106,0))+parametros_manuales!$F$42*('Plan mensual'!M103+IF(parametros_manuales!$H$42="Todos",'Plan mensual'!M107,0))+parametros_manuales!$G$42*('Plan mensual'!M104+IF(parametros_manuales!$H$42="Todos",'Plan mensual'!M108,0)))*parametros_manuales!$I$42*parametros_manuales!$J$42</f>
        <v>5412.675327975</v>
      </c>
      <c r="L277" s="14" t="n">
        <f aca="false">(parametros_manuales!$D$42*('Plan mensual'!N101+IF(parametros_manuales!$H$42="Todos",'Plan mensual'!N105,0))+parametros_manuales!$E$42*('Plan mensual'!N102+IF(parametros_manuales!$H$42="Todos",'Plan mensual'!N106,0))+parametros_manuales!$F$42*('Plan mensual'!N103+IF(parametros_manuales!$H$42="Todos",'Plan mensual'!N107,0))+parametros_manuales!$G$42*('Plan mensual'!N104+IF(parametros_manuales!$H$42="Todos",'Plan mensual'!N108,0)))*parametros_manuales!$I$42*parametros_manuales!$J$42</f>
        <v>5212.19350176</v>
      </c>
      <c r="M277" s="14" t="n">
        <f aca="false">(parametros_manuales!$D$42*('Plan mensual'!O101+IF(parametros_manuales!$H$42="Todos",'Plan mensual'!O105,0))+parametros_manuales!$E$42*('Plan mensual'!O102+IF(parametros_manuales!$H$42="Todos",'Plan mensual'!O106,0))+parametros_manuales!$F$42*('Plan mensual'!O103+IF(parametros_manuales!$H$42="Todos",'Plan mensual'!O107,0))+parametros_manuales!$G$42*('Plan mensual'!O104+IF(parametros_manuales!$H$42="Todos",'Plan mensual'!O108,0)))*parametros_manuales!$I$42*parametros_manuales!$J$42</f>
        <v>8259.31687233</v>
      </c>
      <c r="N277" s="14" t="n">
        <f aca="false">SUM(B277:M277)</f>
        <v>72169.004373</v>
      </c>
      <c r="O277" s="14" t="n">
        <f aca="false">MAX(B277:M277)</f>
        <v>8259.31687233</v>
      </c>
      <c r="P277" s="57" t="n">
        <f aca="false">O277/(parametros_manuales!$B$7)</f>
        <v>55.0621124822</v>
      </c>
      <c r="Q277" s="13" t="str">
        <f aca="false">IF(O277=0,"-",INDEX($B$253:$M$253,MATCH(O277,B277:M277,0)))</f>
        <v>Dic</v>
      </c>
    </row>
    <row r="278" customFormat="false" ht="14.25" hidden="false" customHeight="true" outlineLevel="0" collapsed="false">
      <c r="A278" s="13" t="str">
        <f aca="false">parametros_manuales!$B$43</f>
        <v>Etiquetado</v>
      </c>
      <c r="B278" s="14" t="n">
        <f aca="false">(parametros_manuales!$D$43*('Plan mensual'!D101+IF(parametros_manuales!$H$43="Todos",'Plan mensual'!D105,0))+parametros_manuales!$E$43*('Plan mensual'!D102+IF(parametros_manuales!$H$43="Todos",'Plan mensual'!D106,0))+parametros_manuales!$F$43*('Plan mensual'!D103+IF(parametros_manuales!$H$43="Todos",'Plan mensual'!D107,0))+parametros_manuales!$G$43*('Plan mensual'!D104+IF(parametros_manuales!$H$43="Todos",'Plan mensual'!D108,0)))*parametros_manuales!$I$43*parametros_manuales!$J$43</f>
        <v>7858.3532199</v>
      </c>
      <c r="C278" s="14" t="n">
        <f aca="false">(parametros_manuales!$D$43*('Plan mensual'!E101+IF(parametros_manuales!$H$43="Todos",'Plan mensual'!E105,0))+parametros_manuales!$E$43*('Plan mensual'!E102+IF(parametros_manuales!$H$43="Todos",'Plan mensual'!E106,0))+parametros_manuales!$F$43*('Plan mensual'!E103+IF(parametros_manuales!$H$43="Todos",'Plan mensual'!E107,0))+parametros_manuales!$G$43*('Plan mensual'!E104+IF(parametros_manuales!$H$43="Todos",'Plan mensual'!E108,0)))*parametros_manuales!$I$43*parametros_manuales!$J$43</f>
        <v>6094.24674114</v>
      </c>
      <c r="D278" s="14" t="n">
        <f aca="false">(parametros_manuales!$D$43*('Plan mensual'!F101+IF(parametros_manuales!$H$43="Todos",'Plan mensual'!F105,0))+parametros_manuales!$E$43*('Plan mensual'!F102+IF(parametros_manuales!$H$43="Todos",'Plan mensual'!F106,0))+parametros_manuales!$F$43*('Plan mensual'!F103+IF(parametros_manuales!$H$43="Todos",'Plan mensual'!F107,0))+parametros_manuales!$G$43*('Plan mensual'!F104+IF(parametros_manuales!$H$43="Todos",'Plan mensual'!F108,0)))*parametros_manuales!$I$43*parametros_manuales!$J$43</f>
        <v>5974.002176055</v>
      </c>
      <c r="E278" s="14" t="n">
        <f aca="false">(parametros_manuales!$D$43*('Plan mensual'!G101+IF(parametros_manuales!$H$43="Todos",'Plan mensual'!G105,0))+parametros_manuales!$E$43*('Plan mensual'!G102+IF(parametros_manuales!$H$43="Todos",'Plan mensual'!G106,0))+parametros_manuales!$F$43*('Plan mensual'!G103+IF(parametros_manuales!$H$43="Todos",'Plan mensual'!G107,0))+parametros_manuales!$G$43*('Plan mensual'!G104+IF(parametros_manuales!$H$43="Todos",'Plan mensual'!G108,0)))*parametros_manuales!$I$43*parametros_manuales!$J$43</f>
        <v>5813.638980405</v>
      </c>
      <c r="F278" s="14" t="n">
        <f aca="false">(parametros_manuales!$D$43*('Plan mensual'!H101+IF(parametros_manuales!$H$43="Todos",'Plan mensual'!H105,0))+parametros_manuales!$E$43*('Plan mensual'!H102+IF(parametros_manuales!$H$43="Todos",'Plan mensual'!H106,0))+parametros_manuales!$F$43*('Plan mensual'!H103+IF(parametros_manuales!$H$43="Todos",'Plan mensual'!H107,0))+parametros_manuales!$G$43*('Plan mensual'!H104+IF(parametros_manuales!$H$43="Todos",'Plan mensual'!H108,0)))*parametros_manuales!$I$43*parametros_manuales!$J$43</f>
        <v>5452.79395854</v>
      </c>
      <c r="G278" s="14" t="n">
        <f aca="false">(parametros_manuales!$D$43*('Plan mensual'!I101+IF(parametros_manuales!$H$43="Todos",'Plan mensual'!I105,0))+parametros_manuales!$E$43*('Plan mensual'!I102+IF(parametros_manuales!$H$43="Todos",'Plan mensual'!I106,0))+parametros_manuales!$F$43*('Plan mensual'!I103+IF(parametros_manuales!$H$43="Todos",'Plan mensual'!I107,0))+parametros_manuales!$G$43*('Plan mensual'!I104+IF(parametros_manuales!$H$43="Todos",'Plan mensual'!I108,0)))*parametros_manuales!$I$43*parametros_manuales!$J$43</f>
        <v>5252.312132325</v>
      </c>
      <c r="H278" s="14" t="n">
        <f aca="false">(parametros_manuales!$D$43*('Plan mensual'!J101+IF(parametros_manuales!$H$43="Todos",'Plan mensual'!J105,0))+parametros_manuales!$E$43*('Plan mensual'!J102+IF(parametros_manuales!$H$43="Todos",'Plan mensual'!J106,0))+parametros_manuales!$F$43*('Plan mensual'!J103+IF(parametros_manuales!$H$43="Todos",'Plan mensual'!J107,0))+parametros_manuales!$G$43*('Plan mensual'!J104+IF(parametros_manuales!$H$43="Todos",'Plan mensual'!J108,0)))*parametros_manuales!$I$43*parametros_manuales!$J$43</f>
        <v>5613.15715419</v>
      </c>
      <c r="I278" s="14" t="n">
        <f aca="false">(parametros_manuales!$D$43*('Plan mensual'!K101+IF(parametros_manuales!$H$43="Todos",'Plan mensual'!K105,0))+parametros_manuales!$E$43*('Plan mensual'!K102+IF(parametros_manuales!$H$43="Todos",'Plan mensual'!K106,0))+parametros_manuales!$F$43*('Plan mensual'!K103+IF(parametros_manuales!$H$43="Todos",'Plan mensual'!K107,0))+parametros_manuales!$G$43*('Plan mensual'!K104+IF(parametros_manuales!$H$43="Todos",'Plan mensual'!K108,0)))*parametros_manuales!$I$43*parametros_manuales!$J$43</f>
        <v>5613.15715419</v>
      </c>
      <c r="J278" s="14" t="n">
        <f aca="false">(parametros_manuales!$D$43*('Plan mensual'!L101+IF(parametros_manuales!$H$43="Todos",'Plan mensual'!L105,0))+parametros_manuales!$E$43*('Plan mensual'!L102+IF(parametros_manuales!$H$43="Todos",'Plan mensual'!L106,0))+parametros_manuales!$F$43*('Plan mensual'!L103+IF(parametros_manuales!$H$43="Todos",'Plan mensual'!L107,0))+parametros_manuales!$G$43*('Plan mensual'!L104+IF(parametros_manuales!$H$43="Todos",'Plan mensual'!L108,0)))*parametros_manuales!$I$43*parametros_manuales!$J$43</f>
        <v>5613.15715419</v>
      </c>
      <c r="K278" s="14" t="n">
        <f aca="false">(parametros_manuales!$D$43*('Plan mensual'!M101+IF(parametros_manuales!$H$43="Todos",'Plan mensual'!M105,0))+parametros_manuales!$E$43*('Plan mensual'!M102+IF(parametros_manuales!$H$43="Todos",'Plan mensual'!M106,0))+parametros_manuales!$F$43*('Plan mensual'!M103+IF(parametros_manuales!$H$43="Todos",'Plan mensual'!M107,0))+parametros_manuales!$G$43*('Plan mensual'!M104+IF(parametros_manuales!$H$43="Todos",'Plan mensual'!M108,0)))*parametros_manuales!$I$43*parametros_manuales!$J$43</f>
        <v>5412.675327975</v>
      </c>
      <c r="L278" s="14" t="n">
        <f aca="false">(parametros_manuales!$D$43*('Plan mensual'!N101+IF(parametros_manuales!$H$43="Todos",'Plan mensual'!N105,0))+parametros_manuales!$E$43*('Plan mensual'!N102+IF(parametros_manuales!$H$43="Todos",'Plan mensual'!N106,0))+parametros_manuales!$F$43*('Plan mensual'!N103+IF(parametros_manuales!$H$43="Todos",'Plan mensual'!N107,0))+parametros_manuales!$G$43*('Plan mensual'!N104+IF(parametros_manuales!$H$43="Todos",'Plan mensual'!N108,0)))*parametros_manuales!$I$43*parametros_manuales!$J$43</f>
        <v>5212.19350176</v>
      </c>
      <c r="M278" s="14" t="n">
        <f aca="false">(parametros_manuales!$D$43*('Plan mensual'!O101+IF(parametros_manuales!$H$43="Todos",'Plan mensual'!O105,0))+parametros_manuales!$E$43*('Plan mensual'!O102+IF(parametros_manuales!$H$43="Todos",'Plan mensual'!O106,0))+parametros_manuales!$F$43*('Plan mensual'!O103+IF(parametros_manuales!$H$43="Todos",'Plan mensual'!O107,0))+parametros_manuales!$G$43*('Plan mensual'!O104+IF(parametros_manuales!$H$43="Todos",'Plan mensual'!O108,0)))*parametros_manuales!$I$43*parametros_manuales!$J$43</f>
        <v>8259.31687233</v>
      </c>
      <c r="N278" s="14" t="n">
        <f aca="false">SUM(B278:M278)</f>
        <v>72169.004373</v>
      </c>
      <c r="O278" s="14" t="n">
        <f aca="false">MAX(B278:M278)</f>
        <v>8259.31687233</v>
      </c>
      <c r="P278" s="57" t="n">
        <f aca="false">O278/(parametros_manuales!$B$7)</f>
        <v>55.0621124822</v>
      </c>
      <c r="Q278" s="13" t="str">
        <f aca="false">IF(O278=0,"-",INDEX($B$253:$M$253,MATCH(O278,B278:M278,0)))</f>
        <v>Dic</v>
      </c>
    </row>
    <row r="279" customFormat="false" ht="14.25" hidden="false" customHeight="true" outlineLevel="0" collapsed="false">
      <c r="A279" s="13" t="str">
        <f aca="false">parametros_manuales!$B$44</f>
        <v>Embalaje y paletizado</v>
      </c>
      <c r="B279" s="14" t="n">
        <f aca="false">(parametros_manuales!$D$44*('Plan mensual'!D101+IF(parametros_manuales!$H$44="Todos",'Plan mensual'!D105,0))+parametros_manuales!$E$44*('Plan mensual'!D102+IF(parametros_manuales!$H$44="Todos",'Plan mensual'!D106,0))+parametros_manuales!$F$44*('Plan mensual'!D103+IF(parametros_manuales!$H$44="Todos",'Plan mensual'!D107,0))+parametros_manuales!$G$44*('Plan mensual'!D104+IF(parametros_manuales!$H$44="Todos",'Plan mensual'!D108,0)))*parametros_manuales!$I$44*parametros_manuales!$J$44</f>
        <v>32498.6692199</v>
      </c>
      <c r="C279" s="14" t="n">
        <f aca="false">(parametros_manuales!$D$44*('Plan mensual'!E101+IF(parametros_manuales!$H$44="Todos",'Plan mensual'!E105,0))+parametros_manuales!$E$44*('Plan mensual'!E102+IF(parametros_manuales!$H$44="Todos",'Plan mensual'!E106,0))+parametros_manuales!$F$44*('Plan mensual'!E103+IF(parametros_manuales!$H$44="Todos",'Plan mensual'!E107,0))+parametros_manuales!$G$44*('Plan mensual'!E104+IF(parametros_manuales!$H$44="Todos",'Plan mensual'!E108,0)))*parametros_manuales!$I$44*parametros_manuales!$J$44</f>
        <v>24783.21154114</v>
      </c>
      <c r="D279" s="14" t="n">
        <f aca="false">(parametros_manuales!$D$44*('Plan mensual'!F101+IF(parametros_manuales!$H$44="Todos",'Plan mensual'!F105,0))+parametros_manuales!$E$44*('Plan mensual'!F102+IF(parametros_manuales!$H$44="Todos",'Plan mensual'!F106,0))+parametros_manuales!$F$44*('Plan mensual'!F103+IF(parametros_manuales!$H$44="Todos",'Plan mensual'!F107,0))+parametros_manuales!$G$44*('Plan mensual'!F104+IF(parametros_manuales!$H$44="Todos",'Plan mensual'!F108,0)))*parametros_manuales!$I$44*parametros_manuales!$J$44</f>
        <v>23166.214776055</v>
      </c>
      <c r="E279" s="14" t="n">
        <f aca="false">(parametros_manuales!$D$44*('Plan mensual'!G101+IF(parametros_manuales!$H$44="Todos",'Plan mensual'!G105,0))+parametros_manuales!$E$44*('Plan mensual'!G102+IF(parametros_manuales!$H$44="Todos",'Plan mensual'!G106,0))+parametros_manuales!$F$44*('Plan mensual'!G103+IF(parametros_manuales!$H$44="Todos",'Plan mensual'!G107,0))+parametros_manuales!$G$44*('Plan mensual'!G104+IF(parametros_manuales!$H$44="Todos",'Plan mensual'!G108,0)))*parametros_manuales!$I$44*parametros_manuales!$J$44</f>
        <v>22153.111580405</v>
      </c>
      <c r="F279" s="14" t="n">
        <f aca="false">(parametros_manuales!$D$44*('Plan mensual'!H101+IF(parametros_manuales!$H$44="Todos",'Plan mensual'!H105,0))+parametros_manuales!$E$44*('Plan mensual'!H102+IF(parametros_manuales!$H$44="Todos",'Plan mensual'!H106,0))+parametros_manuales!$F$44*('Plan mensual'!H103+IF(parametros_manuales!$H$44="Todos",'Plan mensual'!H107,0))+parametros_manuales!$G$44*('Plan mensual'!H104+IF(parametros_manuales!$H$44="Todos",'Plan mensual'!H108,0)))*parametros_manuales!$I$44*parametros_manuales!$J$44</f>
        <v>20730.79875854</v>
      </c>
      <c r="G279" s="14" t="n">
        <f aca="false">(parametros_manuales!$D$44*('Plan mensual'!I101+IF(parametros_manuales!$H$44="Todos",'Plan mensual'!I105,0))+parametros_manuales!$E$44*('Plan mensual'!I102+IF(parametros_manuales!$H$44="Todos",'Plan mensual'!I106,0))+parametros_manuales!$F$44*('Plan mensual'!I103+IF(parametros_manuales!$H$44="Todos",'Plan mensual'!I107,0))+parametros_manuales!$G$44*('Plan mensual'!I104+IF(parametros_manuales!$H$44="Todos",'Plan mensual'!I108,0)))*parametros_manuales!$I$44*parametros_manuales!$J$44</f>
        <v>20321.589132325</v>
      </c>
      <c r="H279" s="14" t="n">
        <f aca="false">(parametros_manuales!$D$44*('Plan mensual'!J101+IF(parametros_manuales!$H$44="Todos",'Plan mensual'!J105,0))+parametros_manuales!$E$44*('Plan mensual'!J102+IF(parametros_manuales!$H$44="Todos",'Plan mensual'!J106,0))+parametros_manuales!$F$44*('Plan mensual'!J103+IF(parametros_manuales!$H$44="Todos",'Plan mensual'!J107,0))+parametros_manuales!$G$44*('Plan mensual'!J104+IF(parametros_manuales!$H$44="Todos",'Plan mensual'!J108,0)))*parametros_manuales!$I$44*parametros_manuales!$J$44</f>
        <v>21743.90195419</v>
      </c>
      <c r="I279" s="14" t="n">
        <f aca="false">(parametros_manuales!$D$44*('Plan mensual'!K101+IF(parametros_manuales!$H$44="Todos",'Plan mensual'!K105,0))+parametros_manuales!$E$44*('Plan mensual'!K102+IF(parametros_manuales!$H$44="Todos",'Plan mensual'!K106,0))+parametros_manuales!$F$44*('Plan mensual'!K103+IF(parametros_manuales!$H$44="Todos",'Plan mensual'!K107,0))+parametros_manuales!$G$44*('Plan mensual'!K104+IF(parametros_manuales!$H$44="Todos",'Plan mensual'!K108,0)))*parametros_manuales!$I$44*parametros_manuales!$J$44</f>
        <v>21743.90195419</v>
      </c>
      <c r="J279" s="14" t="n">
        <f aca="false">(parametros_manuales!$D$44*('Plan mensual'!L101+IF(parametros_manuales!$H$44="Todos",'Plan mensual'!L105,0))+parametros_manuales!$E$44*('Plan mensual'!L102+IF(parametros_manuales!$H$44="Todos",'Plan mensual'!L106,0))+parametros_manuales!$F$44*('Plan mensual'!L103+IF(parametros_manuales!$H$44="Todos",'Plan mensual'!L107,0))+parametros_manuales!$G$44*('Plan mensual'!L104+IF(parametros_manuales!$H$44="Todos",'Plan mensual'!L108,0)))*parametros_manuales!$I$44*parametros_manuales!$J$44</f>
        <v>21743.90195419</v>
      </c>
      <c r="K279" s="14" t="n">
        <f aca="false">(parametros_manuales!$D$44*('Plan mensual'!M101+IF(parametros_manuales!$H$44="Todos",'Plan mensual'!M105,0))+parametros_manuales!$E$44*('Plan mensual'!M102+IF(parametros_manuales!$H$44="Todos",'Plan mensual'!M106,0))+parametros_manuales!$F$44*('Plan mensual'!M103+IF(parametros_manuales!$H$44="Todos",'Plan mensual'!M107,0))+parametros_manuales!$G$44*('Plan mensual'!M104+IF(parametros_manuales!$H$44="Todos",'Plan mensual'!M108,0)))*parametros_manuales!$I$44*parametros_manuales!$J$44</f>
        <v>21334.692327975</v>
      </c>
      <c r="L279" s="14" t="n">
        <f aca="false">(parametros_manuales!$D$44*('Plan mensual'!N101+IF(parametros_manuales!$H$44="Todos",'Plan mensual'!N105,0))+parametros_manuales!$E$44*('Plan mensual'!N102+IF(parametros_manuales!$H$44="Todos",'Plan mensual'!N106,0))+parametros_manuales!$F$44*('Plan mensual'!N103+IF(parametros_manuales!$H$44="Todos",'Plan mensual'!N107,0))+parametros_manuales!$G$44*('Plan mensual'!N104+IF(parametros_manuales!$H$44="Todos",'Plan mensual'!N108,0)))*parametros_manuales!$I$44*parametros_manuales!$J$44</f>
        <v>20925.48270176</v>
      </c>
      <c r="M279" s="14" t="n">
        <f aca="false">(parametros_manuales!$D$44*('Plan mensual'!O101+IF(parametros_manuales!$H$44="Todos",'Plan mensual'!O105,0))+parametros_manuales!$E$44*('Plan mensual'!O102+IF(parametros_manuales!$H$44="Todos",'Plan mensual'!O106,0))+parametros_manuales!$F$44*('Plan mensual'!O103+IF(parametros_manuales!$H$44="Todos",'Plan mensual'!O107,0))+parametros_manuales!$G$44*('Plan mensual'!O104+IF(parametros_manuales!$H$44="Todos",'Plan mensual'!O108,0)))*parametros_manuales!$I$44*parametros_manuales!$J$44</f>
        <v>33317.08847233</v>
      </c>
      <c r="N279" s="14" t="n">
        <f aca="false">SUM(B279:M279)</f>
        <v>284462.564373</v>
      </c>
      <c r="O279" s="14" t="n">
        <f aca="false">MAX(B279:M279)</f>
        <v>33317.08847233</v>
      </c>
      <c r="P279" s="57" t="n">
        <f aca="false">O279/(parametros_manuales!$B$7)</f>
        <v>222.113923148867</v>
      </c>
      <c r="Q279" s="13" t="str">
        <f aca="false">IF(O279=0,"-",INDEX($B$253:$M$253,MATCH(O279,B279:M279,0)))</f>
        <v>Dic</v>
      </c>
    </row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50.14"/>
    <col collapsed="false" customWidth="true" hidden="false" outlineLevel="0" max="11" min="2" style="1" width="10"/>
    <col collapsed="false" customWidth="true" hidden="false" outlineLevel="0" max="12" min="12" style="1" width="8.57"/>
    <col collapsed="false" customWidth="true" hidden="false" outlineLevel="0" max="13" min="13" style="1" width="34.71"/>
  </cols>
  <sheetData>
    <row r="1" customFormat="false" ht="14.25" hidden="false" customHeight="true" outlineLevel="0" collapsed="false">
      <c r="A1" s="12" t="s">
        <v>278</v>
      </c>
      <c r="B1" s="12" t="n">
        <v>2026</v>
      </c>
      <c r="C1" s="12" t="n">
        <v>2027</v>
      </c>
      <c r="D1" s="12" t="n">
        <v>2028</v>
      </c>
      <c r="E1" s="12" t="n">
        <v>2029</v>
      </c>
      <c r="F1" s="12" t="n">
        <v>2030</v>
      </c>
      <c r="G1" s="12" t="n">
        <v>2031</v>
      </c>
      <c r="H1" s="12" t="n">
        <v>2032</v>
      </c>
      <c r="I1" s="12" t="n">
        <v>2033</v>
      </c>
      <c r="J1" s="12" t="n">
        <v>2034</v>
      </c>
      <c r="K1" s="12" t="n">
        <v>2035</v>
      </c>
      <c r="L1" s="12" t="s">
        <v>279</v>
      </c>
    </row>
    <row r="2" customFormat="false" ht="14.25" hidden="false" customHeight="true" outlineLevel="0" collapsed="false">
      <c r="A2" s="58" t="str">
        <f aca="false">parametros_manuales!$B$19</f>
        <v>Recepción de materia prima</v>
      </c>
      <c r="B2" s="59" t="n">
        <f aca="false">IF(B31*B60*parametros_manuales!$M$19*parametros_manuales!$B$6=0,0,'Demanda puesto sin sobrestock'!$P$2/(parametros_manuales!$M$19*B31*B60*parametros_manuales!$B$6))</f>
        <v>0.0884309341300334</v>
      </c>
      <c r="C2" s="59" t="n">
        <f aca="false">IF(C31*C60*parametros_manuales!$M$19*parametros_manuales!$B$6=0,0,'Demanda puesto sin sobrestock'!$P$30/(parametros_manuales!$M$19*C31*C60*parametros_manuales!$B$6))</f>
        <v>0.13905450848</v>
      </c>
      <c r="D2" s="59" t="n">
        <f aca="false">IF(D31*D60*parametros_manuales!$M$19*parametros_manuales!$B$6=0,0,'Demanda puesto sin sobrestock'!$P$58/(parametros_manuales!$M$19*D31*D60*parametros_manuales!$B$6))</f>
        <v>0.295867735342667</v>
      </c>
      <c r="E2" s="59" t="n">
        <f aca="false">IF(E31*E60*parametros_manuales!$M$19*parametros_manuales!$B$6=0,0,'Demanda puesto sin sobrestock'!$P$86/(parametros_manuales!$M$19*E31*E60*parametros_manuales!$B$6))</f>
        <v>0.657940422644555</v>
      </c>
      <c r="F2" s="60" t="n">
        <f aca="false">IF(F31*F60*parametros_manuales!$M$19*parametros_manuales!$B$6=0,0,'Demanda puesto sin sobrestock'!$P$114/(parametros_manuales!$M$19*F31*F60*parametros_manuales!$B$6))</f>
        <v>0.573467540842722</v>
      </c>
      <c r="G2" s="60" t="n">
        <f aca="false">IF(G31*G60*parametros_manuales!$M$19*parametros_manuales!$B$6=0,0,'Demanda puesto sin sobrestock'!$P$142/(parametros_manuales!$M$19*G31*G60*parametros_manuales!$B$6))</f>
        <v>0.805283458977222</v>
      </c>
      <c r="H2" s="59" t="n">
        <f aca="false">IF(H31*H60*parametros_manuales!$M$19*parametros_manuales!$B$6=0,0,'Demanda puesto sin sobrestock'!$P$170/(parametros_manuales!$M$19*H31*H60*parametros_manuales!$B$6))</f>
        <v>0.370416169281296</v>
      </c>
      <c r="I2" s="60" t="n">
        <f aca="false">IF(I31*I60*parametros_manuales!$M$19*parametros_manuales!$B$6=0,0,'Demanda puesto sin sobrestock'!$P$198/(parametros_manuales!$M$19*I31*I60*parametros_manuales!$B$6))</f>
        <v>0.473366366151667</v>
      </c>
      <c r="J2" s="59" t="n">
        <f aca="false">IF(J31*J60*parametros_manuales!$M$19*parametros_manuales!$B$6=0,0,'Demanda puesto sin sobrestock'!$P$226/(parametros_manuales!$M$19*J31*J60*parametros_manuales!$B$6))</f>
        <v>0.533993915369815</v>
      </c>
      <c r="K2" s="59" t="n">
        <f aca="false">IF(K31*K60*parametros_manuales!$M$19*parametros_manuales!$B$6=0,0,'Demanda puesto sin sobrestock'!$P$254/(parametros_manuales!$M$19*K31*K60*parametros_manuales!$B$6))</f>
        <v>0.616983119857963</v>
      </c>
      <c r="L2" s="58" t="s">
        <v>280</v>
      </c>
    </row>
    <row r="3" customFormat="false" ht="14.25" hidden="false" customHeight="true" outlineLevel="0" collapsed="false">
      <c r="A3" s="58" t="str">
        <f aca="false">parametros_manuales!$B$20</f>
        <v>Corte de chapa — 1.er corte en franjas (guillotina 1, manuales + carros)</v>
      </c>
      <c r="B3" s="59" t="n">
        <f aca="false">IF(B32*B61*parametros_manuales!$M$20*parametros_manuales!$B$6=0,0,'Demanda puesto sin sobrestock'!$P$3/(parametros_manuales!$M$20*B32*B61*parametros_manuales!$B$6))</f>
        <v>0.0110381255026984</v>
      </c>
      <c r="C3" s="59" t="n">
        <f aca="false">IF(C32*C61*parametros_manuales!$M$20*parametros_manuales!$B$6=0,0,'Demanda puesto sin sobrestock'!$P$31/(parametros_manuales!$M$20*C32*C61*parametros_manuales!$B$6))</f>
        <v>0.0173766056726268</v>
      </c>
      <c r="D3" s="59" t="n">
        <f aca="false">IF(D32*D61*parametros_manuales!$M$20*parametros_manuales!$B$6=0,0,'Demanda puesto sin sobrestock'!$P$59/(parametros_manuales!$M$20*D32*D61*parametros_manuales!$B$6))</f>
        <v>0.0359602416627006</v>
      </c>
      <c r="E3" s="59" t="n">
        <f aca="false">IF(E32*E61*parametros_manuales!$M$20*parametros_manuales!$B$6=0,0,'Demanda puesto sin sobrestock'!$P$87/(parametros_manuales!$M$20*E32*E61*parametros_manuales!$B$6))</f>
        <v>0.0785504302299736</v>
      </c>
      <c r="F3" s="59" t="n">
        <f aca="false">IF(F32*F61*parametros_manuales!$M$20*parametros_manuales!$B$6=0,0,'Demanda puesto sin sobrestock'!$P$115/(parametros_manuales!$M$20*F32*F61*parametros_manuales!$B$6))</f>
        <v>0.136522391355545</v>
      </c>
      <c r="G3" s="59" t="n">
        <f aca="false">IF(G32*G61*parametros_manuales!$M$20*parametros_manuales!$B$6=0,0,'Demanda puesto sin sobrestock'!$P$143/(parametros_manuales!$M$20*G32*G61*parametros_manuales!$B$6))</f>
        <v>0.191533925639542</v>
      </c>
      <c r="H3" s="59" t="n">
        <f aca="false">IF(H32*H61*parametros_manuales!$M$20*parametros_manuales!$B$6=0,0,'Demanda puesto sin sobrestock'!$P$171/(parametros_manuales!$M$20*H32*H61*parametros_manuales!$B$6))</f>
        <v>0.263879837759626</v>
      </c>
      <c r="I3" s="60" t="n">
        <f aca="false">IF(I32*I61*parametros_manuales!$M$20*parametros_manuales!$B$6=0,0,'Demanda puesto sin sobrestock'!$P$199/(parametros_manuales!$M$20*I32*I61*parametros_manuales!$B$6))</f>
        <v>0.336919524035472</v>
      </c>
      <c r="J3" s="59" t="n">
        <f aca="false">IF(J32*J61*parametros_manuales!$M$20*parametros_manuales!$B$6=0,0,'Demanda puesto sin sobrestock'!$P$227/(parametros_manuales!$M$20*J32*J61*parametros_manuales!$B$6))</f>
        <v>0.380395009284921</v>
      </c>
      <c r="K3" s="59" t="n">
        <f aca="false">IF(K32*K61*parametros_manuales!$M$20*parametros_manuales!$B$6=0,0,'Demanda puesto sin sobrestock'!$P$255/(parametros_manuales!$M$20*K32*K61*parametros_manuales!$B$6))</f>
        <v>0.4395119012072</v>
      </c>
      <c r="L3" s="58" t="s">
        <v>120</v>
      </c>
    </row>
    <row r="4" customFormat="false" ht="14.25" hidden="false" customHeight="true" outlineLevel="0" collapsed="false">
      <c r="A4" s="58" t="str">
        <f aca="false">parametros_manuales!$B$21</f>
        <v>Corte de chapa — 2.º corte en piezas (guillotina 2, manuales + carros)</v>
      </c>
      <c r="B4" s="59" t="n">
        <f aca="false">IF(B33*B62*parametros_manuales!$M$21*parametros_manuales!$B$6=0,0,'Demanda puesto sin sobrestock'!$P$4/(parametros_manuales!$M$21*B33*B62*parametros_manuales!$B$6))</f>
        <v>0.00825157817824433</v>
      </c>
      <c r="C4" s="59" t="n">
        <f aca="false">IF(C33*C62*parametros_manuales!$M$21*parametros_manuales!$B$6=0,0,'Demanda puesto sin sobrestock'!$P$32/(parametros_manuales!$M$21*C33*C62*parametros_manuales!$B$6))</f>
        <v>0.0130077959201106</v>
      </c>
      <c r="D4" s="59" t="n">
        <f aca="false">IF(D33*D62*parametros_manuales!$M$21*parametros_manuales!$B$6=0,0,'Demanda puesto sin sobrestock'!$P$60/(parametros_manuales!$M$21*D33*D62*parametros_manuales!$B$6))</f>
        <v>0.0267234240385906</v>
      </c>
      <c r="E4" s="59" t="n">
        <f aca="false">IF(E33*E62*parametros_manuales!$M$21*parametros_manuales!$B$6=0,0,'Demanda puesto sin sobrestock'!$P$88/(parametros_manuales!$M$21*E33*E62*parametros_manuales!$B$6))</f>
        <v>0.0580857327263078</v>
      </c>
      <c r="F4" s="59" t="n">
        <f aca="false">IF(F33*F62*parametros_manuales!$M$21*parametros_manuales!$B$6=0,0,'Demanda puesto sin sobrestock'!$P$116/(parametros_manuales!$M$21*F33*F62*parametros_manuales!$B$6))</f>
        <v>0.100864437683705</v>
      </c>
      <c r="G4" s="59" t="n">
        <f aca="false">IF(G33*G62*parametros_manuales!$M$21*parametros_manuales!$B$6=0,0,'Demanda puesto sin sobrestock'!$P$144/(parametros_manuales!$M$21*G33*G62*parametros_manuales!$B$6))</f>
        <v>0.141480970095967</v>
      </c>
      <c r="H4" s="59" t="n">
        <f aca="false">IF(H33*H62*parametros_manuales!$M$21*parametros_manuales!$B$6=0,0,'Demanda puesto sin sobrestock'!$P$172/(parametros_manuales!$M$21*H33*H62*parametros_manuales!$B$6))</f>
        <v>0.194822975116974</v>
      </c>
      <c r="I4" s="60" t="n">
        <f aca="false">IF(I33*I62*parametros_manuales!$M$21*parametros_manuales!$B$6=0,0,'Demanda puesto sin sobrestock'!$P$200/(parametros_manuales!$M$21*I33*I62*parametros_manuales!$B$6))</f>
        <v>0.248697462618966</v>
      </c>
      <c r="J4" s="59" t="n">
        <f aca="false">IF(J33*J62*parametros_manuales!$M$21*parametros_manuales!$B$6=0,0,'Demanda puesto sin sobrestock'!$P$228/(parametros_manuales!$M$21*J33*J62*parametros_manuales!$B$6))</f>
        <v>0.280851222148807</v>
      </c>
      <c r="K4" s="59" t="n">
        <f aca="false">IF(K33*K62*parametros_manuales!$M$21*parametros_manuales!$B$6=0,0,'Demanda puesto sin sobrestock'!$P$256/(parametros_manuales!$M$21*K33*K62*parametros_manuales!$B$6))</f>
        <v>0.324496482789651</v>
      </c>
      <c r="L4" s="58" t="s">
        <v>120</v>
      </c>
    </row>
    <row r="5" customFormat="false" ht="14.25" hidden="false" customHeight="true" outlineLevel="0" collapsed="false">
      <c r="A5" s="58" t="str">
        <f aca="false">parametros_manuales!$B$22</f>
        <v>Corte de disco y embutido (cúpula y fondo)</v>
      </c>
      <c r="B5" s="59" t="n">
        <f aca="false">IF(B34*B63*parametros_manuales!$M$22*parametros_manuales!$B$6=0,0,'Demanda puesto sin sobrestock'!$P$5/(parametros_manuales!$M$22*B34*B63*parametros_manuales!$B$6))</f>
        <v>0.0346787976980523</v>
      </c>
      <c r="C5" s="59" t="n">
        <f aca="false">IF(C34*C63*parametros_manuales!$M$22*parametros_manuales!$B$6=0,0,'Demanda puesto sin sobrestock'!$P$33/(parametros_manuales!$M$22*C34*C63*parametros_manuales!$B$6))</f>
        <v>0.0545311797960784</v>
      </c>
      <c r="D5" s="59" t="n">
        <f aca="false">IF(D34*D63*parametros_manuales!$M$22*parametros_manuales!$B$6=0,0,'Demanda puesto sin sobrestock'!$P$61/(parametros_manuales!$M$22*D34*D63*parametros_manuales!$B$6))</f>
        <v>0.116026562879477</v>
      </c>
      <c r="E5" s="59" t="n">
        <f aca="false">IF(E34*E63*parametros_manuales!$M$22*parametros_manuales!$B$6=0,0,'Demanda puesto sin sobrestock'!$P$89/(parametros_manuales!$M$22*E34*E63*parametros_manuales!$B$6))</f>
        <v>0.258015852017473</v>
      </c>
      <c r="F5" s="59" t="n">
        <f aca="false">IF(F34*F63*parametros_manuales!$M$22*parametros_manuales!$B$6=0,0,'Demanda puesto sin sobrestock'!$P$117/(parametros_manuales!$M$22*F34*F63*parametros_manuales!$B$6))</f>
        <v>0.449778463406057</v>
      </c>
      <c r="G5" s="59" t="n">
        <f aca="false">IF(G34*G63*parametros_manuales!$M$22*parametros_manuales!$B$6=0,0,'Demanda puesto sin sobrestock'!$P$145/(parametros_manuales!$M$22*G34*G63*parametros_manuales!$B$6))</f>
        <v>0.631594869786057</v>
      </c>
      <c r="H5" s="59" t="n">
        <f aca="false">IF(H34*H63*parametros_manuales!$M$22*parametros_manuales!$B$6=0,0,'Demanda puesto sin sobrestock'!$P$173/(parametros_manuales!$M$22*H34*H63*parametros_manuales!$B$6))</f>
        <v>0.435783728566231</v>
      </c>
      <c r="I5" s="60" t="n">
        <f aca="false">IF(I34*I63*parametros_manuales!$M$22*parametros_manuales!$B$6=0,0,'Demanda puesto sin sobrestock'!$P$201/(parametros_manuales!$M$22*I34*I63*parametros_manuales!$B$6))</f>
        <v>0.556901607237255</v>
      </c>
      <c r="J5" s="59" t="n">
        <f aca="false">IF(J34*J63*parametros_manuales!$M$22*parametros_manuales!$B$6=0,0,'Demanda puesto sin sobrestock'!$P$229/(parametros_manuales!$M$22*J34*J63*parametros_manuales!$B$6))</f>
        <v>0.628228135729194</v>
      </c>
      <c r="K5" s="59" t="n">
        <f aca="false">IF(K34*K63*parametros_manuales!$M$22*parametros_manuales!$B$6=0,0,'Demanda puesto sin sobrestock'!$P$257/(parametros_manuales!$M$22*K34*K63*parametros_manuales!$B$6))</f>
        <v>0.725862493950545</v>
      </c>
      <c r="L5" s="58" t="s">
        <v>120</v>
      </c>
    </row>
    <row r="6" customFormat="false" ht="14.25" hidden="false" customHeight="true" outlineLevel="0" collapsed="false">
      <c r="A6" s="58" t="str">
        <f aca="false">parametros_manuales!$B$23</f>
        <v>Preparación de cuello</v>
      </c>
      <c r="B6" s="59" t="n">
        <f aca="false">IF(B35*B64*parametros_manuales!$M$23*parametros_manuales!$B$6=0,0,'Demanda puesto sin sobrestock'!$P$6/(parametros_manuales!$M$23*B35*B64*parametros_manuales!$B$6))</f>
        <v>0.0884309341300334</v>
      </c>
      <c r="C6" s="59" t="n">
        <f aca="false">IF(C35*C64*parametros_manuales!$M$23*parametros_manuales!$B$6=0,0,'Demanda puesto sin sobrestock'!$P$34/(parametros_manuales!$M$23*C35*C64*parametros_manuales!$B$6))</f>
        <v>0.13905450848</v>
      </c>
      <c r="D6" s="59" t="n">
        <f aca="false">IF(D35*D64*parametros_manuales!$M$23*parametros_manuales!$B$6=0,0,'Demanda puesto sin sobrestock'!$P$62/(parametros_manuales!$M$23*D35*D64*parametros_manuales!$B$6))</f>
        <v>0.295867735342667</v>
      </c>
      <c r="E6" s="59" t="n">
        <f aca="false">IF(E35*E64*parametros_manuales!$M$23*parametros_manuales!$B$6=0,0,'Demanda puesto sin sobrestock'!$P$90/(parametros_manuales!$M$23*E35*E64*parametros_manuales!$B$6))</f>
        <v>0.657940422644555</v>
      </c>
      <c r="F6" s="60" t="n">
        <f aca="false">IF(F35*F64*parametros_manuales!$M$23*parametros_manuales!$B$6=0,0,'Demanda puesto sin sobrestock'!$P$118/(parametros_manuales!$M$23*F35*F64*parametros_manuales!$B$6))</f>
        <v>0.573467540842722</v>
      </c>
      <c r="G6" s="59" t="n">
        <f aca="false">IF(G35*G64*parametros_manuales!$M$23*parametros_manuales!$B$6=0,0,'Demanda puesto sin sobrestock'!$P$146/(parametros_manuales!$M$23*G35*G64*parametros_manuales!$B$6))</f>
        <v>0.805283458977222</v>
      </c>
      <c r="H6" s="60" t="n">
        <f aca="false">IF(H35*H64*parametros_manuales!$M$23*parametros_manuales!$B$6=0,0,'Demanda puesto sin sobrestock'!$P$174/(parametros_manuales!$M$23*H35*H64*parametros_manuales!$B$6))</f>
        <v>0.370416169281296</v>
      </c>
      <c r="I6" s="59" t="n">
        <f aca="false">IF(I35*I64*parametros_manuales!$M$23*parametros_manuales!$B$6=0,0,'Demanda puesto sin sobrestock'!$P$202/(parametros_manuales!$M$23*I35*I64*parametros_manuales!$B$6))</f>
        <v>0.473366366151667</v>
      </c>
      <c r="J6" s="59" t="n">
        <f aca="false">IF(J35*J64*parametros_manuales!$M$23*parametros_manuales!$B$6=0,0,'Demanda puesto sin sobrestock'!$P$230/(parametros_manuales!$M$23*J35*J64*parametros_manuales!$B$6))</f>
        <v>0.533993915369815</v>
      </c>
      <c r="K6" s="59" t="n">
        <f aca="false">IF(K35*K64*parametros_manuales!$M$23*parametros_manuales!$B$6=0,0,'Demanda puesto sin sobrestock'!$P$258/(parametros_manuales!$M$23*K35*K64*parametros_manuales!$B$6))</f>
        <v>0.616983119857963</v>
      </c>
      <c r="L6" s="58" t="s">
        <v>120</v>
      </c>
    </row>
    <row r="7" customFormat="false" ht="14.25" hidden="false" customHeight="true" outlineLevel="0" collapsed="false">
      <c r="A7" s="58" t="str">
        <f aca="false">parametros_manuales!$B$24</f>
        <v>Numerado de cúpula</v>
      </c>
      <c r="B7" s="59" t="n">
        <f aca="false">IF(B36*B65*parametros_manuales!$M$24*parametros_manuales!$B$6=0,0,'Demanda puesto sin sobrestock'!$P$7/(parametros_manuales!$M$24*B36*B65*parametros_manuales!$B$6))</f>
        <v>0.0294769780433445</v>
      </c>
      <c r="C7" s="59" t="n">
        <f aca="false">IF(C36*C65*parametros_manuales!$M$24*parametros_manuales!$B$6=0,0,'Demanda puesto sin sobrestock'!$P$35/(parametros_manuales!$M$24*C36*C65*parametros_manuales!$B$6))</f>
        <v>0.0463515028266667</v>
      </c>
      <c r="D7" s="59" t="n">
        <f aca="false">IF(D36*D65*parametros_manuales!$M$24*parametros_manuales!$B$6=0,0,'Demanda puesto sin sobrestock'!$P$63/(parametros_manuales!$M$24*D36*D65*parametros_manuales!$B$6))</f>
        <v>0.0986225784475556</v>
      </c>
      <c r="E7" s="59" t="n">
        <f aca="false">IF(E36*E65*parametros_manuales!$M$24*parametros_manuales!$B$6=0,0,'Demanda puesto sin sobrestock'!$P$91/(parametros_manuales!$M$24*E36*E65*parametros_manuales!$B$6))</f>
        <v>0.219313474214852</v>
      </c>
      <c r="F7" s="59" t="n">
        <f aca="false">IF(F36*F65*parametros_manuales!$M$24*parametros_manuales!$B$6=0,0,'Demanda puesto sin sobrestock'!$P$119/(parametros_manuales!$M$24*F36*F65*parametros_manuales!$B$6))</f>
        <v>0.382311693895148</v>
      </c>
      <c r="G7" s="59" t="n">
        <f aca="false">IF(G36*G65*parametros_manuales!$M$24*parametros_manuales!$B$6=0,0,'Demanda puesto sin sobrestock'!$P$147/(parametros_manuales!$M$24*G36*G65*parametros_manuales!$B$6))</f>
        <v>0.536855639318148</v>
      </c>
      <c r="H7" s="59" t="n">
        <f aca="false">IF(H36*H65*parametros_manuales!$M$24*parametros_manuales!$B$6=0,0,'Demanda puesto sin sobrestock'!$P$175/(parametros_manuales!$M$24*H36*H65*parametros_manuales!$B$6))</f>
        <v>0.370416169281296</v>
      </c>
      <c r="I7" s="60" t="n">
        <f aca="false">IF(I36*I65*parametros_manuales!$M$24*parametros_manuales!$B$6=0,0,'Demanda puesto sin sobrestock'!$P$203/(parametros_manuales!$M$24*I36*I65*parametros_manuales!$B$6))</f>
        <v>0.473366366151667</v>
      </c>
      <c r="J7" s="59" t="n">
        <f aca="false">IF(J36*J65*parametros_manuales!$M$24*parametros_manuales!$B$6=0,0,'Demanda puesto sin sobrestock'!$P$231/(parametros_manuales!$M$24*J36*J65*parametros_manuales!$B$6))</f>
        <v>0.533993915369815</v>
      </c>
      <c r="K7" s="59" t="n">
        <f aca="false">IF(K36*K65*parametros_manuales!$M$24*parametros_manuales!$B$6=0,0,'Demanda puesto sin sobrestock'!$P$259/(parametros_manuales!$M$24*K36*K65*parametros_manuales!$B$6))</f>
        <v>0.616983119857963</v>
      </c>
      <c r="L7" s="58" t="s">
        <v>120</v>
      </c>
      <c r="M7" s="61" t="s">
        <v>281</v>
      </c>
    </row>
    <row r="8" customFormat="false" ht="14.25" hidden="false" customHeight="true" outlineLevel="0" collapsed="false">
      <c r="A8" s="58" t="str">
        <f aca="false">parametros_manuales!$B$25</f>
        <v>Soldadura del cuello a la cúpula</v>
      </c>
      <c r="B8" s="59" t="n">
        <f aca="false">IF(B37*B66*parametros_manuales!$M$25*parametros_manuales!$B$6=0,0,'Demanda puesto sin sobrestock'!$P$8/(parametros_manuales!$M$25*B37*B66*parametros_manuales!$B$6))</f>
        <v>0.0378557081036102</v>
      </c>
      <c r="C8" s="59" t="n">
        <f aca="false">IF(C37*C66*parametros_manuales!$M$25*parametros_manuales!$B$6=0,0,'Demanda puesto sin sobrestock'!$P$36/(parametros_manuales!$M$25*C37*C66*parametros_manuales!$B$6))</f>
        <v>0.0595267587671233</v>
      </c>
      <c r="D8" s="59" t="n">
        <f aca="false">IF(D37*D66*parametros_manuales!$M$25*parametros_manuales!$B$6=0,0,'Demanda puesto sin sobrestock'!$P$64/(parametros_manuales!$M$25*D37*D66*parametros_manuales!$B$6))</f>
        <v>0.126655708622717</v>
      </c>
      <c r="E8" s="59" t="n">
        <f aca="false">IF(E37*E66*parametros_manuales!$M$25*parametros_manuales!$B$6=0,0,'Demanda puesto sin sobrestock'!$P$92/(parametros_manuales!$M$25*E37*E66*parametros_manuales!$B$6))</f>
        <v>0.281652578186882</v>
      </c>
      <c r="F8" s="59" t="n">
        <f aca="false">IF(F37*F66*parametros_manuales!$M$25*parametros_manuales!$B$6=0,0,'Demanda puesto sin sobrestock'!$P$120/(parametros_manuales!$M$25*F37*F66*parametros_manuales!$B$6))</f>
        <v>0.490982483598221</v>
      </c>
      <c r="G8" s="59" t="n">
        <f aca="false">IF(G37*G66*parametros_manuales!$M$25*parametros_manuales!$B$6=0,0,'Demanda puesto sin sobrestock'!$P$148/(parametros_manuales!$M$25*G37*G66*parametros_manuales!$B$6))</f>
        <v>0.689455016247622</v>
      </c>
      <c r="H8" s="60" t="n">
        <f aca="false">IF(H37*H66*parametros_manuales!$M$25*parametros_manuales!$B$6=0,0,'Demanda puesto sin sobrestock'!$P$176/(parametros_manuales!$M$25*H37*H66*parametros_manuales!$B$6))</f>
        <v>0.47570569685098</v>
      </c>
      <c r="I8" s="59" t="n">
        <f aca="false">IF(I37*I66*parametros_manuales!$M$25*parametros_manuales!$B$6=0,0,'Demanda puesto sin sobrestock'!$P$204/(parametros_manuales!$M$25*I37*I66*parametros_manuales!$B$6))</f>
        <v>0.607919134612586</v>
      </c>
      <c r="J8" s="59" t="n">
        <f aca="false">IF(J37*J66*parametros_manuales!$M$25*parametros_manuales!$B$6=0,0,'Demanda puesto sin sobrestock'!$P$232/(parametros_manuales!$M$25*J37*J66*parametros_manuales!$B$6))</f>
        <v>0.685779857067399</v>
      </c>
      <c r="K8" s="59" t="n">
        <f aca="false">IF(K37*K66*parametros_manuales!$M$25*parametros_manuales!$B$6=0,0,'Demanda puesto sin sobrestock'!$P$260/(parametros_manuales!$M$25*K37*K66*parametros_manuales!$B$6))</f>
        <v>0.792358458721699</v>
      </c>
      <c r="L8" s="58" t="s">
        <v>120</v>
      </c>
      <c r="M8" s="62" t="s">
        <v>282</v>
      </c>
    </row>
    <row r="9" customFormat="false" ht="14.25" hidden="false" customHeight="true" outlineLevel="0" collapsed="false">
      <c r="A9" s="58" t="str">
        <f aca="false">parametros_manuales!$B$26</f>
        <v>Cilindrado</v>
      </c>
      <c r="B9" s="59" t="n">
        <f aca="false">IF(B38*B67*parametros_manuales!$M$26*parametros_manuales!$B$6=0,0,'Demanda puesto sin sobrestock'!$P$9/(parametros_manuales!$M$26*B38*B67*parametros_manuales!$B$6))</f>
        <v>0.022406486688353</v>
      </c>
      <c r="C9" s="59" t="n">
        <f aca="false">IF(C38*C67*parametros_manuales!$M$26*parametros_manuales!$B$6=0,0,'Demanda puesto sin sobrestock'!$P$37/(parametros_manuales!$M$26*C38*C67*parametros_manuales!$B$6))</f>
        <v>0.0352334058648649</v>
      </c>
      <c r="D9" s="59" t="n">
        <f aca="false">IF(D38*D67*parametros_manuales!$M$26*parametros_manuales!$B$6=0,0,'Demanda puesto sin sobrestock'!$P$65/(parametros_manuales!$M$26*D38*D67*parametros_manuales!$B$6))</f>
        <v>0.0749664869956081</v>
      </c>
      <c r="E9" s="59" t="n">
        <f aca="false">IF(E38*E67*parametros_manuales!$M$26*parametros_manuales!$B$6=0,0,'Demanda puesto sin sobrestock'!$P$93/(parametros_manuales!$M$26*E38*E67*parametros_manuales!$B$6))</f>
        <v>0.166707877359262</v>
      </c>
      <c r="F9" s="59" t="n">
        <f aca="false">IF(F38*F67*parametros_manuales!$M$26*parametros_manuales!$B$6=0,0,'Demanda puesto sin sobrestock'!$P$121/(parametros_manuales!$M$26*F38*F67*parametros_manuales!$B$6))</f>
        <v>0.290608551102731</v>
      </c>
      <c r="G9" s="59" t="n">
        <f aca="false">IF(G38*G67*parametros_manuales!$M$26*parametros_manuales!$B$6=0,0,'Demanda puesto sin sobrestock'!$P$149/(parametros_manuales!$M$26*G38*G67*parametros_manuales!$B$6))</f>
        <v>0.40808283394116</v>
      </c>
      <c r="H9" s="59" t="n">
        <f aca="false">IF(H38*H67*parametros_manuales!$M$26*parametros_manuales!$B$6=0,0,'Demanda puesto sin sobrestock'!$P$177/(parametros_manuales!$M$26*H38*H67*parametros_manuales!$B$6))</f>
        <v>0.281566344892877</v>
      </c>
      <c r="I9" s="60" t="n">
        <f aca="false">IF(I38*I67*parametros_manuales!$M$26*parametros_manuales!$B$6=0,0,'Demanda puesto sin sobrestock'!$P$205/(parametros_manuales!$M$26*I38*I67*parametros_manuales!$B$6))</f>
        <v>0.359822406703125</v>
      </c>
      <c r="J9" s="59" t="n">
        <f aca="false">IF(J38*J67*parametros_manuales!$M$26*parametros_manuales!$B$6=0,0,'Demanda puesto sin sobrestock'!$P$233/(parametros_manuales!$M$26*J38*J67*parametros_manuales!$B$6))</f>
        <v>0.405907537020974</v>
      </c>
      <c r="K9" s="59" t="n">
        <f aca="false">IF(K38*K67*parametros_manuales!$M$26*parametros_manuales!$B$6=0,0,'Demanda puesto sin sobrestock'!$P$261/(parametros_manuales!$M$26*K38*K67*parametros_manuales!$B$6))</f>
        <v>0.46899054718933</v>
      </c>
      <c r="L9" s="58" t="s">
        <v>120</v>
      </c>
      <c r="M9" s="63" t="s">
        <v>283</v>
      </c>
    </row>
    <row r="10" customFormat="false" ht="14.25" hidden="false" customHeight="true" outlineLevel="0" collapsed="false">
      <c r="A10" s="58" t="str">
        <f aca="false">parametros_manuales!$B$27</f>
        <v>Soldadura longitudinal — 2,5 a 10 kg</v>
      </c>
      <c r="B10" s="59" t="n">
        <f aca="false">IF(B39*B68*parametros_manuales!$M$27*parametros_manuales!$B$6=0,0,'Demanda puesto sin sobrestock'!$P$10/(parametros_manuales!$M$27*B39*B68*parametros_manuales!$B$6))</f>
        <v>0.0635500235194904</v>
      </c>
      <c r="C10" s="59" t="n">
        <f aca="false">IF(C39*C68*parametros_manuales!$M$27*parametros_manuales!$B$6=0,0,'Demanda puesto sin sobrestock'!$P$38/(parametros_manuales!$M$27*C39*C68*parametros_manuales!$B$6))</f>
        <v>0.114787202316441</v>
      </c>
      <c r="D10" s="59" t="n">
        <f aca="false">IF(D39*D68*parametros_manuales!$M$27*parametros_manuales!$B$6=0,0,'Demanda puesto sin sobrestock'!$P$66/(parametros_manuales!$M$27*D39*D68*parametros_manuales!$B$6))</f>
        <v>0.198813564225338</v>
      </c>
      <c r="E10" s="59" t="n">
        <f aca="false">IF(E39*E68*parametros_manuales!$M$27*parametros_manuales!$B$6=0,0,'Demanda puesto sin sobrestock'!$P$94/(parametros_manuales!$M$27*E39*E68*parametros_manuales!$B$6))</f>
        <v>0.367367918282498</v>
      </c>
      <c r="F10" s="59" t="n">
        <f aca="false">IF(F39*F68*parametros_manuales!$M$27*parametros_manuales!$B$6=0,0,'Demanda puesto sin sobrestock'!$P$122/(parametros_manuales!$M$27*F39*F68*parametros_manuales!$B$6))</f>
        <v>0.619153224749315</v>
      </c>
      <c r="G10" s="59" t="n">
        <f aca="false">IF(G39*G68*parametros_manuales!$M$27*parametros_manuales!$B$6=0,0,'Demanda puesto sin sobrestock'!$P$150/(parametros_manuales!$M$27*G39*G68*parametros_manuales!$B$6))</f>
        <v>0.867474676645739</v>
      </c>
      <c r="H10" s="60" t="n">
        <f aca="false">IF(H39*H68*parametros_manuales!$M$27*parametros_manuales!$B$6=0,0,'Demanda puesto sin sobrestock'!$P$178/(parametros_manuales!$M$27*H39*H68*parametros_manuales!$B$6))</f>
        <v>0.291476584200849</v>
      </c>
      <c r="I10" s="59" t="n">
        <f aca="false">IF(I39*I68*parametros_manuales!$M$27*parametros_manuales!$B$6=0,0,'Demanda puesto sin sobrestock'!$P$206/(parametros_manuales!$M$27*I39*I68*parametros_manuales!$B$6))</f>
        <v>0.368322377429547</v>
      </c>
      <c r="J10" s="59" t="n">
        <f aca="false">IF(J39*J68*parametros_manuales!$M$27*parametros_manuales!$B$6=0,0,'Demanda puesto sin sobrestock'!$P$234/(parametros_manuales!$M$27*J39*J68*parametros_manuales!$B$6))</f>
        <v>0.420268832448644</v>
      </c>
      <c r="K10" s="59" t="n">
        <f aca="false">IF(K39*K68*parametros_manuales!$M$27*parametros_manuales!$B$6=0,0,'Demanda puesto sin sobrestock'!$P$262/(parametros_manuales!$M$27*K39*K68*parametros_manuales!$B$6))</f>
        <v>0.485782823913265</v>
      </c>
      <c r="L10" s="58" t="s">
        <v>120</v>
      </c>
      <c r="M10" s="64" t="s">
        <v>284</v>
      </c>
    </row>
    <row r="11" customFormat="false" ht="14.25" hidden="false" customHeight="true" outlineLevel="0" collapsed="false">
      <c r="A11" s="58" t="str">
        <f aca="false">parametros_manuales!$B$28</f>
        <v>Soldadura longitudinal TIG — 1 kg</v>
      </c>
      <c r="B11" s="59" t="n">
        <f aca="false">IF(B40*B69*parametros_manuales!$M$28*parametros_manuales!$B$6=0,0,'Demanda puesto sin sobrestock'!$P$11/(parametros_manuales!$M$28*B40*B69*parametros_manuales!$B$6))</f>
        <v>0.02785824362</v>
      </c>
      <c r="C11" s="59" t="n">
        <f aca="false">IF(C40*C69*parametros_manuales!$M$28*parametros_manuales!$B$6=0,0,'Demanda puesto sin sobrestock'!$P$39/(parametros_manuales!$M$28*C40*C69*parametros_manuales!$B$6))</f>
        <v>0.0399820265133333</v>
      </c>
      <c r="D11" s="59" t="n">
        <f aca="false">IF(D40*D69*parametros_manuales!$M$28*parametros_manuales!$B$6=0,0,'Demanda puesto sin sobrestock'!$P$67/(parametros_manuales!$M$28*D40*D69*parametros_manuales!$B$6))</f>
        <v>0.0967609850533333</v>
      </c>
      <c r="E11" s="59" t="n">
        <f aca="false">IF(E40*E69*parametros_manuales!$M$28*parametros_manuales!$B$6=0,0,'Demanda puesto sin sobrestock'!$P$95/(parametros_manuales!$M$28*E40*E69*parametros_manuales!$B$6))</f>
        <v>0.23441290366</v>
      </c>
      <c r="F11" s="59" t="n">
        <f aca="false">IF(F40*F69*parametros_manuales!$M$28*parametros_manuales!$B$6=0,0,'Demanda puesto sin sobrestock'!$P$123/(parametros_manuales!$M$28*F40*F69*parametros_manuales!$B$6))</f>
        <v>0.414102884733333</v>
      </c>
      <c r="G11" s="59" t="n">
        <f aca="false">IF(G40*G69*parametros_manuales!$M$28*parametros_manuales!$B$6=0,0,'Demanda puesto sin sobrestock'!$P$151/(parametros_manuales!$M$28*G40*G69*parametros_manuales!$B$6))</f>
        <v>0.582003020466667</v>
      </c>
      <c r="H11" s="60" t="n">
        <f aca="false">IF(H40*H69*parametros_manuales!$M$28*parametros_manuales!$B$6=0,0,'Demanda puesto sin sobrestock'!$P$179/(parametros_manuales!$M$28*H40*H69*parametros_manuales!$B$6))</f>
        <v>0.405577177533333</v>
      </c>
      <c r="I11" s="59" t="n">
        <f aca="false">IF(I40*I69*parametros_manuales!$M$28*parametros_manuales!$B$6=0,0,'Demanda puesto sin sobrestock'!$P$207/(parametros_manuales!$M$28*I40*I69*parametros_manuales!$B$6))</f>
        <v>0.520443594933333</v>
      </c>
      <c r="J11" s="59" t="n">
        <f aca="false">IF(J40*J69*parametros_manuales!$M$28*parametros_manuales!$B$6=0,0,'Demanda puesto sin sobrestock'!$P$235/(parametros_manuales!$M$28*J40*J69*parametros_manuales!$B$6))</f>
        <v>0.584643787133333</v>
      </c>
      <c r="K11" s="59" t="n">
        <f aca="false">IF(K40*K69*parametros_manuales!$M$28*parametros_manuales!$B$6=0,0,'Demanda puesto sin sobrestock'!$P$263/(parametros_manuales!$M$28*K40*K69*parametros_manuales!$B$6))</f>
        <v>0.675402130433333</v>
      </c>
      <c r="L11" s="58" t="s">
        <v>120</v>
      </c>
      <c r="M11" s="65" t="s">
        <v>285</v>
      </c>
    </row>
    <row r="12" customFormat="false" ht="14.25" hidden="false" customHeight="true" outlineLevel="0" collapsed="false">
      <c r="A12" s="58" t="str">
        <f aca="false">parametros_manuales!$B$29</f>
        <v>Encastre de fondo</v>
      </c>
      <c r="B12" s="59" t="n">
        <f aca="false">IF(B41*B70*parametros_manuales!$M$29*parametros_manuales!$B$6=0,0,'Demanda puesto sin sobrestock'!$P$12/(parametros_manuales!$M$29*B41*B70*parametros_manuales!$B$6))</f>
        <v>0.0450157470118948</v>
      </c>
      <c r="C12" s="59" t="n">
        <f aca="false">IF(C41*C70*parametros_manuales!$M$29*parametros_manuales!$B$6=0,0,'Demanda puesto sin sobrestock'!$P$40/(parametros_manuales!$M$29*C41*C70*parametros_manuales!$B$6))</f>
        <v>0.070785666081448</v>
      </c>
      <c r="D12" s="59" t="n">
        <f aca="false">IF(D41*D70*parametros_manuales!$M$29*parametros_manuales!$B$6=0,0,'Demanda puesto sin sobrestock'!$P$68/(parametros_manuales!$M$29*D41*D70*parametros_manuales!$B$6))</f>
        <v>0.150611403737783</v>
      </c>
      <c r="E12" s="59" t="n">
        <f aca="false">IF(E41*E70*parametros_manuales!$M$29*parametros_manuales!$B$6=0,0,'Demanda puesto sin sobrestock'!$P$96/(parametros_manuales!$M$29*E41*E70*parametros_manuales!$B$6))</f>
        <v>0.334924423291912</v>
      </c>
      <c r="F12" s="59" t="n">
        <f aca="false">IF(F41*F70*parametros_manuales!$M$29*parametros_manuales!$B$6=0,0,'Demanda puesto sin sobrestock'!$P$124/(parametros_manuales!$M$29*F41*F70*parametros_manuales!$B$6))</f>
        <v>0.583847043844401</v>
      </c>
      <c r="G12" s="59" t="n">
        <f aca="false">IF(G41*G70*parametros_manuales!$M$29*parametros_manuales!$B$6=0,0,'Demanda puesto sin sobrestock'!$P$152/(parametros_manuales!$M$29*G41*G70*parametros_manuales!$B$6))</f>
        <v>0.819858725203055</v>
      </c>
      <c r="H12" s="60" t="n">
        <f aca="false">IF(H41*H70*parametros_manuales!$M$29*parametros_manuales!$B$6=0,0,'Demanda puesto sin sobrestock'!$P$180/(parametros_manuales!$M$29*H41*H70*parametros_manuales!$B$6))</f>
        <v>0.282840400752121</v>
      </c>
      <c r="I12" s="59" t="n">
        <f aca="false">IF(I41*I70*parametros_manuales!$M$29*parametros_manuales!$B$6=0,0,'Demanda puesto sin sobrestock'!$P$208/(parametros_manuales!$M$29*I41*I70*parametros_manuales!$B$6))</f>
        <v>0.361450562389564</v>
      </c>
      <c r="J12" s="59" t="n">
        <f aca="false">IF(J41*J70*parametros_manuales!$M$29*parametros_manuales!$B$6=0,0,'Demanda puesto sin sobrestock'!$P$236/(parametros_manuales!$M$29*J41*J70*parametros_manuales!$B$6))</f>
        <v>0.407744222708852</v>
      </c>
      <c r="K12" s="59" t="n">
        <f aca="false">IF(K41*K70*parametros_manuales!$M$29*parametros_manuales!$B$6=0,0,'Demanda puesto sin sobrestock'!$P$264/(parametros_manuales!$M$29*K41*K70*parametros_manuales!$B$6))</f>
        <v>0.471112676362132</v>
      </c>
      <c r="L12" s="58" t="s">
        <v>120</v>
      </c>
    </row>
    <row r="13" customFormat="false" ht="14.25" hidden="false" customHeight="true" outlineLevel="0" collapsed="false">
      <c r="A13" s="58" t="str">
        <f aca="false">parametros_manuales!$B$30</f>
        <v>Bordoneado</v>
      </c>
      <c r="B13" s="59" t="n">
        <f aca="false">IF(B42*B71*parametros_manuales!$M$30*parametros_manuales!$B$6=0,0,'Demanda puesto sin sobrestock'!$P$13/(parametros_manuales!$M$30*B42*B71*parametros_manuales!$B$6))</f>
        <v>0.0300104980079299</v>
      </c>
      <c r="C13" s="59" t="n">
        <f aca="false">IF(C42*C71*parametros_manuales!$M$30*parametros_manuales!$B$6=0,0,'Demanda puesto sin sobrestock'!$P$41/(parametros_manuales!$M$30*C42*C71*parametros_manuales!$B$6))</f>
        <v>0.0471904440542986</v>
      </c>
      <c r="D13" s="59" t="n">
        <f aca="false">IF(D42*D71*parametros_manuales!$M$30*parametros_manuales!$B$6=0,0,'Demanda puesto sin sobrestock'!$P$69/(parametros_manuales!$M$30*D42*D71*parametros_manuales!$B$6))</f>
        <v>0.100407602491855</v>
      </c>
      <c r="E13" s="59" t="n">
        <f aca="false">IF(E42*E71*parametros_manuales!$M$30*parametros_manuales!$B$6=0,0,'Demanda puesto sin sobrestock'!$P$97/(parametros_manuales!$M$30*E42*E71*parametros_manuales!$B$6))</f>
        <v>0.223282948861274</v>
      </c>
      <c r="F13" s="59" t="n">
        <f aca="false">IF(F42*F71*parametros_manuales!$M$30*parametros_manuales!$B$6=0,0,'Demanda puesto sin sobrestock'!$P$125/(parametros_manuales!$M$30*F42*F71*parametros_manuales!$B$6))</f>
        <v>0.389231362562934</v>
      </c>
      <c r="G13" s="59" t="n">
        <f aca="false">IF(G42*G71*parametros_manuales!$M$30*parametros_manuales!$B$6=0,0,'Demanda puesto sin sobrestock'!$P$153/(parametros_manuales!$M$30*G42*G71*parametros_manuales!$B$6))</f>
        <v>0.546572483468703</v>
      </c>
      <c r="H13" s="59" t="n">
        <f aca="false">IF(H42*H71*parametros_manuales!$M$30*parametros_manuales!$B$6=0,0,'Demanda puesto sin sobrestock'!$P$181/(parametros_manuales!$M$30*H42*H71*parametros_manuales!$B$6))</f>
        <v>0.377120534336161</v>
      </c>
      <c r="I13" s="60" t="n">
        <f aca="false">IF(I42*I71*parametros_manuales!$M$30*parametros_manuales!$B$6=0,0,'Demanda puesto sin sobrestock'!$P$209/(parametros_manuales!$M$30*I42*I71*parametros_manuales!$B$6))</f>
        <v>0.481934083186086</v>
      </c>
      <c r="J13" s="59" t="n">
        <f aca="false">IF(J42*J71*parametros_manuales!$M$30*parametros_manuales!$B$6=0,0,'Demanda puesto sin sobrestock'!$P$237/(parametros_manuales!$M$30*J42*J71*parametros_manuales!$B$6))</f>
        <v>0.543658963611802</v>
      </c>
      <c r="K13" s="59" t="n">
        <f aca="false">IF(K42*K71*parametros_manuales!$M$30*parametros_manuales!$B$6=0,0,'Demanda puesto sin sobrestock'!$P$265/(parametros_manuales!$M$30*K42*K71*parametros_manuales!$B$6))</f>
        <v>0.62815023514951</v>
      </c>
      <c r="L13" s="58" t="s">
        <v>120</v>
      </c>
      <c r="M13" s="8" t="s">
        <v>104</v>
      </c>
      <c r="N13" s="66" t="n">
        <f aca="false">parametros_manuales!$B$8</f>
        <v>0.9</v>
      </c>
    </row>
    <row r="14" customFormat="false" ht="14.25" hidden="false" customHeight="true" outlineLevel="0" collapsed="false">
      <c r="A14" s="58" t="str">
        <f aca="false">parametros_manuales!$B$31</f>
        <v>Soldadura circunferencial de cúpula y fondo</v>
      </c>
      <c r="B14" s="59" t="n">
        <f aca="false">IF(B43*B72*parametros_manuales!$M$31*parametros_manuales!$B$6=0,0,'Demanda puesto sin sobrestock'!$P$14/(parametros_manuales!$M$31*B43*B72*parametros_manuales!$B$6))</f>
        <v>0.0900314940237896</v>
      </c>
      <c r="C14" s="59" t="n">
        <f aca="false">IF(C43*C72*parametros_manuales!$M$31*parametros_manuales!$B$6=0,0,'Demanda puesto sin sobrestock'!$P$42/(parametros_manuales!$M$31*C43*C72*parametros_manuales!$B$6))</f>
        <v>0.141571332162896</v>
      </c>
      <c r="D14" s="59" t="n">
        <f aca="false">IF(D43*D72*parametros_manuales!$M$31*parametros_manuales!$B$6=0,0,'Demanda puesto sin sobrestock'!$P$70/(parametros_manuales!$M$31*D43*D72*parametros_manuales!$B$6))</f>
        <v>0.301222807475566</v>
      </c>
      <c r="E14" s="59" t="n">
        <f aca="false">IF(E43*E72*parametros_manuales!$M$31*parametros_manuales!$B$6=0,0,'Demanda puesto sin sobrestock'!$P$98/(parametros_manuales!$M$31*E43*E72*parametros_manuales!$B$6))</f>
        <v>0.669848846583823</v>
      </c>
      <c r="F14" s="60" t="n">
        <f aca="false">IF(F43*F72*parametros_manuales!$M$31*parametros_manuales!$B$6=0,0,'Demanda puesto sin sobrestock'!$P$126/(parametros_manuales!$M$31*F43*F72*parametros_manuales!$B$6))</f>
        <v>0.583847043844401</v>
      </c>
      <c r="G14" s="59" t="n">
        <f aca="false">IF(G43*G72*parametros_manuales!$M$31*parametros_manuales!$B$6=0,0,'Demanda puesto sin sobrestock'!$P$154/(parametros_manuales!$M$31*G43*G72*parametros_manuales!$B$6))</f>
        <v>0.819858725203055</v>
      </c>
      <c r="H14" s="60" t="n">
        <f aca="false">IF(H43*H72*parametros_manuales!$M$31*parametros_manuales!$B$6=0,0,'Demanda puesto sin sobrestock'!$P$182/(parametros_manuales!$M$31*H43*H72*parametros_manuales!$B$6))</f>
        <v>0.377120534336161</v>
      </c>
      <c r="I14" s="59" t="n">
        <f aca="false">IF(I43*I72*parametros_manuales!$M$31*parametros_manuales!$B$6=0,0,'Demanda puesto sin sobrestock'!$P$210/(parametros_manuales!$M$31*I43*I72*parametros_manuales!$B$6))</f>
        <v>0.481934083186086</v>
      </c>
      <c r="J14" s="59" t="n">
        <f aca="false">IF(J43*J72*parametros_manuales!$M$31*parametros_manuales!$B$6=0,0,'Demanda puesto sin sobrestock'!$P$238/(parametros_manuales!$M$31*J43*J72*parametros_manuales!$B$6))</f>
        <v>0.543658963611802</v>
      </c>
      <c r="K14" s="59" t="n">
        <f aca="false">IF(K43*K72*parametros_manuales!$M$31*parametros_manuales!$B$6=0,0,'Demanda puesto sin sobrestock'!$P$266/(parametros_manuales!$M$31*K43*K72*parametros_manuales!$B$6))</f>
        <v>0.62815023514951</v>
      </c>
      <c r="L14" s="58" t="s">
        <v>120</v>
      </c>
      <c r="M14" s="67" t="s">
        <v>286</v>
      </c>
    </row>
    <row r="15" customFormat="false" ht="14.25" hidden="false" customHeight="true" outlineLevel="0" collapsed="false">
      <c r="A15" s="58" t="str">
        <f aca="false">parametros_manuales!$B$32</f>
        <v>Control de calidad — Espesor</v>
      </c>
      <c r="B15" s="59" t="n">
        <f aca="false">IF(B44*B73*parametros_manuales!$M$32*parametros_manuales!$B$6=0,0,'Demanda puesto sin sobrestock'!$P$15/(parametros_manuales!$M$32*B44*B73*parametros_manuales!$B$6))</f>
        <v>0.00353723736520133</v>
      </c>
      <c r="C15" s="59" t="n">
        <f aca="false">IF(C44*C73*parametros_manuales!$M$32*parametros_manuales!$B$6=0,0,'Demanda puesto sin sobrestock'!$P$43/(parametros_manuales!$M$32*C44*C73*parametros_manuales!$B$6))</f>
        <v>0.0055621803392</v>
      </c>
      <c r="D15" s="59" t="n">
        <f aca="false">IF(D44*D73*parametros_manuales!$M$32*parametros_manuales!$B$6=0,0,'Demanda puesto sin sobrestock'!$P$71/(parametros_manuales!$M$32*D44*D73*parametros_manuales!$B$6))</f>
        <v>0.0118347094137067</v>
      </c>
      <c r="E15" s="59" t="n">
        <f aca="false">IF(E44*E73*parametros_manuales!$M$32*parametros_manuales!$B$6=0,0,'Demanda puesto sin sobrestock'!$P$99/(parametros_manuales!$M$32*E44*E73*parametros_manuales!$B$6))</f>
        <v>0.0263176169057822</v>
      </c>
      <c r="F15" s="59" t="n">
        <f aca="false">IF(F44*F73*parametros_manuales!$M$32*parametros_manuales!$B$6=0,0,'Demanda puesto sin sobrestock'!$P$127/(parametros_manuales!$M$32*F44*F73*parametros_manuales!$B$6))</f>
        <v>0.0458774032674178</v>
      </c>
      <c r="G15" s="59" t="n">
        <f aca="false">IF(G44*G73*parametros_manuales!$M$32*parametros_manuales!$B$6=0,0,'Demanda puesto sin sobrestock'!$P$155/(parametros_manuales!$M$32*G44*G73*parametros_manuales!$B$6))</f>
        <v>0.0644226767181778</v>
      </c>
      <c r="H15" s="59" t="n">
        <f aca="false">IF(H44*H73*parametros_manuales!$M$32*parametros_manuales!$B$6=0,0,'Demanda puesto sin sobrestock'!$P$183/(parametros_manuales!$M$32*H44*H73*parametros_manuales!$B$6))</f>
        <v>0.0888998806275111</v>
      </c>
      <c r="I15" s="59" t="n">
        <f aca="false">IF(I44*I73*parametros_manuales!$M$32*parametros_manuales!$B$6=0,0,'Demanda puesto sin sobrestock'!$P$211/(parametros_manuales!$M$32*I44*I73*parametros_manuales!$B$6))</f>
        <v>0.1136079278764</v>
      </c>
      <c r="J15" s="59" t="n">
        <f aca="false">IF(J44*J73*parametros_manuales!$M$32*parametros_manuales!$B$6=0,0,'Demanda puesto sin sobrestock'!$P$239/(parametros_manuales!$M$32*J44*J73*parametros_manuales!$B$6))</f>
        <v>0.128158539688756</v>
      </c>
      <c r="K15" s="59" t="n">
        <f aca="false">IF(K44*K73*parametros_manuales!$M$32*parametros_manuales!$B$6=0,0,'Demanda puesto sin sobrestock'!$P$267/(parametros_manuales!$M$32*K44*K73*parametros_manuales!$B$6))</f>
        <v>0.148075948765911</v>
      </c>
      <c r="L15" s="58" t="s">
        <v>280</v>
      </c>
    </row>
    <row r="16" customFormat="false" ht="14.25" hidden="false" customHeight="true" outlineLevel="0" collapsed="false">
      <c r="A16" s="58" t="str">
        <f aca="false">parametros_manuales!$B$33</f>
        <v>Prueba hidráulica</v>
      </c>
      <c r="B16" s="59" t="n">
        <f aca="false">IF(B45*B74*parametros_manuales!$M$33*parametros_manuales!$B$6=0,0,'Demanda puesto sin sobrestock'!$P$16/(parametros_manuales!$M$33*B45*B74*parametros_manuales!$B$6))</f>
        <v>0.0900314940237896</v>
      </c>
      <c r="C16" s="59" t="n">
        <f aca="false">IF(C45*C74*parametros_manuales!$M$33*parametros_manuales!$B$6=0,0,'Demanda puesto sin sobrestock'!$P$44/(parametros_manuales!$M$33*C45*C74*parametros_manuales!$B$6))</f>
        <v>0.141571332162896</v>
      </c>
      <c r="D16" s="59" t="n">
        <f aca="false">IF(D45*D74*parametros_manuales!$M$33*parametros_manuales!$B$6=0,0,'Demanda puesto sin sobrestock'!$P$72/(parametros_manuales!$M$33*D45*D74*parametros_manuales!$B$6))</f>
        <v>0.301222807475566</v>
      </c>
      <c r="E16" s="59" t="n">
        <f aca="false">IF(E45*E74*parametros_manuales!$M$33*parametros_manuales!$B$6=0,0,'Demanda puesto sin sobrestock'!$P$100/(parametros_manuales!$M$33*E45*E74*parametros_manuales!$B$6))</f>
        <v>0.669848846583823</v>
      </c>
      <c r="F16" s="60" t="n">
        <f aca="false">IF(F45*F74*parametros_manuales!$M$33*parametros_manuales!$B$6=0,0,'Demanda puesto sin sobrestock'!$P$128/(parametros_manuales!$M$33*F45*F74*parametros_manuales!$B$6))</f>
        <v>0.583847043844401</v>
      </c>
      <c r="G16" s="59" t="n">
        <f aca="false">IF(G45*G74*parametros_manuales!$M$33*parametros_manuales!$B$6=0,0,'Demanda puesto sin sobrestock'!$P$156/(parametros_manuales!$M$33*G45*G74*parametros_manuales!$B$6))</f>
        <v>0.819858725203055</v>
      </c>
      <c r="H16" s="60" t="n">
        <f aca="false">IF(H45*H74*parametros_manuales!$M$33*parametros_manuales!$B$6=0,0,'Demanda puesto sin sobrestock'!$P$184/(parametros_manuales!$M$33*H45*H74*parametros_manuales!$B$6))</f>
        <v>0.377120534336161</v>
      </c>
      <c r="I16" s="59" t="n">
        <f aca="false">IF(I45*I74*parametros_manuales!$M$33*parametros_manuales!$B$6=0,0,'Demanda puesto sin sobrestock'!$P$212/(parametros_manuales!$M$33*I45*I74*parametros_manuales!$B$6))</f>
        <v>0.481934083186086</v>
      </c>
      <c r="J16" s="59" t="n">
        <f aca="false">IF(J45*J74*parametros_manuales!$M$33*parametros_manuales!$B$6=0,0,'Demanda puesto sin sobrestock'!$P$240/(parametros_manuales!$M$33*J45*J74*parametros_manuales!$B$6))</f>
        <v>0.543658963611802</v>
      </c>
      <c r="K16" s="59" t="n">
        <f aca="false">IF(K45*K74*parametros_manuales!$M$33*parametros_manuales!$B$6=0,0,'Demanda puesto sin sobrestock'!$P$268/(parametros_manuales!$M$33*K45*K74*parametros_manuales!$B$6))</f>
        <v>0.62815023514951</v>
      </c>
      <c r="L16" s="58" t="s">
        <v>120</v>
      </c>
    </row>
    <row r="17" customFormat="false" ht="14.25" hidden="false" customHeight="true" outlineLevel="0" collapsed="false">
      <c r="A17" s="58" t="str">
        <f aca="false">parametros_manuales!$B$34</f>
        <v>Secado</v>
      </c>
      <c r="B17" s="59" t="n">
        <f aca="false">IF(B46*B75*parametros_manuales!$M$34*parametros_manuales!$B$6=0,0,'Demanda puesto sin sobrestock'!$P$17/(parametros_manuales!$M$34*B46*B75*parametros_manuales!$B$6))</f>
        <v>0.176861868260067</v>
      </c>
      <c r="C17" s="59" t="n">
        <f aca="false">IF(C46*C75*parametros_manuales!$M$34*parametros_manuales!$B$6=0,0,'Demanda puesto sin sobrestock'!$P$45/(parametros_manuales!$M$34*C46*C75*parametros_manuales!$B$6))</f>
        <v>0.27810901696</v>
      </c>
      <c r="D17" s="59" t="n">
        <f aca="false">IF(D46*D75*parametros_manuales!$M$34*parametros_manuales!$B$6=0,0,'Demanda puesto sin sobrestock'!$P$73/(parametros_manuales!$M$34*D46*D75*parametros_manuales!$B$6))</f>
        <v>0.591735470685333</v>
      </c>
      <c r="E17" s="60" t="n">
        <f aca="false">IF(E46*E75*parametros_manuales!$M$34*parametros_manuales!$B$6=0,0,'Demanda puesto sin sobrestock'!$P$101/(parametros_manuales!$M$34*E46*E75*parametros_manuales!$B$6))</f>
        <v>0.657940422644555</v>
      </c>
      <c r="F17" s="60" t="n">
        <f aca="false">IF(F46*F75*parametros_manuales!$M$34*parametros_manuales!$B$6=0,0,'Demanda puesto sin sobrestock'!$P$129/(parametros_manuales!$M$34*F46*F75*parametros_manuales!$B$6))</f>
        <v>0.764623387790296</v>
      </c>
      <c r="G17" s="60" t="n">
        <f aca="false">IF(G46*G75*parametros_manuales!$M$34*parametros_manuales!$B$6=0,0,'Demanda puesto sin sobrestock'!$P$157/(parametros_manuales!$M$34*G46*G75*parametros_manuales!$B$6))</f>
        <v>0.805283458977222</v>
      </c>
      <c r="H17" s="60" t="n">
        <f aca="false">IF(H46*H75*parametros_manuales!$M$34*parametros_manuales!$B$6=0,0,'Demanda puesto sin sobrestock'!$P$185/(parametros_manuales!$M$34*H46*H75*parametros_manuales!$B$6))</f>
        <v>0.444499403137556</v>
      </c>
      <c r="I17" s="59" t="n">
        <f aca="false">IF(I46*I75*parametros_manuales!$M$34*parametros_manuales!$B$6=0,0,'Demanda puesto sin sobrestock'!$P$213/(parametros_manuales!$M$34*I46*I75*parametros_manuales!$B$6))</f>
        <v>0.568039639382</v>
      </c>
      <c r="J17" s="59" t="n">
        <f aca="false">IF(J46*J75*parametros_manuales!$M$34*parametros_manuales!$B$6=0,0,'Demanda puesto sin sobrestock'!$P$241/(parametros_manuales!$M$34*J46*J75*parametros_manuales!$B$6))</f>
        <v>0.640792698443778</v>
      </c>
      <c r="K17" s="59" t="n">
        <f aca="false">IF(K46*K75*parametros_manuales!$M$34*parametros_manuales!$B$6=0,0,'Demanda puesto sin sobrestock'!$P$269/(parametros_manuales!$M$34*K46*K75*parametros_manuales!$B$6))</f>
        <v>0.740379743829555</v>
      </c>
      <c r="L17" s="58" t="s">
        <v>120</v>
      </c>
    </row>
    <row r="18" customFormat="false" ht="14.25" hidden="false" customHeight="true" outlineLevel="0" collapsed="false">
      <c r="A18" s="58" t="str">
        <f aca="false">parametros_manuales!$B$35</f>
        <v>Granallado</v>
      </c>
      <c r="B18" s="59" t="n">
        <f aca="false">IF(B47*B76*parametros_manuales!$M$35*parametros_manuales!$B$6=0,0,'Demanda puesto sin sobrestock'!$P$18/(parametros_manuales!$M$35*B47*B76*parametros_manuales!$B$6))</f>
        <v>0.0442154670650167</v>
      </c>
      <c r="C18" s="59" t="n">
        <f aca="false">IF(C47*C76*parametros_manuales!$M$35*parametros_manuales!$B$6=0,0,'Demanda puesto sin sobrestock'!$P$46/(parametros_manuales!$M$35*C47*C76*parametros_manuales!$B$6))</f>
        <v>0.06952725424</v>
      </c>
      <c r="D18" s="59" t="n">
        <f aca="false">IF(D47*D76*parametros_manuales!$M$35*parametros_manuales!$B$6=0,0,'Demanda puesto sin sobrestock'!$P$74/(parametros_manuales!$M$35*D47*D76*parametros_manuales!$B$6))</f>
        <v>0.147933867671333</v>
      </c>
      <c r="E18" s="59" t="n">
        <f aca="false">IF(E47*E76*parametros_manuales!$M$35*parametros_manuales!$B$6=0,0,'Demanda puesto sin sobrestock'!$P$102/(parametros_manuales!$M$35*E47*E76*parametros_manuales!$B$6))</f>
        <v>0.328970211322278</v>
      </c>
      <c r="F18" s="59" t="n">
        <f aca="false">IF(F47*F76*parametros_manuales!$M$35*parametros_manuales!$B$6=0,0,'Demanda puesto sin sobrestock'!$P$130/(parametros_manuales!$M$35*F47*F76*parametros_manuales!$B$6))</f>
        <v>0.573467540842722</v>
      </c>
      <c r="G18" s="59" t="n">
        <f aca="false">IF(G47*G76*parametros_manuales!$M$35*parametros_manuales!$B$6=0,0,'Demanda puesto sin sobrestock'!$P$158/(parametros_manuales!$M$35*G47*G76*parametros_manuales!$B$6))</f>
        <v>0.805283458977222</v>
      </c>
      <c r="H18" s="60" t="n">
        <f aca="false">IF(H47*H76*parametros_manuales!$M$35*parametros_manuales!$B$6=0,0,'Demanda puesto sin sobrestock'!$P$186/(parametros_manuales!$M$35*H47*H76*parametros_manuales!$B$6))</f>
        <v>0.277812126960972</v>
      </c>
      <c r="I18" s="59" t="n">
        <f aca="false">IF(I47*I76*parametros_manuales!$M$35*parametros_manuales!$B$6=0,0,'Demanda puesto sin sobrestock'!$P$214/(parametros_manuales!$M$35*I47*I76*parametros_manuales!$B$6))</f>
        <v>0.35502477461375</v>
      </c>
      <c r="J18" s="59" t="n">
        <f aca="false">IF(J47*J76*parametros_manuales!$M$35*parametros_manuales!$B$6=0,0,'Demanda puesto sin sobrestock'!$P$242/(parametros_manuales!$M$35*J47*J76*parametros_manuales!$B$6))</f>
        <v>0.400495436527361</v>
      </c>
      <c r="K18" s="59" t="n">
        <f aca="false">IF(K47*K76*parametros_manuales!$M$35*parametros_manuales!$B$6=0,0,'Demanda puesto sin sobrestock'!$P$270/(parametros_manuales!$M$35*K47*K76*parametros_manuales!$B$6))</f>
        <v>0.462737339893472</v>
      </c>
      <c r="L18" s="58" t="s">
        <v>120</v>
      </c>
    </row>
    <row r="19" customFormat="false" ht="14.25" hidden="false" customHeight="true" outlineLevel="0" collapsed="false">
      <c r="A19" s="58" t="str">
        <f aca="false">parametros_manuales!$B$36</f>
        <v>Detección de defectos</v>
      </c>
      <c r="B19" s="59" t="n">
        <f aca="false">IF(B48*B77*parametros_manuales!$M$36*parametros_manuales!$B$6=0,0,'Demanda puesto sin sobrestock'!$P$19/(parametros_manuales!$M$36*B48*B77*parametros_manuales!$B$6))</f>
        <v>0.0294769780433445</v>
      </c>
      <c r="C19" s="59" t="n">
        <f aca="false">IF(C48*C77*parametros_manuales!$M$36*parametros_manuales!$B$6=0,0,'Demanda puesto sin sobrestock'!$P$47/(parametros_manuales!$M$36*C48*C77*parametros_manuales!$B$6))</f>
        <v>0.0463515028266667</v>
      </c>
      <c r="D19" s="59" t="n">
        <f aca="false">IF(D48*D77*parametros_manuales!$M$36*parametros_manuales!$B$6=0,0,'Demanda puesto sin sobrestock'!$P$75/(parametros_manuales!$M$36*D48*D77*parametros_manuales!$B$6))</f>
        <v>0.0986225784475556</v>
      </c>
      <c r="E19" s="59" t="n">
        <f aca="false">IF(E48*E77*parametros_manuales!$M$36*parametros_manuales!$B$6=0,0,'Demanda puesto sin sobrestock'!$P$103/(parametros_manuales!$M$36*E48*E77*parametros_manuales!$B$6))</f>
        <v>0.219313474214852</v>
      </c>
      <c r="F19" s="59" t="n">
        <f aca="false">IF(F48*F77*parametros_manuales!$M$36*parametros_manuales!$B$6=0,0,'Demanda puesto sin sobrestock'!$P$131/(parametros_manuales!$M$36*F48*F77*parametros_manuales!$B$6))</f>
        <v>0.382311693895148</v>
      </c>
      <c r="G19" s="59" t="n">
        <f aca="false">IF(G48*G77*parametros_manuales!$M$36*parametros_manuales!$B$6=0,0,'Demanda puesto sin sobrestock'!$P$159/(parametros_manuales!$M$36*G48*G77*parametros_manuales!$B$6))</f>
        <v>0.536855639318148</v>
      </c>
      <c r="H19" s="59" t="n">
        <f aca="false">IF(H48*H77*parametros_manuales!$M$36*parametros_manuales!$B$6=0,0,'Demanda puesto sin sobrestock'!$P$187/(parametros_manuales!$M$36*H48*H77*parametros_manuales!$B$6))</f>
        <v>0.370416169281296</v>
      </c>
      <c r="I19" s="60" t="n">
        <f aca="false">IF(I48*I77*parametros_manuales!$M$36*parametros_manuales!$B$6=0,0,'Demanda puesto sin sobrestock'!$P$215/(parametros_manuales!$M$36*I48*I77*parametros_manuales!$B$6))</f>
        <v>0.473366366151667</v>
      </c>
      <c r="J19" s="59" t="n">
        <f aca="false">IF(J48*J77*parametros_manuales!$M$36*parametros_manuales!$B$6=0,0,'Demanda puesto sin sobrestock'!$P$243/(parametros_manuales!$M$36*J48*J77*parametros_manuales!$B$6))</f>
        <v>0.533993915369815</v>
      </c>
      <c r="K19" s="59" t="n">
        <f aca="false">IF(K48*K77*parametros_manuales!$M$36*parametros_manuales!$B$6=0,0,'Demanda puesto sin sobrestock'!$P$271/(parametros_manuales!$M$36*K48*K77*parametros_manuales!$B$6))</f>
        <v>0.616983119857963</v>
      </c>
      <c r="L19" s="58" t="s">
        <v>280</v>
      </c>
    </row>
    <row r="20" customFormat="false" ht="14.25" hidden="false" customHeight="true" outlineLevel="0" collapsed="false">
      <c r="A20" s="58" t="str">
        <f aca="false">parametros_manuales!$B$37</f>
        <v>Corrección de defectos</v>
      </c>
      <c r="B20" s="59" t="n">
        <f aca="false">IF(B49*B78*parametros_manuales!$M$37*parametros_manuales!$B$6=0,0,'Demanda puesto sin sobrestock'!$P$20/(parametros_manuales!$M$37*B49*B78*parametros_manuales!$B$6))</f>
        <v>0.013264640119505</v>
      </c>
      <c r="C20" s="59" t="n">
        <f aca="false">IF(C49*C78*parametros_manuales!$M$37*parametros_manuales!$B$6=0,0,'Demanda puesto sin sobrestock'!$P$48/(parametros_manuales!$M$37*C49*C78*parametros_manuales!$B$6))</f>
        <v>0.020858176272</v>
      </c>
      <c r="D20" s="59" t="n">
        <f aca="false">IF(D49*D78*parametros_manuales!$M$37*parametros_manuales!$B$6=0,0,'Demanda puesto sin sobrestock'!$P$76/(parametros_manuales!$M$37*D49*D78*parametros_manuales!$B$6))</f>
        <v>0.0443801603014</v>
      </c>
      <c r="E20" s="59" t="n">
        <f aca="false">IF(E49*E78*parametros_manuales!$M$37*parametros_manuales!$B$6=0,0,'Demanda puesto sin sobrestock'!$P$104/(parametros_manuales!$M$37*E49*E78*parametros_manuales!$B$6))</f>
        <v>0.0986910633966833</v>
      </c>
      <c r="F20" s="59" t="n">
        <f aca="false">IF(F49*F78*parametros_manuales!$M$37*parametros_manuales!$B$6=0,0,'Demanda puesto sin sobrestock'!$P$132/(parametros_manuales!$M$37*F49*F78*parametros_manuales!$B$6))</f>
        <v>0.172040262252817</v>
      </c>
      <c r="G20" s="59" t="n">
        <f aca="false">IF(G49*G78*parametros_manuales!$M$37*parametros_manuales!$B$6=0,0,'Demanda puesto sin sobrestock'!$P$160/(parametros_manuales!$M$37*G49*G78*parametros_manuales!$B$6))</f>
        <v>0.241585037693167</v>
      </c>
      <c r="H20" s="59" t="n">
        <f aca="false">IF(H49*H78*parametros_manuales!$M$37*parametros_manuales!$B$6=0,0,'Demanda puesto sin sobrestock'!$P$188/(parametros_manuales!$M$37*H49*H78*parametros_manuales!$B$6))</f>
        <v>0.333374552353167</v>
      </c>
      <c r="I20" s="59" t="n">
        <f aca="false">IF(I49*I78*parametros_manuales!$M$37*parametros_manuales!$B$6=0,0,'Demanda puesto sin sobrestock'!$P$216/(parametros_manuales!$M$37*I49*I78*parametros_manuales!$B$6))</f>
        <v>0.4260297295365</v>
      </c>
      <c r="J20" s="59" t="n">
        <f aca="false">IF(J49*J78*parametros_manuales!$M$37*parametros_manuales!$B$6=0,0,'Demanda puesto sin sobrestock'!$P$244/(parametros_manuales!$M$37*J49*J78*parametros_manuales!$B$6))</f>
        <v>0.480594523832833</v>
      </c>
      <c r="K20" s="59" t="n">
        <f aca="false">IF(K49*K78*parametros_manuales!$M$37*parametros_manuales!$B$6=0,0,'Demanda puesto sin sobrestock'!$P$272/(parametros_manuales!$M$37*K49*K78*parametros_manuales!$B$6))</f>
        <v>0.555284807872167</v>
      </c>
      <c r="L20" s="58" t="s">
        <v>280</v>
      </c>
    </row>
    <row r="21" customFormat="false" ht="14.25" hidden="false" customHeight="true" outlineLevel="0" collapsed="false">
      <c r="A21" s="58" t="str">
        <f aca="false">parametros_manuales!$B$38</f>
        <v>Pintura en polvo + horno</v>
      </c>
      <c r="B21" s="60" t="n">
        <f aca="false">IF(B50*B79*parametros_manuales!$M$38*parametros_manuales!$B$6=0,0,'Demanda puesto sin sobrestock'!$P$21/(parametros_manuales!$M$38*B50*B79*parametros_manuales!$B$6))</f>
        <v>0.0389220660783598</v>
      </c>
      <c r="C21" s="60" t="n">
        <f aca="false">IF(C50*C79*parametros_manuales!$M$38*parametros_manuales!$B$6=0,0,'Demanda puesto sin sobrestock'!$P$49/(parametros_manuales!$M$38*C50*C79*parametros_manuales!$B$6))</f>
        <v>0.0612035688732394</v>
      </c>
      <c r="D21" s="60" t="n">
        <f aca="false">IF(D50*D79*parametros_manuales!$M$38*parametros_manuales!$B$6=0,0,'Demanda puesto sin sobrestock'!$P$77/(parametros_manuales!$M$38*D50*D79*parametros_manuales!$B$6))</f>
        <v>0.130223475062793</v>
      </c>
      <c r="E21" s="60" t="n">
        <f aca="false">IF(E50*E79*parametros_manuales!$M$38*parametros_manuales!$B$6=0,0,'Demanda puesto sin sobrestock'!$P$105/(parametros_manuales!$M$38*E50*E79*parametros_manuales!$B$6))</f>
        <v>0.289586453628766</v>
      </c>
      <c r="F21" s="59" t="n">
        <f aca="false">IF(F50*F79*parametros_manuales!$M$38*parametros_manuales!$B$6=0,0,'Demanda puesto sin sobrestock'!$P$133/(parametros_manuales!$M$38*F50*F79*parametros_manuales!$B$6))</f>
        <v>0.504812976093946</v>
      </c>
      <c r="G21" s="59" t="n">
        <f aca="false">IF(G50*G79*parametros_manuales!$M$38*parametros_manuales!$B$6=0,0,'Demanda puesto sin sobrestock'!$P$161/(parametros_manuales!$M$38*G50*G79*parametros_manuales!$B$6))</f>
        <v>0.708876284310935</v>
      </c>
      <c r="H21" s="60" t="n">
        <f aca="false">IF(H50*H79*parametros_manuales!$M$38*parametros_manuales!$B$6=0,0,'Demanda puesto sin sobrestock'!$P$189/(parametros_manuales!$M$38*H50*H79*parametros_manuales!$B$6))</f>
        <v>0.489105857325655</v>
      </c>
      <c r="I21" s="59" t="n">
        <f aca="false">IF(I50*I79*parametros_manuales!$M$38*parametros_manuales!$B$6=0,0,'Demanda puesto sin sobrestock'!$P$217/(parametros_manuales!$M$38*I50*I79*parametros_manuales!$B$6))</f>
        <v>0.625043617277729</v>
      </c>
      <c r="J21" s="59" t="n">
        <f aca="false">IF(J50*J79*parametros_manuales!$M$38*parametros_manuales!$B$6=0,0,'Demanda puesto sin sobrestock'!$P$245/(parametros_manuales!$M$38*J50*J79*parametros_manuales!$B$6))</f>
        <v>0.705097599520002</v>
      </c>
      <c r="K21" s="59" t="n">
        <f aca="false">IF(K50*K79*parametros_manuales!$M$38*parametros_manuales!$B$6=0,0,'Demanda puesto sin sobrestock'!$P$273/(parametros_manuales!$M$38*K50*K79*parametros_manuales!$B$6))</f>
        <v>0.814678415305409</v>
      </c>
      <c r="L21" s="58" t="s">
        <v>120</v>
      </c>
    </row>
    <row r="22" customFormat="false" ht="14.25" hidden="false" customHeight="true" outlineLevel="0" collapsed="false">
      <c r="A22" s="58" t="str">
        <f aca="false">parametros_manuales!$B$39</f>
        <v>Carga de polvo</v>
      </c>
      <c r="B22" s="59" t="n">
        <f aca="false">IF(B51*B80*parametros_manuales!$M$39*parametros_manuales!$B$6=0,0,'Demanda puesto sin sobrestock'!$P$22/(parametros_manuales!$M$39*B51*B80*parametros_manuales!$B$6))</f>
        <v>0.0661215339308583</v>
      </c>
      <c r="C22" s="59" t="n">
        <f aca="false">IF(C51*C80*parametros_manuales!$M$39*parametros_manuales!$B$6=0,0,'Demanda puesto sin sobrestock'!$P$50/(parametros_manuales!$M$39*C51*C80*parametros_manuales!$B$6))</f>
        <v>0.10368808136</v>
      </c>
      <c r="D22" s="59" t="n">
        <f aca="false">IF(D51*D80*parametros_manuales!$M$39*parametros_manuales!$B$6=0,0,'Demanda puesto sin sobrestock'!$P$78/(parametros_manuales!$M$39*D51*D80*parametros_manuales!$B$6))</f>
        <v>0.127111401507</v>
      </c>
      <c r="E22" s="59" t="n">
        <f aca="false">IF(E51*E80*parametros_manuales!$M$39*parametros_manuales!$B$6=0,0,'Demanda puesto sin sobrestock'!$P$106/(parametros_manuales!$M$39*E51*E80*parametros_manuales!$B$6))</f>
        <v>0.165135016983417</v>
      </c>
      <c r="F22" s="59" t="n">
        <f aca="false">IF(F51*F80*parametros_manuales!$M$39*parametros_manuales!$B$6=0,0,'Demanda puesto sin sobrestock'!$P$134/(parametros_manuales!$M$39*F51*F80*parametros_manuales!$B$6))</f>
        <v>0.253606744597417</v>
      </c>
      <c r="G22" s="59" t="n">
        <f aca="false">IF(G51*G80*parametros_manuales!$M$39*parametros_manuales!$B$6=0,0,'Demanda puesto sin sobrestock'!$P$162/(parametros_manuales!$M$39*G51*G80*parametros_manuales!$B$6))</f>
        <v>0.328922688465833</v>
      </c>
      <c r="H22" s="59" t="n">
        <f aca="false">IF(H51*H80*parametros_manuales!$M$39*parametros_manuales!$B$6=0,0,'Demanda puesto sin sobrestock'!$P$190/(parametros_manuales!$M$39*H51*H80*parametros_manuales!$B$6))</f>
        <v>0.4251874284325</v>
      </c>
      <c r="I22" s="59" t="n">
        <f aca="false">IF(I51*I80*parametros_manuales!$M$39*parametros_manuales!$B$6=0,0,'Demanda puesto sin sobrestock'!$P$218/(parametros_manuales!$M$39*I51*I80*parametros_manuales!$B$6))</f>
        <v>0.5258457476825</v>
      </c>
      <c r="J22" s="59" t="n">
        <f aca="false">IF(J51*J80*parametros_manuales!$M$39*parametros_manuales!$B$6=0,0,'Demanda puesto sin sobrestock'!$P$246/(parametros_manuales!$M$39*J51*J80*parametros_manuales!$B$6))</f>
        <v>0.6051933524975</v>
      </c>
      <c r="K22" s="59" t="n">
        <f aca="false">IF(K51*K80*parametros_manuales!$M$39*parametros_manuales!$B$6=0,0,'Demanda puesto sin sobrestock'!$P$274/(parametros_manuales!$M$39*K51*K80*parametros_manuales!$B$6))</f>
        <v>0.6882764060275</v>
      </c>
      <c r="L22" s="58" t="s">
        <v>120</v>
      </c>
    </row>
    <row r="23" customFormat="false" ht="14.25" hidden="false" customHeight="true" outlineLevel="0" collapsed="false">
      <c r="A23" s="58" t="str">
        <f aca="false">parametros_manuales!$B$40</f>
        <v>Ensamblaje</v>
      </c>
      <c r="B23" s="59" t="n">
        <f aca="false">IF(B52*B81*parametros_manuales!$M$40*parametros_manuales!$B$6=0,0,'Demanda puesto sin sobrestock'!$P$23/(parametros_manuales!$M$40*B52*B81*parametros_manuales!$B$6))</f>
        <v>0.149596230612802</v>
      </c>
      <c r="C23" s="59" t="n">
        <f aca="false">IF(C52*C81*parametros_manuales!$M$40*parametros_manuales!$B$6=0,0,'Demanda puesto sin sobrestock'!$P$51/(parametros_manuales!$M$40*C52*C81*parametros_manuales!$B$6))</f>
        <v>0.234588419366516</v>
      </c>
      <c r="D23" s="59" t="n">
        <f aca="false">IF(D52*D81*parametros_manuales!$M$40*parametros_manuales!$B$6=0,0,'Demanda puesto sin sobrestock'!$P$79/(parametros_manuales!$M$40*D52*D81*parametros_manuales!$B$6))</f>
        <v>0.287582356350679</v>
      </c>
      <c r="E23" s="59" t="n">
        <f aca="false">IF(E52*E81*parametros_manuales!$M$40*parametros_manuales!$B$6=0,0,'Demanda puesto sin sobrestock'!$P$107/(parametros_manuales!$M$40*E52*E81*parametros_manuales!$B$6))</f>
        <v>0.373608635709088</v>
      </c>
      <c r="F23" s="59" t="n">
        <f aca="false">IF(F52*F81*parametros_manuales!$M$40*parametros_manuales!$B$6=0,0,'Demanda puesto sin sobrestock'!$P$135/(parametros_manuales!$M$40*F52*F81*parametros_manuales!$B$6))</f>
        <v>0.573770915378771</v>
      </c>
      <c r="G23" s="59" t="n">
        <f aca="false">IF(G52*G81*parametros_manuales!$M$40*parametros_manuales!$B$6=0,0,'Demanda puesto sin sobrestock'!$P$163/(parametros_manuales!$M$40*G52*G81*parametros_manuales!$B$6))</f>
        <v>0.744168978429487</v>
      </c>
      <c r="H23" s="60" t="n">
        <f aca="false">IF(H52*H81*parametros_manuales!$M$40*parametros_manuales!$B$6=0,0,'Demanda puesto sin sobrestock'!$P$191/(parametros_manuales!$M$40*H52*H81*parametros_manuales!$B$6))</f>
        <v>0.480981253882919</v>
      </c>
      <c r="I23" s="59" t="n">
        <f aca="false">IF(I52*I81*parametros_manuales!$M$40*parametros_manuales!$B$6=0,0,'Demanda puesto sin sobrestock'!$P$219/(parametros_manuales!$M$40*I52*I81*parametros_manuales!$B$6))</f>
        <v>0.594848130862557</v>
      </c>
      <c r="J23" s="59" t="n">
        <f aca="false">IF(J52*J81*parametros_manuales!$M$40*parametros_manuales!$B$6=0,0,'Demanda puesto sin sobrestock'!$P$247/(parametros_manuales!$M$40*J52*J81*parametros_manuales!$B$6))</f>
        <v>0.684607864816177</v>
      </c>
      <c r="K23" s="59" t="n">
        <f aca="false">IF(K52*K81*parametros_manuales!$M$40*parametros_manuales!$B$6=0,0,'Demanda puesto sin sobrestock'!$P$275/(parametros_manuales!$M$40*K52*K81*parametros_manuales!$B$6))</f>
        <v>0.778593219488122</v>
      </c>
      <c r="L23" s="58" t="s">
        <v>280</v>
      </c>
    </row>
    <row r="24" customFormat="false" ht="14.25" hidden="false" customHeight="true" outlineLevel="0" collapsed="false">
      <c r="A24" s="58" t="str">
        <f aca="false">parametros_manuales!$B$41</f>
        <v>Presurización</v>
      </c>
      <c r="B24" s="59" t="n">
        <f aca="false">IF(B53*B82*parametros_manuales!$M$41*parametros_manuales!$B$6=0,0,'Demanda puesto sin sobrestock'!$P$24/(parametros_manuales!$M$41*B53*B82*parametros_manuales!$B$6))</f>
        <v>0.0440810226205722</v>
      </c>
      <c r="C24" s="59" t="n">
        <f aca="false">IF(C53*C82*parametros_manuales!$M$41*parametros_manuales!$B$6=0,0,'Demanda puesto sin sobrestock'!$P$52/(parametros_manuales!$M$41*C53*C82*parametros_manuales!$B$6))</f>
        <v>0.0691253875733333</v>
      </c>
      <c r="D24" s="59" t="n">
        <f aca="false">IF(D53*D82*parametros_manuales!$M$41*parametros_manuales!$B$6=0,0,'Demanda puesto sin sobrestock'!$P$80/(parametros_manuales!$M$41*D53*D82*parametros_manuales!$B$6))</f>
        <v>0.084740934338</v>
      </c>
      <c r="E24" s="59" t="n">
        <f aca="false">IF(E53*E82*parametros_manuales!$M$41*parametros_manuales!$B$6=0,0,'Demanda puesto sin sobrestock'!$P$108/(parametros_manuales!$M$41*E53*E82*parametros_manuales!$B$6))</f>
        <v>0.110090011322278</v>
      </c>
      <c r="F24" s="59" t="n">
        <f aca="false">IF(F53*F82*parametros_manuales!$M$41*parametros_manuales!$B$6=0,0,'Demanda puesto sin sobrestock'!$P$136/(parametros_manuales!$M$41*F53*F82*parametros_manuales!$B$6))</f>
        <v>0.169071163064944</v>
      </c>
      <c r="G24" s="59" t="n">
        <f aca="false">IF(G53*G82*parametros_manuales!$M$41*parametros_manuales!$B$6=0,0,'Demanda puesto sin sobrestock'!$P$164/(parametros_manuales!$M$41*G53*G82*parametros_manuales!$B$6))</f>
        <v>0.219281792310556</v>
      </c>
      <c r="H24" s="59" t="n">
        <f aca="false">IF(H53*H82*parametros_manuales!$M$41*parametros_manuales!$B$6=0,0,'Demanda puesto sin sobrestock'!$P$192/(parametros_manuales!$M$41*H53*H82*parametros_manuales!$B$6))</f>
        <v>0.283458285621667</v>
      </c>
      <c r="I24" s="59" t="n">
        <f aca="false">IF(I53*I82*parametros_manuales!$M$41*parametros_manuales!$B$6=0,0,'Demanda puesto sin sobrestock'!$P$220/(parametros_manuales!$M$41*I53*I82*parametros_manuales!$B$6))</f>
        <v>0.350563831788333</v>
      </c>
      <c r="J24" s="59" t="n">
        <f aca="false">IF(J53*J82*parametros_manuales!$M$41*parametros_manuales!$B$6=0,0,'Demanda puesto sin sobrestock'!$P$248/(parametros_manuales!$M$41*J53*J82*parametros_manuales!$B$6))</f>
        <v>0.403462234998333</v>
      </c>
      <c r="K24" s="59" t="n">
        <f aca="false">IF(K53*K82*parametros_manuales!$M$41*parametros_manuales!$B$6=0,0,'Demanda puesto sin sobrestock'!$P$276/(parametros_manuales!$M$41*K53*K82*parametros_manuales!$B$6))</f>
        <v>0.458850937351667</v>
      </c>
      <c r="L24" s="58" t="s">
        <v>120</v>
      </c>
    </row>
    <row r="25" customFormat="false" ht="14.25" hidden="false" customHeight="true" outlineLevel="0" collapsed="false">
      <c r="A25" s="58" t="str">
        <f aca="false">parametros_manuales!$B$42</f>
        <v>Control de calidad — Ensayo de pérdidas</v>
      </c>
      <c r="B25" s="59" t="n">
        <f aca="false">IF(B54*B83*parametros_manuales!$M$42*parametros_manuales!$B$6=0,0,'Demanda puesto sin sobrestock'!$P$25/(parametros_manuales!$M$42*B54*B83*parametros_manuales!$B$6))</f>
        <v>0.0587746968274296</v>
      </c>
      <c r="C25" s="59" t="n">
        <f aca="false">IF(C54*C83*parametros_manuales!$M$42*parametros_manuales!$B$6=0,0,'Demanda puesto sin sobrestock'!$P$53/(parametros_manuales!$M$42*C54*C83*parametros_manuales!$B$6))</f>
        <v>0.0921671834311111</v>
      </c>
      <c r="D25" s="59" t="n">
        <f aca="false">IF(D54*D83*parametros_manuales!$M$42*parametros_manuales!$B$6=0,0,'Demanda puesto sin sobrestock'!$P$81/(parametros_manuales!$M$42*D54*D83*parametros_manuales!$B$6))</f>
        <v>0.112987912450667</v>
      </c>
      <c r="E25" s="59" t="n">
        <f aca="false">IF(E54*E83*parametros_manuales!$M$42*parametros_manuales!$B$6=0,0,'Demanda puesto sin sobrestock'!$P$109/(parametros_manuales!$M$42*E54*E83*parametros_manuales!$B$6))</f>
        <v>0.146786681763037</v>
      </c>
      <c r="F25" s="59" t="n">
        <f aca="false">IF(F54*F83*parametros_manuales!$M$42*parametros_manuales!$B$6=0,0,'Demanda puesto sin sobrestock'!$P$137/(parametros_manuales!$M$42*F54*F83*parametros_manuales!$B$6))</f>
        <v>0.225428217419926</v>
      </c>
      <c r="G25" s="59" t="n">
        <f aca="false">IF(G54*G83*parametros_manuales!$M$42*parametros_manuales!$B$6=0,0,'Demanda puesto sin sobrestock'!$P$165/(parametros_manuales!$M$42*G54*G83*parametros_manuales!$B$6))</f>
        <v>0.292375723080741</v>
      </c>
      <c r="H25" s="59" t="n">
        <f aca="false">IF(H54*H83*parametros_manuales!$M$42*parametros_manuales!$B$6=0,0,'Demanda puesto sin sobrestock'!$P$193/(parametros_manuales!$M$42*H54*H83*parametros_manuales!$B$6))</f>
        <v>0.377944380828889</v>
      </c>
      <c r="I25" s="59" t="n">
        <f aca="false">IF(I54*I83*parametros_manuales!$M$42*parametros_manuales!$B$6=0,0,'Demanda puesto sin sobrestock'!$P$221/(parametros_manuales!$M$42*I54*I83*parametros_manuales!$B$6))</f>
        <v>0.467418442384445</v>
      </c>
      <c r="J25" s="60" t="n">
        <f aca="false">IF(J54*J83*parametros_manuales!$M$42*parametros_manuales!$B$6=0,0,'Demanda puesto sin sobrestock'!$P$249/(parametros_manuales!$M$42*J54*J83*parametros_manuales!$B$6))</f>
        <v>0.537949646664444</v>
      </c>
      <c r="K25" s="59" t="n">
        <f aca="false">IF(K54*K83*parametros_manuales!$M$42*parametros_manuales!$B$6=0,0,'Demanda puesto sin sobrestock'!$P$277/(parametros_manuales!$M$42*K54*K83*parametros_manuales!$B$6))</f>
        <v>0.611801249802222</v>
      </c>
      <c r="L25" s="58" t="s">
        <v>120</v>
      </c>
    </row>
    <row r="26" customFormat="false" ht="14.25" hidden="false" customHeight="true" outlineLevel="0" collapsed="false">
      <c r="A26" s="58" t="str">
        <f aca="false">parametros_manuales!$B$43</f>
        <v>Etiquetado</v>
      </c>
      <c r="B26" s="59" t="n">
        <f aca="false">IF(B55*B84*parametros_manuales!$M$43*parametros_manuales!$B$6=0,0,'Demanda puesto sin sobrestock'!$P$26/(parametros_manuales!$M$43*B55*B84*parametros_manuales!$B$6))</f>
        <v>0.0881620452411445</v>
      </c>
      <c r="C26" s="59" t="n">
        <f aca="false">IF(C55*C84*parametros_manuales!$M$43*parametros_manuales!$B$6=0,0,'Demanda puesto sin sobrestock'!$P$54/(parametros_manuales!$M$43*C55*C84*parametros_manuales!$B$6))</f>
        <v>0.138250775146667</v>
      </c>
      <c r="D26" s="59" t="n">
        <f aca="false">IF(D55*D84*parametros_manuales!$M$43*parametros_manuales!$B$6=0,0,'Demanda puesto sin sobrestock'!$P$82/(parametros_manuales!$M$43*D55*D84*parametros_manuales!$B$6))</f>
        <v>0.169481868676</v>
      </c>
      <c r="E26" s="59" t="n">
        <f aca="false">IF(E55*E84*parametros_manuales!$M$43*parametros_manuales!$B$6=0,0,'Demanda puesto sin sobrestock'!$P$110/(parametros_manuales!$M$43*E55*E84*parametros_manuales!$B$6))</f>
        <v>0.220180022644556</v>
      </c>
      <c r="F26" s="59" t="n">
        <f aca="false">IF(F55*F84*parametros_manuales!$M$43*parametros_manuales!$B$6=0,0,'Demanda puesto sin sobrestock'!$P$138/(parametros_manuales!$M$43*F55*F84*parametros_manuales!$B$6))</f>
        <v>0.338142326129889</v>
      </c>
      <c r="G26" s="59" t="n">
        <f aca="false">IF(G55*G84*parametros_manuales!$M$43*parametros_manuales!$B$6=0,0,'Demanda puesto sin sobrestock'!$P$166/(parametros_manuales!$M$43*G55*G84*parametros_manuales!$B$6))</f>
        <v>0.438563584621111</v>
      </c>
      <c r="H26" s="59" t="n">
        <f aca="false">IF(H55*H84*parametros_manuales!$M$43*parametros_manuales!$B$6=0,0,'Demanda puesto sin sobrestock'!$P$194/(parametros_manuales!$M$43*H55*H84*parametros_manuales!$B$6))</f>
        <v>0.283458285621667</v>
      </c>
      <c r="I26" s="59" t="n">
        <f aca="false">IF(I55*I84*parametros_manuales!$M$43*parametros_manuales!$B$6=0,0,'Demanda puesto sin sobrestock'!$P$222/(parametros_manuales!$M$43*I55*I84*parametros_manuales!$B$6))</f>
        <v>0.350563831788333</v>
      </c>
      <c r="J26" s="59" t="n">
        <f aca="false">IF(J55*J84*parametros_manuales!$M$43*parametros_manuales!$B$6=0,0,'Demanda puesto sin sobrestock'!$P$250/(parametros_manuales!$M$43*J55*J84*parametros_manuales!$B$6))</f>
        <v>0.403462234998333</v>
      </c>
      <c r="K26" s="59" t="n">
        <f aca="false">IF(K55*K84*parametros_manuales!$M$43*parametros_manuales!$B$6=0,0,'Demanda puesto sin sobrestock'!$P$278/(parametros_manuales!$M$43*K55*K84*parametros_manuales!$B$6))</f>
        <v>0.458850937351667</v>
      </c>
      <c r="L26" s="58" t="s">
        <v>120</v>
      </c>
    </row>
    <row r="27" customFormat="false" ht="14.25" hidden="false" customHeight="true" outlineLevel="0" collapsed="false">
      <c r="A27" s="58" t="str">
        <f aca="false">parametros_manuales!$B$44</f>
        <v>Embalaje y paletizado</v>
      </c>
      <c r="B27" s="59" t="n">
        <f aca="false">IF(B56*B85*parametros_manuales!$M$44*parametros_manuales!$B$6=0,0,'Demanda puesto sin sobrestock'!$P$27/(parametros_manuales!$M$44*B56*B85*parametros_manuales!$B$6))</f>
        <v>0.0669180275087136</v>
      </c>
      <c r="C27" s="59" t="n">
        <f aca="false">IF(C56*C85*parametros_manuales!$M$44*parametros_manuales!$B$6=0,0,'Demanda puesto sin sobrestock'!$P$55/(parametros_manuales!$M$44*C56*C85*parametros_manuales!$B$6))</f>
        <v>0.105226225587444</v>
      </c>
      <c r="D27" s="59" t="n">
        <f aca="false">IF(D56*D85*parametros_manuales!$M$44*parametros_manuales!$B$6=0,0,'Demanda puesto sin sobrestock'!$P$83/(parametros_manuales!$M$44*D56*D85*parametros_manuales!$B$6))</f>
        <v>0.223890943224552</v>
      </c>
      <c r="E27" s="59" t="n">
        <f aca="false">IF(E56*E85*parametros_manuales!$M$44*parametros_manuales!$B$6=0,0,'Demanda puesto sin sobrestock'!$P$111/(parametros_manuales!$M$44*E56*E85*parametros_manuales!$B$6))</f>
        <v>0.497880925207483</v>
      </c>
      <c r="F27" s="59" t="n">
        <f aca="false">IF(F56*F85*parametros_manuales!$M$44*parametros_manuales!$B$6=0,0,'Demanda puesto sin sobrestock'!$P$139/(parametros_manuales!$M$44*F56*F85*parametros_manuales!$B$6))</f>
        <v>0.867916121230578</v>
      </c>
      <c r="G27" s="60" t="n">
        <f aca="false">IF(G56*G85*parametros_manuales!$M$44*parametros_manuales!$B$6=0,0,'Demanda puesto sin sobrestock'!$P$167/(parametros_manuales!$M$44*G56*G85*parametros_manuales!$B$6))</f>
        <v>0.609379299113929</v>
      </c>
      <c r="H27" s="59" t="n">
        <f aca="false">IF(H56*H85*parametros_manuales!$M$44*parametros_manuales!$B$6=0,0,'Demanda puesto sin sobrestock'!$P$195/(parametros_manuales!$M$44*H56*H85*parametros_manuales!$B$6))</f>
        <v>0.420455573315373</v>
      </c>
      <c r="I27" s="60" t="n">
        <f aca="false">IF(I56*I85*parametros_manuales!$M$44*parametros_manuales!$B$6=0,0,'Demanda puesto sin sobrestock'!$P$223/(parametros_manuales!$M$44*I56*I85*parametros_manuales!$B$6))</f>
        <v>0.537313279964756</v>
      </c>
      <c r="J27" s="59" t="n">
        <f aca="false">IF(J56*J85*parametros_manuales!$M$44*parametros_manuales!$B$6=0,0,'Demanda puesto sin sobrestock'!$P$251/(parametros_manuales!$M$44*J56*J85*parametros_manuales!$B$6))</f>
        <v>0.606130985775715</v>
      </c>
      <c r="K27" s="59" t="n">
        <f aca="false">IF(K56*K85*parametros_manuales!$M$44*parametros_manuales!$B$6=0,0,'Demanda puesto sin sobrestock'!$P$279/(parametros_manuales!$M$44*K56*K85*parametros_manuales!$B$6))</f>
        <v>0.700331175847744</v>
      </c>
      <c r="L27" s="58" t="s">
        <v>280</v>
      </c>
    </row>
    <row r="28" customFormat="false" ht="14.25" hidden="false" customHeight="true" outlineLevel="0" collapsed="false">
      <c r="A28" s="15" t="s">
        <v>287</v>
      </c>
      <c r="B28" s="68" t="n">
        <f aca="false">MAX(B2:B27)</f>
        <v>0.176861868260067</v>
      </c>
      <c r="C28" s="68" t="n">
        <f aca="false">MAX(C2:C27)</f>
        <v>0.27810901696</v>
      </c>
      <c r="D28" s="68" t="n">
        <f aca="false">MAX(D2:D27)</f>
        <v>0.591735470685333</v>
      </c>
      <c r="E28" s="68" t="n">
        <f aca="false">MAX(E2:E27)</f>
        <v>0.669848846583823</v>
      </c>
      <c r="F28" s="68" t="n">
        <f aca="false">MAX(F2:F27)</f>
        <v>0.867916121230578</v>
      </c>
      <c r="G28" s="68" t="n">
        <f aca="false">MAX(G2:G27)</f>
        <v>0.867474676645739</v>
      </c>
      <c r="H28" s="68" t="n">
        <f aca="false">MAX(H2:H27)</f>
        <v>0.489105857325655</v>
      </c>
      <c r="I28" s="68" t="n">
        <f aca="false">MAX(I2:I27)</f>
        <v>0.625043617277729</v>
      </c>
      <c r="J28" s="68" t="n">
        <f aca="false">MAX(J2:J27)</f>
        <v>0.705097599520002</v>
      </c>
      <c r="K28" s="68" t="n">
        <f aca="false">MAX(K2:K27)</f>
        <v>0.814678415305409</v>
      </c>
    </row>
    <row r="29" customFormat="false" ht="14.25" hidden="false" customHeight="true" outlineLevel="0" collapsed="false"/>
    <row r="30" customFormat="false" ht="14.25" hidden="false" customHeight="true" outlineLevel="0" collapsed="false">
      <c r="A30" s="12" t="s">
        <v>288</v>
      </c>
      <c r="B30" s="12" t="n">
        <v>2026</v>
      </c>
      <c r="C30" s="12" t="n">
        <v>2027</v>
      </c>
      <c r="D30" s="12" t="n">
        <v>2028</v>
      </c>
      <c r="E30" s="12" t="n">
        <v>2029</v>
      </c>
      <c r="F30" s="12" t="n">
        <v>2030</v>
      </c>
      <c r="G30" s="12" t="n">
        <v>2031</v>
      </c>
      <c r="H30" s="12" t="n">
        <v>2032</v>
      </c>
      <c r="I30" s="12" t="n">
        <v>2033</v>
      </c>
      <c r="J30" s="12" t="n">
        <v>2034</v>
      </c>
      <c r="K30" s="12" t="n">
        <v>2035</v>
      </c>
    </row>
    <row r="31" customFormat="false" ht="14.25" hidden="false" customHeight="true" outlineLevel="0" collapsed="false">
      <c r="A31" s="13" t="str">
        <f aca="false">parametros_manuales!$B$19</f>
        <v>Recepción de materia prima</v>
      </c>
      <c r="B31" s="55" t="n">
        <v>1</v>
      </c>
      <c r="C31" s="55" t="n">
        <v>1</v>
      </c>
      <c r="D31" s="55" t="n">
        <v>1</v>
      </c>
      <c r="E31" s="55" t="n">
        <v>1</v>
      </c>
      <c r="F31" s="55" t="n">
        <v>2</v>
      </c>
      <c r="G31" s="55" t="n">
        <v>2</v>
      </c>
      <c r="H31" s="55" t="n">
        <v>3</v>
      </c>
      <c r="I31" s="55" t="n">
        <v>3</v>
      </c>
      <c r="J31" s="55" t="n">
        <v>3</v>
      </c>
      <c r="K31" s="55" t="n">
        <v>3</v>
      </c>
    </row>
    <row r="32" customFormat="false" ht="14.25" hidden="false" customHeight="true" outlineLevel="0" collapsed="false">
      <c r="A32" s="13" t="str">
        <f aca="false">parametros_manuales!$B$20</f>
        <v>Corte de chapa — 1.er corte en franjas (guillotina 1, manuales + carros)</v>
      </c>
      <c r="B32" s="55" t="n">
        <v>1</v>
      </c>
      <c r="C32" s="55" t="n">
        <v>1</v>
      </c>
      <c r="D32" s="55" t="n">
        <v>1</v>
      </c>
      <c r="E32" s="55" t="n">
        <v>1</v>
      </c>
      <c r="F32" s="55" t="n">
        <v>1</v>
      </c>
      <c r="G32" s="55" t="n">
        <v>1</v>
      </c>
      <c r="H32" s="55" t="n">
        <v>1</v>
      </c>
      <c r="I32" s="55" t="n">
        <v>1</v>
      </c>
      <c r="J32" s="55" t="n">
        <v>1</v>
      </c>
      <c r="K32" s="55" t="n">
        <v>1</v>
      </c>
    </row>
    <row r="33" customFormat="false" ht="14.25" hidden="false" customHeight="true" outlineLevel="0" collapsed="false">
      <c r="A33" s="13" t="str">
        <f aca="false">parametros_manuales!$B$21</f>
        <v>Corte de chapa — 2.º corte en piezas (guillotina 2, manuales + carros)</v>
      </c>
      <c r="B33" s="55" t="n">
        <v>1</v>
      </c>
      <c r="C33" s="55" t="n">
        <v>1</v>
      </c>
      <c r="D33" s="55" t="n">
        <v>1</v>
      </c>
      <c r="E33" s="55" t="n">
        <v>1</v>
      </c>
      <c r="F33" s="55" t="n">
        <v>1</v>
      </c>
      <c r="G33" s="55" t="n">
        <v>1</v>
      </c>
      <c r="H33" s="55" t="n">
        <v>1</v>
      </c>
      <c r="I33" s="55" t="n">
        <v>1</v>
      </c>
      <c r="J33" s="55" t="n">
        <v>1</v>
      </c>
      <c r="K33" s="55" t="n">
        <v>1</v>
      </c>
    </row>
    <row r="34" customFormat="false" ht="14.25" hidden="false" customHeight="true" outlineLevel="0" collapsed="false">
      <c r="A34" s="13" t="str">
        <f aca="false">parametros_manuales!$B$22</f>
        <v>Corte de disco y embutido (cúpula y fondo)</v>
      </c>
      <c r="B34" s="55" t="n">
        <v>1</v>
      </c>
      <c r="C34" s="55" t="n">
        <v>1</v>
      </c>
      <c r="D34" s="55" t="n">
        <v>1</v>
      </c>
      <c r="E34" s="55" t="n">
        <v>1</v>
      </c>
      <c r="F34" s="55" t="n">
        <v>1</v>
      </c>
      <c r="G34" s="55" t="n">
        <v>1</v>
      </c>
      <c r="H34" s="55" t="n">
        <v>1</v>
      </c>
      <c r="I34" s="55" t="n">
        <v>1</v>
      </c>
      <c r="J34" s="55" t="n">
        <v>1</v>
      </c>
      <c r="K34" s="55" t="n">
        <v>1</v>
      </c>
    </row>
    <row r="35" customFormat="false" ht="14.25" hidden="false" customHeight="true" outlineLevel="0" collapsed="false">
      <c r="A35" s="13" t="str">
        <f aca="false">parametros_manuales!$B$23</f>
        <v>Preparación de cuello</v>
      </c>
      <c r="B35" s="55" t="n">
        <v>1</v>
      </c>
      <c r="C35" s="55" t="n">
        <v>1</v>
      </c>
      <c r="D35" s="55" t="n">
        <v>1</v>
      </c>
      <c r="E35" s="55" t="n">
        <v>1</v>
      </c>
      <c r="F35" s="55" t="n">
        <v>2</v>
      </c>
      <c r="G35" s="55" t="n">
        <v>2</v>
      </c>
      <c r="H35" s="55" t="n">
        <v>3</v>
      </c>
      <c r="I35" s="55" t="n">
        <v>3</v>
      </c>
      <c r="J35" s="55" t="n">
        <v>3</v>
      </c>
      <c r="K35" s="55" t="n">
        <v>3</v>
      </c>
    </row>
    <row r="36" customFormat="false" ht="14.25" hidden="false" customHeight="true" outlineLevel="0" collapsed="false">
      <c r="A36" s="13" t="str">
        <f aca="false">parametros_manuales!$B$24</f>
        <v>Numerado de cúpula</v>
      </c>
      <c r="B36" s="55" t="n">
        <v>1</v>
      </c>
      <c r="C36" s="55" t="n">
        <v>1</v>
      </c>
      <c r="D36" s="55" t="n">
        <v>1</v>
      </c>
      <c r="E36" s="55" t="n">
        <v>1</v>
      </c>
      <c r="F36" s="55" t="n">
        <v>1</v>
      </c>
      <c r="G36" s="55" t="n">
        <v>1</v>
      </c>
      <c r="H36" s="55" t="n">
        <v>1</v>
      </c>
      <c r="I36" s="55" t="n">
        <v>1</v>
      </c>
      <c r="J36" s="55" t="n">
        <v>1</v>
      </c>
      <c r="K36" s="55" t="n">
        <v>1</v>
      </c>
    </row>
    <row r="37" customFormat="false" ht="14.25" hidden="false" customHeight="true" outlineLevel="0" collapsed="false">
      <c r="A37" s="13" t="str">
        <f aca="false">parametros_manuales!$B$25</f>
        <v>Soldadura del cuello a la cúpula</v>
      </c>
      <c r="B37" s="55" t="n">
        <v>1</v>
      </c>
      <c r="C37" s="55" t="n">
        <v>1</v>
      </c>
      <c r="D37" s="55" t="n">
        <v>1</v>
      </c>
      <c r="E37" s="55" t="n">
        <v>1</v>
      </c>
      <c r="F37" s="55" t="n">
        <v>1</v>
      </c>
      <c r="G37" s="55" t="n">
        <v>1</v>
      </c>
      <c r="H37" s="55" t="n">
        <v>1</v>
      </c>
      <c r="I37" s="55" t="n">
        <v>1</v>
      </c>
      <c r="J37" s="55" t="n">
        <v>1</v>
      </c>
      <c r="K37" s="55" t="n">
        <v>1</v>
      </c>
    </row>
    <row r="38" customFormat="false" ht="14.25" hidden="false" customHeight="true" outlineLevel="0" collapsed="false">
      <c r="A38" s="13" t="str">
        <f aca="false">parametros_manuales!$B$26</f>
        <v>Cilindrado</v>
      </c>
      <c r="B38" s="55" t="n">
        <v>1</v>
      </c>
      <c r="C38" s="55" t="n">
        <v>1</v>
      </c>
      <c r="D38" s="55" t="n">
        <v>1</v>
      </c>
      <c r="E38" s="55" t="n">
        <v>1</v>
      </c>
      <c r="F38" s="55" t="n">
        <v>1</v>
      </c>
      <c r="G38" s="55" t="n">
        <v>1</v>
      </c>
      <c r="H38" s="55" t="n">
        <v>1</v>
      </c>
      <c r="I38" s="55" t="n">
        <v>1</v>
      </c>
      <c r="J38" s="55" t="n">
        <v>1</v>
      </c>
      <c r="K38" s="55" t="n">
        <v>1</v>
      </c>
    </row>
    <row r="39" customFormat="false" ht="14.25" hidden="false" customHeight="true" outlineLevel="0" collapsed="false">
      <c r="A39" s="13" t="str">
        <f aca="false">parametros_manuales!$B$27</f>
        <v>Soldadura longitudinal — 2,5 a 10 kg</v>
      </c>
      <c r="B39" s="55" t="n">
        <v>1</v>
      </c>
      <c r="C39" s="55" t="n">
        <v>1</v>
      </c>
      <c r="D39" s="55" t="n">
        <v>1</v>
      </c>
      <c r="E39" s="55" t="n">
        <v>1</v>
      </c>
      <c r="F39" s="55" t="n">
        <v>1</v>
      </c>
      <c r="G39" s="55" t="n">
        <v>1</v>
      </c>
      <c r="H39" s="55" t="n">
        <v>2</v>
      </c>
      <c r="I39" s="55" t="n">
        <v>2</v>
      </c>
      <c r="J39" s="55" t="n">
        <v>2</v>
      </c>
      <c r="K39" s="55" t="n">
        <v>2</v>
      </c>
    </row>
    <row r="40" customFormat="false" ht="14.25" hidden="false" customHeight="true" outlineLevel="0" collapsed="false">
      <c r="A40" s="13" t="str">
        <f aca="false">parametros_manuales!$B$28</f>
        <v>Soldadura longitudinal TIG — 1 kg</v>
      </c>
      <c r="B40" s="55" t="n">
        <v>1</v>
      </c>
      <c r="C40" s="55" t="n">
        <v>1</v>
      </c>
      <c r="D40" s="55" t="n">
        <v>1</v>
      </c>
      <c r="E40" s="55" t="n">
        <v>1</v>
      </c>
      <c r="F40" s="55" t="n">
        <v>1</v>
      </c>
      <c r="G40" s="55" t="n">
        <v>1</v>
      </c>
      <c r="H40" s="55" t="n">
        <v>1</v>
      </c>
      <c r="I40" s="55" t="n">
        <v>1</v>
      </c>
      <c r="J40" s="55" t="n">
        <v>1</v>
      </c>
      <c r="K40" s="55" t="n">
        <v>1</v>
      </c>
    </row>
    <row r="41" customFormat="false" ht="14.25" hidden="false" customHeight="true" outlineLevel="0" collapsed="false">
      <c r="A41" s="13" t="str">
        <f aca="false">parametros_manuales!$B$29</f>
        <v>Encastre de fondo</v>
      </c>
      <c r="B41" s="55" t="n">
        <v>1</v>
      </c>
      <c r="C41" s="55" t="n">
        <v>1</v>
      </c>
      <c r="D41" s="55" t="n">
        <v>1</v>
      </c>
      <c r="E41" s="55" t="n">
        <v>1</v>
      </c>
      <c r="F41" s="55" t="n">
        <v>1</v>
      </c>
      <c r="G41" s="55" t="n">
        <v>1</v>
      </c>
      <c r="H41" s="55" t="n">
        <v>2</v>
      </c>
      <c r="I41" s="55" t="n">
        <v>2</v>
      </c>
      <c r="J41" s="55" t="n">
        <v>2</v>
      </c>
      <c r="K41" s="55" t="n">
        <v>2</v>
      </c>
    </row>
    <row r="42" customFormat="false" ht="14.25" hidden="false" customHeight="true" outlineLevel="0" collapsed="false">
      <c r="A42" s="13" t="str">
        <f aca="false">parametros_manuales!$B$30</f>
        <v>Bordoneado</v>
      </c>
      <c r="B42" s="55" t="n">
        <v>1</v>
      </c>
      <c r="C42" s="55" t="n">
        <v>1</v>
      </c>
      <c r="D42" s="55" t="n">
        <v>1</v>
      </c>
      <c r="E42" s="55" t="n">
        <v>1</v>
      </c>
      <c r="F42" s="55" t="n">
        <v>1</v>
      </c>
      <c r="G42" s="55" t="n">
        <v>1</v>
      </c>
      <c r="H42" s="55" t="n">
        <v>1</v>
      </c>
      <c r="I42" s="55" t="n">
        <v>1</v>
      </c>
      <c r="J42" s="55" t="n">
        <v>1</v>
      </c>
      <c r="K42" s="55" t="n">
        <v>1</v>
      </c>
    </row>
    <row r="43" customFormat="false" ht="14.25" hidden="false" customHeight="true" outlineLevel="0" collapsed="false">
      <c r="A43" s="13" t="str">
        <f aca="false">parametros_manuales!$B$31</f>
        <v>Soldadura circunferencial de cúpula y fondo</v>
      </c>
      <c r="B43" s="55" t="n">
        <v>1</v>
      </c>
      <c r="C43" s="55" t="n">
        <v>1</v>
      </c>
      <c r="D43" s="55" t="n">
        <v>1</v>
      </c>
      <c r="E43" s="55" t="n">
        <v>1</v>
      </c>
      <c r="F43" s="55" t="n">
        <v>2</v>
      </c>
      <c r="G43" s="55" t="n">
        <v>2</v>
      </c>
      <c r="H43" s="55" t="n">
        <v>3</v>
      </c>
      <c r="I43" s="55" t="n">
        <v>3</v>
      </c>
      <c r="J43" s="55" t="n">
        <v>3</v>
      </c>
      <c r="K43" s="55" t="n">
        <v>3</v>
      </c>
    </row>
    <row r="44" customFormat="false" ht="14.25" hidden="false" customHeight="true" outlineLevel="0" collapsed="false">
      <c r="A44" s="13" t="str">
        <f aca="false">parametros_manuales!$B$32</f>
        <v>Control de calidad — Espesor</v>
      </c>
      <c r="B44" s="55" t="n">
        <v>1</v>
      </c>
      <c r="C44" s="55" t="n">
        <v>1</v>
      </c>
      <c r="D44" s="55" t="n">
        <v>1</v>
      </c>
      <c r="E44" s="55" t="n">
        <v>1</v>
      </c>
      <c r="F44" s="55" t="n">
        <v>1</v>
      </c>
      <c r="G44" s="55" t="n">
        <v>1</v>
      </c>
      <c r="H44" s="55" t="n">
        <v>1</v>
      </c>
      <c r="I44" s="55" t="n">
        <v>1</v>
      </c>
      <c r="J44" s="55" t="n">
        <v>1</v>
      </c>
      <c r="K44" s="55" t="n">
        <v>1</v>
      </c>
    </row>
    <row r="45" customFormat="false" ht="14.25" hidden="false" customHeight="true" outlineLevel="0" collapsed="false">
      <c r="A45" s="13" t="str">
        <f aca="false">parametros_manuales!$B$33</f>
        <v>Prueba hidráulica</v>
      </c>
      <c r="B45" s="55" t="n">
        <v>1</v>
      </c>
      <c r="C45" s="55" t="n">
        <v>1</v>
      </c>
      <c r="D45" s="55" t="n">
        <v>1</v>
      </c>
      <c r="E45" s="55" t="n">
        <v>1</v>
      </c>
      <c r="F45" s="55" t="n">
        <v>2</v>
      </c>
      <c r="G45" s="55" t="n">
        <v>2</v>
      </c>
      <c r="H45" s="55" t="n">
        <v>3</v>
      </c>
      <c r="I45" s="55" t="n">
        <v>3</v>
      </c>
      <c r="J45" s="55" t="n">
        <v>3</v>
      </c>
      <c r="K45" s="55" t="n">
        <v>3</v>
      </c>
    </row>
    <row r="46" customFormat="false" ht="14.25" hidden="false" customHeight="true" outlineLevel="0" collapsed="false">
      <c r="A46" s="13" t="str">
        <f aca="false">parametros_manuales!$B$34</f>
        <v>Secado</v>
      </c>
      <c r="B46" s="55" t="n">
        <v>1</v>
      </c>
      <c r="C46" s="55" t="n">
        <v>1</v>
      </c>
      <c r="D46" s="55" t="n">
        <v>1</v>
      </c>
      <c r="E46" s="55" t="n">
        <v>2</v>
      </c>
      <c r="F46" s="55" t="n">
        <v>3</v>
      </c>
      <c r="G46" s="55" t="n">
        <v>4</v>
      </c>
      <c r="H46" s="55" t="n">
        <v>5</v>
      </c>
      <c r="I46" s="55" t="n">
        <v>5</v>
      </c>
      <c r="J46" s="55" t="n">
        <v>5</v>
      </c>
      <c r="K46" s="55" t="n">
        <v>5</v>
      </c>
    </row>
    <row r="47" customFormat="false" ht="14.25" hidden="false" customHeight="true" outlineLevel="0" collapsed="false">
      <c r="A47" s="13" t="str">
        <f aca="false">parametros_manuales!$B$35</f>
        <v>Granallado</v>
      </c>
      <c r="B47" s="55" t="n">
        <v>1</v>
      </c>
      <c r="C47" s="55" t="n">
        <v>1</v>
      </c>
      <c r="D47" s="55" t="n">
        <v>1</v>
      </c>
      <c r="E47" s="55" t="n">
        <v>1</v>
      </c>
      <c r="F47" s="55" t="n">
        <v>1</v>
      </c>
      <c r="G47" s="55" t="n">
        <v>1</v>
      </c>
      <c r="H47" s="55" t="n">
        <v>2</v>
      </c>
      <c r="I47" s="55" t="n">
        <v>2</v>
      </c>
      <c r="J47" s="55" t="n">
        <v>2</v>
      </c>
      <c r="K47" s="55" t="n">
        <v>2</v>
      </c>
    </row>
    <row r="48" customFormat="false" ht="14.25" hidden="false" customHeight="true" outlineLevel="0" collapsed="false">
      <c r="A48" s="13" t="str">
        <f aca="false">parametros_manuales!$B$36</f>
        <v>Detección de defectos</v>
      </c>
      <c r="B48" s="55" t="n">
        <v>1</v>
      </c>
      <c r="C48" s="55" t="n">
        <v>1</v>
      </c>
      <c r="D48" s="55" t="n">
        <v>1</v>
      </c>
      <c r="E48" s="55" t="n">
        <v>1</v>
      </c>
      <c r="F48" s="55" t="n">
        <v>1</v>
      </c>
      <c r="G48" s="55" t="n">
        <v>1</v>
      </c>
      <c r="H48" s="55" t="n">
        <v>1</v>
      </c>
      <c r="I48" s="55" t="n">
        <v>1</v>
      </c>
      <c r="J48" s="55" t="n">
        <v>1</v>
      </c>
      <c r="K48" s="55" t="n">
        <v>1</v>
      </c>
    </row>
    <row r="49" customFormat="false" ht="14.25" hidden="false" customHeight="true" outlineLevel="0" collapsed="false">
      <c r="A49" s="13" t="str">
        <f aca="false">parametros_manuales!$B$37</f>
        <v>Corrección de defectos</v>
      </c>
      <c r="B49" s="55" t="n">
        <v>1</v>
      </c>
      <c r="C49" s="55" t="n">
        <v>1</v>
      </c>
      <c r="D49" s="55" t="n">
        <v>1</v>
      </c>
      <c r="E49" s="55" t="n">
        <v>1</v>
      </c>
      <c r="F49" s="55" t="n">
        <v>1</v>
      </c>
      <c r="G49" s="55" t="n">
        <v>1</v>
      </c>
      <c r="H49" s="55" t="n">
        <v>1</v>
      </c>
      <c r="I49" s="55" t="n">
        <v>1</v>
      </c>
      <c r="J49" s="55" t="n">
        <v>1</v>
      </c>
      <c r="K49" s="55" t="n">
        <v>1</v>
      </c>
    </row>
    <row r="50" customFormat="false" ht="14.25" hidden="false" customHeight="true" outlineLevel="0" collapsed="false">
      <c r="A50" s="13" t="str">
        <f aca="false">parametros_manuales!$B$38</f>
        <v>Pintura en polvo + horno</v>
      </c>
      <c r="B50" s="55" t="n">
        <v>1</v>
      </c>
      <c r="C50" s="55" t="n">
        <v>1</v>
      </c>
      <c r="D50" s="55" t="n">
        <v>1</v>
      </c>
      <c r="E50" s="55" t="n">
        <v>1</v>
      </c>
      <c r="F50" s="55" t="n">
        <v>1</v>
      </c>
      <c r="G50" s="55" t="n">
        <v>1</v>
      </c>
      <c r="H50" s="55" t="n">
        <v>1</v>
      </c>
      <c r="I50" s="55" t="n">
        <v>1</v>
      </c>
      <c r="J50" s="55" t="n">
        <v>1</v>
      </c>
      <c r="K50" s="55" t="n">
        <v>1</v>
      </c>
    </row>
    <row r="51" customFormat="false" ht="14.25" hidden="false" customHeight="true" outlineLevel="0" collapsed="false">
      <c r="A51" s="13" t="str">
        <f aca="false">parametros_manuales!$B$39</f>
        <v>Carga de polvo</v>
      </c>
      <c r="B51" s="55" t="n">
        <v>1</v>
      </c>
      <c r="C51" s="55" t="n">
        <v>1</v>
      </c>
      <c r="D51" s="55" t="n">
        <v>1</v>
      </c>
      <c r="E51" s="55" t="n">
        <v>1</v>
      </c>
      <c r="F51" s="55" t="n">
        <v>1</v>
      </c>
      <c r="G51" s="55" t="n">
        <v>1</v>
      </c>
      <c r="H51" s="55" t="n">
        <v>1</v>
      </c>
      <c r="I51" s="55" t="n">
        <v>1</v>
      </c>
      <c r="J51" s="55" t="n">
        <v>1</v>
      </c>
      <c r="K51" s="55" t="n">
        <v>1</v>
      </c>
    </row>
    <row r="52" customFormat="false" ht="14.25" hidden="false" customHeight="true" outlineLevel="0" collapsed="false">
      <c r="A52" s="13" t="str">
        <f aca="false">parametros_manuales!$B$40</f>
        <v>Ensamblaje</v>
      </c>
      <c r="B52" s="55" t="n">
        <v>1</v>
      </c>
      <c r="C52" s="55" t="n">
        <v>1</v>
      </c>
      <c r="D52" s="55" t="n">
        <v>1</v>
      </c>
      <c r="E52" s="55" t="n">
        <v>1</v>
      </c>
      <c r="F52" s="55" t="n">
        <v>1</v>
      </c>
      <c r="G52" s="55" t="n">
        <v>1</v>
      </c>
      <c r="H52" s="55" t="n">
        <v>1</v>
      </c>
      <c r="I52" s="55" t="n">
        <v>1</v>
      </c>
      <c r="J52" s="55" t="n">
        <v>1</v>
      </c>
      <c r="K52" s="55" t="n">
        <v>1</v>
      </c>
    </row>
    <row r="53" customFormat="false" ht="14.25" hidden="false" customHeight="true" outlineLevel="0" collapsed="false">
      <c r="A53" s="13" t="str">
        <f aca="false">parametros_manuales!$B$41</f>
        <v>Presurización</v>
      </c>
      <c r="B53" s="55" t="n">
        <v>1</v>
      </c>
      <c r="C53" s="55" t="n">
        <v>1</v>
      </c>
      <c r="D53" s="55" t="n">
        <v>1</v>
      </c>
      <c r="E53" s="55" t="n">
        <v>1</v>
      </c>
      <c r="F53" s="55" t="n">
        <v>1</v>
      </c>
      <c r="G53" s="55" t="n">
        <v>1</v>
      </c>
      <c r="H53" s="55" t="n">
        <v>1</v>
      </c>
      <c r="I53" s="55" t="n">
        <v>1</v>
      </c>
      <c r="J53" s="55" t="n">
        <v>1</v>
      </c>
      <c r="K53" s="55" t="n">
        <v>1</v>
      </c>
    </row>
    <row r="54" customFormat="false" ht="14.25" hidden="false" customHeight="true" outlineLevel="0" collapsed="false">
      <c r="A54" s="13" t="str">
        <f aca="false">parametros_manuales!$B$42</f>
        <v>Control de calidad — Ensayo de pérdidas</v>
      </c>
      <c r="B54" s="55" t="n">
        <v>1</v>
      </c>
      <c r="C54" s="55" t="n">
        <v>1</v>
      </c>
      <c r="D54" s="55" t="n">
        <v>1</v>
      </c>
      <c r="E54" s="55" t="n">
        <v>1</v>
      </c>
      <c r="F54" s="55" t="n">
        <v>1</v>
      </c>
      <c r="G54" s="55" t="n">
        <v>1</v>
      </c>
      <c r="H54" s="55" t="n">
        <v>1</v>
      </c>
      <c r="I54" s="55" t="n">
        <v>1</v>
      </c>
      <c r="J54" s="55" t="n">
        <v>1</v>
      </c>
      <c r="K54" s="55" t="n">
        <v>1</v>
      </c>
    </row>
    <row r="55" customFormat="false" ht="14.25" hidden="false" customHeight="true" outlineLevel="0" collapsed="false">
      <c r="A55" s="13" t="str">
        <f aca="false">parametros_manuales!$B$43</f>
        <v>Etiquetado</v>
      </c>
      <c r="B55" s="55" t="n">
        <v>1</v>
      </c>
      <c r="C55" s="55" t="n">
        <v>1</v>
      </c>
      <c r="D55" s="55" t="n">
        <v>1</v>
      </c>
      <c r="E55" s="55" t="n">
        <v>1</v>
      </c>
      <c r="F55" s="55" t="n">
        <v>1</v>
      </c>
      <c r="G55" s="55" t="n">
        <v>1</v>
      </c>
      <c r="H55" s="55" t="n">
        <v>1</v>
      </c>
      <c r="I55" s="55" t="n">
        <v>1</v>
      </c>
      <c r="J55" s="55" t="n">
        <v>1</v>
      </c>
      <c r="K55" s="55" t="n">
        <v>1</v>
      </c>
    </row>
    <row r="56" customFormat="false" ht="14.25" hidden="false" customHeight="true" outlineLevel="0" collapsed="false">
      <c r="A56" s="13" t="str">
        <f aca="false">parametros_manuales!$B$44</f>
        <v>Embalaje y paletizado</v>
      </c>
      <c r="B56" s="55" t="n">
        <v>1</v>
      </c>
      <c r="C56" s="55" t="n">
        <v>1</v>
      </c>
      <c r="D56" s="55" t="n">
        <v>1</v>
      </c>
      <c r="E56" s="55" t="n">
        <v>1</v>
      </c>
      <c r="F56" s="55" t="n">
        <v>1</v>
      </c>
      <c r="G56" s="55" t="n">
        <v>2</v>
      </c>
      <c r="H56" s="55" t="n">
        <v>2</v>
      </c>
      <c r="I56" s="55" t="n">
        <v>2</v>
      </c>
      <c r="J56" s="55" t="n">
        <v>2</v>
      </c>
      <c r="K56" s="55" t="n">
        <v>2</v>
      </c>
    </row>
    <row r="57" customFormat="false" ht="14.25" hidden="false" customHeight="true" outlineLevel="0" collapsed="false">
      <c r="A57" s="15" t="s">
        <v>289</v>
      </c>
      <c r="B57" s="69" t="n">
        <f aca="false">SUM(B31:B56)</f>
        <v>26</v>
      </c>
      <c r="C57" s="69" t="n">
        <f aca="false">SUM(C31:C56)</f>
        <v>26</v>
      </c>
      <c r="D57" s="69" t="n">
        <f aca="false">SUM(D31:D56)</f>
        <v>26</v>
      </c>
      <c r="E57" s="69" t="n">
        <f aca="false">SUM(E31:E56)</f>
        <v>27</v>
      </c>
      <c r="F57" s="69" t="n">
        <f aca="false">SUM(F31:F56)</f>
        <v>32</v>
      </c>
      <c r="G57" s="69" t="n">
        <f aca="false">SUM(G31:G56)</f>
        <v>34</v>
      </c>
      <c r="H57" s="69" t="n">
        <f aca="false">SUM(H31:H56)</f>
        <v>42</v>
      </c>
      <c r="I57" s="69" t="n">
        <f aca="false">SUM(I31:I56)</f>
        <v>42</v>
      </c>
      <c r="J57" s="69" t="n">
        <f aca="false">SUM(J31:J56)</f>
        <v>42</v>
      </c>
      <c r="K57" s="69" t="n">
        <f aca="false">SUM(K31:K56)</f>
        <v>42</v>
      </c>
    </row>
    <row r="58" customFormat="false" ht="14.25" hidden="false" customHeight="true" outlineLevel="0" collapsed="false"/>
    <row r="59" customFormat="false" ht="14.25" hidden="false" customHeight="true" outlineLevel="0" collapsed="false">
      <c r="A59" s="12" t="s">
        <v>290</v>
      </c>
      <c r="B59" s="12" t="n">
        <v>2026</v>
      </c>
      <c r="C59" s="12" t="n">
        <v>2027</v>
      </c>
      <c r="D59" s="12" t="n">
        <v>2028</v>
      </c>
      <c r="E59" s="12" t="n">
        <v>2029</v>
      </c>
      <c r="F59" s="12" t="n">
        <v>2030</v>
      </c>
      <c r="G59" s="12" t="n">
        <v>2031</v>
      </c>
      <c r="H59" s="12" t="n">
        <v>2032</v>
      </c>
      <c r="I59" s="12" t="n">
        <v>2033</v>
      </c>
      <c r="J59" s="12" t="n">
        <v>2034</v>
      </c>
      <c r="K59" s="12" t="n">
        <v>2035</v>
      </c>
    </row>
    <row r="60" customFormat="false" ht="14.25" hidden="false" customHeight="true" outlineLevel="0" collapsed="false">
      <c r="A60" s="13" t="str">
        <f aca="false">parametros_manuales!$B$19</f>
        <v>Recepción de materia prima</v>
      </c>
      <c r="B60" s="55" t="n">
        <v>1</v>
      </c>
      <c r="C60" s="55" t="n">
        <v>1</v>
      </c>
      <c r="D60" s="55" t="n">
        <v>1</v>
      </c>
      <c r="E60" s="55" t="n">
        <v>1</v>
      </c>
      <c r="F60" s="55" t="n">
        <v>1</v>
      </c>
      <c r="G60" s="55" t="n">
        <v>1</v>
      </c>
      <c r="H60" s="55" t="n">
        <v>2</v>
      </c>
      <c r="I60" s="55" t="n">
        <v>2</v>
      </c>
      <c r="J60" s="55" t="n">
        <v>2</v>
      </c>
      <c r="K60" s="55" t="n">
        <v>2</v>
      </c>
    </row>
    <row r="61" customFormat="false" ht="14.25" hidden="false" customHeight="true" outlineLevel="0" collapsed="false">
      <c r="A61" s="13" t="str">
        <f aca="false">parametros_manuales!$B$20</f>
        <v>Corte de chapa — 1.er corte en franjas (guillotina 1, manuales + carros)</v>
      </c>
      <c r="B61" s="55" t="n">
        <v>1</v>
      </c>
      <c r="C61" s="55" t="n">
        <v>1</v>
      </c>
      <c r="D61" s="55" t="n">
        <v>1</v>
      </c>
      <c r="E61" s="55" t="n">
        <v>1</v>
      </c>
      <c r="F61" s="55" t="n">
        <v>1</v>
      </c>
      <c r="G61" s="55" t="n">
        <v>1</v>
      </c>
      <c r="H61" s="55" t="n">
        <v>1</v>
      </c>
      <c r="I61" s="55" t="n">
        <v>1</v>
      </c>
      <c r="J61" s="55" t="n">
        <v>1</v>
      </c>
      <c r="K61" s="55" t="n">
        <v>1</v>
      </c>
    </row>
    <row r="62" customFormat="false" ht="14.25" hidden="false" customHeight="true" outlineLevel="0" collapsed="false">
      <c r="A62" s="13" t="str">
        <f aca="false">parametros_manuales!$B$21</f>
        <v>Corte de chapa — 2.º corte en piezas (guillotina 2, manuales + carros)</v>
      </c>
      <c r="B62" s="55" t="n">
        <v>1</v>
      </c>
      <c r="C62" s="55" t="n">
        <v>1</v>
      </c>
      <c r="D62" s="55" t="n">
        <v>1</v>
      </c>
      <c r="E62" s="55" t="n">
        <v>1</v>
      </c>
      <c r="F62" s="55" t="n">
        <v>1</v>
      </c>
      <c r="G62" s="55" t="n">
        <v>1</v>
      </c>
      <c r="H62" s="55" t="n">
        <v>1</v>
      </c>
      <c r="I62" s="55" t="n">
        <v>1</v>
      </c>
      <c r="J62" s="55" t="n">
        <v>1</v>
      </c>
      <c r="K62" s="55" t="n">
        <v>1</v>
      </c>
    </row>
    <row r="63" customFormat="false" ht="14.25" hidden="false" customHeight="true" outlineLevel="0" collapsed="false">
      <c r="A63" s="13" t="str">
        <f aca="false">parametros_manuales!$B$22</f>
        <v>Corte de disco y embutido (cúpula y fondo)</v>
      </c>
      <c r="B63" s="55" t="n">
        <v>1</v>
      </c>
      <c r="C63" s="55" t="n">
        <v>1</v>
      </c>
      <c r="D63" s="55" t="n">
        <v>1</v>
      </c>
      <c r="E63" s="55" t="n">
        <v>1</v>
      </c>
      <c r="F63" s="55" t="n">
        <v>1</v>
      </c>
      <c r="G63" s="55" t="n">
        <v>1</v>
      </c>
      <c r="H63" s="55" t="n">
        <v>2</v>
      </c>
      <c r="I63" s="55" t="n">
        <v>2</v>
      </c>
      <c r="J63" s="55" t="n">
        <v>2</v>
      </c>
      <c r="K63" s="55" t="n">
        <v>2</v>
      </c>
    </row>
    <row r="64" customFormat="false" ht="14.25" hidden="false" customHeight="true" outlineLevel="0" collapsed="false">
      <c r="A64" s="13" t="str">
        <f aca="false">parametros_manuales!$B$23</f>
        <v>Preparación de cuello</v>
      </c>
      <c r="B64" s="55" t="n">
        <v>1</v>
      </c>
      <c r="C64" s="55" t="n">
        <v>1</v>
      </c>
      <c r="D64" s="55" t="n">
        <v>1</v>
      </c>
      <c r="E64" s="55" t="n">
        <v>1</v>
      </c>
      <c r="F64" s="55" t="n">
        <v>1</v>
      </c>
      <c r="G64" s="55" t="n">
        <v>1</v>
      </c>
      <c r="H64" s="55" t="n">
        <v>2</v>
      </c>
      <c r="I64" s="55" t="n">
        <v>2</v>
      </c>
      <c r="J64" s="55" t="n">
        <v>2</v>
      </c>
      <c r="K64" s="55" t="n">
        <v>2</v>
      </c>
    </row>
    <row r="65" customFormat="false" ht="14.25" hidden="false" customHeight="true" outlineLevel="0" collapsed="false">
      <c r="A65" s="13" t="str">
        <f aca="false">parametros_manuales!$B$24</f>
        <v>Numerado de cúpula</v>
      </c>
      <c r="B65" s="55" t="n">
        <v>1</v>
      </c>
      <c r="C65" s="55" t="n">
        <v>1</v>
      </c>
      <c r="D65" s="55" t="n">
        <v>1</v>
      </c>
      <c r="E65" s="55" t="n">
        <v>1</v>
      </c>
      <c r="F65" s="55" t="n">
        <v>1</v>
      </c>
      <c r="G65" s="55" t="n">
        <v>1</v>
      </c>
      <c r="H65" s="55" t="n">
        <v>2</v>
      </c>
      <c r="I65" s="55" t="n">
        <v>2</v>
      </c>
      <c r="J65" s="55" t="n">
        <v>2</v>
      </c>
      <c r="K65" s="55" t="n">
        <v>2</v>
      </c>
    </row>
    <row r="66" customFormat="false" ht="14.25" hidden="false" customHeight="true" outlineLevel="0" collapsed="false">
      <c r="A66" s="13" t="str">
        <f aca="false">parametros_manuales!$B$25</f>
        <v>Soldadura del cuello a la cúpula</v>
      </c>
      <c r="B66" s="55" t="n">
        <v>1</v>
      </c>
      <c r="C66" s="55" t="n">
        <v>1</v>
      </c>
      <c r="D66" s="55" t="n">
        <v>1</v>
      </c>
      <c r="E66" s="55" t="n">
        <v>1</v>
      </c>
      <c r="F66" s="55" t="n">
        <v>1</v>
      </c>
      <c r="G66" s="55" t="n">
        <v>1</v>
      </c>
      <c r="H66" s="55" t="n">
        <v>2</v>
      </c>
      <c r="I66" s="55" t="n">
        <v>2</v>
      </c>
      <c r="J66" s="55" t="n">
        <v>2</v>
      </c>
      <c r="K66" s="55" t="n">
        <v>2</v>
      </c>
    </row>
    <row r="67" customFormat="false" ht="14.25" hidden="false" customHeight="true" outlineLevel="0" collapsed="false">
      <c r="A67" s="13" t="str">
        <f aca="false">parametros_manuales!$B$26</f>
        <v>Cilindrado</v>
      </c>
      <c r="B67" s="55" t="n">
        <v>1</v>
      </c>
      <c r="C67" s="55" t="n">
        <v>1</v>
      </c>
      <c r="D67" s="55" t="n">
        <v>1</v>
      </c>
      <c r="E67" s="55" t="n">
        <v>1</v>
      </c>
      <c r="F67" s="55" t="n">
        <v>1</v>
      </c>
      <c r="G67" s="55" t="n">
        <v>1</v>
      </c>
      <c r="H67" s="55" t="n">
        <v>2</v>
      </c>
      <c r="I67" s="55" t="n">
        <v>2</v>
      </c>
      <c r="J67" s="55" t="n">
        <v>2</v>
      </c>
      <c r="K67" s="55" t="n">
        <v>2</v>
      </c>
    </row>
    <row r="68" customFormat="false" ht="14.25" hidden="false" customHeight="true" outlineLevel="0" collapsed="false">
      <c r="A68" s="13" t="str">
        <f aca="false">parametros_manuales!$B$27</f>
        <v>Soldadura longitudinal — 2,5 a 10 kg</v>
      </c>
      <c r="B68" s="55" t="n">
        <v>1</v>
      </c>
      <c r="C68" s="55" t="n">
        <v>1</v>
      </c>
      <c r="D68" s="55" t="n">
        <v>1</v>
      </c>
      <c r="E68" s="55" t="n">
        <v>1</v>
      </c>
      <c r="F68" s="55" t="n">
        <v>1</v>
      </c>
      <c r="G68" s="55" t="n">
        <v>1</v>
      </c>
      <c r="H68" s="55" t="n">
        <v>2</v>
      </c>
      <c r="I68" s="55" t="n">
        <v>2</v>
      </c>
      <c r="J68" s="55" t="n">
        <v>2</v>
      </c>
      <c r="K68" s="55" t="n">
        <v>2</v>
      </c>
    </row>
    <row r="69" customFormat="false" ht="14.25" hidden="false" customHeight="true" outlineLevel="0" collapsed="false">
      <c r="A69" s="13" t="str">
        <f aca="false">parametros_manuales!$B$28</f>
        <v>Soldadura longitudinal TIG — 1 kg</v>
      </c>
      <c r="B69" s="55" t="n">
        <v>1</v>
      </c>
      <c r="C69" s="55" t="n">
        <v>1</v>
      </c>
      <c r="D69" s="55" t="n">
        <v>1</v>
      </c>
      <c r="E69" s="55" t="n">
        <v>1</v>
      </c>
      <c r="F69" s="55" t="n">
        <v>1</v>
      </c>
      <c r="G69" s="55" t="n">
        <v>1</v>
      </c>
      <c r="H69" s="55" t="n">
        <v>2</v>
      </c>
      <c r="I69" s="55" t="n">
        <v>2</v>
      </c>
      <c r="J69" s="55" t="n">
        <v>2</v>
      </c>
      <c r="K69" s="55" t="n">
        <v>2</v>
      </c>
    </row>
    <row r="70" customFormat="false" ht="14.25" hidden="false" customHeight="true" outlineLevel="0" collapsed="false">
      <c r="A70" s="13" t="str">
        <f aca="false">parametros_manuales!$B$29</f>
        <v>Encastre de fondo</v>
      </c>
      <c r="B70" s="55" t="n">
        <v>1</v>
      </c>
      <c r="C70" s="55" t="n">
        <v>1</v>
      </c>
      <c r="D70" s="55" t="n">
        <v>1</v>
      </c>
      <c r="E70" s="55" t="n">
        <v>1</v>
      </c>
      <c r="F70" s="55" t="n">
        <v>1</v>
      </c>
      <c r="G70" s="55" t="n">
        <v>1</v>
      </c>
      <c r="H70" s="55" t="n">
        <v>2</v>
      </c>
      <c r="I70" s="55" t="n">
        <v>2</v>
      </c>
      <c r="J70" s="55" t="n">
        <v>2</v>
      </c>
      <c r="K70" s="55" t="n">
        <v>2</v>
      </c>
    </row>
    <row r="71" customFormat="false" ht="14.25" hidden="false" customHeight="true" outlineLevel="0" collapsed="false">
      <c r="A71" s="13" t="str">
        <f aca="false">parametros_manuales!$B$30</f>
        <v>Bordoneado</v>
      </c>
      <c r="B71" s="55" t="n">
        <v>1</v>
      </c>
      <c r="C71" s="55" t="n">
        <v>1</v>
      </c>
      <c r="D71" s="55" t="n">
        <v>1</v>
      </c>
      <c r="E71" s="55" t="n">
        <v>1</v>
      </c>
      <c r="F71" s="55" t="n">
        <v>1</v>
      </c>
      <c r="G71" s="55" t="n">
        <v>1</v>
      </c>
      <c r="H71" s="55" t="n">
        <v>2</v>
      </c>
      <c r="I71" s="55" t="n">
        <v>2</v>
      </c>
      <c r="J71" s="55" t="n">
        <v>2</v>
      </c>
      <c r="K71" s="55" t="n">
        <v>2</v>
      </c>
    </row>
    <row r="72" customFormat="false" ht="14.25" hidden="false" customHeight="true" outlineLevel="0" collapsed="false">
      <c r="A72" s="13" t="str">
        <f aca="false">parametros_manuales!$B$31</f>
        <v>Soldadura circunferencial de cúpula y fondo</v>
      </c>
      <c r="B72" s="55" t="n">
        <v>1</v>
      </c>
      <c r="C72" s="55" t="n">
        <v>1</v>
      </c>
      <c r="D72" s="55" t="n">
        <v>1</v>
      </c>
      <c r="E72" s="55" t="n">
        <v>1</v>
      </c>
      <c r="F72" s="55" t="n">
        <v>1</v>
      </c>
      <c r="G72" s="55" t="n">
        <v>1</v>
      </c>
      <c r="H72" s="55" t="n">
        <v>2</v>
      </c>
      <c r="I72" s="55" t="n">
        <v>2</v>
      </c>
      <c r="J72" s="55" t="n">
        <v>2</v>
      </c>
      <c r="K72" s="55" t="n">
        <v>2</v>
      </c>
    </row>
    <row r="73" customFormat="false" ht="14.25" hidden="false" customHeight="true" outlineLevel="0" collapsed="false">
      <c r="A73" s="13" t="str">
        <f aca="false">parametros_manuales!$B$32</f>
        <v>Control de calidad — Espesor</v>
      </c>
      <c r="B73" s="55" t="n">
        <v>1</v>
      </c>
      <c r="C73" s="55" t="n">
        <v>1</v>
      </c>
      <c r="D73" s="55" t="n">
        <v>1</v>
      </c>
      <c r="E73" s="55" t="n">
        <v>1</v>
      </c>
      <c r="F73" s="55" t="n">
        <v>1</v>
      </c>
      <c r="G73" s="55" t="n">
        <v>1</v>
      </c>
      <c r="H73" s="55" t="n">
        <v>1</v>
      </c>
      <c r="I73" s="55" t="n">
        <v>1</v>
      </c>
      <c r="J73" s="55" t="n">
        <v>1</v>
      </c>
      <c r="K73" s="55" t="n">
        <v>1</v>
      </c>
    </row>
    <row r="74" customFormat="false" ht="14.25" hidden="false" customHeight="true" outlineLevel="0" collapsed="false">
      <c r="A74" s="13" t="str">
        <f aca="false">parametros_manuales!$B$33</f>
        <v>Prueba hidráulica</v>
      </c>
      <c r="B74" s="55" t="n">
        <v>1</v>
      </c>
      <c r="C74" s="55" t="n">
        <v>1</v>
      </c>
      <c r="D74" s="55" t="n">
        <v>1</v>
      </c>
      <c r="E74" s="55" t="n">
        <v>1</v>
      </c>
      <c r="F74" s="55" t="n">
        <v>1</v>
      </c>
      <c r="G74" s="55" t="n">
        <v>1</v>
      </c>
      <c r="H74" s="55" t="n">
        <v>2</v>
      </c>
      <c r="I74" s="55" t="n">
        <v>2</v>
      </c>
      <c r="J74" s="55" t="n">
        <v>2</v>
      </c>
      <c r="K74" s="55" t="n">
        <v>2</v>
      </c>
    </row>
    <row r="75" customFormat="false" ht="14.25" hidden="false" customHeight="true" outlineLevel="0" collapsed="false">
      <c r="A75" s="13" t="str">
        <f aca="false">parametros_manuales!$B$34</f>
        <v>Secado</v>
      </c>
      <c r="B75" s="55" t="n">
        <v>1</v>
      </c>
      <c r="C75" s="55" t="n">
        <v>1</v>
      </c>
      <c r="D75" s="55" t="n">
        <v>1</v>
      </c>
      <c r="E75" s="55" t="n">
        <v>1</v>
      </c>
      <c r="F75" s="55" t="n">
        <v>1</v>
      </c>
      <c r="G75" s="55" t="n">
        <v>1</v>
      </c>
      <c r="H75" s="55" t="n">
        <v>2</v>
      </c>
      <c r="I75" s="55" t="n">
        <v>2</v>
      </c>
      <c r="J75" s="55" t="n">
        <v>2</v>
      </c>
      <c r="K75" s="55" t="n">
        <v>2</v>
      </c>
    </row>
    <row r="76" customFormat="false" ht="14.25" hidden="false" customHeight="true" outlineLevel="0" collapsed="false">
      <c r="A76" s="13" t="str">
        <f aca="false">parametros_manuales!$B$35</f>
        <v>Granallado</v>
      </c>
      <c r="B76" s="55" t="n">
        <v>1</v>
      </c>
      <c r="C76" s="55" t="n">
        <v>1</v>
      </c>
      <c r="D76" s="55" t="n">
        <v>1</v>
      </c>
      <c r="E76" s="55" t="n">
        <v>1</v>
      </c>
      <c r="F76" s="55" t="n">
        <v>1</v>
      </c>
      <c r="G76" s="55" t="n">
        <v>1</v>
      </c>
      <c r="H76" s="55" t="n">
        <v>2</v>
      </c>
      <c r="I76" s="55" t="n">
        <v>2</v>
      </c>
      <c r="J76" s="55" t="n">
        <v>2</v>
      </c>
      <c r="K76" s="55" t="n">
        <v>2</v>
      </c>
    </row>
    <row r="77" customFormat="false" ht="14.25" hidden="false" customHeight="true" outlineLevel="0" collapsed="false">
      <c r="A77" s="13" t="str">
        <f aca="false">parametros_manuales!$B$36</f>
        <v>Detección de defectos</v>
      </c>
      <c r="B77" s="55" t="n">
        <v>1</v>
      </c>
      <c r="C77" s="55" t="n">
        <v>1</v>
      </c>
      <c r="D77" s="55" t="n">
        <v>1</v>
      </c>
      <c r="E77" s="55" t="n">
        <v>1</v>
      </c>
      <c r="F77" s="55" t="n">
        <v>1</v>
      </c>
      <c r="G77" s="55" t="n">
        <v>1</v>
      </c>
      <c r="H77" s="55" t="n">
        <v>2</v>
      </c>
      <c r="I77" s="55" t="n">
        <v>2</v>
      </c>
      <c r="J77" s="55" t="n">
        <v>2</v>
      </c>
      <c r="K77" s="55" t="n">
        <v>2</v>
      </c>
    </row>
    <row r="78" customFormat="false" ht="14.25" hidden="false" customHeight="true" outlineLevel="0" collapsed="false">
      <c r="A78" s="13" t="str">
        <f aca="false">parametros_manuales!$B$37</f>
        <v>Corrección de defectos</v>
      </c>
      <c r="B78" s="55" t="n">
        <v>1</v>
      </c>
      <c r="C78" s="55" t="n">
        <v>1</v>
      </c>
      <c r="D78" s="55" t="n">
        <v>1</v>
      </c>
      <c r="E78" s="55" t="n">
        <v>1</v>
      </c>
      <c r="F78" s="55" t="n">
        <v>1</v>
      </c>
      <c r="G78" s="55" t="n">
        <v>1</v>
      </c>
      <c r="H78" s="55" t="n">
        <v>1</v>
      </c>
      <c r="I78" s="55" t="n">
        <v>1</v>
      </c>
      <c r="J78" s="55" t="n">
        <v>1</v>
      </c>
      <c r="K78" s="55" t="n">
        <v>1</v>
      </c>
    </row>
    <row r="79" customFormat="false" ht="14.25" hidden="false" customHeight="true" outlineLevel="0" collapsed="false">
      <c r="A79" s="13" t="str">
        <f aca="false">parametros_manuales!$B$38</f>
        <v>Pintura en polvo + horno</v>
      </c>
      <c r="B79" s="55" t="n">
        <v>1</v>
      </c>
      <c r="C79" s="55" t="n">
        <v>1</v>
      </c>
      <c r="D79" s="55" t="n">
        <v>1</v>
      </c>
      <c r="E79" s="55" t="n">
        <v>1</v>
      </c>
      <c r="F79" s="55" t="n">
        <v>1</v>
      </c>
      <c r="G79" s="55" t="n">
        <v>1</v>
      </c>
      <c r="H79" s="55" t="n">
        <v>2</v>
      </c>
      <c r="I79" s="55" t="n">
        <v>2</v>
      </c>
      <c r="J79" s="55" t="n">
        <v>2</v>
      </c>
      <c r="K79" s="55" t="n">
        <v>2</v>
      </c>
    </row>
    <row r="80" customFormat="false" ht="14.25" hidden="false" customHeight="true" outlineLevel="0" collapsed="false">
      <c r="A80" s="13" t="str">
        <f aca="false">parametros_manuales!$B$39</f>
        <v>Carga de polvo</v>
      </c>
      <c r="B80" s="55" t="n">
        <v>1</v>
      </c>
      <c r="C80" s="55" t="n">
        <v>1</v>
      </c>
      <c r="D80" s="55" t="n">
        <v>1</v>
      </c>
      <c r="E80" s="55" t="n">
        <v>1</v>
      </c>
      <c r="F80" s="55" t="n">
        <v>1</v>
      </c>
      <c r="G80" s="55" t="n">
        <v>1</v>
      </c>
      <c r="H80" s="55" t="n">
        <v>1</v>
      </c>
      <c r="I80" s="55" t="n">
        <v>1</v>
      </c>
      <c r="J80" s="55" t="n">
        <v>1</v>
      </c>
      <c r="K80" s="55" t="n">
        <v>1</v>
      </c>
    </row>
    <row r="81" customFormat="false" ht="14.25" hidden="false" customHeight="true" outlineLevel="0" collapsed="false">
      <c r="A81" s="13" t="str">
        <f aca="false">parametros_manuales!$B$40</f>
        <v>Ensamblaje</v>
      </c>
      <c r="B81" s="55" t="n">
        <v>1</v>
      </c>
      <c r="C81" s="55" t="n">
        <v>1</v>
      </c>
      <c r="D81" s="55" t="n">
        <v>1</v>
      </c>
      <c r="E81" s="55" t="n">
        <v>1</v>
      </c>
      <c r="F81" s="55" t="n">
        <v>1</v>
      </c>
      <c r="G81" s="55" t="n">
        <v>1</v>
      </c>
      <c r="H81" s="55" t="n">
        <v>2</v>
      </c>
      <c r="I81" s="55" t="n">
        <v>2</v>
      </c>
      <c r="J81" s="55" t="n">
        <v>2</v>
      </c>
      <c r="K81" s="55" t="n">
        <v>2</v>
      </c>
    </row>
    <row r="82" customFormat="false" ht="14.25" hidden="false" customHeight="true" outlineLevel="0" collapsed="false">
      <c r="A82" s="13" t="str">
        <f aca="false">parametros_manuales!$B$41</f>
        <v>Presurización</v>
      </c>
      <c r="B82" s="55" t="n">
        <v>1</v>
      </c>
      <c r="C82" s="55" t="n">
        <v>1</v>
      </c>
      <c r="D82" s="55" t="n">
        <v>1</v>
      </c>
      <c r="E82" s="55" t="n">
        <v>1</v>
      </c>
      <c r="F82" s="55" t="n">
        <v>1</v>
      </c>
      <c r="G82" s="55" t="n">
        <v>1</v>
      </c>
      <c r="H82" s="55" t="n">
        <v>1</v>
      </c>
      <c r="I82" s="55" t="n">
        <v>1</v>
      </c>
      <c r="J82" s="55" t="n">
        <v>1</v>
      </c>
      <c r="K82" s="55" t="n">
        <v>1</v>
      </c>
    </row>
    <row r="83" customFormat="false" ht="14.25" hidden="false" customHeight="true" outlineLevel="0" collapsed="false">
      <c r="A83" s="13" t="str">
        <f aca="false">parametros_manuales!$B$42</f>
        <v>Control de calidad — Ensayo de pérdidas</v>
      </c>
      <c r="B83" s="55" t="n">
        <v>1</v>
      </c>
      <c r="C83" s="55" t="n">
        <v>1</v>
      </c>
      <c r="D83" s="55" t="n">
        <v>1</v>
      </c>
      <c r="E83" s="55" t="n">
        <v>1</v>
      </c>
      <c r="F83" s="55" t="n">
        <v>1</v>
      </c>
      <c r="G83" s="55" t="n">
        <v>1</v>
      </c>
      <c r="H83" s="55" t="n">
        <v>1</v>
      </c>
      <c r="I83" s="55" t="n">
        <v>1</v>
      </c>
      <c r="J83" s="55" t="n">
        <v>1</v>
      </c>
      <c r="K83" s="55" t="n">
        <v>1</v>
      </c>
    </row>
    <row r="84" customFormat="false" ht="14.25" hidden="false" customHeight="true" outlineLevel="0" collapsed="false">
      <c r="A84" s="13" t="str">
        <f aca="false">parametros_manuales!$B$43</f>
        <v>Etiquetado</v>
      </c>
      <c r="B84" s="55" t="n">
        <v>1</v>
      </c>
      <c r="C84" s="55" t="n">
        <v>1</v>
      </c>
      <c r="D84" s="55" t="n">
        <v>1</v>
      </c>
      <c r="E84" s="55" t="n">
        <v>1</v>
      </c>
      <c r="F84" s="55" t="n">
        <v>1</v>
      </c>
      <c r="G84" s="55" t="n">
        <v>1</v>
      </c>
      <c r="H84" s="55" t="n">
        <v>2</v>
      </c>
      <c r="I84" s="55" t="n">
        <v>2</v>
      </c>
      <c r="J84" s="55" t="n">
        <v>2</v>
      </c>
      <c r="K84" s="55" t="n">
        <v>2</v>
      </c>
    </row>
    <row r="85" customFormat="false" ht="14.25" hidden="false" customHeight="true" outlineLevel="0" collapsed="false">
      <c r="A85" s="13" t="str">
        <f aca="false">parametros_manuales!$B$44</f>
        <v>Embalaje y paletizado</v>
      </c>
      <c r="B85" s="55" t="n">
        <v>1</v>
      </c>
      <c r="C85" s="55" t="n">
        <v>1</v>
      </c>
      <c r="D85" s="55" t="n">
        <v>1</v>
      </c>
      <c r="E85" s="55" t="n">
        <v>1</v>
      </c>
      <c r="F85" s="55" t="n">
        <v>1</v>
      </c>
      <c r="G85" s="55" t="n">
        <v>1</v>
      </c>
      <c r="H85" s="55" t="n">
        <v>2</v>
      </c>
      <c r="I85" s="55" t="n">
        <v>2</v>
      </c>
      <c r="J85" s="55" t="n">
        <v>2</v>
      </c>
      <c r="K85" s="55" t="n">
        <v>2</v>
      </c>
    </row>
    <row r="86" customFormat="false" ht="14.25" hidden="false" customHeight="true" outlineLevel="0" collapsed="false">
      <c r="A86" s="15" t="s">
        <v>291</v>
      </c>
      <c r="B86" s="69" t="n">
        <f aca="false">MAX(B60:B85)</f>
        <v>1</v>
      </c>
      <c r="C86" s="69" t="n">
        <f aca="false">MAX(C60:C85)</f>
        <v>1</v>
      </c>
      <c r="D86" s="69" t="n">
        <f aca="false">MAX(D60:D85)</f>
        <v>1</v>
      </c>
      <c r="E86" s="69" t="n">
        <f aca="false">MAX(E60:E85)</f>
        <v>1</v>
      </c>
      <c r="F86" s="69" t="n">
        <f aca="false">MAX(F60:F85)</f>
        <v>1</v>
      </c>
      <c r="G86" s="69" t="n">
        <f aca="false">MAX(G60:G85)</f>
        <v>1</v>
      </c>
      <c r="H86" s="69" t="n">
        <f aca="false">MAX(H60:H85)</f>
        <v>2</v>
      </c>
      <c r="I86" s="69" t="n">
        <f aca="false">MAX(I60:I85)</f>
        <v>2</v>
      </c>
      <c r="J86" s="69" t="n">
        <f aca="false">MAX(J60:J85)</f>
        <v>2</v>
      </c>
      <c r="K86" s="69" t="n">
        <f aca="false">MAX(K60:K85)</f>
        <v>2</v>
      </c>
    </row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B2:B27">
    <cfRule type="expression" priority="2" aboveAverage="0" equalAverage="0" bottom="0" percent="0" rank="0" text="" dxfId="0">
      <formula>B2&gt;$N$13</formula>
    </cfRule>
    <cfRule type="expression" priority="3" aboveAverage="0" equalAverage="0" bottom="0" percent="0" rank="0" text="" dxfId="1">
      <formula>B31=0</formula>
    </cfRule>
    <cfRule type="expression" priority="4" aboveAverage="0" equalAverage="0" bottom="0" percent="0" rank="0" text="" dxfId="2">
      <formula>B60&gt;1</formula>
    </cfRule>
    <cfRule type="expression" priority="5" aboveAverage="0" equalAverage="0" bottom="0" percent="0" rank="0" text="" dxfId="3">
      <formula>AND(B31&gt;1,$L2&lt;&gt;"Manual")</formula>
    </cfRule>
    <cfRule type="expression" priority="6" aboveAverage="0" equalAverage="0" bottom="0" percent="0" rank="0" text="" dxfId="4">
      <formula>AND(B31&gt;1,$L2="Manual")</formula>
    </cfRule>
  </conditionalFormatting>
  <conditionalFormatting sqref="C2:K27">
    <cfRule type="expression" priority="7" aboveAverage="0" equalAverage="0" bottom="0" percent="0" rank="0" text="" dxfId="0">
      <formula>C2&gt;$N$13</formula>
    </cfRule>
    <cfRule type="expression" priority="8" aboveAverage="0" equalAverage="0" bottom="0" percent="0" rank="0" text="" dxfId="1">
      <formula>C31=0</formula>
    </cfRule>
    <cfRule type="expression" priority="9" aboveAverage="0" equalAverage="0" bottom="0" percent="0" rank="0" text="" dxfId="2">
      <formula>C60&gt;B60</formula>
    </cfRule>
    <cfRule type="expression" priority="10" aboveAverage="0" equalAverage="0" bottom="0" percent="0" rank="0" text="" dxfId="3">
      <formula>AND(C31&gt;B31,$L2&lt;&gt;"Manual")</formula>
    </cfRule>
    <cfRule type="expression" priority="11" aboveAverage="0" equalAverage="0" bottom="0" percent="0" rank="0" text="" dxfId="4">
      <formula>AND(C31&gt;B31,$L2="Manual")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4" min="2" style="1" width="9"/>
    <col collapsed="false" customWidth="true" hidden="false" outlineLevel="0" max="16" min="15" style="1" width="12"/>
    <col collapsed="false" customWidth="true" hidden="false" outlineLevel="0" max="17" min="17" style="1" width="9"/>
    <col collapsed="false" customWidth="true" hidden="false" outlineLevel="0" max="19" min="18" style="1" width="8.57"/>
  </cols>
  <sheetData>
    <row r="1" customFormat="false" ht="14.25" hidden="false" customHeight="true" outlineLevel="0" collapsed="false">
      <c r="A1" s="12" t="s">
        <v>265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12" t="s">
        <v>47</v>
      </c>
      <c r="M1" s="12" t="s">
        <v>48</v>
      </c>
      <c r="N1" s="12" t="s">
        <v>261</v>
      </c>
      <c r="O1" s="12" t="s">
        <v>266</v>
      </c>
      <c r="P1" s="12" t="s">
        <v>267</v>
      </c>
      <c r="Q1" s="12" t="s">
        <v>268</v>
      </c>
      <c r="S1" s="70" t="s">
        <v>292</v>
      </c>
    </row>
    <row r="2" customFormat="false" ht="14.25" hidden="false" customHeight="true" outlineLevel="0" collapsed="false">
      <c r="A2" s="13" t="str">
        <f aca="false">parametros_manuales!$B$19</f>
        <v>Recepción de materia prima</v>
      </c>
      <c r="B2" s="14" t="n">
        <f aca="false">(parametros_manuales!$D$19*(datos_base!$B$2+IF(parametros_manuales!$H$19="Todos",datos_base!$B$9,0))*parametros_manuales!$B$97+parametros_manuales!$E$19*(datos_base!$B$3+IF(parametros_manuales!$H$19="Todos",datos_base!$B$10,0))*parametros_manuales!$B$102+parametros_manuales!$F$19*(datos_base!$B$4+IF(parametros_manuales!$H$19="Todos",datos_base!$B$11,0))*parametros_manuales!$B$107+parametros_manuales!$G$19*(datos_base!$B$5+IF(parametros_manuales!$H$19="Todos",datos_base!$B$12,0))*parametros_manuales!$B$112)*parametros_manuales!$I$19*parametros_manuales!$J$19</f>
        <v>616.9835796057</v>
      </c>
      <c r="C2" s="14" t="n">
        <f aca="false">(parametros_manuales!$D$19*(datos_base!$B$2+IF(parametros_manuales!$H$19="Todos",datos_base!$B$9,0))*parametros_manuales!$C$97+parametros_manuales!$E$19*(datos_base!$B$3+IF(parametros_manuales!$H$19="Todos",datos_base!$B$10,0))*parametros_manuales!$C$102+parametros_manuales!$F$19*(datos_base!$B$4+IF(parametros_manuales!$H$19="Todos",datos_base!$B$11,0))*parametros_manuales!$C$107+parametros_manuales!$G$19*(datos_base!$B$5+IF(parametros_manuales!$H$19="Todos",datos_base!$B$12,0))*parametros_manuales!$C$112)*parametros_manuales!$I$19*parametros_manuales!$J$19</f>
        <v>590.2172139684</v>
      </c>
      <c r="D2" s="14" t="n">
        <f aca="false">(parametros_manuales!$D$19*(datos_base!$B$2+IF(parametros_manuales!$H$19="Todos",datos_base!$B$9,0))*parametros_manuales!$D$97+parametros_manuales!$E$19*(datos_base!$B$3+IF(parametros_manuales!$H$19="Todos",datos_base!$B$10,0))*parametros_manuales!$D$102+parametros_manuales!$F$19*(datos_base!$B$4+IF(parametros_manuales!$H$19="Todos",datos_base!$B$11,0))*parametros_manuales!$D$107+parametros_manuales!$G$19*(datos_base!$B$5+IF(parametros_manuales!$H$19="Todos",datos_base!$B$12,0))*parametros_manuales!$D$112)*parametros_manuales!$I$19*parametros_manuales!$J$19</f>
        <v>561.81303135705</v>
      </c>
      <c r="E2" s="14" t="n">
        <f aca="false">(parametros_manuales!$D$19*(datos_base!$B$2+IF(parametros_manuales!$H$19="Todos",datos_base!$B$9,0))*parametros_manuales!$E$97+parametros_manuales!$E$19*(datos_base!$B$3+IF(parametros_manuales!$H$19="Todos",datos_base!$B$10,0))*parametros_manuales!$E$102+parametros_manuales!$F$19*(datos_base!$B$4+IF(parametros_manuales!$H$19="Todos",datos_base!$B$11,0))*parametros_manuales!$E$107+parametros_manuales!$G$19*(datos_base!$B$5+IF(parametros_manuales!$H$19="Todos",datos_base!$B$12,0))*parametros_manuales!$E$112)*parametros_manuales!$I$19*parametros_manuales!$J$19</f>
        <v>540.91934864205</v>
      </c>
      <c r="F2" s="14" t="n">
        <f aca="false">(parametros_manuales!$D$19*(datos_base!$B$2+IF(parametros_manuales!$H$19="Todos",datos_base!$B$9,0))*parametros_manuales!$F$97+parametros_manuales!$E$19*(datos_base!$B$3+IF(parametros_manuales!$H$19="Todos",datos_base!$B$10,0))*parametros_manuales!$F$102+parametros_manuales!$F$19*(datos_base!$B$4+IF(parametros_manuales!$H$19="Todos",datos_base!$B$11,0))*parametros_manuales!$F$107+parametros_manuales!$G$19*(datos_base!$B$5+IF(parametros_manuales!$H$19="Todos",datos_base!$B$12,0))*parametros_manuales!$F$112)*parametros_manuales!$I$19*parametros_manuales!$J$19</f>
        <v>506.6424831084</v>
      </c>
      <c r="G2" s="14" t="n">
        <f aca="false">(parametros_manuales!$D$19*(datos_base!$B$2+IF(parametros_manuales!$H$19="Todos",datos_base!$B$9,0))*parametros_manuales!$G$97+parametros_manuales!$E$19*(datos_base!$B$3+IF(parametros_manuales!$H$19="Todos",datos_base!$B$10,0))*parametros_manuales!$G$102+parametros_manuales!$F$19*(datos_base!$B$4+IF(parametros_manuales!$H$19="Todos",datos_base!$B$11,0))*parametros_manuales!$G$107+parametros_manuales!$G$19*(datos_base!$B$5+IF(parametros_manuales!$H$19="Todos",datos_base!$B$12,0))*parametros_manuales!$G$112)*parametros_manuales!$I$19*parametros_manuales!$J$19</f>
        <v>493.25930028975</v>
      </c>
      <c r="H2" s="14" t="n">
        <f aca="false">(parametros_manuales!$D$19*(datos_base!$B$2+IF(parametros_manuales!$H$19="Todos",datos_base!$B$9,0))*parametros_manuales!$H$97+parametros_manuales!$E$19*(datos_base!$B$3+IF(parametros_manuales!$H$19="Todos",datos_base!$B$10,0))*parametros_manuales!$H$102+parametros_manuales!$F$19*(datos_base!$B$4+IF(parametros_manuales!$H$19="Todos",datos_base!$B$11,0))*parametros_manuales!$H$107+parametros_manuales!$G$19*(datos_base!$B$5+IF(parametros_manuales!$H$19="Todos",datos_base!$B$12,0))*parametros_manuales!$H$112)*parametros_manuales!$I$19*parametros_manuales!$J$19</f>
        <v>527.5361658234</v>
      </c>
      <c r="I2" s="14" t="n">
        <f aca="false">(parametros_manuales!$D$19*(datos_base!$B$2+IF(parametros_manuales!$H$19="Todos",datos_base!$B$9,0))*parametros_manuales!$I$97+parametros_manuales!$E$19*(datos_base!$B$3+IF(parametros_manuales!$H$19="Todos",datos_base!$B$10,0))*parametros_manuales!$I$102+parametros_manuales!$F$19*(datos_base!$B$4+IF(parametros_manuales!$H$19="Todos",datos_base!$B$11,0))*parametros_manuales!$I$107+parametros_manuales!$G$19*(datos_base!$B$5+IF(parametros_manuales!$H$19="Todos",datos_base!$B$12,0))*parametros_manuales!$I$112)*parametros_manuales!$I$19*parametros_manuales!$J$19</f>
        <v>590.2172139684</v>
      </c>
      <c r="J2" s="14" t="n">
        <f aca="false">(parametros_manuales!$D$19*(datos_base!$B$2+IF(parametros_manuales!$H$19="Todos",datos_base!$B$9,0))*parametros_manuales!$J$97+parametros_manuales!$E$19*(datos_base!$B$3+IF(parametros_manuales!$H$19="Todos",datos_base!$B$10,0))*parametros_manuales!$J$102+parametros_manuales!$F$19*(datos_base!$B$4+IF(parametros_manuales!$H$19="Todos",datos_base!$B$11,0))*parametros_manuales!$J$107+parametros_manuales!$G$19*(datos_base!$B$5+IF(parametros_manuales!$H$19="Todos",datos_base!$B$12,0))*parametros_manuales!$J$112)*parametros_manuales!$I$19*parametros_manuales!$J$19</f>
        <v>590.2172139684</v>
      </c>
      <c r="K2" s="14" t="n">
        <f aca="false">(parametros_manuales!$D$19*(datos_base!$B$2+IF(parametros_manuales!$H$19="Todos",datos_base!$B$9,0))*parametros_manuales!$K$97+parametros_manuales!$E$19*(datos_base!$B$3+IF(parametros_manuales!$H$19="Todos",datos_base!$B$10,0))*parametros_manuales!$K$102+parametros_manuales!$F$19*(datos_base!$B$4+IF(parametros_manuales!$H$19="Todos",datos_base!$B$11,0))*parametros_manuales!$K$107+parametros_manuales!$G$19*(datos_base!$B$5+IF(parametros_manuales!$H$19="Todos",datos_base!$B$12,0))*parametros_manuales!$K$112)*parametros_manuales!$I$19*parametros_manuales!$J$19</f>
        <v>603.60039678705</v>
      </c>
      <c r="L2" s="14" t="n">
        <f aca="false">(parametros_manuales!$D$19*(datos_base!$B$2+IF(parametros_manuales!$H$19="Todos",datos_base!$B$9,0))*parametros_manuales!$L$97+parametros_manuales!$E$19*(datos_base!$B$3+IF(parametros_manuales!$H$19="Todos",datos_base!$B$10,0))*parametros_manuales!$L$102+parametros_manuales!$F$19*(datos_base!$B$4+IF(parametros_manuales!$H$19="Todos",datos_base!$B$11,0))*parametros_manuales!$L$107+parametros_manuales!$G$19*(datos_base!$B$5+IF(parametros_manuales!$H$19="Todos",datos_base!$B$12,0))*parametros_manuales!$L$112)*parametros_manuales!$I$19*parametros_manuales!$J$19</f>
        <v>616.9835796057</v>
      </c>
      <c r="M2" s="14" t="n">
        <f aca="false">(parametros_manuales!$D$19*(datos_base!$B$2+IF(parametros_manuales!$H$19="Todos",datos_base!$B$9,0))*parametros_manuales!$M$97+parametros_manuales!$E$19*(datos_base!$B$3+IF(parametros_manuales!$H$19="Todos",datos_base!$B$10,0))*parametros_manuales!$M$102+parametros_manuales!$F$19*(datos_base!$B$4+IF(parametros_manuales!$H$19="Todos",datos_base!$B$11,0))*parametros_manuales!$M$107+parametros_manuales!$G$19*(datos_base!$B$5+IF(parametros_manuales!$H$19="Todos",datos_base!$B$12,0))*parametros_manuales!$M$112)*parametros_manuales!$I$19*parametros_manuales!$J$19</f>
        <v>616.9835796057</v>
      </c>
      <c r="N2" s="14" t="n">
        <f aca="false">SUM(B2:M2)</f>
        <v>6855.37310673</v>
      </c>
      <c r="O2" s="14" t="n">
        <f aca="false">MAX(B2:M2)</f>
        <v>616.9835796057</v>
      </c>
      <c r="P2" s="57" t="n">
        <f aca="false">O2/(parametros_manuales!$B$7)</f>
        <v>4.113223864038</v>
      </c>
      <c r="Q2" s="13" t="str">
        <f aca="false">IF(O2=0,"-",INDEX($B$1:$M$1,MATCH(O2,B2:M2,0)))</f>
        <v>Ene</v>
      </c>
    </row>
    <row r="3" customFormat="false" ht="14.25" hidden="false" customHeight="true" outlineLevel="0" collapsed="false">
      <c r="A3" s="13" t="str">
        <f aca="false">parametros_manuales!$B$20</f>
        <v>Corte de chapa — 1.er corte en franjas (guillotina 1, manuales + carros)</v>
      </c>
      <c r="B3" s="14" t="n">
        <f aca="false">(parametros_manuales!$D$20*(datos_base!$B$2+IF(parametros_manuales!$H$20="Todos",datos_base!$B$9,0))*parametros_manuales!$B$97+parametros_manuales!$E$20*(datos_base!$B$3+IF(parametros_manuales!$H$20="Todos",datos_base!$B$10,0))*parametros_manuales!$B$102+parametros_manuales!$F$20*(datos_base!$B$4+IF(parametros_manuales!$H$20="Todos",datos_base!$B$11,0))*parametros_manuales!$B$107+parametros_manuales!$G$20*(datos_base!$B$5+IF(parametros_manuales!$H$20="Todos",datos_base!$B$12,0))*parametros_manuales!$B$112)*parametros_manuales!$I$20*parametros_manuales!$J$20+parametros_manuales!$B$148</f>
        <v>708.811904687025</v>
      </c>
      <c r="C3" s="14" t="n">
        <f aca="false">(parametros_manuales!$D$20*(datos_base!$B$2+IF(parametros_manuales!$H$20="Todos",datos_base!$B$9,0))*parametros_manuales!$C$97+parametros_manuales!$E$20*(datos_base!$B$3+IF(parametros_manuales!$H$20="Todos",datos_base!$B$10,0))*parametros_manuales!$C$102+parametros_manuales!$F$20*(datos_base!$B$4+IF(parametros_manuales!$H$20="Todos",datos_base!$B$11,0))*parametros_manuales!$C$107+parametros_manuales!$G$20*(datos_base!$B$5+IF(parametros_manuales!$H$20="Todos",datos_base!$B$12,0))*parametros_manuales!$C$112)*parametros_manuales!$I$20*parametros_manuales!$J$20+parametros_manuales!$C$148</f>
        <v>671.242206687216</v>
      </c>
      <c r="D3" s="14" t="n">
        <f aca="false">(parametros_manuales!$D$20*(datos_base!$B$2+IF(parametros_manuales!$H$20="Todos",datos_base!$B$9,0))*parametros_manuales!$D$97+parametros_manuales!$E$20*(datos_base!$B$3+IF(parametros_manuales!$H$20="Todos",datos_base!$B$10,0))*parametros_manuales!$D$102+parametros_manuales!$F$20*(datos_base!$B$4+IF(parametros_manuales!$H$20="Todos",datos_base!$B$11,0))*parametros_manuales!$D$107+parametros_manuales!$G$20*(datos_base!$B$5+IF(parametros_manuales!$H$20="Todos",datos_base!$B$12,0))*parametros_manuales!$D$112)*parametros_manuales!$I$20*parametros_manuales!$J$20+parametros_manuales!$D$148</f>
        <v>659.043022619629</v>
      </c>
      <c r="E3" s="14" t="n">
        <f aca="false">(parametros_manuales!$D$20*(datos_base!$B$2+IF(parametros_manuales!$H$20="Todos",datos_base!$B$9,0))*parametros_manuales!$E$97+parametros_manuales!$E$20*(datos_base!$B$3+IF(parametros_manuales!$H$20="Todos",datos_base!$B$10,0))*parametros_manuales!$E$102+parametros_manuales!$F$20*(datos_base!$B$4+IF(parametros_manuales!$H$20="Todos",datos_base!$B$11,0))*parametros_manuales!$E$107+parametros_manuales!$G$20*(datos_base!$B$5+IF(parametros_manuales!$H$20="Todos",datos_base!$B$12,0))*parametros_manuales!$E$112)*parametros_manuales!$I$20*parametros_manuales!$J$20+parametros_manuales!$E$148</f>
        <v>638.149339904629</v>
      </c>
      <c r="F3" s="14" t="n">
        <f aca="false">(parametros_manuales!$D$20*(datos_base!$B$2+IF(parametros_manuales!$H$20="Todos",datos_base!$B$9,0))*parametros_manuales!$F$97+parametros_manuales!$E$20*(datos_base!$B$3+IF(parametros_manuales!$H$20="Todos",datos_base!$B$10,0))*parametros_manuales!$F$102+parametros_manuales!$F$20*(datos_base!$B$4+IF(parametros_manuales!$H$20="Todos",datos_base!$B$11,0))*parametros_manuales!$F$107+parametros_manuales!$G$20*(datos_base!$B$5+IF(parametros_manuales!$H$20="Todos",datos_base!$B$12,0))*parametros_manuales!$F$112)*parametros_manuales!$I$20*parametros_manuales!$J$20+parametros_manuales!$F$148</f>
        <v>603.872474370979</v>
      </c>
      <c r="G3" s="14" t="n">
        <f aca="false">(parametros_manuales!$D$20*(datos_base!$B$2+IF(parametros_manuales!$H$20="Todos",datos_base!$B$9,0))*parametros_manuales!$G$97+parametros_manuales!$E$20*(datos_base!$B$3+IF(parametros_manuales!$H$20="Todos",datos_base!$B$10,0))*parametros_manuales!$G$102+parametros_manuales!$F$20*(datos_base!$B$4+IF(parametros_manuales!$H$20="Todos",datos_base!$B$11,0))*parametros_manuales!$G$107+parametros_manuales!$G$20*(datos_base!$B$5+IF(parametros_manuales!$H$20="Todos",datos_base!$B$12,0))*parametros_manuales!$G$112)*parametros_manuales!$I$20*parametros_manuales!$J$20+parametros_manuales!$G$148</f>
        <v>579.68595918982</v>
      </c>
      <c r="H3" s="14" t="n">
        <f aca="false">(parametros_manuales!$D$20*(datos_base!$B$2+IF(parametros_manuales!$H$20="Todos",datos_base!$B$9,0))*parametros_manuales!$H$97+parametros_manuales!$E$20*(datos_base!$B$3+IF(parametros_manuales!$H$20="Todos",datos_base!$B$10,0))*parametros_manuales!$H$102+parametros_manuales!$F$20*(datos_base!$B$4+IF(parametros_manuales!$H$20="Todos",datos_base!$B$11,0))*parametros_manuales!$H$107+parametros_manuales!$G$20*(datos_base!$B$5+IF(parametros_manuales!$H$20="Todos",datos_base!$B$12,0))*parametros_manuales!$H$112)*parametros_manuales!$I$20*parametros_manuales!$J$20+parametros_manuales!$H$148</f>
        <v>624.766157085979</v>
      </c>
      <c r="I3" s="14" t="n">
        <f aca="false">(parametros_manuales!$D$20*(datos_base!$B$2+IF(parametros_manuales!$H$20="Todos",datos_base!$B$9,0))*parametros_manuales!$I$97+parametros_manuales!$E$20*(datos_base!$B$3+IF(parametros_manuales!$H$20="Todos",datos_base!$B$10,0))*parametros_manuales!$I$102+parametros_manuales!$F$20*(datos_base!$B$4+IF(parametros_manuales!$H$20="Todos",datos_base!$B$11,0))*parametros_manuales!$I$107+parametros_manuales!$G$20*(datos_base!$B$5+IF(parametros_manuales!$H$20="Todos",datos_base!$B$12,0))*parametros_manuales!$I$112)*parametros_manuales!$I$20*parametros_manuales!$J$20+parametros_manuales!$I$148</f>
        <v>687.447205230978</v>
      </c>
      <c r="J3" s="14" t="n">
        <f aca="false">(parametros_manuales!$D$20*(datos_base!$B$2+IF(parametros_manuales!$H$20="Todos",datos_base!$B$9,0))*parametros_manuales!$J$97+parametros_manuales!$E$20*(datos_base!$B$3+IF(parametros_manuales!$H$20="Todos",datos_base!$B$10,0))*parametros_manuales!$J$102+parametros_manuales!$F$20*(datos_base!$B$4+IF(parametros_manuales!$H$20="Todos",datos_base!$B$11,0))*parametros_manuales!$J$107+parametros_manuales!$G$20*(datos_base!$B$5+IF(parametros_manuales!$H$20="Todos",datos_base!$B$12,0))*parametros_manuales!$J$112)*parametros_manuales!$I$20*parametros_manuales!$J$20+parametros_manuales!$J$148</f>
        <v>682.045539049724</v>
      </c>
      <c r="K3" s="14" t="n">
        <f aca="false">(parametros_manuales!$D$20*(datos_base!$B$2+IF(parametros_manuales!$H$20="Todos",datos_base!$B$9,0))*parametros_manuales!$K$97+parametros_manuales!$E$20*(datos_base!$B$3+IF(parametros_manuales!$H$20="Todos",datos_base!$B$10,0))*parametros_manuales!$K$102+parametros_manuales!$F$20*(datos_base!$B$4+IF(parametros_manuales!$H$20="Todos",datos_base!$B$11,0))*parametros_manuales!$K$107+parametros_manuales!$G$20*(datos_base!$B$5+IF(parametros_manuales!$H$20="Todos",datos_base!$B$12,0))*parametros_manuales!$K$112)*parametros_manuales!$I$20*parametros_manuales!$J$20+parametros_manuales!$K$148</f>
        <v>684.625389505866</v>
      </c>
      <c r="L3" s="14" t="n">
        <f aca="false">(parametros_manuales!$D$20*(datos_base!$B$2+IF(parametros_manuales!$H$20="Todos",datos_base!$B$9,0))*parametros_manuales!$L$97+parametros_manuales!$E$20*(datos_base!$B$3+IF(parametros_manuales!$H$20="Todos",datos_base!$B$10,0))*parametros_manuales!$L$102+parametros_manuales!$F$20*(datos_base!$B$4+IF(parametros_manuales!$H$20="Todos",datos_base!$B$11,0))*parametros_manuales!$L$107+parametros_manuales!$G$20*(datos_base!$B$5+IF(parametros_manuales!$H$20="Todos",datos_base!$B$12,0))*parametros_manuales!$L$112)*parametros_manuales!$I$20*parametros_manuales!$J$20+parametros_manuales!$L$148</f>
        <v>692.606906143261</v>
      </c>
      <c r="M3" s="14" t="n">
        <f aca="false">(parametros_manuales!$D$20*(datos_base!$B$2+IF(parametros_manuales!$H$20="Todos",datos_base!$B$9,0))*parametros_manuales!$M$97+parametros_manuales!$E$20*(datos_base!$B$3+IF(parametros_manuales!$H$20="Todos",datos_base!$B$10,0))*parametros_manuales!$M$102+parametros_manuales!$F$20*(datos_base!$B$4+IF(parametros_manuales!$H$20="Todos",datos_base!$B$11,0))*parametros_manuales!$M$107+parametros_manuales!$G$20*(datos_base!$B$5+IF(parametros_manuales!$H$20="Todos",datos_base!$B$12,0))*parametros_manuales!$M$112)*parametros_manuales!$I$20*parametros_manuales!$J$20+parametros_manuales!$M$148</f>
        <v>703.41023850577</v>
      </c>
      <c r="N3" s="14" t="n">
        <f aca="false">SUM(B3:M3)</f>
        <v>7935.70634298088</v>
      </c>
      <c r="O3" s="14" t="n">
        <f aca="false">MAX(B3:M3)</f>
        <v>708.811904687025</v>
      </c>
      <c r="P3" s="57" t="n">
        <f aca="false">O3/(parametros_manuales!$B$7)</f>
        <v>4.7254126979135</v>
      </c>
      <c r="Q3" s="13" t="str">
        <f aca="false">IF(O3=0,"-",INDEX($B$1:$M$1,MATCH(O3,B3:M3,0)))</f>
        <v>Ene</v>
      </c>
    </row>
    <row r="4" customFormat="false" ht="14.25" hidden="false" customHeight="true" outlineLevel="0" collapsed="false">
      <c r="A4" s="13" t="str">
        <f aca="false">parametros_manuales!$B$21</f>
        <v>Corte de chapa — 2.º corte en piezas (guillotina 2, manuales + carros)</v>
      </c>
      <c r="B4" s="14" t="n">
        <f aca="false">(parametros_manuales!$D$21*(datos_base!$B$2+IF(parametros_manuales!$H$21="Todos",datos_base!$B$9,0))*parametros_manuales!$B$97+parametros_manuales!$E$21*(datos_base!$B$3+IF(parametros_manuales!$H$21="Todos",datos_base!$B$10,0))*parametros_manuales!$B$102+parametros_manuales!$F$21*(datos_base!$B$4+IF(parametros_manuales!$H$21="Todos",datos_base!$B$11,0))*parametros_manuales!$B$107+parametros_manuales!$G$21*(datos_base!$B$5+IF(parametros_manuales!$H$21="Todos",datos_base!$B$12,0))*parametros_manuales!$B$112)*parametros_manuales!$I$21*parametros_manuales!$J$21+parametros_manuales!$B$160</f>
        <v>735.169014865587</v>
      </c>
      <c r="C4" s="14" t="n">
        <f aca="false">(parametros_manuales!$D$21*(datos_base!$B$2+IF(parametros_manuales!$H$21="Todos",datos_base!$B$9,0))*parametros_manuales!$C$97+parametros_manuales!$E$21*(datos_base!$B$3+IF(parametros_manuales!$H$21="Todos",datos_base!$B$10,0))*parametros_manuales!$C$102+parametros_manuales!$F$21*(datos_base!$B$4+IF(parametros_manuales!$H$21="Todos",datos_base!$B$11,0))*parametros_manuales!$C$107+parametros_manuales!$G$21*(datos_base!$B$5+IF(parametros_manuales!$H$21="Todos",datos_base!$B$12,0))*parametros_manuales!$C$112)*parametros_manuales!$I$21*parametros_manuales!$J$21+parametros_manuales!$C$160</f>
        <v>694.498480374182</v>
      </c>
      <c r="D4" s="14" t="n">
        <f aca="false">(parametros_manuales!$D$21*(datos_base!$B$2+IF(parametros_manuales!$H$21="Todos",datos_base!$B$9,0))*parametros_manuales!$D$97+parametros_manuales!$E$21*(datos_base!$B$3+IF(parametros_manuales!$H$21="Todos",datos_base!$B$10,0))*parametros_manuales!$D$102+parametros_manuales!$F$21*(datos_base!$B$4+IF(parametros_manuales!$H$21="Todos",datos_base!$B$11,0))*parametros_manuales!$D$107+parametros_manuales!$G$21*(datos_base!$B$5+IF(parametros_manuales!$H$21="Todos",datos_base!$B$12,0))*parametros_manuales!$D$112)*parametros_manuales!$I$21*parametros_manuales!$J$21+parametros_manuales!$D$160</f>
        <v>686.950551043989</v>
      </c>
      <c r="E4" s="14" t="n">
        <f aca="false">(parametros_manuales!$D$21*(datos_base!$B$2+IF(parametros_manuales!$H$21="Todos",datos_base!$B$9,0))*parametros_manuales!$E$97+parametros_manuales!$E$21*(datos_base!$B$3+IF(parametros_manuales!$H$21="Todos",datos_base!$B$10,0))*parametros_manuales!$E$102+parametros_manuales!$F$21*(datos_base!$B$4+IF(parametros_manuales!$H$21="Todos",datos_base!$B$11,0))*parametros_manuales!$E$107+parametros_manuales!$G$21*(datos_base!$B$5+IF(parametros_manuales!$H$21="Todos",datos_base!$B$12,0))*parametros_manuales!$E$112)*parametros_manuales!$I$21*parametros_manuales!$J$21+parametros_manuales!$E$160</f>
        <v>666.056868328989</v>
      </c>
      <c r="F4" s="14" t="n">
        <f aca="false">(parametros_manuales!$D$21*(datos_base!$B$2+IF(parametros_manuales!$H$21="Todos",datos_base!$B$9,0))*parametros_manuales!$F$97+parametros_manuales!$E$21*(datos_base!$B$3+IF(parametros_manuales!$H$21="Todos",datos_base!$B$10,0))*parametros_manuales!$F$102+parametros_manuales!$F$21*(datos_base!$B$4+IF(parametros_manuales!$H$21="Todos",datos_base!$B$11,0))*parametros_manuales!$F$107+parametros_manuales!$G$21*(datos_base!$B$5+IF(parametros_manuales!$H$21="Todos",datos_base!$B$12,0))*parametros_manuales!$F$112)*parametros_manuales!$I$21*parametros_manuales!$J$21+parametros_manuales!$F$160</f>
        <v>631.780002795339</v>
      </c>
      <c r="G4" s="14" t="n">
        <f aca="false">(parametros_manuales!$D$21*(datos_base!$B$2+IF(parametros_manuales!$H$21="Todos",datos_base!$B$9,0))*parametros_manuales!$G$97+parametros_manuales!$E$21*(datos_base!$B$3+IF(parametros_manuales!$H$21="Todos",datos_base!$B$10,0))*parametros_manuales!$G$102+parametros_manuales!$F$21*(datos_base!$B$4+IF(parametros_manuales!$H$21="Todos",datos_base!$B$11,0))*parametros_manuales!$G$107+parametros_manuales!$G$21*(datos_base!$B$5+IF(parametros_manuales!$H$21="Todos",datos_base!$B$12,0))*parametros_manuales!$G$112)*parametros_manuales!$I$21*parametros_manuales!$J$21+parametros_manuales!$G$160</f>
        <v>604.492651122584</v>
      </c>
      <c r="H4" s="14" t="n">
        <f aca="false">(parametros_manuales!$D$21*(datos_base!$B$2+IF(parametros_manuales!$H$21="Todos",datos_base!$B$9,0))*parametros_manuales!$H$97+parametros_manuales!$E$21*(datos_base!$B$3+IF(parametros_manuales!$H$21="Todos",datos_base!$B$10,0))*parametros_manuales!$H$102+parametros_manuales!$F$21*(datos_base!$B$4+IF(parametros_manuales!$H$21="Todos",datos_base!$B$11,0))*parametros_manuales!$H$107+parametros_manuales!$G$21*(datos_base!$B$5+IF(parametros_manuales!$H$21="Todos",datos_base!$B$12,0))*parametros_manuales!$H$112)*parametros_manuales!$I$21*parametros_manuales!$J$21+parametros_manuales!$H$160</f>
        <v>652.673685510339</v>
      </c>
      <c r="I4" s="14" t="n">
        <f aca="false">(parametros_manuales!$D$21*(datos_base!$B$2+IF(parametros_manuales!$H$21="Todos",datos_base!$B$9,0))*parametros_manuales!$I$97+parametros_manuales!$E$21*(datos_base!$B$3+IF(parametros_manuales!$H$21="Todos",datos_base!$B$10,0))*parametros_manuales!$I$102+parametros_manuales!$F$21*(datos_base!$B$4+IF(parametros_manuales!$H$21="Todos",datos_base!$B$11,0))*parametros_manuales!$I$107+parametros_manuales!$G$21*(datos_base!$B$5+IF(parametros_manuales!$H$21="Todos",datos_base!$B$12,0))*parametros_manuales!$I$112)*parametros_manuales!$I$21*parametros_manuales!$J$21+parametros_manuales!$I$160</f>
        <v>715.354733655338</v>
      </c>
      <c r="J4" s="14" t="n">
        <f aca="false">(parametros_manuales!$D$21*(datos_base!$B$2+IF(parametros_manuales!$H$21="Todos",datos_base!$B$9,0))*parametros_manuales!$J$97+parametros_manuales!$E$21*(datos_base!$B$3+IF(parametros_manuales!$H$21="Todos",datos_base!$B$10,0))*parametros_manuales!$J$102+parametros_manuales!$F$21*(datos_base!$B$4+IF(parametros_manuales!$H$21="Todos",datos_base!$B$11,0))*parametros_manuales!$J$107+parametros_manuales!$G$21*(datos_base!$B$5+IF(parametros_manuales!$H$21="Todos",datos_base!$B$12,0))*parametros_manuales!$J$112)*parametros_manuales!$I$21*parametros_manuales!$J$21+parametros_manuales!$J$160</f>
        <v>708.402649228287</v>
      </c>
      <c r="K4" s="14" t="n">
        <f aca="false">(parametros_manuales!$D$21*(datos_base!$B$2+IF(parametros_manuales!$H$21="Todos",datos_base!$B$9,0))*parametros_manuales!$K$97+parametros_manuales!$E$21*(datos_base!$B$3+IF(parametros_manuales!$H$21="Todos",datos_base!$B$10,0))*parametros_manuales!$K$102+parametros_manuales!$F$21*(datos_base!$B$4+IF(parametros_manuales!$H$21="Todos",datos_base!$B$11,0))*parametros_manuales!$K$107+parametros_manuales!$G$21*(datos_base!$B$5+IF(parametros_manuales!$H$21="Todos",datos_base!$B$12,0))*parametros_manuales!$K$112)*parametros_manuales!$I$21*parametros_manuales!$J$21+parametros_manuales!$K$160</f>
        <v>707.881663192832</v>
      </c>
      <c r="L4" s="14" t="n">
        <f aca="false">(parametros_manuales!$D$21*(datos_base!$B$2+IF(parametros_manuales!$H$21="Todos",datos_base!$B$9,0))*parametros_manuales!$L$97+parametros_manuales!$E$21*(datos_base!$B$3+IF(parametros_manuales!$H$21="Todos",datos_base!$B$10,0))*parametros_manuales!$L$102+parametros_manuales!$F$21*(datos_base!$B$4+IF(parametros_manuales!$H$21="Todos",datos_base!$B$11,0))*parametros_manuales!$L$107+parametros_manuales!$G$21*(datos_base!$B$5+IF(parametros_manuales!$H$21="Todos",datos_base!$B$12,0))*parametros_manuales!$L$112)*parametros_manuales!$I$21*parametros_manuales!$J$21+parametros_manuales!$L$160</f>
        <v>714.31276158443</v>
      </c>
      <c r="M4" s="14" t="n">
        <f aca="false">(parametros_manuales!$D$21*(datos_base!$B$2+IF(parametros_manuales!$H$21="Todos",datos_base!$B$9,0))*parametros_manuales!$M$97+parametros_manuales!$E$21*(datos_base!$B$3+IF(parametros_manuales!$H$21="Todos",datos_base!$B$10,0))*parametros_manuales!$M$102+parametros_manuales!$F$21*(datos_base!$B$4+IF(parametros_manuales!$H$21="Todos",datos_base!$B$11,0))*parametros_manuales!$M$107+parametros_manuales!$G$21*(datos_base!$B$5+IF(parametros_manuales!$H$21="Todos",datos_base!$B$12,0))*parametros_manuales!$M$112)*parametros_manuales!$I$21*parametros_manuales!$J$21+parametros_manuales!$M$160</f>
        <v>728.216930438535</v>
      </c>
      <c r="N4" s="14" t="n">
        <f aca="false">SUM(B4:M4)</f>
        <v>8245.78999214043</v>
      </c>
      <c r="O4" s="14" t="n">
        <f aca="false">MAX(B4:M4)</f>
        <v>735.169014865587</v>
      </c>
      <c r="P4" s="57" t="n">
        <f aca="false">O4/(parametros_manuales!$B$7)</f>
        <v>4.90112676577058</v>
      </c>
      <c r="Q4" s="13" t="str">
        <f aca="false">IF(O4=0,"-",INDEX($B$1:$M$1,MATCH(O4,B4:M4,0)))</f>
        <v>Ene</v>
      </c>
    </row>
    <row r="5" customFormat="false" ht="14.25" hidden="false" customHeight="true" outlineLevel="0" collapsed="false">
      <c r="A5" s="13" t="str">
        <f aca="false">parametros_manuales!$B$22</f>
        <v>Corte de disco y embutido (cúpula y fondo)</v>
      </c>
      <c r="B5" s="14" t="n">
        <f aca="false">(parametros_manuales!$D$22*(datos_base!$B$2+IF(parametros_manuales!$H$22="Todos",datos_base!$B$9,0))*parametros_manuales!$B$97+parametros_manuales!$E$22*(datos_base!$B$3+IF(parametros_manuales!$H$22="Todos",datos_base!$B$10,0))*parametros_manuales!$B$102+parametros_manuales!$F$22*(datos_base!$B$4+IF(parametros_manuales!$H$22="Todos",datos_base!$B$11,0))*parametros_manuales!$B$107+parametros_manuales!$G$22*(datos_base!$B$5+IF(parametros_manuales!$H$22="Todos",datos_base!$B$12,0))*parametros_manuales!$B$112)*parametros_manuales!$I$22*parametros_manuales!$J$22</f>
        <v>1233.9671592114</v>
      </c>
      <c r="C5" s="14" t="n">
        <f aca="false">(parametros_manuales!$D$22*(datos_base!$B$2+IF(parametros_manuales!$H$22="Todos",datos_base!$B$9,0))*parametros_manuales!$C$97+parametros_manuales!$E$22*(datos_base!$B$3+IF(parametros_manuales!$H$22="Todos",datos_base!$B$10,0))*parametros_manuales!$C$102+parametros_manuales!$F$22*(datos_base!$B$4+IF(parametros_manuales!$H$22="Todos",datos_base!$B$11,0))*parametros_manuales!$C$107+parametros_manuales!$G$22*(datos_base!$B$5+IF(parametros_manuales!$H$22="Todos",datos_base!$B$12,0))*parametros_manuales!$C$112)*parametros_manuales!$I$22*parametros_manuales!$J$22</f>
        <v>1180.4344279368</v>
      </c>
      <c r="D5" s="14" t="n">
        <f aca="false">(parametros_manuales!$D$22*(datos_base!$B$2+IF(parametros_manuales!$H$22="Todos",datos_base!$B$9,0))*parametros_manuales!$D$97+parametros_manuales!$E$22*(datos_base!$B$3+IF(parametros_manuales!$H$22="Todos",datos_base!$B$10,0))*parametros_manuales!$D$102+parametros_manuales!$F$22*(datos_base!$B$4+IF(parametros_manuales!$H$22="Todos",datos_base!$B$11,0))*parametros_manuales!$D$107+parametros_manuales!$G$22*(datos_base!$B$5+IF(parametros_manuales!$H$22="Todos",datos_base!$B$12,0))*parametros_manuales!$D$112)*parametros_manuales!$I$22*parametros_manuales!$J$22</f>
        <v>1123.6260627141</v>
      </c>
      <c r="E5" s="14" t="n">
        <f aca="false">(parametros_manuales!$D$22*(datos_base!$B$2+IF(parametros_manuales!$H$22="Todos",datos_base!$B$9,0))*parametros_manuales!$E$97+parametros_manuales!$E$22*(datos_base!$B$3+IF(parametros_manuales!$H$22="Todos",datos_base!$B$10,0))*parametros_manuales!$E$102+parametros_manuales!$F$22*(datos_base!$B$4+IF(parametros_manuales!$H$22="Todos",datos_base!$B$11,0))*parametros_manuales!$E$107+parametros_manuales!$G$22*(datos_base!$B$5+IF(parametros_manuales!$H$22="Todos",datos_base!$B$12,0))*parametros_manuales!$E$112)*parametros_manuales!$I$22*parametros_manuales!$J$22</f>
        <v>1081.8386972841</v>
      </c>
      <c r="F5" s="14" t="n">
        <f aca="false">(parametros_manuales!$D$22*(datos_base!$B$2+IF(parametros_manuales!$H$22="Todos",datos_base!$B$9,0))*parametros_manuales!$F$97+parametros_manuales!$E$22*(datos_base!$B$3+IF(parametros_manuales!$H$22="Todos",datos_base!$B$10,0))*parametros_manuales!$F$102+parametros_manuales!$F$22*(datos_base!$B$4+IF(parametros_manuales!$H$22="Todos",datos_base!$B$11,0))*parametros_manuales!$F$107+parametros_manuales!$G$22*(datos_base!$B$5+IF(parametros_manuales!$H$22="Todos",datos_base!$B$12,0))*parametros_manuales!$F$112)*parametros_manuales!$I$22*parametros_manuales!$J$22</f>
        <v>1013.2849662168</v>
      </c>
      <c r="G5" s="14" t="n">
        <f aca="false">(parametros_manuales!$D$22*(datos_base!$B$2+IF(parametros_manuales!$H$22="Todos",datos_base!$B$9,0))*parametros_manuales!$G$97+parametros_manuales!$E$22*(datos_base!$B$3+IF(parametros_manuales!$H$22="Todos",datos_base!$B$10,0))*parametros_manuales!$G$102+parametros_manuales!$F$22*(datos_base!$B$4+IF(parametros_manuales!$H$22="Todos",datos_base!$B$11,0))*parametros_manuales!$G$107+parametros_manuales!$G$22*(datos_base!$B$5+IF(parametros_manuales!$H$22="Todos",datos_base!$B$12,0))*parametros_manuales!$G$112)*parametros_manuales!$I$22*parametros_manuales!$J$22</f>
        <v>986.5186005795</v>
      </c>
      <c r="H5" s="14" t="n">
        <f aca="false">(parametros_manuales!$D$22*(datos_base!$B$2+IF(parametros_manuales!$H$22="Todos",datos_base!$B$9,0))*parametros_manuales!$H$97+parametros_manuales!$E$22*(datos_base!$B$3+IF(parametros_manuales!$H$22="Todos",datos_base!$B$10,0))*parametros_manuales!$H$102+parametros_manuales!$F$22*(datos_base!$B$4+IF(parametros_manuales!$H$22="Todos",datos_base!$B$11,0))*parametros_manuales!$H$107+parametros_manuales!$G$22*(datos_base!$B$5+IF(parametros_manuales!$H$22="Todos",datos_base!$B$12,0))*parametros_manuales!$H$112)*parametros_manuales!$I$22*parametros_manuales!$J$22</f>
        <v>1055.0723316468</v>
      </c>
      <c r="I5" s="14" t="n">
        <f aca="false">(parametros_manuales!$D$22*(datos_base!$B$2+IF(parametros_manuales!$H$22="Todos",datos_base!$B$9,0))*parametros_manuales!$I$97+parametros_manuales!$E$22*(datos_base!$B$3+IF(parametros_manuales!$H$22="Todos",datos_base!$B$10,0))*parametros_manuales!$I$102+parametros_manuales!$F$22*(datos_base!$B$4+IF(parametros_manuales!$H$22="Todos",datos_base!$B$11,0))*parametros_manuales!$I$107+parametros_manuales!$G$22*(datos_base!$B$5+IF(parametros_manuales!$H$22="Todos",datos_base!$B$12,0))*parametros_manuales!$I$112)*parametros_manuales!$I$22*parametros_manuales!$J$22</f>
        <v>1180.4344279368</v>
      </c>
      <c r="J5" s="14" t="n">
        <f aca="false">(parametros_manuales!$D$22*(datos_base!$B$2+IF(parametros_manuales!$H$22="Todos",datos_base!$B$9,0))*parametros_manuales!$J$97+parametros_manuales!$E$22*(datos_base!$B$3+IF(parametros_manuales!$H$22="Todos",datos_base!$B$10,0))*parametros_manuales!$J$102+parametros_manuales!$F$22*(datos_base!$B$4+IF(parametros_manuales!$H$22="Todos",datos_base!$B$11,0))*parametros_manuales!$J$107+parametros_manuales!$G$22*(datos_base!$B$5+IF(parametros_manuales!$H$22="Todos",datos_base!$B$12,0))*parametros_manuales!$J$112)*parametros_manuales!$I$22*parametros_manuales!$J$22</f>
        <v>1180.4344279368</v>
      </c>
      <c r="K5" s="14" t="n">
        <f aca="false">(parametros_manuales!$D$22*(datos_base!$B$2+IF(parametros_manuales!$H$22="Todos",datos_base!$B$9,0))*parametros_manuales!$K$97+parametros_manuales!$E$22*(datos_base!$B$3+IF(parametros_manuales!$H$22="Todos",datos_base!$B$10,0))*parametros_manuales!$K$102+parametros_manuales!$F$22*(datos_base!$B$4+IF(parametros_manuales!$H$22="Todos",datos_base!$B$11,0))*parametros_manuales!$K$107+parametros_manuales!$G$22*(datos_base!$B$5+IF(parametros_manuales!$H$22="Todos",datos_base!$B$12,0))*parametros_manuales!$K$112)*parametros_manuales!$I$22*parametros_manuales!$J$22</f>
        <v>1207.2007935741</v>
      </c>
      <c r="L5" s="14" t="n">
        <f aca="false">(parametros_manuales!$D$22*(datos_base!$B$2+IF(parametros_manuales!$H$22="Todos",datos_base!$B$9,0))*parametros_manuales!$L$97+parametros_manuales!$E$22*(datos_base!$B$3+IF(parametros_manuales!$H$22="Todos",datos_base!$B$10,0))*parametros_manuales!$L$102+parametros_manuales!$F$22*(datos_base!$B$4+IF(parametros_manuales!$H$22="Todos",datos_base!$B$11,0))*parametros_manuales!$L$107+parametros_manuales!$G$22*(datos_base!$B$5+IF(parametros_manuales!$H$22="Todos",datos_base!$B$12,0))*parametros_manuales!$L$112)*parametros_manuales!$I$22*parametros_manuales!$J$22</f>
        <v>1233.9671592114</v>
      </c>
      <c r="M5" s="14" t="n">
        <f aca="false">(parametros_manuales!$D$22*(datos_base!$B$2+IF(parametros_manuales!$H$22="Todos",datos_base!$B$9,0))*parametros_manuales!$M$97+parametros_manuales!$E$22*(datos_base!$B$3+IF(parametros_manuales!$H$22="Todos",datos_base!$B$10,0))*parametros_manuales!$M$102+parametros_manuales!$F$22*(datos_base!$B$4+IF(parametros_manuales!$H$22="Todos",datos_base!$B$11,0))*parametros_manuales!$M$107+parametros_manuales!$G$22*(datos_base!$B$5+IF(parametros_manuales!$H$22="Todos",datos_base!$B$12,0))*parametros_manuales!$M$112)*parametros_manuales!$I$22*parametros_manuales!$J$22</f>
        <v>1233.9671592114</v>
      </c>
      <c r="N5" s="14" t="n">
        <f aca="false">SUM(B5:M5)</f>
        <v>13710.74621346</v>
      </c>
      <c r="O5" s="14" t="n">
        <f aca="false">MAX(B5:M5)</f>
        <v>1233.9671592114</v>
      </c>
      <c r="P5" s="57" t="n">
        <f aca="false">O5/(parametros_manuales!$B$7)</f>
        <v>8.226447728076</v>
      </c>
      <c r="Q5" s="13" t="str">
        <f aca="false">IF(O5=0,"-",INDEX($B$1:$M$1,MATCH(O5,B5:M5,0)))</f>
        <v>Ene</v>
      </c>
    </row>
    <row r="6" customFormat="false" ht="14.25" hidden="false" customHeight="true" outlineLevel="0" collapsed="false">
      <c r="A6" s="13" t="str">
        <f aca="false">parametros_manuales!$B$23</f>
        <v>Preparación de cuello</v>
      </c>
      <c r="B6" s="14" t="n">
        <f aca="false">(parametros_manuales!$D$23*(datos_base!$B$2+IF(parametros_manuales!$H$23="Todos",datos_base!$B$9,0))*parametros_manuales!$B$97+parametros_manuales!$E$23*(datos_base!$B$3+IF(parametros_manuales!$H$23="Todos",datos_base!$B$10,0))*parametros_manuales!$B$102+parametros_manuales!$F$23*(datos_base!$B$4+IF(parametros_manuales!$H$23="Todos",datos_base!$B$11,0))*parametros_manuales!$B$107+parametros_manuales!$G$23*(datos_base!$B$5+IF(parametros_manuales!$H$23="Todos",datos_base!$B$12,0))*parametros_manuales!$B$112)*parametros_manuales!$I$23*parametros_manuales!$J$23</f>
        <v>616.9835796057</v>
      </c>
      <c r="C6" s="14" t="n">
        <f aca="false">(parametros_manuales!$D$23*(datos_base!$B$2+IF(parametros_manuales!$H$23="Todos",datos_base!$B$9,0))*parametros_manuales!$C$97+parametros_manuales!$E$23*(datos_base!$B$3+IF(parametros_manuales!$H$23="Todos",datos_base!$B$10,0))*parametros_manuales!$C$102+parametros_manuales!$F$23*(datos_base!$B$4+IF(parametros_manuales!$H$23="Todos",datos_base!$B$11,0))*parametros_manuales!$C$107+parametros_manuales!$G$23*(datos_base!$B$5+IF(parametros_manuales!$H$23="Todos",datos_base!$B$12,0))*parametros_manuales!$C$112)*parametros_manuales!$I$23*parametros_manuales!$J$23</f>
        <v>590.2172139684</v>
      </c>
      <c r="D6" s="14" t="n">
        <f aca="false">(parametros_manuales!$D$23*(datos_base!$B$2+IF(parametros_manuales!$H$23="Todos",datos_base!$B$9,0))*parametros_manuales!$D$97+parametros_manuales!$E$23*(datos_base!$B$3+IF(parametros_manuales!$H$23="Todos",datos_base!$B$10,0))*parametros_manuales!$D$102+parametros_manuales!$F$23*(datos_base!$B$4+IF(parametros_manuales!$H$23="Todos",datos_base!$B$11,0))*parametros_manuales!$D$107+parametros_manuales!$G$23*(datos_base!$B$5+IF(parametros_manuales!$H$23="Todos",datos_base!$B$12,0))*parametros_manuales!$D$112)*parametros_manuales!$I$23*parametros_manuales!$J$23</f>
        <v>561.81303135705</v>
      </c>
      <c r="E6" s="14" t="n">
        <f aca="false">(parametros_manuales!$D$23*(datos_base!$B$2+IF(parametros_manuales!$H$23="Todos",datos_base!$B$9,0))*parametros_manuales!$E$97+parametros_manuales!$E$23*(datos_base!$B$3+IF(parametros_manuales!$H$23="Todos",datos_base!$B$10,0))*parametros_manuales!$E$102+parametros_manuales!$F$23*(datos_base!$B$4+IF(parametros_manuales!$H$23="Todos",datos_base!$B$11,0))*parametros_manuales!$E$107+parametros_manuales!$G$23*(datos_base!$B$5+IF(parametros_manuales!$H$23="Todos",datos_base!$B$12,0))*parametros_manuales!$E$112)*parametros_manuales!$I$23*parametros_manuales!$J$23</f>
        <v>540.91934864205</v>
      </c>
      <c r="F6" s="14" t="n">
        <f aca="false">(parametros_manuales!$D$23*(datos_base!$B$2+IF(parametros_manuales!$H$23="Todos",datos_base!$B$9,0))*parametros_manuales!$F$97+parametros_manuales!$E$23*(datos_base!$B$3+IF(parametros_manuales!$H$23="Todos",datos_base!$B$10,0))*parametros_manuales!$F$102+parametros_manuales!$F$23*(datos_base!$B$4+IF(parametros_manuales!$H$23="Todos",datos_base!$B$11,0))*parametros_manuales!$F$107+parametros_manuales!$G$23*(datos_base!$B$5+IF(parametros_manuales!$H$23="Todos",datos_base!$B$12,0))*parametros_manuales!$F$112)*parametros_manuales!$I$23*parametros_manuales!$J$23</f>
        <v>506.6424831084</v>
      </c>
      <c r="G6" s="14" t="n">
        <f aca="false">(parametros_manuales!$D$23*(datos_base!$B$2+IF(parametros_manuales!$H$23="Todos",datos_base!$B$9,0))*parametros_manuales!$G$97+parametros_manuales!$E$23*(datos_base!$B$3+IF(parametros_manuales!$H$23="Todos",datos_base!$B$10,0))*parametros_manuales!$G$102+parametros_manuales!$F$23*(datos_base!$B$4+IF(parametros_manuales!$H$23="Todos",datos_base!$B$11,0))*parametros_manuales!$G$107+parametros_manuales!$G$23*(datos_base!$B$5+IF(parametros_manuales!$H$23="Todos",datos_base!$B$12,0))*parametros_manuales!$G$112)*parametros_manuales!$I$23*parametros_manuales!$J$23</f>
        <v>493.25930028975</v>
      </c>
      <c r="H6" s="14" t="n">
        <f aca="false">(parametros_manuales!$D$23*(datos_base!$B$2+IF(parametros_manuales!$H$23="Todos",datos_base!$B$9,0))*parametros_manuales!$H$97+parametros_manuales!$E$23*(datos_base!$B$3+IF(parametros_manuales!$H$23="Todos",datos_base!$B$10,0))*parametros_manuales!$H$102+parametros_manuales!$F$23*(datos_base!$B$4+IF(parametros_manuales!$H$23="Todos",datos_base!$B$11,0))*parametros_manuales!$H$107+parametros_manuales!$G$23*(datos_base!$B$5+IF(parametros_manuales!$H$23="Todos",datos_base!$B$12,0))*parametros_manuales!$H$112)*parametros_manuales!$I$23*parametros_manuales!$J$23</f>
        <v>527.5361658234</v>
      </c>
      <c r="I6" s="14" t="n">
        <f aca="false">(parametros_manuales!$D$23*(datos_base!$B$2+IF(parametros_manuales!$H$23="Todos",datos_base!$B$9,0))*parametros_manuales!$I$97+parametros_manuales!$E$23*(datos_base!$B$3+IF(parametros_manuales!$H$23="Todos",datos_base!$B$10,0))*parametros_manuales!$I$102+parametros_manuales!$F$23*(datos_base!$B$4+IF(parametros_manuales!$H$23="Todos",datos_base!$B$11,0))*parametros_manuales!$I$107+parametros_manuales!$G$23*(datos_base!$B$5+IF(parametros_manuales!$H$23="Todos",datos_base!$B$12,0))*parametros_manuales!$I$112)*parametros_manuales!$I$23*parametros_manuales!$J$23</f>
        <v>590.2172139684</v>
      </c>
      <c r="J6" s="14" t="n">
        <f aca="false">(parametros_manuales!$D$23*(datos_base!$B$2+IF(parametros_manuales!$H$23="Todos",datos_base!$B$9,0))*parametros_manuales!$J$97+parametros_manuales!$E$23*(datos_base!$B$3+IF(parametros_manuales!$H$23="Todos",datos_base!$B$10,0))*parametros_manuales!$J$102+parametros_manuales!$F$23*(datos_base!$B$4+IF(parametros_manuales!$H$23="Todos",datos_base!$B$11,0))*parametros_manuales!$J$107+parametros_manuales!$G$23*(datos_base!$B$5+IF(parametros_manuales!$H$23="Todos",datos_base!$B$12,0))*parametros_manuales!$J$112)*parametros_manuales!$I$23*parametros_manuales!$J$23</f>
        <v>590.2172139684</v>
      </c>
      <c r="K6" s="14" t="n">
        <f aca="false">(parametros_manuales!$D$23*(datos_base!$B$2+IF(parametros_manuales!$H$23="Todos",datos_base!$B$9,0))*parametros_manuales!$K$97+parametros_manuales!$E$23*(datos_base!$B$3+IF(parametros_manuales!$H$23="Todos",datos_base!$B$10,0))*parametros_manuales!$K$102+parametros_manuales!$F$23*(datos_base!$B$4+IF(parametros_manuales!$H$23="Todos",datos_base!$B$11,0))*parametros_manuales!$K$107+parametros_manuales!$G$23*(datos_base!$B$5+IF(parametros_manuales!$H$23="Todos",datos_base!$B$12,0))*parametros_manuales!$K$112)*parametros_manuales!$I$23*parametros_manuales!$J$23</f>
        <v>603.60039678705</v>
      </c>
      <c r="L6" s="14" t="n">
        <f aca="false">(parametros_manuales!$D$23*(datos_base!$B$2+IF(parametros_manuales!$H$23="Todos",datos_base!$B$9,0))*parametros_manuales!$L$97+parametros_manuales!$E$23*(datos_base!$B$3+IF(parametros_manuales!$H$23="Todos",datos_base!$B$10,0))*parametros_manuales!$L$102+parametros_manuales!$F$23*(datos_base!$B$4+IF(parametros_manuales!$H$23="Todos",datos_base!$B$11,0))*parametros_manuales!$L$107+parametros_manuales!$G$23*(datos_base!$B$5+IF(parametros_manuales!$H$23="Todos",datos_base!$B$12,0))*parametros_manuales!$L$112)*parametros_manuales!$I$23*parametros_manuales!$J$23</f>
        <v>616.9835796057</v>
      </c>
      <c r="M6" s="14" t="n">
        <f aca="false">(parametros_manuales!$D$23*(datos_base!$B$2+IF(parametros_manuales!$H$23="Todos",datos_base!$B$9,0))*parametros_manuales!$M$97+parametros_manuales!$E$23*(datos_base!$B$3+IF(parametros_manuales!$H$23="Todos",datos_base!$B$10,0))*parametros_manuales!$M$102+parametros_manuales!$F$23*(datos_base!$B$4+IF(parametros_manuales!$H$23="Todos",datos_base!$B$11,0))*parametros_manuales!$M$107+parametros_manuales!$G$23*(datos_base!$B$5+IF(parametros_manuales!$H$23="Todos",datos_base!$B$12,0))*parametros_manuales!$M$112)*parametros_manuales!$I$23*parametros_manuales!$J$23</f>
        <v>616.9835796057</v>
      </c>
      <c r="N6" s="14" t="n">
        <f aca="false">SUM(B6:M6)</f>
        <v>6855.37310673</v>
      </c>
      <c r="O6" s="14" t="n">
        <f aca="false">MAX(B6:M6)</f>
        <v>616.9835796057</v>
      </c>
      <c r="P6" s="57" t="n">
        <f aca="false">O6/(parametros_manuales!$B$7)</f>
        <v>4.113223864038</v>
      </c>
      <c r="Q6" s="13" t="str">
        <f aca="false">IF(O6=0,"-",INDEX($B$1:$M$1,MATCH(O6,B6:M6,0)))</f>
        <v>Ene</v>
      </c>
    </row>
    <row r="7" customFormat="false" ht="14.25" hidden="false" customHeight="true" outlineLevel="0" collapsed="false">
      <c r="A7" s="13" t="str">
        <f aca="false">parametros_manuales!$B$24</f>
        <v>Numerado de cúpula</v>
      </c>
      <c r="B7" s="14" t="n">
        <f aca="false">(parametros_manuales!$D$24*(datos_base!$B$2+IF(parametros_manuales!$H$24="Todos",datos_base!$B$9,0))*parametros_manuales!$B$97+parametros_manuales!$E$24*(datos_base!$B$3+IF(parametros_manuales!$H$24="Todos",datos_base!$B$10,0))*parametros_manuales!$B$102+parametros_manuales!$F$24*(datos_base!$B$4+IF(parametros_manuales!$H$24="Todos",datos_base!$B$11,0))*parametros_manuales!$B$107+parametros_manuales!$G$24*(datos_base!$B$5+IF(parametros_manuales!$H$24="Todos",datos_base!$B$12,0))*parametros_manuales!$B$112)*parametros_manuales!$I$24*parametros_manuales!$J$24</f>
        <v>616.9835796057</v>
      </c>
      <c r="C7" s="14" t="n">
        <f aca="false">(parametros_manuales!$D$24*(datos_base!$B$2+IF(parametros_manuales!$H$24="Todos",datos_base!$B$9,0))*parametros_manuales!$C$97+parametros_manuales!$E$24*(datos_base!$B$3+IF(parametros_manuales!$H$24="Todos",datos_base!$B$10,0))*parametros_manuales!$C$102+parametros_manuales!$F$24*(datos_base!$B$4+IF(parametros_manuales!$H$24="Todos",datos_base!$B$11,0))*parametros_manuales!$C$107+parametros_manuales!$G$24*(datos_base!$B$5+IF(parametros_manuales!$H$24="Todos",datos_base!$B$12,0))*parametros_manuales!$C$112)*parametros_manuales!$I$24*parametros_manuales!$J$24</f>
        <v>590.2172139684</v>
      </c>
      <c r="D7" s="14" t="n">
        <f aca="false">(parametros_manuales!$D$24*(datos_base!$B$2+IF(parametros_manuales!$H$24="Todos",datos_base!$B$9,0))*parametros_manuales!$D$97+parametros_manuales!$E$24*(datos_base!$B$3+IF(parametros_manuales!$H$24="Todos",datos_base!$B$10,0))*parametros_manuales!$D$102+parametros_manuales!$F$24*(datos_base!$B$4+IF(parametros_manuales!$H$24="Todos",datos_base!$B$11,0))*parametros_manuales!$D$107+parametros_manuales!$G$24*(datos_base!$B$5+IF(parametros_manuales!$H$24="Todos",datos_base!$B$12,0))*parametros_manuales!$D$112)*parametros_manuales!$I$24*parametros_manuales!$J$24</f>
        <v>561.81303135705</v>
      </c>
      <c r="E7" s="14" t="n">
        <f aca="false">(parametros_manuales!$D$24*(datos_base!$B$2+IF(parametros_manuales!$H$24="Todos",datos_base!$B$9,0))*parametros_manuales!$E$97+parametros_manuales!$E$24*(datos_base!$B$3+IF(parametros_manuales!$H$24="Todos",datos_base!$B$10,0))*parametros_manuales!$E$102+parametros_manuales!$F$24*(datos_base!$B$4+IF(parametros_manuales!$H$24="Todos",datos_base!$B$11,0))*parametros_manuales!$E$107+parametros_manuales!$G$24*(datos_base!$B$5+IF(parametros_manuales!$H$24="Todos",datos_base!$B$12,0))*parametros_manuales!$E$112)*parametros_manuales!$I$24*parametros_manuales!$J$24</f>
        <v>540.91934864205</v>
      </c>
      <c r="F7" s="14" t="n">
        <f aca="false">(parametros_manuales!$D$24*(datos_base!$B$2+IF(parametros_manuales!$H$24="Todos",datos_base!$B$9,0))*parametros_manuales!$F$97+parametros_manuales!$E$24*(datos_base!$B$3+IF(parametros_manuales!$H$24="Todos",datos_base!$B$10,0))*parametros_manuales!$F$102+parametros_manuales!$F$24*(datos_base!$B$4+IF(parametros_manuales!$H$24="Todos",datos_base!$B$11,0))*parametros_manuales!$F$107+parametros_manuales!$G$24*(datos_base!$B$5+IF(parametros_manuales!$H$24="Todos",datos_base!$B$12,0))*parametros_manuales!$F$112)*parametros_manuales!$I$24*parametros_manuales!$J$24</f>
        <v>506.6424831084</v>
      </c>
      <c r="G7" s="14" t="n">
        <f aca="false">(parametros_manuales!$D$24*(datos_base!$B$2+IF(parametros_manuales!$H$24="Todos",datos_base!$B$9,0))*parametros_manuales!$G$97+parametros_manuales!$E$24*(datos_base!$B$3+IF(parametros_manuales!$H$24="Todos",datos_base!$B$10,0))*parametros_manuales!$G$102+parametros_manuales!$F$24*(datos_base!$B$4+IF(parametros_manuales!$H$24="Todos",datos_base!$B$11,0))*parametros_manuales!$G$107+parametros_manuales!$G$24*(datos_base!$B$5+IF(parametros_manuales!$H$24="Todos",datos_base!$B$12,0))*parametros_manuales!$G$112)*parametros_manuales!$I$24*parametros_manuales!$J$24</f>
        <v>493.25930028975</v>
      </c>
      <c r="H7" s="14" t="n">
        <f aca="false">(parametros_manuales!$D$24*(datos_base!$B$2+IF(parametros_manuales!$H$24="Todos",datos_base!$B$9,0))*parametros_manuales!$H$97+parametros_manuales!$E$24*(datos_base!$B$3+IF(parametros_manuales!$H$24="Todos",datos_base!$B$10,0))*parametros_manuales!$H$102+parametros_manuales!$F$24*(datos_base!$B$4+IF(parametros_manuales!$H$24="Todos",datos_base!$B$11,0))*parametros_manuales!$H$107+parametros_manuales!$G$24*(datos_base!$B$5+IF(parametros_manuales!$H$24="Todos",datos_base!$B$12,0))*parametros_manuales!$H$112)*parametros_manuales!$I$24*parametros_manuales!$J$24</f>
        <v>527.5361658234</v>
      </c>
      <c r="I7" s="14" t="n">
        <f aca="false">(parametros_manuales!$D$24*(datos_base!$B$2+IF(parametros_manuales!$H$24="Todos",datos_base!$B$9,0))*parametros_manuales!$I$97+parametros_manuales!$E$24*(datos_base!$B$3+IF(parametros_manuales!$H$24="Todos",datos_base!$B$10,0))*parametros_manuales!$I$102+parametros_manuales!$F$24*(datos_base!$B$4+IF(parametros_manuales!$H$24="Todos",datos_base!$B$11,0))*parametros_manuales!$I$107+parametros_manuales!$G$24*(datos_base!$B$5+IF(parametros_manuales!$H$24="Todos",datos_base!$B$12,0))*parametros_manuales!$I$112)*parametros_manuales!$I$24*parametros_manuales!$J$24</f>
        <v>590.2172139684</v>
      </c>
      <c r="J7" s="14" t="n">
        <f aca="false">(parametros_manuales!$D$24*(datos_base!$B$2+IF(parametros_manuales!$H$24="Todos",datos_base!$B$9,0))*parametros_manuales!$J$97+parametros_manuales!$E$24*(datos_base!$B$3+IF(parametros_manuales!$H$24="Todos",datos_base!$B$10,0))*parametros_manuales!$J$102+parametros_manuales!$F$24*(datos_base!$B$4+IF(parametros_manuales!$H$24="Todos",datos_base!$B$11,0))*parametros_manuales!$J$107+parametros_manuales!$G$24*(datos_base!$B$5+IF(parametros_manuales!$H$24="Todos",datos_base!$B$12,0))*parametros_manuales!$J$112)*parametros_manuales!$I$24*parametros_manuales!$J$24</f>
        <v>590.2172139684</v>
      </c>
      <c r="K7" s="14" t="n">
        <f aca="false">(parametros_manuales!$D$24*(datos_base!$B$2+IF(parametros_manuales!$H$24="Todos",datos_base!$B$9,0))*parametros_manuales!$K$97+parametros_manuales!$E$24*(datos_base!$B$3+IF(parametros_manuales!$H$24="Todos",datos_base!$B$10,0))*parametros_manuales!$K$102+parametros_manuales!$F$24*(datos_base!$B$4+IF(parametros_manuales!$H$24="Todos",datos_base!$B$11,0))*parametros_manuales!$K$107+parametros_manuales!$G$24*(datos_base!$B$5+IF(parametros_manuales!$H$24="Todos",datos_base!$B$12,0))*parametros_manuales!$K$112)*parametros_manuales!$I$24*parametros_manuales!$J$24</f>
        <v>603.60039678705</v>
      </c>
      <c r="L7" s="14" t="n">
        <f aca="false">(parametros_manuales!$D$24*(datos_base!$B$2+IF(parametros_manuales!$H$24="Todos",datos_base!$B$9,0))*parametros_manuales!$L$97+parametros_manuales!$E$24*(datos_base!$B$3+IF(parametros_manuales!$H$24="Todos",datos_base!$B$10,0))*parametros_manuales!$L$102+parametros_manuales!$F$24*(datos_base!$B$4+IF(parametros_manuales!$H$24="Todos",datos_base!$B$11,0))*parametros_manuales!$L$107+parametros_manuales!$G$24*(datos_base!$B$5+IF(parametros_manuales!$H$24="Todos",datos_base!$B$12,0))*parametros_manuales!$L$112)*parametros_manuales!$I$24*parametros_manuales!$J$24</f>
        <v>616.9835796057</v>
      </c>
      <c r="M7" s="14" t="n">
        <f aca="false">(parametros_manuales!$D$24*(datos_base!$B$2+IF(parametros_manuales!$H$24="Todos",datos_base!$B$9,0))*parametros_manuales!$M$97+parametros_manuales!$E$24*(datos_base!$B$3+IF(parametros_manuales!$H$24="Todos",datos_base!$B$10,0))*parametros_manuales!$M$102+parametros_manuales!$F$24*(datos_base!$B$4+IF(parametros_manuales!$H$24="Todos",datos_base!$B$11,0))*parametros_manuales!$M$107+parametros_manuales!$G$24*(datos_base!$B$5+IF(parametros_manuales!$H$24="Todos",datos_base!$B$12,0))*parametros_manuales!$M$112)*parametros_manuales!$I$24*parametros_manuales!$J$24</f>
        <v>616.9835796057</v>
      </c>
      <c r="N7" s="14" t="n">
        <f aca="false">SUM(B7:M7)</f>
        <v>6855.37310673</v>
      </c>
      <c r="O7" s="14" t="n">
        <f aca="false">MAX(B7:M7)</f>
        <v>616.9835796057</v>
      </c>
      <c r="P7" s="57" t="n">
        <f aca="false">O7/(parametros_manuales!$B$7)</f>
        <v>4.113223864038</v>
      </c>
      <c r="Q7" s="13" t="str">
        <f aca="false">IF(O7=0,"-",INDEX($B$1:$M$1,MATCH(O7,B7:M7,0)))</f>
        <v>Ene</v>
      </c>
    </row>
    <row r="8" customFormat="false" ht="14.25" hidden="false" customHeight="true" outlineLevel="0" collapsed="false">
      <c r="A8" s="13" t="str">
        <f aca="false">parametros_manuales!$B$25</f>
        <v>Soldadura del cuello a la cúpula</v>
      </c>
      <c r="B8" s="14" t="n">
        <f aca="false">(parametros_manuales!$D$25*(datos_base!$B$2+IF(parametros_manuales!$H$25="Todos",datos_base!$B$9,0))*parametros_manuales!$B$97+parametros_manuales!$E$25*(datos_base!$B$3+IF(parametros_manuales!$H$25="Todos",datos_base!$B$10,0))*parametros_manuales!$B$102+parametros_manuales!$F$25*(datos_base!$B$4+IF(parametros_manuales!$H$25="Todos",datos_base!$B$11,0))*parametros_manuales!$B$107+parametros_manuales!$G$25*(datos_base!$B$5+IF(parametros_manuales!$H$25="Todos",datos_base!$B$12,0))*parametros_manuales!$B$112)*parametros_manuales!$I$25*parametros_manuales!$J$25</f>
        <v>616.9835796057</v>
      </c>
      <c r="C8" s="14" t="n">
        <f aca="false">(parametros_manuales!$D$25*(datos_base!$B$2+IF(parametros_manuales!$H$25="Todos",datos_base!$B$9,0))*parametros_manuales!$C$97+parametros_manuales!$E$25*(datos_base!$B$3+IF(parametros_manuales!$H$25="Todos",datos_base!$B$10,0))*parametros_manuales!$C$102+parametros_manuales!$F$25*(datos_base!$B$4+IF(parametros_manuales!$H$25="Todos",datos_base!$B$11,0))*parametros_manuales!$C$107+parametros_manuales!$G$25*(datos_base!$B$5+IF(parametros_manuales!$H$25="Todos",datos_base!$B$12,0))*parametros_manuales!$C$112)*parametros_manuales!$I$25*parametros_manuales!$J$25</f>
        <v>590.2172139684</v>
      </c>
      <c r="D8" s="14" t="n">
        <f aca="false">(parametros_manuales!$D$25*(datos_base!$B$2+IF(parametros_manuales!$H$25="Todos",datos_base!$B$9,0))*parametros_manuales!$D$97+parametros_manuales!$E$25*(datos_base!$B$3+IF(parametros_manuales!$H$25="Todos",datos_base!$B$10,0))*parametros_manuales!$D$102+parametros_manuales!$F$25*(datos_base!$B$4+IF(parametros_manuales!$H$25="Todos",datos_base!$B$11,0))*parametros_manuales!$D$107+parametros_manuales!$G$25*(datos_base!$B$5+IF(parametros_manuales!$H$25="Todos",datos_base!$B$12,0))*parametros_manuales!$D$112)*parametros_manuales!$I$25*parametros_manuales!$J$25</f>
        <v>561.81303135705</v>
      </c>
      <c r="E8" s="14" t="n">
        <f aca="false">(parametros_manuales!$D$25*(datos_base!$B$2+IF(parametros_manuales!$H$25="Todos",datos_base!$B$9,0))*parametros_manuales!$E$97+parametros_manuales!$E$25*(datos_base!$B$3+IF(parametros_manuales!$H$25="Todos",datos_base!$B$10,0))*parametros_manuales!$E$102+parametros_manuales!$F$25*(datos_base!$B$4+IF(parametros_manuales!$H$25="Todos",datos_base!$B$11,0))*parametros_manuales!$E$107+parametros_manuales!$G$25*(datos_base!$B$5+IF(parametros_manuales!$H$25="Todos",datos_base!$B$12,0))*parametros_manuales!$E$112)*parametros_manuales!$I$25*parametros_manuales!$J$25</f>
        <v>540.91934864205</v>
      </c>
      <c r="F8" s="14" t="n">
        <f aca="false">(parametros_manuales!$D$25*(datos_base!$B$2+IF(parametros_manuales!$H$25="Todos",datos_base!$B$9,0))*parametros_manuales!$F$97+parametros_manuales!$E$25*(datos_base!$B$3+IF(parametros_manuales!$H$25="Todos",datos_base!$B$10,0))*parametros_manuales!$F$102+parametros_manuales!$F$25*(datos_base!$B$4+IF(parametros_manuales!$H$25="Todos",datos_base!$B$11,0))*parametros_manuales!$F$107+parametros_manuales!$G$25*(datos_base!$B$5+IF(parametros_manuales!$H$25="Todos",datos_base!$B$12,0))*parametros_manuales!$F$112)*parametros_manuales!$I$25*parametros_manuales!$J$25</f>
        <v>506.6424831084</v>
      </c>
      <c r="G8" s="14" t="n">
        <f aca="false">(parametros_manuales!$D$25*(datos_base!$B$2+IF(parametros_manuales!$H$25="Todos",datos_base!$B$9,0))*parametros_manuales!$G$97+parametros_manuales!$E$25*(datos_base!$B$3+IF(parametros_manuales!$H$25="Todos",datos_base!$B$10,0))*parametros_manuales!$G$102+parametros_manuales!$F$25*(datos_base!$B$4+IF(parametros_manuales!$H$25="Todos",datos_base!$B$11,0))*parametros_manuales!$G$107+parametros_manuales!$G$25*(datos_base!$B$5+IF(parametros_manuales!$H$25="Todos",datos_base!$B$12,0))*parametros_manuales!$G$112)*parametros_manuales!$I$25*parametros_manuales!$J$25</f>
        <v>493.25930028975</v>
      </c>
      <c r="H8" s="14" t="n">
        <f aca="false">(parametros_manuales!$D$25*(datos_base!$B$2+IF(parametros_manuales!$H$25="Todos",datos_base!$B$9,0))*parametros_manuales!$H$97+parametros_manuales!$E$25*(datos_base!$B$3+IF(parametros_manuales!$H$25="Todos",datos_base!$B$10,0))*parametros_manuales!$H$102+parametros_manuales!$F$25*(datos_base!$B$4+IF(parametros_manuales!$H$25="Todos",datos_base!$B$11,0))*parametros_manuales!$H$107+parametros_manuales!$G$25*(datos_base!$B$5+IF(parametros_manuales!$H$25="Todos",datos_base!$B$12,0))*parametros_manuales!$H$112)*parametros_manuales!$I$25*parametros_manuales!$J$25</f>
        <v>527.5361658234</v>
      </c>
      <c r="I8" s="14" t="n">
        <f aca="false">(parametros_manuales!$D$25*(datos_base!$B$2+IF(parametros_manuales!$H$25="Todos",datos_base!$B$9,0))*parametros_manuales!$I$97+parametros_manuales!$E$25*(datos_base!$B$3+IF(parametros_manuales!$H$25="Todos",datos_base!$B$10,0))*parametros_manuales!$I$102+parametros_manuales!$F$25*(datos_base!$B$4+IF(parametros_manuales!$H$25="Todos",datos_base!$B$11,0))*parametros_manuales!$I$107+parametros_manuales!$G$25*(datos_base!$B$5+IF(parametros_manuales!$H$25="Todos",datos_base!$B$12,0))*parametros_manuales!$I$112)*parametros_manuales!$I$25*parametros_manuales!$J$25</f>
        <v>590.2172139684</v>
      </c>
      <c r="J8" s="14" t="n">
        <f aca="false">(parametros_manuales!$D$25*(datos_base!$B$2+IF(parametros_manuales!$H$25="Todos",datos_base!$B$9,0))*parametros_manuales!$J$97+parametros_manuales!$E$25*(datos_base!$B$3+IF(parametros_manuales!$H$25="Todos",datos_base!$B$10,0))*parametros_manuales!$J$102+parametros_manuales!$F$25*(datos_base!$B$4+IF(parametros_manuales!$H$25="Todos",datos_base!$B$11,0))*parametros_manuales!$J$107+parametros_manuales!$G$25*(datos_base!$B$5+IF(parametros_manuales!$H$25="Todos",datos_base!$B$12,0))*parametros_manuales!$J$112)*parametros_manuales!$I$25*parametros_manuales!$J$25</f>
        <v>590.2172139684</v>
      </c>
      <c r="K8" s="14" t="n">
        <f aca="false">(parametros_manuales!$D$25*(datos_base!$B$2+IF(parametros_manuales!$H$25="Todos",datos_base!$B$9,0))*parametros_manuales!$K$97+parametros_manuales!$E$25*(datos_base!$B$3+IF(parametros_manuales!$H$25="Todos",datos_base!$B$10,0))*parametros_manuales!$K$102+parametros_manuales!$F$25*(datos_base!$B$4+IF(parametros_manuales!$H$25="Todos",datos_base!$B$11,0))*parametros_manuales!$K$107+parametros_manuales!$G$25*(datos_base!$B$5+IF(parametros_manuales!$H$25="Todos",datos_base!$B$12,0))*parametros_manuales!$K$112)*parametros_manuales!$I$25*parametros_manuales!$J$25</f>
        <v>603.60039678705</v>
      </c>
      <c r="L8" s="14" t="n">
        <f aca="false">(parametros_manuales!$D$25*(datos_base!$B$2+IF(parametros_manuales!$H$25="Todos",datos_base!$B$9,0))*parametros_manuales!$L$97+parametros_manuales!$E$25*(datos_base!$B$3+IF(parametros_manuales!$H$25="Todos",datos_base!$B$10,0))*parametros_manuales!$L$102+parametros_manuales!$F$25*(datos_base!$B$4+IF(parametros_manuales!$H$25="Todos",datos_base!$B$11,0))*parametros_manuales!$L$107+parametros_manuales!$G$25*(datos_base!$B$5+IF(parametros_manuales!$H$25="Todos",datos_base!$B$12,0))*parametros_manuales!$L$112)*parametros_manuales!$I$25*parametros_manuales!$J$25</f>
        <v>616.9835796057</v>
      </c>
      <c r="M8" s="14" t="n">
        <f aca="false">(parametros_manuales!$D$25*(datos_base!$B$2+IF(parametros_manuales!$H$25="Todos",datos_base!$B$9,0))*parametros_manuales!$M$97+parametros_manuales!$E$25*(datos_base!$B$3+IF(parametros_manuales!$H$25="Todos",datos_base!$B$10,0))*parametros_manuales!$M$102+parametros_manuales!$F$25*(datos_base!$B$4+IF(parametros_manuales!$H$25="Todos",datos_base!$B$11,0))*parametros_manuales!$M$107+parametros_manuales!$G$25*(datos_base!$B$5+IF(parametros_manuales!$H$25="Todos",datos_base!$B$12,0))*parametros_manuales!$M$112)*parametros_manuales!$I$25*parametros_manuales!$J$25</f>
        <v>616.9835796057</v>
      </c>
      <c r="N8" s="14" t="n">
        <f aca="false">SUM(B8:M8)</f>
        <v>6855.37310673</v>
      </c>
      <c r="O8" s="14" t="n">
        <f aca="false">MAX(B8:M8)</f>
        <v>616.9835796057</v>
      </c>
      <c r="P8" s="57" t="n">
        <f aca="false">O8/(parametros_manuales!$B$7)</f>
        <v>4.113223864038</v>
      </c>
      <c r="Q8" s="13" t="str">
        <f aca="false">IF(O8=0,"-",INDEX($B$1:$M$1,MATCH(O8,B8:M8,0)))</f>
        <v>Ene</v>
      </c>
    </row>
    <row r="9" customFormat="false" ht="14.25" hidden="false" customHeight="true" outlineLevel="0" collapsed="false">
      <c r="A9" s="13" t="str">
        <f aca="false">parametros_manuales!$B$26</f>
        <v>Cilindrado</v>
      </c>
      <c r="B9" s="14" t="n">
        <f aca="false">(parametros_manuales!$D$26*(datos_base!$B$2+IF(parametros_manuales!$H$26="Todos",datos_base!$B$9,0))*parametros_manuales!$B$97+parametros_manuales!$E$26*(datos_base!$B$3+IF(parametros_manuales!$H$26="Todos",datos_base!$B$10,0))*parametros_manuales!$B$102+parametros_manuales!$F$26*(datos_base!$B$4+IF(parametros_manuales!$H$26="Todos",datos_base!$B$11,0))*parametros_manuales!$B$107+parametros_manuales!$G$26*(datos_base!$B$5+IF(parametros_manuales!$H$26="Todos",datos_base!$B$12,0))*parametros_manuales!$B$112)*parametros_manuales!$I$26*parametros_manuales!$J$26</f>
        <v>616.9835796057</v>
      </c>
      <c r="C9" s="14" t="n">
        <f aca="false">(parametros_manuales!$D$26*(datos_base!$B$2+IF(parametros_manuales!$H$26="Todos",datos_base!$B$9,0))*parametros_manuales!$C$97+parametros_manuales!$E$26*(datos_base!$B$3+IF(parametros_manuales!$H$26="Todos",datos_base!$B$10,0))*parametros_manuales!$C$102+parametros_manuales!$F$26*(datos_base!$B$4+IF(parametros_manuales!$H$26="Todos",datos_base!$B$11,0))*parametros_manuales!$C$107+parametros_manuales!$G$26*(datos_base!$B$5+IF(parametros_manuales!$H$26="Todos",datos_base!$B$12,0))*parametros_manuales!$C$112)*parametros_manuales!$I$26*parametros_manuales!$J$26</f>
        <v>590.2172139684</v>
      </c>
      <c r="D9" s="14" t="n">
        <f aca="false">(parametros_manuales!$D$26*(datos_base!$B$2+IF(parametros_manuales!$H$26="Todos",datos_base!$B$9,0))*parametros_manuales!$D$97+parametros_manuales!$E$26*(datos_base!$B$3+IF(parametros_manuales!$H$26="Todos",datos_base!$B$10,0))*parametros_manuales!$D$102+parametros_manuales!$F$26*(datos_base!$B$4+IF(parametros_manuales!$H$26="Todos",datos_base!$B$11,0))*parametros_manuales!$D$107+parametros_manuales!$G$26*(datos_base!$B$5+IF(parametros_manuales!$H$26="Todos",datos_base!$B$12,0))*parametros_manuales!$D$112)*parametros_manuales!$I$26*parametros_manuales!$J$26</f>
        <v>561.81303135705</v>
      </c>
      <c r="E9" s="14" t="n">
        <f aca="false">(parametros_manuales!$D$26*(datos_base!$B$2+IF(parametros_manuales!$H$26="Todos",datos_base!$B$9,0))*parametros_manuales!$E$97+parametros_manuales!$E$26*(datos_base!$B$3+IF(parametros_manuales!$H$26="Todos",datos_base!$B$10,0))*parametros_manuales!$E$102+parametros_manuales!$F$26*(datos_base!$B$4+IF(parametros_manuales!$H$26="Todos",datos_base!$B$11,0))*parametros_manuales!$E$107+parametros_manuales!$G$26*(datos_base!$B$5+IF(parametros_manuales!$H$26="Todos",datos_base!$B$12,0))*parametros_manuales!$E$112)*parametros_manuales!$I$26*parametros_manuales!$J$26</f>
        <v>540.91934864205</v>
      </c>
      <c r="F9" s="14" t="n">
        <f aca="false">(parametros_manuales!$D$26*(datos_base!$B$2+IF(parametros_manuales!$H$26="Todos",datos_base!$B$9,0))*parametros_manuales!$F$97+parametros_manuales!$E$26*(datos_base!$B$3+IF(parametros_manuales!$H$26="Todos",datos_base!$B$10,0))*parametros_manuales!$F$102+parametros_manuales!$F$26*(datos_base!$B$4+IF(parametros_manuales!$H$26="Todos",datos_base!$B$11,0))*parametros_manuales!$F$107+parametros_manuales!$G$26*(datos_base!$B$5+IF(parametros_manuales!$H$26="Todos",datos_base!$B$12,0))*parametros_manuales!$F$112)*parametros_manuales!$I$26*parametros_manuales!$J$26</f>
        <v>506.6424831084</v>
      </c>
      <c r="G9" s="14" t="n">
        <f aca="false">(parametros_manuales!$D$26*(datos_base!$B$2+IF(parametros_manuales!$H$26="Todos",datos_base!$B$9,0))*parametros_manuales!$G$97+parametros_manuales!$E$26*(datos_base!$B$3+IF(parametros_manuales!$H$26="Todos",datos_base!$B$10,0))*parametros_manuales!$G$102+parametros_manuales!$F$26*(datos_base!$B$4+IF(parametros_manuales!$H$26="Todos",datos_base!$B$11,0))*parametros_manuales!$G$107+parametros_manuales!$G$26*(datos_base!$B$5+IF(parametros_manuales!$H$26="Todos",datos_base!$B$12,0))*parametros_manuales!$G$112)*parametros_manuales!$I$26*parametros_manuales!$J$26</f>
        <v>493.25930028975</v>
      </c>
      <c r="H9" s="14" t="n">
        <f aca="false">(parametros_manuales!$D$26*(datos_base!$B$2+IF(parametros_manuales!$H$26="Todos",datos_base!$B$9,0))*parametros_manuales!$H$97+parametros_manuales!$E$26*(datos_base!$B$3+IF(parametros_manuales!$H$26="Todos",datos_base!$B$10,0))*parametros_manuales!$H$102+parametros_manuales!$F$26*(datos_base!$B$4+IF(parametros_manuales!$H$26="Todos",datos_base!$B$11,0))*parametros_manuales!$H$107+parametros_manuales!$G$26*(datos_base!$B$5+IF(parametros_manuales!$H$26="Todos",datos_base!$B$12,0))*parametros_manuales!$H$112)*parametros_manuales!$I$26*parametros_manuales!$J$26</f>
        <v>527.5361658234</v>
      </c>
      <c r="I9" s="14" t="n">
        <f aca="false">(parametros_manuales!$D$26*(datos_base!$B$2+IF(parametros_manuales!$H$26="Todos",datos_base!$B$9,0))*parametros_manuales!$I$97+parametros_manuales!$E$26*(datos_base!$B$3+IF(parametros_manuales!$H$26="Todos",datos_base!$B$10,0))*parametros_manuales!$I$102+parametros_manuales!$F$26*(datos_base!$B$4+IF(parametros_manuales!$H$26="Todos",datos_base!$B$11,0))*parametros_manuales!$I$107+parametros_manuales!$G$26*(datos_base!$B$5+IF(parametros_manuales!$H$26="Todos",datos_base!$B$12,0))*parametros_manuales!$I$112)*parametros_manuales!$I$26*parametros_manuales!$J$26</f>
        <v>590.2172139684</v>
      </c>
      <c r="J9" s="14" t="n">
        <f aca="false">(parametros_manuales!$D$26*(datos_base!$B$2+IF(parametros_manuales!$H$26="Todos",datos_base!$B$9,0))*parametros_manuales!$J$97+parametros_manuales!$E$26*(datos_base!$B$3+IF(parametros_manuales!$H$26="Todos",datos_base!$B$10,0))*parametros_manuales!$J$102+parametros_manuales!$F$26*(datos_base!$B$4+IF(parametros_manuales!$H$26="Todos",datos_base!$B$11,0))*parametros_manuales!$J$107+parametros_manuales!$G$26*(datos_base!$B$5+IF(parametros_manuales!$H$26="Todos",datos_base!$B$12,0))*parametros_manuales!$J$112)*parametros_manuales!$I$26*parametros_manuales!$J$26</f>
        <v>590.2172139684</v>
      </c>
      <c r="K9" s="14" t="n">
        <f aca="false">(parametros_manuales!$D$26*(datos_base!$B$2+IF(parametros_manuales!$H$26="Todos",datos_base!$B$9,0))*parametros_manuales!$K$97+parametros_manuales!$E$26*(datos_base!$B$3+IF(parametros_manuales!$H$26="Todos",datos_base!$B$10,0))*parametros_manuales!$K$102+parametros_manuales!$F$26*(datos_base!$B$4+IF(parametros_manuales!$H$26="Todos",datos_base!$B$11,0))*parametros_manuales!$K$107+parametros_manuales!$G$26*(datos_base!$B$5+IF(parametros_manuales!$H$26="Todos",datos_base!$B$12,0))*parametros_manuales!$K$112)*parametros_manuales!$I$26*parametros_manuales!$J$26</f>
        <v>603.60039678705</v>
      </c>
      <c r="L9" s="14" t="n">
        <f aca="false">(parametros_manuales!$D$26*(datos_base!$B$2+IF(parametros_manuales!$H$26="Todos",datos_base!$B$9,0))*parametros_manuales!$L$97+parametros_manuales!$E$26*(datos_base!$B$3+IF(parametros_manuales!$H$26="Todos",datos_base!$B$10,0))*parametros_manuales!$L$102+parametros_manuales!$F$26*(datos_base!$B$4+IF(parametros_manuales!$H$26="Todos",datos_base!$B$11,0))*parametros_manuales!$L$107+parametros_manuales!$G$26*(datos_base!$B$5+IF(parametros_manuales!$H$26="Todos",datos_base!$B$12,0))*parametros_manuales!$L$112)*parametros_manuales!$I$26*parametros_manuales!$J$26</f>
        <v>616.9835796057</v>
      </c>
      <c r="M9" s="14" t="n">
        <f aca="false">(parametros_manuales!$D$26*(datos_base!$B$2+IF(parametros_manuales!$H$26="Todos",datos_base!$B$9,0))*parametros_manuales!$M$97+parametros_manuales!$E$26*(datos_base!$B$3+IF(parametros_manuales!$H$26="Todos",datos_base!$B$10,0))*parametros_manuales!$M$102+parametros_manuales!$F$26*(datos_base!$B$4+IF(parametros_manuales!$H$26="Todos",datos_base!$B$11,0))*parametros_manuales!$M$107+parametros_manuales!$G$26*(datos_base!$B$5+IF(parametros_manuales!$H$26="Todos",datos_base!$B$12,0))*parametros_manuales!$M$112)*parametros_manuales!$I$26*parametros_manuales!$J$26</f>
        <v>616.9835796057</v>
      </c>
      <c r="N9" s="14" t="n">
        <f aca="false">SUM(B9:M9)</f>
        <v>6855.37310673</v>
      </c>
      <c r="O9" s="14" t="n">
        <f aca="false">MAX(B9:M9)</f>
        <v>616.9835796057</v>
      </c>
      <c r="P9" s="57" t="n">
        <f aca="false">O9/(parametros_manuales!$B$7)</f>
        <v>4.113223864038</v>
      </c>
      <c r="Q9" s="13" t="str">
        <f aca="false">IF(O9=0,"-",INDEX($B$1:$M$1,MATCH(O9,B9:M9,0)))</f>
        <v>Ene</v>
      </c>
    </row>
    <row r="10" customFormat="false" ht="14.25" hidden="false" customHeight="true" outlineLevel="0" collapsed="false">
      <c r="A10" s="13" t="str">
        <f aca="false">parametros_manuales!$B$27</f>
        <v>Soldadura longitudinal — 2,5 a 10 kg</v>
      </c>
      <c r="B10" s="14" t="n">
        <f aca="false">(parametros_manuales!$D$27*(datos_base!$B$2+IF(parametros_manuales!$H$27="Todos",datos_base!$B$9,0))*parametros_manuales!$B$97+parametros_manuales!$E$27*(datos_base!$B$3+IF(parametros_manuales!$H$27="Todos",datos_base!$B$10,0))*parametros_manuales!$B$102+parametros_manuales!$F$27*(datos_base!$B$4+IF(parametros_manuales!$H$27="Todos",datos_base!$B$11,0))*parametros_manuales!$B$107+parametros_manuales!$G$27*(datos_base!$B$5+IF(parametros_manuales!$H$27="Todos",datos_base!$B$12,0))*parametros_manuales!$B$112)*parametros_manuales!$I$27*parametros_manuales!$J$27</f>
        <v>240.8972907357</v>
      </c>
      <c r="C10" s="14" t="n">
        <f aca="false">(parametros_manuales!$D$27*(datos_base!$B$2+IF(parametros_manuales!$H$27="Todos",datos_base!$B$9,0))*parametros_manuales!$C$97+parametros_manuales!$E$27*(datos_base!$B$3+IF(parametros_manuales!$H$27="Todos",datos_base!$B$10,0))*parametros_manuales!$C$102+parametros_manuales!$F$27*(datos_base!$B$4+IF(parametros_manuales!$H$27="Todos",datos_base!$B$11,0))*parametros_manuales!$C$107+parametros_manuales!$G$27*(datos_base!$B$5+IF(parametros_manuales!$H$27="Todos",datos_base!$B$12,0))*parametros_manuales!$C$112)*parametros_manuales!$I$27*parametros_manuales!$J$27</f>
        <v>214.1309250984</v>
      </c>
      <c r="D10" s="14" t="n">
        <f aca="false">(parametros_manuales!$D$27*(datos_base!$B$2+IF(parametros_manuales!$H$27="Todos",datos_base!$B$9,0))*parametros_manuales!$D$97+parametros_manuales!$E$27*(datos_base!$B$3+IF(parametros_manuales!$H$27="Todos",datos_base!$B$10,0))*parametros_manuales!$D$102+parametros_manuales!$F$27*(datos_base!$B$4+IF(parametros_manuales!$H$27="Todos",datos_base!$B$11,0))*parametros_manuales!$D$107+parametros_manuales!$G$27*(datos_base!$B$5+IF(parametros_manuales!$H$27="Todos",datos_base!$B$12,0))*parametros_manuales!$D$112)*parametros_manuales!$I$27*parametros_manuales!$J$27</f>
        <v>227.51410791705</v>
      </c>
      <c r="E10" s="14" t="n">
        <f aca="false">(parametros_manuales!$D$27*(datos_base!$B$2+IF(parametros_manuales!$H$27="Todos",datos_base!$B$9,0))*parametros_manuales!$E$97+parametros_manuales!$E$27*(datos_base!$B$3+IF(parametros_manuales!$H$27="Todos",datos_base!$B$10,0))*parametros_manuales!$E$102+parametros_manuales!$F$27*(datos_base!$B$4+IF(parametros_manuales!$H$27="Todos",datos_base!$B$11,0))*parametros_manuales!$E$107+parametros_manuales!$G$27*(datos_base!$B$5+IF(parametros_manuales!$H$27="Todos",datos_base!$B$12,0))*parametros_manuales!$E$112)*parametros_manuales!$I$27*parametros_manuales!$J$27</f>
        <v>227.51410791705</v>
      </c>
      <c r="F10" s="14" t="n">
        <f aca="false">(parametros_manuales!$D$27*(datos_base!$B$2+IF(parametros_manuales!$H$27="Todos",datos_base!$B$9,0))*parametros_manuales!$F$97+parametros_manuales!$E$27*(datos_base!$B$3+IF(parametros_manuales!$H$27="Todos",datos_base!$B$10,0))*parametros_manuales!$F$102+parametros_manuales!$F$27*(datos_base!$B$4+IF(parametros_manuales!$H$27="Todos",datos_base!$B$11,0))*parametros_manuales!$F$107+parametros_manuales!$G$27*(datos_base!$B$5+IF(parametros_manuales!$H$27="Todos",datos_base!$B$12,0))*parametros_manuales!$F$112)*parametros_manuales!$I$27*parametros_manuales!$J$27</f>
        <v>214.1309250984</v>
      </c>
      <c r="G10" s="14" t="n">
        <f aca="false">(parametros_manuales!$D$27*(datos_base!$B$2+IF(parametros_manuales!$H$27="Todos",datos_base!$B$9,0))*parametros_manuales!$G$97+parametros_manuales!$E$27*(datos_base!$B$3+IF(parametros_manuales!$H$27="Todos",datos_base!$B$10,0))*parametros_manuales!$G$102+parametros_manuales!$F$27*(datos_base!$B$4+IF(parametros_manuales!$H$27="Todos",datos_base!$B$11,0))*parametros_manuales!$G$107+parametros_manuales!$G$27*(datos_base!$B$5+IF(parametros_manuales!$H$27="Todos",datos_base!$B$12,0))*parametros_manuales!$G$112)*parametros_manuales!$I$27*parametros_manuales!$J$27</f>
        <v>200.74774227975</v>
      </c>
      <c r="H10" s="14" t="n">
        <f aca="false">(parametros_manuales!$D$27*(datos_base!$B$2+IF(parametros_manuales!$H$27="Todos",datos_base!$B$9,0))*parametros_manuales!$H$97+parametros_manuales!$E$27*(datos_base!$B$3+IF(parametros_manuales!$H$27="Todos",datos_base!$B$10,0))*parametros_manuales!$H$102+parametros_manuales!$F$27*(datos_base!$B$4+IF(parametros_manuales!$H$27="Todos",datos_base!$B$11,0))*parametros_manuales!$H$107+parametros_manuales!$G$27*(datos_base!$B$5+IF(parametros_manuales!$H$27="Todos",datos_base!$B$12,0))*parametros_manuales!$H$112)*parametros_manuales!$I$27*parametros_manuales!$J$27</f>
        <v>214.1309250984</v>
      </c>
      <c r="I10" s="14" t="n">
        <f aca="false">(parametros_manuales!$D$27*(datos_base!$B$2+IF(parametros_manuales!$H$27="Todos",datos_base!$B$9,0))*parametros_manuales!$I$97+parametros_manuales!$E$27*(datos_base!$B$3+IF(parametros_manuales!$H$27="Todos",datos_base!$B$10,0))*parametros_manuales!$I$102+parametros_manuales!$F$27*(datos_base!$B$4+IF(parametros_manuales!$H$27="Todos",datos_base!$B$11,0))*parametros_manuales!$I$107+parametros_manuales!$G$27*(datos_base!$B$5+IF(parametros_manuales!$H$27="Todos",datos_base!$B$12,0))*parametros_manuales!$I$112)*parametros_manuales!$I$27*parametros_manuales!$J$27</f>
        <v>214.1309250984</v>
      </c>
      <c r="J10" s="14" t="n">
        <f aca="false">(parametros_manuales!$D$27*(datos_base!$B$2+IF(parametros_manuales!$H$27="Todos",datos_base!$B$9,0))*parametros_manuales!$J$97+parametros_manuales!$E$27*(datos_base!$B$3+IF(parametros_manuales!$H$27="Todos",datos_base!$B$10,0))*parametros_manuales!$J$102+parametros_manuales!$F$27*(datos_base!$B$4+IF(parametros_manuales!$H$27="Todos",datos_base!$B$11,0))*parametros_manuales!$J$107+parametros_manuales!$G$27*(datos_base!$B$5+IF(parametros_manuales!$H$27="Todos",datos_base!$B$12,0))*parametros_manuales!$J$112)*parametros_manuales!$I$27*parametros_manuales!$J$27</f>
        <v>214.1309250984</v>
      </c>
      <c r="K10" s="14" t="n">
        <f aca="false">(parametros_manuales!$D$27*(datos_base!$B$2+IF(parametros_manuales!$H$27="Todos",datos_base!$B$9,0))*parametros_manuales!$K$97+parametros_manuales!$E$27*(datos_base!$B$3+IF(parametros_manuales!$H$27="Todos",datos_base!$B$10,0))*parametros_manuales!$K$102+parametros_manuales!$F$27*(datos_base!$B$4+IF(parametros_manuales!$H$27="Todos",datos_base!$B$11,0))*parametros_manuales!$K$107+parametros_manuales!$G$27*(datos_base!$B$5+IF(parametros_manuales!$H$27="Todos",datos_base!$B$12,0))*parametros_manuales!$K$112)*parametros_manuales!$I$27*parametros_manuales!$J$27</f>
        <v>227.51410791705</v>
      </c>
      <c r="L10" s="14" t="n">
        <f aca="false">(parametros_manuales!$D$27*(datos_base!$B$2+IF(parametros_manuales!$H$27="Todos",datos_base!$B$9,0))*parametros_manuales!$L$97+parametros_manuales!$E$27*(datos_base!$B$3+IF(parametros_manuales!$H$27="Todos",datos_base!$B$10,0))*parametros_manuales!$L$102+parametros_manuales!$F$27*(datos_base!$B$4+IF(parametros_manuales!$H$27="Todos",datos_base!$B$11,0))*parametros_manuales!$L$107+parametros_manuales!$G$27*(datos_base!$B$5+IF(parametros_manuales!$H$27="Todos",datos_base!$B$12,0))*parametros_manuales!$L$112)*parametros_manuales!$I$27*parametros_manuales!$J$27</f>
        <v>240.8972907357</v>
      </c>
      <c r="M10" s="14" t="n">
        <f aca="false">(parametros_manuales!$D$27*(datos_base!$B$2+IF(parametros_manuales!$H$27="Todos",datos_base!$B$9,0))*parametros_manuales!$M$97+parametros_manuales!$E$27*(datos_base!$B$3+IF(parametros_manuales!$H$27="Todos",datos_base!$B$10,0))*parametros_manuales!$M$102+parametros_manuales!$F$27*(datos_base!$B$4+IF(parametros_manuales!$H$27="Todos",datos_base!$B$11,0))*parametros_manuales!$M$107+parametros_manuales!$G$27*(datos_base!$B$5+IF(parametros_manuales!$H$27="Todos",datos_base!$B$12,0))*parametros_manuales!$M$112)*parametros_manuales!$I$27*parametros_manuales!$J$27</f>
        <v>240.8972907357</v>
      </c>
      <c r="N10" s="14" t="n">
        <f aca="false">SUM(B10:M10)</f>
        <v>2676.63656373</v>
      </c>
      <c r="O10" s="14" t="n">
        <f aca="false">MAX(B10:M10)</f>
        <v>240.8972907357</v>
      </c>
      <c r="P10" s="57" t="n">
        <f aca="false">O10/(parametros_manuales!$B$7)</f>
        <v>1.605981938238</v>
      </c>
      <c r="Q10" s="13" t="str">
        <f aca="false">IF(O10=0,"-",INDEX($B$1:$M$1,MATCH(O10,B10:M10,0)))</f>
        <v>Ene</v>
      </c>
    </row>
    <row r="11" customFormat="false" ht="14.25" hidden="false" customHeight="true" outlineLevel="0" collapsed="false">
      <c r="A11" s="13" t="str">
        <f aca="false">parametros_manuales!$B$28</f>
        <v>Soldadura longitudinal TIG — 1 kg</v>
      </c>
      <c r="B11" s="14" t="n">
        <f aca="false">(parametros_manuales!$D$28*(datos_base!$B$2+IF(parametros_manuales!$H$28="Todos",datos_base!$B$9,0))*parametros_manuales!$B$97+parametros_manuales!$E$28*(datos_base!$B$3+IF(parametros_manuales!$H$28="Todos",datos_base!$B$10,0))*parametros_manuales!$B$102+parametros_manuales!$F$28*(datos_base!$B$4+IF(parametros_manuales!$H$28="Todos",datos_base!$B$11,0))*parametros_manuales!$B$107+parametros_manuales!$G$28*(datos_base!$B$5+IF(parametros_manuales!$H$28="Todos",datos_base!$B$12,0))*parametros_manuales!$B$112)*parametros_manuales!$I$28*parametros_manuales!$J$28</f>
        <v>376.08628887</v>
      </c>
      <c r="C11" s="14" t="n">
        <f aca="false">(parametros_manuales!$D$28*(datos_base!$B$2+IF(parametros_manuales!$H$28="Todos",datos_base!$B$9,0))*parametros_manuales!$C$97+parametros_manuales!$E$28*(datos_base!$B$3+IF(parametros_manuales!$H$28="Todos",datos_base!$B$10,0))*parametros_manuales!$C$102+parametros_manuales!$F$28*(datos_base!$B$4+IF(parametros_manuales!$H$28="Todos",datos_base!$B$11,0))*parametros_manuales!$C$107+parametros_manuales!$G$28*(datos_base!$B$5+IF(parametros_manuales!$H$28="Todos",datos_base!$B$12,0))*parametros_manuales!$C$112)*parametros_manuales!$I$28*parametros_manuales!$J$28</f>
        <v>376.08628887</v>
      </c>
      <c r="D11" s="14" t="n">
        <f aca="false">(parametros_manuales!$D$28*(datos_base!$B$2+IF(parametros_manuales!$H$28="Todos",datos_base!$B$9,0))*parametros_manuales!$D$97+parametros_manuales!$E$28*(datos_base!$B$3+IF(parametros_manuales!$H$28="Todos",datos_base!$B$10,0))*parametros_manuales!$D$102+parametros_manuales!$F$28*(datos_base!$B$4+IF(parametros_manuales!$H$28="Todos",datos_base!$B$11,0))*parametros_manuales!$D$107+parametros_manuales!$G$28*(datos_base!$B$5+IF(parametros_manuales!$H$28="Todos",datos_base!$B$12,0))*parametros_manuales!$D$112)*parametros_manuales!$I$28*parametros_manuales!$J$28</f>
        <v>334.29892344</v>
      </c>
      <c r="E11" s="14" t="n">
        <f aca="false">(parametros_manuales!$D$28*(datos_base!$B$2+IF(parametros_manuales!$H$28="Todos",datos_base!$B$9,0))*parametros_manuales!$E$97+parametros_manuales!$E$28*(datos_base!$B$3+IF(parametros_manuales!$H$28="Todos",datos_base!$B$10,0))*parametros_manuales!$E$102+parametros_manuales!$F$28*(datos_base!$B$4+IF(parametros_manuales!$H$28="Todos",datos_base!$B$11,0))*parametros_manuales!$E$107+parametros_manuales!$G$28*(datos_base!$B$5+IF(parametros_manuales!$H$28="Todos",datos_base!$B$12,0))*parametros_manuales!$E$112)*parametros_manuales!$I$28*parametros_manuales!$J$28</f>
        <v>313.405240725</v>
      </c>
      <c r="F11" s="14" t="n">
        <f aca="false">(parametros_manuales!$D$28*(datos_base!$B$2+IF(parametros_manuales!$H$28="Todos",datos_base!$B$9,0))*parametros_manuales!$F$97+parametros_manuales!$E$28*(datos_base!$B$3+IF(parametros_manuales!$H$28="Todos",datos_base!$B$10,0))*parametros_manuales!$F$102+parametros_manuales!$F$28*(datos_base!$B$4+IF(parametros_manuales!$H$28="Todos",datos_base!$B$11,0))*parametros_manuales!$F$107+parametros_manuales!$G$28*(datos_base!$B$5+IF(parametros_manuales!$H$28="Todos",datos_base!$B$12,0))*parametros_manuales!$F$112)*parametros_manuales!$I$28*parametros_manuales!$J$28</f>
        <v>292.51155801</v>
      </c>
      <c r="G11" s="14" t="n">
        <f aca="false">(parametros_manuales!$D$28*(datos_base!$B$2+IF(parametros_manuales!$H$28="Todos",datos_base!$B$9,0))*parametros_manuales!$G$97+parametros_manuales!$E$28*(datos_base!$B$3+IF(parametros_manuales!$H$28="Todos",datos_base!$B$10,0))*parametros_manuales!$G$102+parametros_manuales!$F$28*(datos_base!$B$4+IF(parametros_manuales!$H$28="Todos",datos_base!$B$11,0))*parametros_manuales!$G$107+parametros_manuales!$G$28*(datos_base!$B$5+IF(parametros_manuales!$H$28="Todos",datos_base!$B$12,0))*parametros_manuales!$G$112)*parametros_manuales!$I$28*parametros_manuales!$J$28</f>
        <v>292.51155801</v>
      </c>
      <c r="H11" s="14" t="n">
        <f aca="false">(parametros_manuales!$D$28*(datos_base!$B$2+IF(parametros_manuales!$H$28="Todos",datos_base!$B$9,0))*parametros_manuales!$H$97+parametros_manuales!$E$28*(datos_base!$B$3+IF(parametros_manuales!$H$28="Todos",datos_base!$B$10,0))*parametros_manuales!$H$102+parametros_manuales!$F$28*(datos_base!$B$4+IF(parametros_manuales!$H$28="Todos",datos_base!$B$11,0))*parametros_manuales!$H$107+parametros_manuales!$G$28*(datos_base!$B$5+IF(parametros_manuales!$H$28="Todos",datos_base!$B$12,0))*parametros_manuales!$H$112)*parametros_manuales!$I$28*parametros_manuales!$J$28</f>
        <v>313.405240725</v>
      </c>
      <c r="I11" s="14" t="n">
        <f aca="false">(parametros_manuales!$D$28*(datos_base!$B$2+IF(parametros_manuales!$H$28="Todos",datos_base!$B$9,0))*parametros_manuales!$I$97+parametros_manuales!$E$28*(datos_base!$B$3+IF(parametros_manuales!$H$28="Todos",datos_base!$B$10,0))*parametros_manuales!$I$102+parametros_manuales!$F$28*(datos_base!$B$4+IF(parametros_manuales!$H$28="Todos",datos_base!$B$11,0))*parametros_manuales!$I$107+parametros_manuales!$G$28*(datos_base!$B$5+IF(parametros_manuales!$H$28="Todos",datos_base!$B$12,0))*parametros_manuales!$I$112)*parametros_manuales!$I$28*parametros_manuales!$J$28</f>
        <v>376.08628887</v>
      </c>
      <c r="J11" s="14" t="n">
        <f aca="false">(parametros_manuales!$D$28*(datos_base!$B$2+IF(parametros_manuales!$H$28="Todos",datos_base!$B$9,0))*parametros_manuales!$J$97+parametros_manuales!$E$28*(datos_base!$B$3+IF(parametros_manuales!$H$28="Todos",datos_base!$B$10,0))*parametros_manuales!$J$102+parametros_manuales!$F$28*(datos_base!$B$4+IF(parametros_manuales!$H$28="Todos",datos_base!$B$11,0))*parametros_manuales!$J$107+parametros_manuales!$G$28*(datos_base!$B$5+IF(parametros_manuales!$H$28="Todos",datos_base!$B$12,0))*parametros_manuales!$J$112)*parametros_manuales!$I$28*parametros_manuales!$J$28</f>
        <v>376.08628887</v>
      </c>
      <c r="K11" s="14" t="n">
        <f aca="false">(parametros_manuales!$D$28*(datos_base!$B$2+IF(parametros_manuales!$H$28="Todos",datos_base!$B$9,0))*parametros_manuales!$K$97+parametros_manuales!$E$28*(datos_base!$B$3+IF(parametros_manuales!$H$28="Todos",datos_base!$B$10,0))*parametros_manuales!$K$102+parametros_manuales!$F$28*(datos_base!$B$4+IF(parametros_manuales!$H$28="Todos",datos_base!$B$11,0))*parametros_manuales!$K$107+parametros_manuales!$G$28*(datos_base!$B$5+IF(parametros_manuales!$H$28="Todos",datos_base!$B$12,0))*parametros_manuales!$K$112)*parametros_manuales!$I$28*parametros_manuales!$J$28</f>
        <v>376.08628887</v>
      </c>
      <c r="L11" s="14" t="n">
        <f aca="false">(parametros_manuales!$D$28*(datos_base!$B$2+IF(parametros_manuales!$H$28="Todos",datos_base!$B$9,0))*parametros_manuales!$L$97+parametros_manuales!$E$28*(datos_base!$B$3+IF(parametros_manuales!$H$28="Todos",datos_base!$B$10,0))*parametros_manuales!$L$102+parametros_manuales!$F$28*(datos_base!$B$4+IF(parametros_manuales!$H$28="Todos",datos_base!$B$11,0))*parametros_manuales!$L$107+parametros_manuales!$G$28*(datos_base!$B$5+IF(parametros_manuales!$H$28="Todos",datos_base!$B$12,0))*parametros_manuales!$L$112)*parametros_manuales!$I$28*parametros_manuales!$J$28</f>
        <v>376.08628887</v>
      </c>
      <c r="M11" s="14" t="n">
        <f aca="false">(parametros_manuales!$D$28*(datos_base!$B$2+IF(parametros_manuales!$H$28="Todos",datos_base!$B$9,0))*parametros_manuales!$M$97+parametros_manuales!$E$28*(datos_base!$B$3+IF(parametros_manuales!$H$28="Todos",datos_base!$B$10,0))*parametros_manuales!$M$102+parametros_manuales!$F$28*(datos_base!$B$4+IF(parametros_manuales!$H$28="Todos",datos_base!$B$11,0))*parametros_manuales!$M$107+parametros_manuales!$G$28*(datos_base!$B$5+IF(parametros_manuales!$H$28="Todos",datos_base!$B$12,0))*parametros_manuales!$M$112)*parametros_manuales!$I$28*parametros_manuales!$J$28</f>
        <v>376.08628887</v>
      </c>
      <c r="N11" s="14" t="n">
        <f aca="false">SUM(B11:M11)</f>
        <v>4178.736543</v>
      </c>
      <c r="O11" s="14" t="n">
        <f aca="false">MAX(B11:M11)</f>
        <v>376.08628887</v>
      </c>
      <c r="P11" s="57" t="n">
        <f aca="false">O11/(parametros_manuales!$B$7)</f>
        <v>2.5072419258</v>
      </c>
      <c r="Q11" s="13" t="str">
        <f aca="false">IF(O11=0,"-",INDEX($B$1:$M$1,MATCH(O11,B11:M11,0)))</f>
        <v>Ene</v>
      </c>
    </row>
    <row r="12" customFormat="false" ht="14.25" hidden="false" customHeight="true" outlineLevel="0" collapsed="false">
      <c r="A12" s="13" t="str">
        <f aca="false">parametros_manuales!$B$29</f>
        <v>Encastre de fondo</v>
      </c>
      <c r="B12" s="14" t="n">
        <f aca="false">(parametros_manuales!$D$29*(datos_base!$B$2+IF(parametros_manuales!$H$29="Todos",datos_base!$B$9,0))*parametros_manuales!$B$97+parametros_manuales!$E$29*(datos_base!$B$3+IF(parametros_manuales!$H$29="Todos",datos_base!$B$10,0))*parametros_manuales!$B$102+parametros_manuales!$F$29*(datos_base!$B$4+IF(parametros_manuales!$H$29="Todos",datos_base!$B$11,0))*parametros_manuales!$B$107+parametros_manuales!$G$29*(datos_base!$B$5+IF(parametros_manuales!$H$29="Todos",datos_base!$B$12,0))*parametros_manuales!$B$112)*parametros_manuales!$I$29*parametros_manuales!$J$29</f>
        <v>616.9835796057</v>
      </c>
      <c r="C12" s="14" t="n">
        <f aca="false">(parametros_manuales!$D$29*(datos_base!$B$2+IF(parametros_manuales!$H$29="Todos",datos_base!$B$9,0))*parametros_manuales!$C$97+parametros_manuales!$E$29*(datos_base!$B$3+IF(parametros_manuales!$H$29="Todos",datos_base!$B$10,0))*parametros_manuales!$C$102+parametros_manuales!$F$29*(datos_base!$B$4+IF(parametros_manuales!$H$29="Todos",datos_base!$B$11,0))*parametros_manuales!$C$107+parametros_manuales!$G$29*(datos_base!$B$5+IF(parametros_manuales!$H$29="Todos",datos_base!$B$12,0))*parametros_manuales!$C$112)*parametros_manuales!$I$29*parametros_manuales!$J$29</f>
        <v>590.2172139684</v>
      </c>
      <c r="D12" s="14" t="n">
        <f aca="false">(parametros_manuales!$D$29*(datos_base!$B$2+IF(parametros_manuales!$H$29="Todos",datos_base!$B$9,0))*parametros_manuales!$D$97+parametros_manuales!$E$29*(datos_base!$B$3+IF(parametros_manuales!$H$29="Todos",datos_base!$B$10,0))*parametros_manuales!$D$102+parametros_manuales!$F$29*(datos_base!$B$4+IF(parametros_manuales!$H$29="Todos",datos_base!$B$11,0))*parametros_manuales!$D$107+parametros_manuales!$G$29*(datos_base!$B$5+IF(parametros_manuales!$H$29="Todos",datos_base!$B$12,0))*parametros_manuales!$D$112)*parametros_manuales!$I$29*parametros_manuales!$J$29</f>
        <v>561.81303135705</v>
      </c>
      <c r="E12" s="14" t="n">
        <f aca="false">(parametros_manuales!$D$29*(datos_base!$B$2+IF(parametros_manuales!$H$29="Todos",datos_base!$B$9,0))*parametros_manuales!$E$97+parametros_manuales!$E$29*(datos_base!$B$3+IF(parametros_manuales!$H$29="Todos",datos_base!$B$10,0))*parametros_manuales!$E$102+parametros_manuales!$F$29*(datos_base!$B$4+IF(parametros_manuales!$H$29="Todos",datos_base!$B$11,0))*parametros_manuales!$E$107+parametros_manuales!$G$29*(datos_base!$B$5+IF(parametros_manuales!$H$29="Todos",datos_base!$B$12,0))*parametros_manuales!$E$112)*parametros_manuales!$I$29*parametros_manuales!$J$29</f>
        <v>540.91934864205</v>
      </c>
      <c r="F12" s="14" t="n">
        <f aca="false">(parametros_manuales!$D$29*(datos_base!$B$2+IF(parametros_manuales!$H$29="Todos",datos_base!$B$9,0))*parametros_manuales!$F$97+parametros_manuales!$E$29*(datos_base!$B$3+IF(parametros_manuales!$H$29="Todos",datos_base!$B$10,0))*parametros_manuales!$F$102+parametros_manuales!$F$29*(datos_base!$B$4+IF(parametros_manuales!$H$29="Todos",datos_base!$B$11,0))*parametros_manuales!$F$107+parametros_manuales!$G$29*(datos_base!$B$5+IF(parametros_manuales!$H$29="Todos",datos_base!$B$12,0))*parametros_manuales!$F$112)*parametros_manuales!$I$29*parametros_manuales!$J$29</f>
        <v>506.6424831084</v>
      </c>
      <c r="G12" s="14" t="n">
        <f aca="false">(parametros_manuales!$D$29*(datos_base!$B$2+IF(parametros_manuales!$H$29="Todos",datos_base!$B$9,0))*parametros_manuales!$G$97+parametros_manuales!$E$29*(datos_base!$B$3+IF(parametros_manuales!$H$29="Todos",datos_base!$B$10,0))*parametros_manuales!$G$102+parametros_manuales!$F$29*(datos_base!$B$4+IF(parametros_manuales!$H$29="Todos",datos_base!$B$11,0))*parametros_manuales!$G$107+parametros_manuales!$G$29*(datos_base!$B$5+IF(parametros_manuales!$H$29="Todos",datos_base!$B$12,0))*parametros_manuales!$G$112)*parametros_manuales!$I$29*parametros_manuales!$J$29</f>
        <v>493.25930028975</v>
      </c>
      <c r="H12" s="14" t="n">
        <f aca="false">(parametros_manuales!$D$29*(datos_base!$B$2+IF(parametros_manuales!$H$29="Todos",datos_base!$B$9,0))*parametros_manuales!$H$97+parametros_manuales!$E$29*(datos_base!$B$3+IF(parametros_manuales!$H$29="Todos",datos_base!$B$10,0))*parametros_manuales!$H$102+parametros_manuales!$F$29*(datos_base!$B$4+IF(parametros_manuales!$H$29="Todos",datos_base!$B$11,0))*parametros_manuales!$H$107+parametros_manuales!$G$29*(datos_base!$B$5+IF(parametros_manuales!$H$29="Todos",datos_base!$B$12,0))*parametros_manuales!$H$112)*parametros_manuales!$I$29*parametros_manuales!$J$29</f>
        <v>527.5361658234</v>
      </c>
      <c r="I12" s="14" t="n">
        <f aca="false">(parametros_manuales!$D$29*(datos_base!$B$2+IF(parametros_manuales!$H$29="Todos",datos_base!$B$9,0))*parametros_manuales!$I$97+parametros_manuales!$E$29*(datos_base!$B$3+IF(parametros_manuales!$H$29="Todos",datos_base!$B$10,0))*parametros_manuales!$I$102+parametros_manuales!$F$29*(datos_base!$B$4+IF(parametros_manuales!$H$29="Todos",datos_base!$B$11,0))*parametros_manuales!$I$107+parametros_manuales!$G$29*(datos_base!$B$5+IF(parametros_manuales!$H$29="Todos",datos_base!$B$12,0))*parametros_manuales!$I$112)*parametros_manuales!$I$29*parametros_manuales!$J$29</f>
        <v>590.2172139684</v>
      </c>
      <c r="J12" s="14" t="n">
        <f aca="false">(parametros_manuales!$D$29*(datos_base!$B$2+IF(parametros_manuales!$H$29="Todos",datos_base!$B$9,0))*parametros_manuales!$J$97+parametros_manuales!$E$29*(datos_base!$B$3+IF(parametros_manuales!$H$29="Todos",datos_base!$B$10,0))*parametros_manuales!$J$102+parametros_manuales!$F$29*(datos_base!$B$4+IF(parametros_manuales!$H$29="Todos",datos_base!$B$11,0))*parametros_manuales!$J$107+parametros_manuales!$G$29*(datos_base!$B$5+IF(parametros_manuales!$H$29="Todos",datos_base!$B$12,0))*parametros_manuales!$J$112)*parametros_manuales!$I$29*parametros_manuales!$J$29</f>
        <v>590.2172139684</v>
      </c>
      <c r="K12" s="14" t="n">
        <f aca="false">(parametros_manuales!$D$29*(datos_base!$B$2+IF(parametros_manuales!$H$29="Todos",datos_base!$B$9,0))*parametros_manuales!$K$97+parametros_manuales!$E$29*(datos_base!$B$3+IF(parametros_manuales!$H$29="Todos",datos_base!$B$10,0))*parametros_manuales!$K$102+parametros_manuales!$F$29*(datos_base!$B$4+IF(parametros_manuales!$H$29="Todos",datos_base!$B$11,0))*parametros_manuales!$K$107+parametros_manuales!$G$29*(datos_base!$B$5+IF(parametros_manuales!$H$29="Todos",datos_base!$B$12,0))*parametros_manuales!$K$112)*parametros_manuales!$I$29*parametros_manuales!$J$29</f>
        <v>603.60039678705</v>
      </c>
      <c r="L12" s="14" t="n">
        <f aca="false">(parametros_manuales!$D$29*(datos_base!$B$2+IF(parametros_manuales!$H$29="Todos",datos_base!$B$9,0))*parametros_manuales!$L$97+parametros_manuales!$E$29*(datos_base!$B$3+IF(parametros_manuales!$H$29="Todos",datos_base!$B$10,0))*parametros_manuales!$L$102+parametros_manuales!$F$29*(datos_base!$B$4+IF(parametros_manuales!$H$29="Todos",datos_base!$B$11,0))*parametros_manuales!$L$107+parametros_manuales!$G$29*(datos_base!$B$5+IF(parametros_manuales!$H$29="Todos",datos_base!$B$12,0))*parametros_manuales!$L$112)*parametros_manuales!$I$29*parametros_manuales!$J$29</f>
        <v>616.9835796057</v>
      </c>
      <c r="M12" s="14" t="n">
        <f aca="false">(parametros_manuales!$D$29*(datos_base!$B$2+IF(parametros_manuales!$H$29="Todos",datos_base!$B$9,0))*parametros_manuales!$M$97+parametros_manuales!$E$29*(datos_base!$B$3+IF(parametros_manuales!$H$29="Todos",datos_base!$B$10,0))*parametros_manuales!$M$102+parametros_manuales!$F$29*(datos_base!$B$4+IF(parametros_manuales!$H$29="Todos",datos_base!$B$11,0))*parametros_manuales!$M$107+parametros_manuales!$G$29*(datos_base!$B$5+IF(parametros_manuales!$H$29="Todos",datos_base!$B$12,0))*parametros_manuales!$M$112)*parametros_manuales!$I$29*parametros_manuales!$J$29</f>
        <v>616.9835796057</v>
      </c>
      <c r="N12" s="14" t="n">
        <f aca="false">SUM(B12:M12)</f>
        <v>6855.37310673</v>
      </c>
      <c r="O12" s="14" t="n">
        <f aca="false">MAX(B12:M12)</f>
        <v>616.9835796057</v>
      </c>
      <c r="P12" s="57" t="n">
        <f aca="false">O12/(parametros_manuales!$B$7)</f>
        <v>4.113223864038</v>
      </c>
      <c r="Q12" s="13" t="str">
        <f aca="false">IF(O12=0,"-",INDEX($B$1:$M$1,MATCH(O12,B12:M12,0)))</f>
        <v>Ene</v>
      </c>
    </row>
    <row r="13" customFormat="false" ht="14.25" hidden="false" customHeight="true" outlineLevel="0" collapsed="false">
      <c r="A13" s="13" t="str">
        <f aca="false">parametros_manuales!$B$30</f>
        <v>Bordoneado</v>
      </c>
      <c r="B13" s="14" t="n">
        <f aca="false">(parametros_manuales!$D$30*(datos_base!$B$2+IF(parametros_manuales!$H$30="Todos",datos_base!$B$9,0))*parametros_manuales!$B$97+parametros_manuales!$E$30*(datos_base!$B$3+IF(parametros_manuales!$H$30="Todos",datos_base!$B$10,0))*parametros_manuales!$B$102+parametros_manuales!$F$30*(datos_base!$B$4+IF(parametros_manuales!$H$30="Todos",datos_base!$B$11,0))*parametros_manuales!$B$107+parametros_manuales!$G$30*(datos_base!$B$5+IF(parametros_manuales!$H$30="Todos",datos_base!$B$12,0))*parametros_manuales!$B$112)*parametros_manuales!$I$30*parametros_manuales!$J$30</f>
        <v>616.9835796057</v>
      </c>
      <c r="C13" s="14" t="n">
        <f aca="false">(parametros_manuales!$D$30*(datos_base!$B$2+IF(parametros_manuales!$H$30="Todos",datos_base!$B$9,0))*parametros_manuales!$C$97+parametros_manuales!$E$30*(datos_base!$B$3+IF(parametros_manuales!$H$30="Todos",datos_base!$B$10,0))*parametros_manuales!$C$102+parametros_manuales!$F$30*(datos_base!$B$4+IF(parametros_manuales!$H$30="Todos",datos_base!$B$11,0))*parametros_manuales!$C$107+parametros_manuales!$G$30*(datos_base!$B$5+IF(parametros_manuales!$H$30="Todos",datos_base!$B$12,0))*parametros_manuales!$C$112)*parametros_manuales!$I$30*parametros_manuales!$J$30</f>
        <v>590.2172139684</v>
      </c>
      <c r="D13" s="14" t="n">
        <f aca="false">(parametros_manuales!$D$30*(datos_base!$B$2+IF(parametros_manuales!$H$30="Todos",datos_base!$B$9,0))*parametros_manuales!$D$97+parametros_manuales!$E$30*(datos_base!$B$3+IF(parametros_manuales!$H$30="Todos",datos_base!$B$10,0))*parametros_manuales!$D$102+parametros_manuales!$F$30*(datos_base!$B$4+IF(parametros_manuales!$H$30="Todos",datos_base!$B$11,0))*parametros_manuales!$D$107+parametros_manuales!$G$30*(datos_base!$B$5+IF(parametros_manuales!$H$30="Todos",datos_base!$B$12,0))*parametros_manuales!$D$112)*parametros_manuales!$I$30*parametros_manuales!$J$30</f>
        <v>561.81303135705</v>
      </c>
      <c r="E13" s="14" t="n">
        <f aca="false">(parametros_manuales!$D$30*(datos_base!$B$2+IF(parametros_manuales!$H$30="Todos",datos_base!$B$9,0))*parametros_manuales!$E$97+parametros_manuales!$E$30*(datos_base!$B$3+IF(parametros_manuales!$H$30="Todos",datos_base!$B$10,0))*parametros_manuales!$E$102+parametros_manuales!$F$30*(datos_base!$B$4+IF(parametros_manuales!$H$30="Todos",datos_base!$B$11,0))*parametros_manuales!$E$107+parametros_manuales!$G$30*(datos_base!$B$5+IF(parametros_manuales!$H$30="Todos",datos_base!$B$12,0))*parametros_manuales!$E$112)*parametros_manuales!$I$30*parametros_manuales!$J$30</f>
        <v>540.91934864205</v>
      </c>
      <c r="F13" s="14" t="n">
        <f aca="false">(parametros_manuales!$D$30*(datos_base!$B$2+IF(parametros_manuales!$H$30="Todos",datos_base!$B$9,0))*parametros_manuales!$F$97+parametros_manuales!$E$30*(datos_base!$B$3+IF(parametros_manuales!$H$30="Todos",datos_base!$B$10,0))*parametros_manuales!$F$102+parametros_manuales!$F$30*(datos_base!$B$4+IF(parametros_manuales!$H$30="Todos",datos_base!$B$11,0))*parametros_manuales!$F$107+parametros_manuales!$G$30*(datos_base!$B$5+IF(parametros_manuales!$H$30="Todos",datos_base!$B$12,0))*parametros_manuales!$F$112)*parametros_manuales!$I$30*parametros_manuales!$J$30</f>
        <v>506.6424831084</v>
      </c>
      <c r="G13" s="14" t="n">
        <f aca="false">(parametros_manuales!$D$30*(datos_base!$B$2+IF(parametros_manuales!$H$30="Todos",datos_base!$B$9,0))*parametros_manuales!$G$97+parametros_manuales!$E$30*(datos_base!$B$3+IF(parametros_manuales!$H$30="Todos",datos_base!$B$10,0))*parametros_manuales!$G$102+parametros_manuales!$F$30*(datos_base!$B$4+IF(parametros_manuales!$H$30="Todos",datos_base!$B$11,0))*parametros_manuales!$G$107+parametros_manuales!$G$30*(datos_base!$B$5+IF(parametros_manuales!$H$30="Todos",datos_base!$B$12,0))*parametros_manuales!$G$112)*parametros_manuales!$I$30*parametros_manuales!$J$30</f>
        <v>493.25930028975</v>
      </c>
      <c r="H13" s="14" t="n">
        <f aca="false">(parametros_manuales!$D$30*(datos_base!$B$2+IF(parametros_manuales!$H$30="Todos",datos_base!$B$9,0))*parametros_manuales!$H$97+parametros_manuales!$E$30*(datos_base!$B$3+IF(parametros_manuales!$H$30="Todos",datos_base!$B$10,0))*parametros_manuales!$H$102+parametros_manuales!$F$30*(datos_base!$B$4+IF(parametros_manuales!$H$30="Todos",datos_base!$B$11,0))*parametros_manuales!$H$107+parametros_manuales!$G$30*(datos_base!$B$5+IF(parametros_manuales!$H$30="Todos",datos_base!$B$12,0))*parametros_manuales!$H$112)*parametros_manuales!$I$30*parametros_manuales!$J$30</f>
        <v>527.5361658234</v>
      </c>
      <c r="I13" s="14" t="n">
        <f aca="false">(parametros_manuales!$D$30*(datos_base!$B$2+IF(parametros_manuales!$H$30="Todos",datos_base!$B$9,0))*parametros_manuales!$I$97+parametros_manuales!$E$30*(datos_base!$B$3+IF(parametros_manuales!$H$30="Todos",datos_base!$B$10,0))*parametros_manuales!$I$102+parametros_manuales!$F$30*(datos_base!$B$4+IF(parametros_manuales!$H$30="Todos",datos_base!$B$11,0))*parametros_manuales!$I$107+parametros_manuales!$G$30*(datos_base!$B$5+IF(parametros_manuales!$H$30="Todos",datos_base!$B$12,0))*parametros_manuales!$I$112)*parametros_manuales!$I$30*parametros_manuales!$J$30</f>
        <v>590.2172139684</v>
      </c>
      <c r="J13" s="14" t="n">
        <f aca="false">(parametros_manuales!$D$30*(datos_base!$B$2+IF(parametros_manuales!$H$30="Todos",datos_base!$B$9,0))*parametros_manuales!$J$97+parametros_manuales!$E$30*(datos_base!$B$3+IF(parametros_manuales!$H$30="Todos",datos_base!$B$10,0))*parametros_manuales!$J$102+parametros_manuales!$F$30*(datos_base!$B$4+IF(parametros_manuales!$H$30="Todos",datos_base!$B$11,0))*parametros_manuales!$J$107+parametros_manuales!$G$30*(datos_base!$B$5+IF(parametros_manuales!$H$30="Todos",datos_base!$B$12,0))*parametros_manuales!$J$112)*parametros_manuales!$I$30*parametros_manuales!$J$30</f>
        <v>590.2172139684</v>
      </c>
      <c r="K13" s="14" t="n">
        <f aca="false">(parametros_manuales!$D$30*(datos_base!$B$2+IF(parametros_manuales!$H$30="Todos",datos_base!$B$9,0))*parametros_manuales!$K$97+parametros_manuales!$E$30*(datos_base!$B$3+IF(parametros_manuales!$H$30="Todos",datos_base!$B$10,0))*parametros_manuales!$K$102+parametros_manuales!$F$30*(datos_base!$B$4+IF(parametros_manuales!$H$30="Todos",datos_base!$B$11,0))*parametros_manuales!$K$107+parametros_manuales!$G$30*(datos_base!$B$5+IF(parametros_manuales!$H$30="Todos",datos_base!$B$12,0))*parametros_manuales!$K$112)*parametros_manuales!$I$30*parametros_manuales!$J$30</f>
        <v>603.60039678705</v>
      </c>
      <c r="L13" s="14" t="n">
        <f aca="false">(parametros_manuales!$D$30*(datos_base!$B$2+IF(parametros_manuales!$H$30="Todos",datos_base!$B$9,0))*parametros_manuales!$L$97+parametros_manuales!$E$30*(datos_base!$B$3+IF(parametros_manuales!$H$30="Todos",datos_base!$B$10,0))*parametros_manuales!$L$102+parametros_manuales!$F$30*(datos_base!$B$4+IF(parametros_manuales!$H$30="Todos",datos_base!$B$11,0))*parametros_manuales!$L$107+parametros_manuales!$G$30*(datos_base!$B$5+IF(parametros_manuales!$H$30="Todos",datos_base!$B$12,0))*parametros_manuales!$L$112)*parametros_manuales!$I$30*parametros_manuales!$J$30</f>
        <v>616.9835796057</v>
      </c>
      <c r="M13" s="14" t="n">
        <f aca="false">(parametros_manuales!$D$30*(datos_base!$B$2+IF(parametros_manuales!$H$30="Todos",datos_base!$B$9,0))*parametros_manuales!$M$97+parametros_manuales!$E$30*(datos_base!$B$3+IF(parametros_manuales!$H$30="Todos",datos_base!$B$10,0))*parametros_manuales!$M$102+parametros_manuales!$F$30*(datos_base!$B$4+IF(parametros_manuales!$H$30="Todos",datos_base!$B$11,0))*parametros_manuales!$M$107+parametros_manuales!$G$30*(datos_base!$B$5+IF(parametros_manuales!$H$30="Todos",datos_base!$B$12,0))*parametros_manuales!$M$112)*parametros_manuales!$I$30*parametros_manuales!$J$30</f>
        <v>616.9835796057</v>
      </c>
      <c r="N13" s="14" t="n">
        <f aca="false">SUM(B13:M13)</f>
        <v>6855.37310673</v>
      </c>
      <c r="O13" s="14" t="n">
        <f aca="false">MAX(B13:M13)</f>
        <v>616.9835796057</v>
      </c>
      <c r="P13" s="57" t="n">
        <f aca="false">O13/(parametros_manuales!$B$7)</f>
        <v>4.113223864038</v>
      </c>
      <c r="Q13" s="13" t="str">
        <f aca="false">IF(O13=0,"-",INDEX($B$1:$M$1,MATCH(O13,B13:M13,0)))</f>
        <v>Ene</v>
      </c>
    </row>
    <row r="14" customFormat="false" ht="14.25" hidden="false" customHeight="true" outlineLevel="0" collapsed="false">
      <c r="A14" s="13" t="str">
        <f aca="false">parametros_manuales!$B$31</f>
        <v>Soldadura circunferencial de cúpula y fondo</v>
      </c>
      <c r="B14" s="14" t="n">
        <f aca="false">(parametros_manuales!$D$31*(datos_base!$B$2+IF(parametros_manuales!$H$31="Todos",datos_base!$B$9,0))*parametros_manuales!$B$97+parametros_manuales!$E$31*(datos_base!$B$3+IF(parametros_manuales!$H$31="Todos",datos_base!$B$10,0))*parametros_manuales!$B$102+parametros_manuales!$F$31*(datos_base!$B$4+IF(parametros_manuales!$H$31="Todos",datos_base!$B$11,0))*parametros_manuales!$B$107+parametros_manuales!$G$31*(datos_base!$B$5+IF(parametros_manuales!$H$31="Todos",datos_base!$B$12,0))*parametros_manuales!$B$112)*parametros_manuales!$I$31*parametros_manuales!$J$31</f>
        <v>616.9835796057</v>
      </c>
      <c r="C14" s="14" t="n">
        <f aca="false">(parametros_manuales!$D$31*(datos_base!$B$2+IF(parametros_manuales!$H$31="Todos",datos_base!$B$9,0))*parametros_manuales!$C$97+parametros_manuales!$E$31*(datos_base!$B$3+IF(parametros_manuales!$H$31="Todos",datos_base!$B$10,0))*parametros_manuales!$C$102+parametros_manuales!$F$31*(datos_base!$B$4+IF(parametros_manuales!$H$31="Todos",datos_base!$B$11,0))*parametros_manuales!$C$107+parametros_manuales!$G$31*(datos_base!$B$5+IF(parametros_manuales!$H$31="Todos",datos_base!$B$12,0))*parametros_manuales!$C$112)*parametros_manuales!$I$31*parametros_manuales!$J$31</f>
        <v>590.2172139684</v>
      </c>
      <c r="D14" s="14" t="n">
        <f aca="false">(parametros_manuales!$D$31*(datos_base!$B$2+IF(parametros_manuales!$H$31="Todos",datos_base!$B$9,0))*parametros_manuales!$D$97+parametros_manuales!$E$31*(datos_base!$B$3+IF(parametros_manuales!$H$31="Todos",datos_base!$B$10,0))*parametros_manuales!$D$102+parametros_manuales!$F$31*(datos_base!$B$4+IF(parametros_manuales!$H$31="Todos",datos_base!$B$11,0))*parametros_manuales!$D$107+parametros_manuales!$G$31*(datos_base!$B$5+IF(parametros_manuales!$H$31="Todos",datos_base!$B$12,0))*parametros_manuales!$D$112)*parametros_manuales!$I$31*parametros_manuales!$J$31</f>
        <v>561.81303135705</v>
      </c>
      <c r="E14" s="14" t="n">
        <f aca="false">(parametros_manuales!$D$31*(datos_base!$B$2+IF(parametros_manuales!$H$31="Todos",datos_base!$B$9,0))*parametros_manuales!$E$97+parametros_manuales!$E$31*(datos_base!$B$3+IF(parametros_manuales!$H$31="Todos",datos_base!$B$10,0))*parametros_manuales!$E$102+parametros_manuales!$F$31*(datos_base!$B$4+IF(parametros_manuales!$H$31="Todos",datos_base!$B$11,0))*parametros_manuales!$E$107+parametros_manuales!$G$31*(datos_base!$B$5+IF(parametros_manuales!$H$31="Todos",datos_base!$B$12,0))*parametros_manuales!$E$112)*parametros_manuales!$I$31*parametros_manuales!$J$31</f>
        <v>540.91934864205</v>
      </c>
      <c r="F14" s="14" t="n">
        <f aca="false">(parametros_manuales!$D$31*(datos_base!$B$2+IF(parametros_manuales!$H$31="Todos",datos_base!$B$9,0))*parametros_manuales!$F$97+parametros_manuales!$E$31*(datos_base!$B$3+IF(parametros_manuales!$H$31="Todos",datos_base!$B$10,0))*parametros_manuales!$F$102+parametros_manuales!$F$31*(datos_base!$B$4+IF(parametros_manuales!$H$31="Todos",datos_base!$B$11,0))*parametros_manuales!$F$107+parametros_manuales!$G$31*(datos_base!$B$5+IF(parametros_manuales!$H$31="Todos",datos_base!$B$12,0))*parametros_manuales!$F$112)*parametros_manuales!$I$31*parametros_manuales!$J$31</f>
        <v>506.6424831084</v>
      </c>
      <c r="G14" s="14" t="n">
        <f aca="false">(parametros_manuales!$D$31*(datos_base!$B$2+IF(parametros_manuales!$H$31="Todos",datos_base!$B$9,0))*parametros_manuales!$G$97+parametros_manuales!$E$31*(datos_base!$B$3+IF(parametros_manuales!$H$31="Todos",datos_base!$B$10,0))*parametros_manuales!$G$102+parametros_manuales!$F$31*(datos_base!$B$4+IF(parametros_manuales!$H$31="Todos",datos_base!$B$11,0))*parametros_manuales!$G$107+parametros_manuales!$G$31*(datos_base!$B$5+IF(parametros_manuales!$H$31="Todos",datos_base!$B$12,0))*parametros_manuales!$G$112)*parametros_manuales!$I$31*parametros_manuales!$J$31</f>
        <v>493.25930028975</v>
      </c>
      <c r="H14" s="14" t="n">
        <f aca="false">(parametros_manuales!$D$31*(datos_base!$B$2+IF(parametros_manuales!$H$31="Todos",datos_base!$B$9,0))*parametros_manuales!$H$97+parametros_manuales!$E$31*(datos_base!$B$3+IF(parametros_manuales!$H$31="Todos",datos_base!$B$10,0))*parametros_manuales!$H$102+parametros_manuales!$F$31*(datos_base!$B$4+IF(parametros_manuales!$H$31="Todos",datos_base!$B$11,0))*parametros_manuales!$H$107+parametros_manuales!$G$31*(datos_base!$B$5+IF(parametros_manuales!$H$31="Todos",datos_base!$B$12,0))*parametros_manuales!$H$112)*parametros_manuales!$I$31*parametros_manuales!$J$31</f>
        <v>527.5361658234</v>
      </c>
      <c r="I14" s="14" t="n">
        <f aca="false">(parametros_manuales!$D$31*(datos_base!$B$2+IF(parametros_manuales!$H$31="Todos",datos_base!$B$9,0))*parametros_manuales!$I$97+parametros_manuales!$E$31*(datos_base!$B$3+IF(parametros_manuales!$H$31="Todos",datos_base!$B$10,0))*parametros_manuales!$I$102+parametros_manuales!$F$31*(datos_base!$B$4+IF(parametros_manuales!$H$31="Todos",datos_base!$B$11,0))*parametros_manuales!$I$107+parametros_manuales!$G$31*(datos_base!$B$5+IF(parametros_manuales!$H$31="Todos",datos_base!$B$12,0))*parametros_manuales!$I$112)*parametros_manuales!$I$31*parametros_manuales!$J$31</f>
        <v>590.2172139684</v>
      </c>
      <c r="J14" s="14" t="n">
        <f aca="false">(parametros_manuales!$D$31*(datos_base!$B$2+IF(parametros_manuales!$H$31="Todos",datos_base!$B$9,0))*parametros_manuales!$J$97+parametros_manuales!$E$31*(datos_base!$B$3+IF(parametros_manuales!$H$31="Todos",datos_base!$B$10,0))*parametros_manuales!$J$102+parametros_manuales!$F$31*(datos_base!$B$4+IF(parametros_manuales!$H$31="Todos",datos_base!$B$11,0))*parametros_manuales!$J$107+parametros_manuales!$G$31*(datos_base!$B$5+IF(parametros_manuales!$H$31="Todos",datos_base!$B$12,0))*parametros_manuales!$J$112)*parametros_manuales!$I$31*parametros_manuales!$J$31</f>
        <v>590.2172139684</v>
      </c>
      <c r="K14" s="14" t="n">
        <f aca="false">(parametros_manuales!$D$31*(datos_base!$B$2+IF(parametros_manuales!$H$31="Todos",datos_base!$B$9,0))*parametros_manuales!$K$97+parametros_manuales!$E$31*(datos_base!$B$3+IF(parametros_manuales!$H$31="Todos",datos_base!$B$10,0))*parametros_manuales!$K$102+parametros_manuales!$F$31*(datos_base!$B$4+IF(parametros_manuales!$H$31="Todos",datos_base!$B$11,0))*parametros_manuales!$K$107+parametros_manuales!$G$31*(datos_base!$B$5+IF(parametros_manuales!$H$31="Todos",datos_base!$B$12,0))*parametros_manuales!$K$112)*parametros_manuales!$I$31*parametros_manuales!$J$31</f>
        <v>603.60039678705</v>
      </c>
      <c r="L14" s="14" t="n">
        <f aca="false">(parametros_manuales!$D$31*(datos_base!$B$2+IF(parametros_manuales!$H$31="Todos",datos_base!$B$9,0))*parametros_manuales!$L$97+parametros_manuales!$E$31*(datos_base!$B$3+IF(parametros_manuales!$H$31="Todos",datos_base!$B$10,0))*parametros_manuales!$L$102+parametros_manuales!$F$31*(datos_base!$B$4+IF(parametros_manuales!$H$31="Todos",datos_base!$B$11,0))*parametros_manuales!$L$107+parametros_manuales!$G$31*(datos_base!$B$5+IF(parametros_manuales!$H$31="Todos",datos_base!$B$12,0))*parametros_manuales!$L$112)*parametros_manuales!$I$31*parametros_manuales!$J$31</f>
        <v>616.9835796057</v>
      </c>
      <c r="M14" s="14" t="n">
        <f aca="false">(parametros_manuales!$D$31*(datos_base!$B$2+IF(parametros_manuales!$H$31="Todos",datos_base!$B$9,0))*parametros_manuales!$M$97+parametros_manuales!$E$31*(datos_base!$B$3+IF(parametros_manuales!$H$31="Todos",datos_base!$B$10,0))*parametros_manuales!$M$102+parametros_manuales!$F$31*(datos_base!$B$4+IF(parametros_manuales!$H$31="Todos",datos_base!$B$11,0))*parametros_manuales!$M$107+parametros_manuales!$G$31*(datos_base!$B$5+IF(parametros_manuales!$H$31="Todos",datos_base!$B$12,0))*parametros_manuales!$M$112)*parametros_manuales!$I$31*parametros_manuales!$J$31</f>
        <v>616.9835796057</v>
      </c>
      <c r="N14" s="14" t="n">
        <f aca="false">SUM(B14:M14)</f>
        <v>6855.37310673</v>
      </c>
      <c r="O14" s="14" t="n">
        <f aca="false">MAX(B14:M14)</f>
        <v>616.9835796057</v>
      </c>
      <c r="P14" s="57" t="n">
        <f aca="false">O14/(parametros_manuales!$B$7)</f>
        <v>4.113223864038</v>
      </c>
      <c r="Q14" s="13" t="str">
        <f aca="false">IF(O14=0,"-",INDEX($B$1:$M$1,MATCH(O14,B14:M14,0)))</f>
        <v>Ene</v>
      </c>
    </row>
    <row r="15" customFormat="false" ht="14.25" hidden="false" customHeight="true" outlineLevel="0" collapsed="false">
      <c r="A15" s="13" t="str">
        <f aca="false">parametros_manuales!$B$32</f>
        <v>Control de calidad — Espesor</v>
      </c>
      <c r="B15" s="14" t="n">
        <f aca="false">(parametros_manuales!$D$32*(datos_base!$B$2+IF(parametros_manuales!$H$32="Todos",datos_base!$B$9,0))*parametros_manuales!$B$97+parametros_manuales!$E$32*(datos_base!$B$3+IF(parametros_manuales!$H$32="Todos",datos_base!$B$10,0))*parametros_manuales!$B$102+parametros_manuales!$F$32*(datos_base!$B$4+IF(parametros_manuales!$H$32="Todos",datos_base!$B$11,0))*parametros_manuales!$B$107+parametros_manuales!$G$32*(datos_base!$B$5+IF(parametros_manuales!$H$32="Todos",datos_base!$B$12,0))*parametros_manuales!$B$112)*parametros_manuales!$I$32*parametros_manuales!$J$32</f>
        <v>12.339671592114</v>
      </c>
      <c r="C15" s="14" t="n">
        <f aca="false">(parametros_manuales!$D$32*(datos_base!$B$2+IF(parametros_manuales!$H$32="Todos",datos_base!$B$9,0))*parametros_manuales!$C$97+parametros_manuales!$E$32*(datos_base!$B$3+IF(parametros_manuales!$H$32="Todos",datos_base!$B$10,0))*parametros_manuales!$C$102+parametros_manuales!$F$32*(datos_base!$B$4+IF(parametros_manuales!$H$32="Todos",datos_base!$B$11,0))*parametros_manuales!$C$107+parametros_manuales!$G$32*(datos_base!$B$5+IF(parametros_manuales!$H$32="Todos",datos_base!$B$12,0))*parametros_manuales!$C$112)*parametros_manuales!$I$32*parametros_manuales!$J$32</f>
        <v>11.804344279368</v>
      </c>
      <c r="D15" s="14" t="n">
        <f aca="false">(parametros_manuales!$D$32*(datos_base!$B$2+IF(parametros_manuales!$H$32="Todos",datos_base!$B$9,0))*parametros_manuales!$D$97+parametros_manuales!$E$32*(datos_base!$B$3+IF(parametros_manuales!$H$32="Todos",datos_base!$B$10,0))*parametros_manuales!$D$102+parametros_manuales!$F$32*(datos_base!$B$4+IF(parametros_manuales!$H$32="Todos",datos_base!$B$11,0))*parametros_manuales!$D$107+parametros_manuales!$G$32*(datos_base!$B$5+IF(parametros_manuales!$H$32="Todos",datos_base!$B$12,0))*parametros_manuales!$D$112)*parametros_manuales!$I$32*parametros_manuales!$J$32</f>
        <v>11.236260627141</v>
      </c>
      <c r="E15" s="14" t="n">
        <f aca="false">(parametros_manuales!$D$32*(datos_base!$B$2+IF(parametros_manuales!$H$32="Todos",datos_base!$B$9,0))*parametros_manuales!$E$97+parametros_manuales!$E$32*(datos_base!$B$3+IF(parametros_manuales!$H$32="Todos",datos_base!$B$10,0))*parametros_manuales!$E$102+parametros_manuales!$F$32*(datos_base!$B$4+IF(parametros_manuales!$H$32="Todos",datos_base!$B$11,0))*parametros_manuales!$E$107+parametros_manuales!$G$32*(datos_base!$B$5+IF(parametros_manuales!$H$32="Todos",datos_base!$B$12,0))*parametros_manuales!$E$112)*parametros_manuales!$I$32*parametros_manuales!$J$32</f>
        <v>10.818386972841</v>
      </c>
      <c r="F15" s="14" t="n">
        <f aca="false">(parametros_manuales!$D$32*(datos_base!$B$2+IF(parametros_manuales!$H$32="Todos",datos_base!$B$9,0))*parametros_manuales!$F$97+parametros_manuales!$E$32*(datos_base!$B$3+IF(parametros_manuales!$H$32="Todos",datos_base!$B$10,0))*parametros_manuales!$F$102+parametros_manuales!$F$32*(datos_base!$B$4+IF(parametros_manuales!$H$32="Todos",datos_base!$B$11,0))*parametros_manuales!$F$107+parametros_manuales!$G$32*(datos_base!$B$5+IF(parametros_manuales!$H$32="Todos",datos_base!$B$12,0))*parametros_manuales!$F$112)*parametros_manuales!$I$32*parametros_manuales!$J$32</f>
        <v>10.132849662168</v>
      </c>
      <c r="G15" s="14" t="n">
        <f aca="false">(parametros_manuales!$D$32*(datos_base!$B$2+IF(parametros_manuales!$H$32="Todos",datos_base!$B$9,0))*parametros_manuales!$G$97+parametros_manuales!$E$32*(datos_base!$B$3+IF(parametros_manuales!$H$32="Todos",datos_base!$B$10,0))*parametros_manuales!$G$102+parametros_manuales!$F$32*(datos_base!$B$4+IF(parametros_manuales!$H$32="Todos",datos_base!$B$11,0))*parametros_manuales!$G$107+parametros_manuales!$G$32*(datos_base!$B$5+IF(parametros_manuales!$H$32="Todos",datos_base!$B$12,0))*parametros_manuales!$G$112)*parametros_manuales!$I$32*parametros_manuales!$J$32</f>
        <v>9.865186005795</v>
      </c>
      <c r="H15" s="14" t="n">
        <f aca="false">(parametros_manuales!$D$32*(datos_base!$B$2+IF(parametros_manuales!$H$32="Todos",datos_base!$B$9,0))*parametros_manuales!$H$97+parametros_manuales!$E$32*(datos_base!$B$3+IF(parametros_manuales!$H$32="Todos",datos_base!$B$10,0))*parametros_manuales!$H$102+parametros_manuales!$F$32*(datos_base!$B$4+IF(parametros_manuales!$H$32="Todos",datos_base!$B$11,0))*parametros_manuales!$H$107+parametros_manuales!$G$32*(datos_base!$B$5+IF(parametros_manuales!$H$32="Todos",datos_base!$B$12,0))*parametros_manuales!$H$112)*parametros_manuales!$I$32*parametros_manuales!$J$32</f>
        <v>10.550723316468</v>
      </c>
      <c r="I15" s="14" t="n">
        <f aca="false">(parametros_manuales!$D$32*(datos_base!$B$2+IF(parametros_manuales!$H$32="Todos",datos_base!$B$9,0))*parametros_manuales!$I$97+parametros_manuales!$E$32*(datos_base!$B$3+IF(parametros_manuales!$H$32="Todos",datos_base!$B$10,0))*parametros_manuales!$I$102+parametros_manuales!$F$32*(datos_base!$B$4+IF(parametros_manuales!$H$32="Todos",datos_base!$B$11,0))*parametros_manuales!$I$107+parametros_manuales!$G$32*(datos_base!$B$5+IF(parametros_manuales!$H$32="Todos",datos_base!$B$12,0))*parametros_manuales!$I$112)*parametros_manuales!$I$32*parametros_manuales!$J$32</f>
        <v>11.804344279368</v>
      </c>
      <c r="J15" s="14" t="n">
        <f aca="false">(parametros_manuales!$D$32*(datos_base!$B$2+IF(parametros_manuales!$H$32="Todos",datos_base!$B$9,0))*parametros_manuales!$J$97+parametros_manuales!$E$32*(datos_base!$B$3+IF(parametros_manuales!$H$32="Todos",datos_base!$B$10,0))*parametros_manuales!$J$102+parametros_manuales!$F$32*(datos_base!$B$4+IF(parametros_manuales!$H$32="Todos",datos_base!$B$11,0))*parametros_manuales!$J$107+parametros_manuales!$G$32*(datos_base!$B$5+IF(parametros_manuales!$H$32="Todos",datos_base!$B$12,0))*parametros_manuales!$J$112)*parametros_manuales!$I$32*parametros_manuales!$J$32</f>
        <v>11.804344279368</v>
      </c>
      <c r="K15" s="14" t="n">
        <f aca="false">(parametros_manuales!$D$32*(datos_base!$B$2+IF(parametros_manuales!$H$32="Todos",datos_base!$B$9,0))*parametros_manuales!$K$97+parametros_manuales!$E$32*(datos_base!$B$3+IF(parametros_manuales!$H$32="Todos",datos_base!$B$10,0))*parametros_manuales!$K$102+parametros_manuales!$F$32*(datos_base!$B$4+IF(parametros_manuales!$H$32="Todos",datos_base!$B$11,0))*parametros_manuales!$K$107+parametros_manuales!$G$32*(datos_base!$B$5+IF(parametros_manuales!$H$32="Todos",datos_base!$B$12,0))*parametros_manuales!$K$112)*parametros_manuales!$I$32*parametros_manuales!$J$32</f>
        <v>12.072007935741</v>
      </c>
      <c r="L15" s="14" t="n">
        <f aca="false">(parametros_manuales!$D$32*(datos_base!$B$2+IF(parametros_manuales!$H$32="Todos",datos_base!$B$9,0))*parametros_manuales!$L$97+parametros_manuales!$E$32*(datos_base!$B$3+IF(parametros_manuales!$H$32="Todos",datos_base!$B$10,0))*parametros_manuales!$L$102+parametros_manuales!$F$32*(datos_base!$B$4+IF(parametros_manuales!$H$32="Todos",datos_base!$B$11,0))*parametros_manuales!$L$107+parametros_manuales!$G$32*(datos_base!$B$5+IF(parametros_manuales!$H$32="Todos",datos_base!$B$12,0))*parametros_manuales!$L$112)*parametros_manuales!$I$32*parametros_manuales!$J$32</f>
        <v>12.339671592114</v>
      </c>
      <c r="M15" s="14" t="n">
        <f aca="false">(parametros_manuales!$D$32*(datos_base!$B$2+IF(parametros_manuales!$H$32="Todos",datos_base!$B$9,0))*parametros_manuales!$M$97+parametros_manuales!$E$32*(datos_base!$B$3+IF(parametros_manuales!$H$32="Todos",datos_base!$B$10,0))*parametros_manuales!$M$102+parametros_manuales!$F$32*(datos_base!$B$4+IF(parametros_manuales!$H$32="Todos",datos_base!$B$11,0))*parametros_manuales!$M$107+parametros_manuales!$G$32*(datos_base!$B$5+IF(parametros_manuales!$H$32="Todos",datos_base!$B$12,0))*parametros_manuales!$M$112)*parametros_manuales!$I$32*parametros_manuales!$J$32</f>
        <v>12.339671592114</v>
      </c>
      <c r="N15" s="14" t="n">
        <f aca="false">SUM(B15:M15)</f>
        <v>137.1074621346</v>
      </c>
      <c r="O15" s="14" t="n">
        <f aca="false">MAX(B15:M15)</f>
        <v>12.339671592114</v>
      </c>
      <c r="P15" s="57" t="n">
        <f aca="false">O15/(parametros_manuales!$B$7)</f>
        <v>0.08226447728076</v>
      </c>
      <c r="Q15" s="13" t="str">
        <f aca="false">IF(O15=0,"-",INDEX($B$1:$M$1,MATCH(O15,B15:M15,0)))</f>
        <v>Ene</v>
      </c>
    </row>
    <row r="16" customFormat="false" ht="14.25" hidden="false" customHeight="true" outlineLevel="0" collapsed="false">
      <c r="A16" s="13" t="str">
        <f aca="false">parametros_manuales!$B$33</f>
        <v>Prueba hidráulica</v>
      </c>
      <c r="B16" s="14" t="n">
        <f aca="false">(parametros_manuales!$D$33*(datos_base!$B$2+IF(parametros_manuales!$H$33="Todos",datos_base!$B$9,0))*parametros_manuales!$B$97+parametros_manuales!$E$33*(datos_base!$B$3+IF(parametros_manuales!$H$33="Todos",datos_base!$B$10,0))*parametros_manuales!$B$102+parametros_manuales!$F$33*(datos_base!$B$4+IF(parametros_manuales!$H$33="Todos",datos_base!$B$11,0))*parametros_manuales!$B$107+parametros_manuales!$G$33*(datos_base!$B$5+IF(parametros_manuales!$H$33="Todos",datos_base!$B$12,0))*parametros_manuales!$B$112)*parametros_manuales!$I$33*parametros_manuales!$J$33</f>
        <v>616.9835796057</v>
      </c>
      <c r="C16" s="14" t="n">
        <f aca="false">(parametros_manuales!$D$33*(datos_base!$B$2+IF(parametros_manuales!$H$33="Todos",datos_base!$B$9,0))*parametros_manuales!$C$97+parametros_manuales!$E$33*(datos_base!$B$3+IF(parametros_manuales!$H$33="Todos",datos_base!$B$10,0))*parametros_manuales!$C$102+parametros_manuales!$F$33*(datos_base!$B$4+IF(parametros_manuales!$H$33="Todos",datos_base!$B$11,0))*parametros_manuales!$C$107+parametros_manuales!$G$33*(datos_base!$B$5+IF(parametros_manuales!$H$33="Todos",datos_base!$B$12,0))*parametros_manuales!$C$112)*parametros_manuales!$I$33*parametros_manuales!$J$33</f>
        <v>590.2172139684</v>
      </c>
      <c r="D16" s="14" t="n">
        <f aca="false">(parametros_manuales!$D$33*(datos_base!$B$2+IF(parametros_manuales!$H$33="Todos",datos_base!$B$9,0))*parametros_manuales!$D$97+parametros_manuales!$E$33*(datos_base!$B$3+IF(parametros_manuales!$H$33="Todos",datos_base!$B$10,0))*parametros_manuales!$D$102+parametros_manuales!$F$33*(datos_base!$B$4+IF(parametros_manuales!$H$33="Todos",datos_base!$B$11,0))*parametros_manuales!$D$107+parametros_manuales!$G$33*(datos_base!$B$5+IF(parametros_manuales!$H$33="Todos",datos_base!$B$12,0))*parametros_manuales!$D$112)*parametros_manuales!$I$33*parametros_manuales!$J$33</f>
        <v>561.81303135705</v>
      </c>
      <c r="E16" s="14" t="n">
        <f aca="false">(parametros_manuales!$D$33*(datos_base!$B$2+IF(parametros_manuales!$H$33="Todos",datos_base!$B$9,0))*parametros_manuales!$E$97+parametros_manuales!$E$33*(datos_base!$B$3+IF(parametros_manuales!$H$33="Todos",datos_base!$B$10,0))*parametros_manuales!$E$102+parametros_manuales!$F$33*(datos_base!$B$4+IF(parametros_manuales!$H$33="Todos",datos_base!$B$11,0))*parametros_manuales!$E$107+parametros_manuales!$G$33*(datos_base!$B$5+IF(parametros_manuales!$H$33="Todos",datos_base!$B$12,0))*parametros_manuales!$E$112)*parametros_manuales!$I$33*parametros_manuales!$J$33</f>
        <v>540.91934864205</v>
      </c>
      <c r="F16" s="14" t="n">
        <f aca="false">(parametros_manuales!$D$33*(datos_base!$B$2+IF(parametros_manuales!$H$33="Todos",datos_base!$B$9,0))*parametros_manuales!$F$97+parametros_manuales!$E$33*(datos_base!$B$3+IF(parametros_manuales!$H$33="Todos",datos_base!$B$10,0))*parametros_manuales!$F$102+parametros_manuales!$F$33*(datos_base!$B$4+IF(parametros_manuales!$H$33="Todos",datos_base!$B$11,0))*parametros_manuales!$F$107+parametros_manuales!$G$33*(datos_base!$B$5+IF(parametros_manuales!$H$33="Todos",datos_base!$B$12,0))*parametros_manuales!$F$112)*parametros_manuales!$I$33*parametros_manuales!$J$33</f>
        <v>506.6424831084</v>
      </c>
      <c r="G16" s="14" t="n">
        <f aca="false">(parametros_manuales!$D$33*(datos_base!$B$2+IF(parametros_manuales!$H$33="Todos",datos_base!$B$9,0))*parametros_manuales!$G$97+parametros_manuales!$E$33*(datos_base!$B$3+IF(parametros_manuales!$H$33="Todos",datos_base!$B$10,0))*parametros_manuales!$G$102+parametros_manuales!$F$33*(datos_base!$B$4+IF(parametros_manuales!$H$33="Todos",datos_base!$B$11,0))*parametros_manuales!$G$107+parametros_manuales!$G$33*(datos_base!$B$5+IF(parametros_manuales!$H$33="Todos",datos_base!$B$12,0))*parametros_manuales!$G$112)*parametros_manuales!$I$33*parametros_manuales!$J$33</f>
        <v>493.25930028975</v>
      </c>
      <c r="H16" s="14" t="n">
        <f aca="false">(parametros_manuales!$D$33*(datos_base!$B$2+IF(parametros_manuales!$H$33="Todos",datos_base!$B$9,0))*parametros_manuales!$H$97+parametros_manuales!$E$33*(datos_base!$B$3+IF(parametros_manuales!$H$33="Todos",datos_base!$B$10,0))*parametros_manuales!$H$102+parametros_manuales!$F$33*(datos_base!$B$4+IF(parametros_manuales!$H$33="Todos",datos_base!$B$11,0))*parametros_manuales!$H$107+parametros_manuales!$G$33*(datos_base!$B$5+IF(parametros_manuales!$H$33="Todos",datos_base!$B$12,0))*parametros_manuales!$H$112)*parametros_manuales!$I$33*parametros_manuales!$J$33</f>
        <v>527.5361658234</v>
      </c>
      <c r="I16" s="14" t="n">
        <f aca="false">(parametros_manuales!$D$33*(datos_base!$B$2+IF(parametros_manuales!$H$33="Todos",datos_base!$B$9,0))*parametros_manuales!$I$97+parametros_manuales!$E$33*(datos_base!$B$3+IF(parametros_manuales!$H$33="Todos",datos_base!$B$10,0))*parametros_manuales!$I$102+parametros_manuales!$F$33*(datos_base!$B$4+IF(parametros_manuales!$H$33="Todos",datos_base!$B$11,0))*parametros_manuales!$I$107+parametros_manuales!$G$33*(datos_base!$B$5+IF(parametros_manuales!$H$33="Todos",datos_base!$B$12,0))*parametros_manuales!$I$112)*parametros_manuales!$I$33*parametros_manuales!$J$33</f>
        <v>590.2172139684</v>
      </c>
      <c r="J16" s="14" t="n">
        <f aca="false">(parametros_manuales!$D$33*(datos_base!$B$2+IF(parametros_manuales!$H$33="Todos",datos_base!$B$9,0))*parametros_manuales!$J$97+parametros_manuales!$E$33*(datos_base!$B$3+IF(parametros_manuales!$H$33="Todos",datos_base!$B$10,0))*parametros_manuales!$J$102+parametros_manuales!$F$33*(datos_base!$B$4+IF(parametros_manuales!$H$33="Todos",datos_base!$B$11,0))*parametros_manuales!$J$107+parametros_manuales!$G$33*(datos_base!$B$5+IF(parametros_manuales!$H$33="Todos",datos_base!$B$12,0))*parametros_manuales!$J$112)*parametros_manuales!$I$33*parametros_manuales!$J$33</f>
        <v>590.2172139684</v>
      </c>
      <c r="K16" s="14" t="n">
        <f aca="false">(parametros_manuales!$D$33*(datos_base!$B$2+IF(parametros_manuales!$H$33="Todos",datos_base!$B$9,0))*parametros_manuales!$K$97+parametros_manuales!$E$33*(datos_base!$B$3+IF(parametros_manuales!$H$33="Todos",datos_base!$B$10,0))*parametros_manuales!$K$102+parametros_manuales!$F$33*(datos_base!$B$4+IF(parametros_manuales!$H$33="Todos",datos_base!$B$11,0))*parametros_manuales!$K$107+parametros_manuales!$G$33*(datos_base!$B$5+IF(parametros_manuales!$H$33="Todos",datos_base!$B$12,0))*parametros_manuales!$K$112)*parametros_manuales!$I$33*parametros_manuales!$J$33</f>
        <v>603.60039678705</v>
      </c>
      <c r="L16" s="14" t="n">
        <f aca="false">(parametros_manuales!$D$33*(datos_base!$B$2+IF(parametros_manuales!$H$33="Todos",datos_base!$B$9,0))*parametros_manuales!$L$97+parametros_manuales!$E$33*(datos_base!$B$3+IF(parametros_manuales!$H$33="Todos",datos_base!$B$10,0))*parametros_manuales!$L$102+parametros_manuales!$F$33*(datos_base!$B$4+IF(parametros_manuales!$H$33="Todos",datos_base!$B$11,0))*parametros_manuales!$L$107+parametros_manuales!$G$33*(datos_base!$B$5+IF(parametros_manuales!$H$33="Todos",datos_base!$B$12,0))*parametros_manuales!$L$112)*parametros_manuales!$I$33*parametros_manuales!$J$33</f>
        <v>616.9835796057</v>
      </c>
      <c r="M16" s="14" t="n">
        <f aca="false">(parametros_manuales!$D$33*(datos_base!$B$2+IF(parametros_manuales!$H$33="Todos",datos_base!$B$9,0))*parametros_manuales!$M$97+parametros_manuales!$E$33*(datos_base!$B$3+IF(parametros_manuales!$H$33="Todos",datos_base!$B$10,0))*parametros_manuales!$M$102+parametros_manuales!$F$33*(datos_base!$B$4+IF(parametros_manuales!$H$33="Todos",datos_base!$B$11,0))*parametros_manuales!$M$107+parametros_manuales!$G$33*(datos_base!$B$5+IF(parametros_manuales!$H$33="Todos",datos_base!$B$12,0))*parametros_manuales!$M$112)*parametros_manuales!$I$33*parametros_manuales!$J$33</f>
        <v>616.9835796057</v>
      </c>
      <c r="N16" s="14" t="n">
        <f aca="false">SUM(B16:M16)</f>
        <v>6855.37310673</v>
      </c>
      <c r="O16" s="14" t="n">
        <f aca="false">MAX(B16:M16)</f>
        <v>616.9835796057</v>
      </c>
      <c r="P16" s="57" t="n">
        <f aca="false">O16/(parametros_manuales!$B$7)</f>
        <v>4.113223864038</v>
      </c>
      <c r="Q16" s="13" t="str">
        <f aca="false">IF(O16=0,"-",INDEX($B$1:$M$1,MATCH(O16,B16:M16,0)))</f>
        <v>Ene</v>
      </c>
    </row>
    <row r="17" customFormat="false" ht="14.25" hidden="false" customHeight="true" outlineLevel="0" collapsed="false">
      <c r="A17" s="13" t="str">
        <f aca="false">parametros_manuales!$B$34</f>
        <v>Secado</v>
      </c>
      <c r="B17" s="14" t="n">
        <f aca="false">(parametros_manuales!$D$34*(datos_base!$B$2+IF(parametros_manuales!$H$34="Todos",datos_base!$B$9,0))*parametros_manuales!$B$97+parametros_manuales!$E$34*(datos_base!$B$3+IF(parametros_manuales!$H$34="Todos",datos_base!$B$10,0))*parametros_manuales!$B$102+parametros_manuales!$F$34*(datos_base!$B$4+IF(parametros_manuales!$H$34="Todos",datos_base!$B$11,0))*parametros_manuales!$B$107+parametros_manuales!$G$34*(datos_base!$B$5+IF(parametros_manuales!$H$34="Todos",datos_base!$B$12,0))*parametros_manuales!$B$112)*parametros_manuales!$I$34*parametros_manuales!$J$34</f>
        <v>616.9835796057</v>
      </c>
      <c r="C17" s="14" t="n">
        <f aca="false">(parametros_manuales!$D$34*(datos_base!$B$2+IF(parametros_manuales!$H$34="Todos",datos_base!$B$9,0))*parametros_manuales!$C$97+parametros_manuales!$E$34*(datos_base!$B$3+IF(parametros_manuales!$H$34="Todos",datos_base!$B$10,0))*parametros_manuales!$C$102+parametros_manuales!$F$34*(datos_base!$B$4+IF(parametros_manuales!$H$34="Todos",datos_base!$B$11,0))*parametros_manuales!$C$107+parametros_manuales!$G$34*(datos_base!$B$5+IF(parametros_manuales!$H$34="Todos",datos_base!$B$12,0))*parametros_manuales!$C$112)*parametros_manuales!$I$34*parametros_manuales!$J$34</f>
        <v>590.2172139684</v>
      </c>
      <c r="D17" s="14" t="n">
        <f aca="false">(parametros_manuales!$D$34*(datos_base!$B$2+IF(parametros_manuales!$H$34="Todos",datos_base!$B$9,0))*parametros_manuales!$D$97+parametros_manuales!$E$34*(datos_base!$B$3+IF(parametros_manuales!$H$34="Todos",datos_base!$B$10,0))*parametros_manuales!$D$102+parametros_manuales!$F$34*(datos_base!$B$4+IF(parametros_manuales!$H$34="Todos",datos_base!$B$11,0))*parametros_manuales!$D$107+parametros_manuales!$G$34*(datos_base!$B$5+IF(parametros_manuales!$H$34="Todos",datos_base!$B$12,0))*parametros_manuales!$D$112)*parametros_manuales!$I$34*parametros_manuales!$J$34</f>
        <v>561.81303135705</v>
      </c>
      <c r="E17" s="14" t="n">
        <f aca="false">(parametros_manuales!$D$34*(datos_base!$B$2+IF(parametros_manuales!$H$34="Todos",datos_base!$B$9,0))*parametros_manuales!$E$97+parametros_manuales!$E$34*(datos_base!$B$3+IF(parametros_manuales!$H$34="Todos",datos_base!$B$10,0))*parametros_manuales!$E$102+parametros_manuales!$F$34*(datos_base!$B$4+IF(parametros_manuales!$H$34="Todos",datos_base!$B$11,0))*parametros_manuales!$E$107+parametros_manuales!$G$34*(datos_base!$B$5+IF(parametros_manuales!$H$34="Todos",datos_base!$B$12,0))*parametros_manuales!$E$112)*parametros_manuales!$I$34*parametros_manuales!$J$34</f>
        <v>540.91934864205</v>
      </c>
      <c r="F17" s="14" t="n">
        <f aca="false">(parametros_manuales!$D$34*(datos_base!$B$2+IF(parametros_manuales!$H$34="Todos",datos_base!$B$9,0))*parametros_manuales!$F$97+parametros_manuales!$E$34*(datos_base!$B$3+IF(parametros_manuales!$H$34="Todos",datos_base!$B$10,0))*parametros_manuales!$F$102+parametros_manuales!$F$34*(datos_base!$B$4+IF(parametros_manuales!$H$34="Todos",datos_base!$B$11,0))*parametros_manuales!$F$107+parametros_manuales!$G$34*(datos_base!$B$5+IF(parametros_manuales!$H$34="Todos",datos_base!$B$12,0))*parametros_manuales!$F$112)*parametros_manuales!$I$34*parametros_manuales!$J$34</f>
        <v>506.6424831084</v>
      </c>
      <c r="G17" s="14" t="n">
        <f aca="false">(parametros_manuales!$D$34*(datos_base!$B$2+IF(parametros_manuales!$H$34="Todos",datos_base!$B$9,0))*parametros_manuales!$G$97+parametros_manuales!$E$34*(datos_base!$B$3+IF(parametros_manuales!$H$34="Todos",datos_base!$B$10,0))*parametros_manuales!$G$102+parametros_manuales!$F$34*(datos_base!$B$4+IF(parametros_manuales!$H$34="Todos",datos_base!$B$11,0))*parametros_manuales!$G$107+parametros_manuales!$G$34*(datos_base!$B$5+IF(parametros_manuales!$H$34="Todos",datos_base!$B$12,0))*parametros_manuales!$G$112)*parametros_manuales!$I$34*parametros_manuales!$J$34</f>
        <v>493.25930028975</v>
      </c>
      <c r="H17" s="14" t="n">
        <f aca="false">(parametros_manuales!$D$34*(datos_base!$B$2+IF(parametros_manuales!$H$34="Todos",datos_base!$B$9,0))*parametros_manuales!$H$97+parametros_manuales!$E$34*(datos_base!$B$3+IF(parametros_manuales!$H$34="Todos",datos_base!$B$10,0))*parametros_manuales!$H$102+parametros_manuales!$F$34*(datos_base!$B$4+IF(parametros_manuales!$H$34="Todos",datos_base!$B$11,0))*parametros_manuales!$H$107+parametros_manuales!$G$34*(datos_base!$B$5+IF(parametros_manuales!$H$34="Todos",datos_base!$B$12,0))*parametros_manuales!$H$112)*parametros_manuales!$I$34*parametros_manuales!$J$34</f>
        <v>527.5361658234</v>
      </c>
      <c r="I17" s="14" t="n">
        <f aca="false">(parametros_manuales!$D$34*(datos_base!$B$2+IF(parametros_manuales!$H$34="Todos",datos_base!$B$9,0))*parametros_manuales!$I$97+parametros_manuales!$E$34*(datos_base!$B$3+IF(parametros_manuales!$H$34="Todos",datos_base!$B$10,0))*parametros_manuales!$I$102+parametros_manuales!$F$34*(datos_base!$B$4+IF(parametros_manuales!$H$34="Todos",datos_base!$B$11,0))*parametros_manuales!$I$107+parametros_manuales!$G$34*(datos_base!$B$5+IF(parametros_manuales!$H$34="Todos",datos_base!$B$12,0))*parametros_manuales!$I$112)*parametros_manuales!$I$34*parametros_manuales!$J$34</f>
        <v>590.2172139684</v>
      </c>
      <c r="J17" s="14" t="n">
        <f aca="false">(parametros_manuales!$D$34*(datos_base!$B$2+IF(parametros_manuales!$H$34="Todos",datos_base!$B$9,0))*parametros_manuales!$J$97+parametros_manuales!$E$34*(datos_base!$B$3+IF(parametros_manuales!$H$34="Todos",datos_base!$B$10,0))*parametros_manuales!$J$102+parametros_manuales!$F$34*(datos_base!$B$4+IF(parametros_manuales!$H$34="Todos",datos_base!$B$11,0))*parametros_manuales!$J$107+parametros_manuales!$G$34*(datos_base!$B$5+IF(parametros_manuales!$H$34="Todos",datos_base!$B$12,0))*parametros_manuales!$J$112)*parametros_manuales!$I$34*parametros_manuales!$J$34</f>
        <v>590.2172139684</v>
      </c>
      <c r="K17" s="14" t="n">
        <f aca="false">(parametros_manuales!$D$34*(datos_base!$B$2+IF(parametros_manuales!$H$34="Todos",datos_base!$B$9,0))*parametros_manuales!$K$97+parametros_manuales!$E$34*(datos_base!$B$3+IF(parametros_manuales!$H$34="Todos",datos_base!$B$10,0))*parametros_manuales!$K$102+parametros_manuales!$F$34*(datos_base!$B$4+IF(parametros_manuales!$H$34="Todos",datos_base!$B$11,0))*parametros_manuales!$K$107+parametros_manuales!$G$34*(datos_base!$B$5+IF(parametros_manuales!$H$34="Todos",datos_base!$B$12,0))*parametros_manuales!$K$112)*parametros_manuales!$I$34*parametros_manuales!$J$34</f>
        <v>603.60039678705</v>
      </c>
      <c r="L17" s="14" t="n">
        <f aca="false">(parametros_manuales!$D$34*(datos_base!$B$2+IF(parametros_manuales!$H$34="Todos",datos_base!$B$9,0))*parametros_manuales!$L$97+parametros_manuales!$E$34*(datos_base!$B$3+IF(parametros_manuales!$H$34="Todos",datos_base!$B$10,0))*parametros_manuales!$L$102+parametros_manuales!$F$34*(datos_base!$B$4+IF(parametros_manuales!$H$34="Todos",datos_base!$B$11,0))*parametros_manuales!$L$107+parametros_manuales!$G$34*(datos_base!$B$5+IF(parametros_manuales!$H$34="Todos",datos_base!$B$12,0))*parametros_manuales!$L$112)*parametros_manuales!$I$34*parametros_manuales!$J$34</f>
        <v>616.9835796057</v>
      </c>
      <c r="M17" s="14" t="n">
        <f aca="false">(parametros_manuales!$D$34*(datos_base!$B$2+IF(parametros_manuales!$H$34="Todos",datos_base!$B$9,0))*parametros_manuales!$M$97+parametros_manuales!$E$34*(datos_base!$B$3+IF(parametros_manuales!$H$34="Todos",datos_base!$B$10,0))*parametros_manuales!$M$102+parametros_manuales!$F$34*(datos_base!$B$4+IF(parametros_manuales!$H$34="Todos",datos_base!$B$11,0))*parametros_manuales!$M$107+parametros_manuales!$G$34*(datos_base!$B$5+IF(parametros_manuales!$H$34="Todos",datos_base!$B$12,0))*parametros_manuales!$M$112)*parametros_manuales!$I$34*parametros_manuales!$J$34</f>
        <v>616.9835796057</v>
      </c>
      <c r="N17" s="14" t="n">
        <f aca="false">SUM(B17:M17)</f>
        <v>6855.37310673</v>
      </c>
      <c r="O17" s="14" t="n">
        <f aca="false">MAX(B17:M17)</f>
        <v>616.9835796057</v>
      </c>
      <c r="P17" s="57" t="n">
        <f aca="false">O17/(parametros_manuales!$B$7)</f>
        <v>4.113223864038</v>
      </c>
      <c r="Q17" s="13" t="str">
        <f aca="false">IF(O17=0,"-",INDEX($B$1:$M$1,MATCH(O17,B17:M17,0)))</f>
        <v>Ene</v>
      </c>
    </row>
    <row r="18" customFormat="false" ht="14.25" hidden="false" customHeight="true" outlineLevel="0" collapsed="false">
      <c r="A18" s="13" t="str">
        <f aca="false">parametros_manuales!$B$35</f>
        <v>Granallado</v>
      </c>
      <c r="B18" s="14" t="n">
        <f aca="false">(parametros_manuales!$D$35*(datos_base!$B$2+IF(parametros_manuales!$H$35="Todos",datos_base!$B$9,0))*parametros_manuales!$B$97+parametros_manuales!$E$35*(datos_base!$B$3+IF(parametros_manuales!$H$35="Todos",datos_base!$B$10,0))*parametros_manuales!$B$102+parametros_manuales!$F$35*(datos_base!$B$4+IF(parametros_manuales!$H$35="Todos",datos_base!$B$11,0))*parametros_manuales!$B$107+parametros_manuales!$G$35*(datos_base!$B$5+IF(parametros_manuales!$H$35="Todos",datos_base!$B$12,0))*parametros_manuales!$B$112)*parametros_manuales!$I$35*parametros_manuales!$J$35</f>
        <v>616.9835796057</v>
      </c>
      <c r="C18" s="14" t="n">
        <f aca="false">(parametros_manuales!$D$35*(datos_base!$B$2+IF(parametros_manuales!$H$35="Todos",datos_base!$B$9,0))*parametros_manuales!$C$97+parametros_manuales!$E$35*(datos_base!$B$3+IF(parametros_manuales!$H$35="Todos",datos_base!$B$10,0))*parametros_manuales!$C$102+parametros_manuales!$F$35*(datos_base!$B$4+IF(parametros_manuales!$H$35="Todos",datos_base!$B$11,0))*parametros_manuales!$C$107+parametros_manuales!$G$35*(datos_base!$B$5+IF(parametros_manuales!$H$35="Todos",datos_base!$B$12,0))*parametros_manuales!$C$112)*parametros_manuales!$I$35*parametros_manuales!$J$35</f>
        <v>590.2172139684</v>
      </c>
      <c r="D18" s="14" t="n">
        <f aca="false">(parametros_manuales!$D$35*(datos_base!$B$2+IF(parametros_manuales!$H$35="Todos",datos_base!$B$9,0))*parametros_manuales!$D$97+parametros_manuales!$E$35*(datos_base!$B$3+IF(parametros_manuales!$H$35="Todos",datos_base!$B$10,0))*parametros_manuales!$D$102+parametros_manuales!$F$35*(datos_base!$B$4+IF(parametros_manuales!$H$35="Todos",datos_base!$B$11,0))*parametros_manuales!$D$107+parametros_manuales!$G$35*(datos_base!$B$5+IF(parametros_manuales!$H$35="Todos",datos_base!$B$12,0))*parametros_manuales!$D$112)*parametros_manuales!$I$35*parametros_manuales!$J$35</f>
        <v>561.81303135705</v>
      </c>
      <c r="E18" s="14" t="n">
        <f aca="false">(parametros_manuales!$D$35*(datos_base!$B$2+IF(parametros_manuales!$H$35="Todos",datos_base!$B$9,0))*parametros_manuales!$E$97+parametros_manuales!$E$35*(datos_base!$B$3+IF(parametros_manuales!$H$35="Todos",datos_base!$B$10,0))*parametros_manuales!$E$102+parametros_manuales!$F$35*(datos_base!$B$4+IF(parametros_manuales!$H$35="Todos",datos_base!$B$11,0))*parametros_manuales!$E$107+parametros_manuales!$G$35*(datos_base!$B$5+IF(parametros_manuales!$H$35="Todos",datos_base!$B$12,0))*parametros_manuales!$E$112)*parametros_manuales!$I$35*parametros_manuales!$J$35</f>
        <v>540.91934864205</v>
      </c>
      <c r="F18" s="14" t="n">
        <f aca="false">(parametros_manuales!$D$35*(datos_base!$B$2+IF(parametros_manuales!$H$35="Todos",datos_base!$B$9,0))*parametros_manuales!$F$97+parametros_manuales!$E$35*(datos_base!$B$3+IF(parametros_manuales!$H$35="Todos",datos_base!$B$10,0))*parametros_manuales!$F$102+parametros_manuales!$F$35*(datos_base!$B$4+IF(parametros_manuales!$H$35="Todos",datos_base!$B$11,0))*parametros_manuales!$F$107+parametros_manuales!$G$35*(datos_base!$B$5+IF(parametros_manuales!$H$35="Todos",datos_base!$B$12,0))*parametros_manuales!$F$112)*parametros_manuales!$I$35*parametros_manuales!$J$35</f>
        <v>506.6424831084</v>
      </c>
      <c r="G18" s="14" t="n">
        <f aca="false">(parametros_manuales!$D$35*(datos_base!$B$2+IF(parametros_manuales!$H$35="Todos",datos_base!$B$9,0))*parametros_manuales!$G$97+parametros_manuales!$E$35*(datos_base!$B$3+IF(parametros_manuales!$H$35="Todos",datos_base!$B$10,0))*parametros_manuales!$G$102+parametros_manuales!$F$35*(datos_base!$B$4+IF(parametros_manuales!$H$35="Todos",datos_base!$B$11,0))*parametros_manuales!$G$107+parametros_manuales!$G$35*(datos_base!$B$5+IF(parametros_manuales!$H$35="Todos",datos_base!$B$12,0))*parametros_manuales!$G$112)*parametros_manuales!$I$35*parametros_manuales!$J$35</f>
        <v>493.25930028975</v>
      </c>
      <c r="H18" s="14" t="n">
        <f aca="false">(parametros_manuales!$D$35*(datos_base!$B$2+IF(parametros_manuales!$H$35="Todos",datos_base!$B$9,0))*parametros_manuales!$H$97+parametros_manuales!$E$35*(datos_base!$B$3+IF(parametros_manuales!$H$35="Todos",datos_base!$B$10,0))*parametros_manuales!$H$102+parametros_manuales!$F$35*(datos_base!$B$4+IF(parametros_manuales!$H$35="Todos",datos_base!$B$11,0))*parametros_manuales!$H$107+parametros_manuales!$G$35*(datos_base!$B$5+IF(parametros_manuales!$H$35="Todos",datos_base!$B$12,0))*parametros_manuales!$H$112)*parametros_manuales!$I$35*parametros_manuales!$J$35</f>
        <v>527.5361658234</v>
      </c>
      <c r="I18" s="14" t="n">
        <f aca="false">(parametros_manuales!$D$35*(datos_base!$B$2+IF(parametros_manuales!$H$35="Todos",datos_base!$B$9,0))*parametros_manuales!$I$97+parametros_manuales!$E$35*(datos_base!$B$3+IF(parametros_manuales!$H$35="Todos",datos_base!$B$10,0))*parametros_manuales!$I$102+parametros_manuales!$F$35*(datos_base!$B$4+IF(parametros_manuales!$H$35="Todos",datos_base!$B$11,0))*parametros_manuales!$I$107+parametros_manuales!$G$35*(datos_base!$B$5+IF(parametros_manuales!$H$35="Todos",datos_base!$B$12,0))*parametros_manuales!$I$112)*parametros_manuales!$I$35*parametros_manuales!$J$35</f>
        <v>590.2172139684</v>
      </c>
      <c r="J18" s="14" t="n">
        <f aca="false">(parametros_manuales!$D$35*(datos_base!$B$2+IF(parametros_manuales!$H$35="Todos",datos_base!$B$9,0))*parametros_manuales!$J$97+parametros_manuales!$E$35*(datos_base!$B$3+IF(parametros_manuales!$H$35="Todos",datos_base!$B$10,0))*parametros_manuales!$J$102+parametros_manuales!$F$35*(datos_base!$B$4+IF(parametros_manuales!$H$35="Todos",datos_base!$B$11,0))*parametros_manuales!$J$107+parametros_manuales!$G$35*(datos_base!$B$5+IF(parametros_manuales!$H$35="Todos",datos_base!$B$12,0))*parametros_manuales!$J$112)*parametros_manuales!$I$35*parametros_manuales!$J$35</f>
        <v>590.2172139684</v>
      </c>
      <c r="K18" s="14" t="n">
        <f aca="false">(parametros_manuales!$D$35*(datos_base!$B$2+IF(parametros_manuales!$H$35="Todos",datos_base!$B$9,0))*parametros_manuales!$K$97+parametros_manuales!$E$35*(datos_base!$B$3+IF(parametros_manuales!$H$35="Todos",datos_base!$B$10,0))*parametros_manuales!$K$102+parametros_manuales!$F$35*(datos_base!$B$4+IF(parametros_manuales!$H$35="Todos",datos_base!$B$11,0))*parametros_manuales!$K$107+parametros_manuales!$G$35*(datos_base!$B$5+IF(parametros_manuales!$H$35="Todos",datos_base!$B$12,0))*parametros_manuales!$K$112)*parametros_manuales!$I$35*parametros_manuales!$J$35</f>
        <v>603.60039678705</v>
      </c>
      <c r="L18" s="14" t="n">
        <f aca="false">(parametros_manuales!$D$35*(datos_base!$B$2+IF(parametros_manuales!$H$35="Todos",datos_base!$B$9,0))*parametros_manuales!$L$97+parametros_manuales!$E$35*(datos_base!$B$3+IF(parametros_manuales!$H$35="Todos",datos_base!$B$10,0))*parametros_manuales!$L$102+parametros_manuales!$F$35*(datos_base!$B$4+IF(parametros_manuales!$H$35="Todos",datos_base!$B$11,0))*parametros_manuales!$L$107+parametros_manuales!$G$35*(datos_base!$B$5+IF(parametros_manuales!$H$35="Todos",datos_base!$B$12,0))*parametros_manuales!$L$112)*parametros_manuales!$I$35*parametros_manuales!$J$35</f>
        <v>616.9835796057</v>
      </c>
      <c r="M18" s="14" t="n">
        <f aca="false">(parametros_manuales!$D$35*(datos_base!$B$2+IF(parametros_manuales!$H$35="Todos",datos_base!$B$9,0))*parametros_manuales!$M$97+parametros_manuales!$E$35*(datos_base!$B$3+IF(parametros_manuales!$H$35="Todos",datos_base!$B$10,0))*parametros_manuales!$M$102+parametros_manuales!$F$35*(datos_base!$B$4+IF(parametros_manuales!$H$35="Todos",datos_base!$B$11,0))*parametros_manuales!$M$107+parametros_manuales!$G$35*(datos_base!$B$5+IF(parametros_manuales!$H$35="Todos",datos_base!$B$12,0))*parametros_manuales!$M$112)*parametros_manuales!$I$35*parametros_manuales!$J$35</f>
        <v>616.9835796057</v>
      </c>
      <c r="N18" s="14" t="n">
        <f aca="false">SUM(B18:M18)</f>
        <v>6855.37310673</v>
      </c>
      <c r="O18" s="14" t="n">
        <f aca="false">MAX(B18:M18)</f>
        <v>616.9835796057</v>
      </c>
      <c r="P18" s="57" t="n">
        <f aca="false">O18/(parametros_manuales!$B$7)</f>
        <v>4.113223864038</v>
      </c>
      <c r="Q18" s="13" t="str">
        <f aca="false">IF(O18=0,"-",INDEX($B$1:$M$1,MATCH(O18,B18:M18,0)))</f>
        <v>Ene</v>
      </c>
    </row>
    <row r="19" customFormat="false" ht="14.25" hidden="false" customHeight="true" outlineLevel="0" collapsed="false">
      <c r="A19" s="13" t="str">
        <f aca="false">parametros_manuales!$B$36</f>
        <v>Detección de defectos</v>
      </c>
      <c r="B19" s="14" t="n">
        <f aca="false">(parametros_manuales!$D$36*(datos_base!$B$2+IF(parametros_manuales!$H$36="Todos",datos_base!$B$9,0))*parametros_manuales!$B$97+parametros_manuales!$E$36*(datos_base!$B$3+IF(parametros_manuales!$H$36="Todos",datos_base!$B$10,0))*parametros_manuales!$B$102+parametros_manuales!$F$36*(datos_base!$B$4+IF(parametros_manuales!$H$36="Todos",datos_base!$B$11,0))*parametros_manuales!$B$107+parametros_manuales!$G$36*(datos_base!$B$5+IF(parametros_manuales!$H$36="Todos",datos_base!$B$12,0))*parametros_manuales!$B$112)*parametros_manuales!$I$36*parametros_manuales!$J$36</f>
        <v>616.9835796057</v>
      </c>
      <c r="C19" s="14" t="n">
        <f aca="false">(parametros_manuales!$D$36*(datos_base!$B$2+IF(parametros_manuales!$H$36="Todos",datos_base!$B$9,0))*parametros_manuales!$C$97+parametros_manuales!$E$36*(datos_base!$B$3+IF(parametros_manuales!$H$36="Todos",datos_base!$B$10,0))*parametros_manuales!$C$102+parametros_manuales!$F$36*(datos_base!$B$4+IF(parametros_manuales!$H$36="Todos",datos_base!$B$11,0))*parametros_manuales!$C$107+parametros_manuales!$G$36*(datos_base!$B$5+IF(parametros_manuales!$H$36="Todos",datos_base!$B$12,0))*parametros_manuales!$C$112)*parametros_manuales!$I$36*parametros_manuales!$J$36</f>
        <v>590.2172139684</v>
      </c>
      <c r="D19" s="14" t="n">
        <f aca="false">(parametros_manuales!$D$36*(datos_base!$B$2+IF(parametros_manuales!$H$36="Todos",datos_base!$B$9,0))*parametros_manuales!$D$97+parametros_manuales!$E$36*(datos_base!$B$3+IF(parametros_manuales!$H$36="Todos",datos_base!$B$10,0))*parametros_manuales!$D$102+parametros_manuales!$F$36*(datos_base!$B$4+IF(parametros_manuales!$H$36="Todos",datos_base!$B$11,0))*parametros_manuales!$D$107+parametros_manuales!$G$36*(datos_base!$B$5+IF(parametros_manuales!$H$36="Todos",datos_base!$B$12,0))*parametros_manuales!$D$112)*parametros_manuales!$I$36*parametros_manuales!$J$36</f>
        <v>561.81303135705</v>
      </c>
      <c r="E19" s="14" t="n">
        <f aca="false">(parametros_manuales!$D$36*(datos_base!$B$2+IF(parametros_manuales!$H$36="Todos",datos_base!$B$9,0))*parametros_manuales!$E$97+parametros_manuales!$E$36*(datos_base!$B$3+IF(parametros_manuales!$H$36="Todos",datos_base!$B$10,0))*parametros_manuales!$E$102+parametros_manuales!$F$36*(datos_base!$B$4+IF(parametros_manuales!$H$36="Todos",datos_base!$B$11,0))*parametros_manuales!$E$107+parametros_manuales!$G$36*(datos_base!$B$5+IF(parametros_manuales!$H$36="Todos",datos_base!$B$12,0))*parametros_manuales!$E$112)*parametros_manuales!$I$36*parametros_manuales!$J$36</f>
        <v>540.91934864205</v>
      </c>
      <c r="F19" s="14" t="n">
        <f aca="false">(parametros_manuales!$D$36*(datos_base!$B$2+IF(parametros_manuales!$H$36="Todos",datos_base!$B$9,0))*parametros_manuales!$F$97+parametros_manuales!$E$36*(datos_base!$B$3+IF(parametros_manuales!$H$36="Todos",datos_base!$B$10,0))*parametros_manuales!$F$102+parametros_manuales!$F$36*(datos_base!$B$4+IF(parametros_manuales!$H$36="Todos",datos_base!$B$11,0))*parametros_manuales!$F$107+parametros_manuales!$G$36*(datos_base!$B$5+IF(parametros_manuales!$H$36="Todos",datos_base!$B$12,0))*parametros_manuales!$F$112)*parametros_manuales!$I$36*parametros_manuales!$J$36</f>
        <v>506.6424831084</v>
      </c>
      <c r="G19" s="14" t="n">
        <f aca="false">(parametros_manuales!$D$36*(datos_base!$B$2+IF(parametros_manuales!$H$36="Todos",datos_base!$B$9,0))*parametros_manuales!$G$97+parametros_manuales!$E$36*(datos_base!$B$3+IF(parametros_manuales!$H$36="Todos",datos_base!$B$10,0))*parametros_manuales!$G$102+parametros_manuales!$F$36*(datos_base!$B$4+IF(parametros_manuales!$H$36="Todos",datos_base!$B$11,0))*parametros_manuales!$G$107+parametros_manuales!$G$36*(datos_base!$B$5+IF(parametros_manuales!$H$36="Todos",datos_base!$B$12,0))*parametros_manuales!$G$112)*parametros_manuales!$I$36*parametros_manuales!$J$36</f>
        <v>493.25930028975</v>
      </c>
      <c r="H19" s="14" t="n">
        <f aca="false">(parametros_manuales!$D$36*(datos_base!$B$2+IF(parametros_manuales!$H$36="Todos",datos_base!$B$9,0))*parametros_manuales!$H$97+parametros_manuales!$E$36*(datos_base!$B$3+IF(parametros_manuales!$H$36="Todos",datos_base!$B$10,0))*parametros_manuales!$H$102+parametros_manuales!$F$36*(datos_base!$B$4+IF(parametros_manuales!$H$36="Todos",datos_base!$B$11,0))*parametros_manuales!$H$107+parametros_manuales!$G$36*(datos_base!$B$5+IF(parametros_manuales!$H$36="Todos",datos_base!$B$12,0))*parametros_manuales!$H$112)*parametros_manuales!$I$36*parametros_manuales!$J$36</f>
        <v>527.5361658234</v>
      </c>
      <c r="I19" s="14" t="n">
        <f aca="false">(parametros_manuales!$D$36*(datos_base!$B$2+IF(parametros_manuales!$H$36="Todos",datos_base!$B$9,0))*parametros_manuales!$I$97+parametros_manuales!$E$36*(datos_base!$B$3+IF(parametros_manuales!$H$36="Todos",datos_base!$B$10,0))*parametros_manuales!$I$102+parametros_manuales!$F$36*(datos_base!$B$4+IF(parametros_manuales!$H$36="Todos",datos_base!$B$11,0))*parametros_manuales!$I$107+parametros_manuales!$G$36*(datos_base!$B$5+IF(parametros_manuales!$H$36="Todos",datos_base!$B$12,0))*parametros_manuales!$I$112)*parametros_manuales!$I$36*parametros_manuales!$J$36</f>
        <v>590.2172139684</v>
      </c>
      <c r="J19" s="14" t="n">
        <f aca="false">(parametros_manuales!$D$36*(datos_base!$B$2+IF(parametros_manuales!$H$36="Todos",datos_base!$B$9,0))*parametros_manuales!$J$97+parametros_manuales!$E$36*(datos_base!$B$3+IF(parametros_manuales!$H$36="Todos",datos_base!$B$10,0))*parametros_manuales!$J$102+parametros_manuales!$F$36*(datos_base!$B$4+IF(parametros_manuales!$H$36="Todos",datos_base!$B$11,0))*parametros_manuales!$J$107+parametros_manuales!$G$36*(datos_base!$B$5+IF(parametros_manuales!$H$36="Todos",datos_base!$B$12,0))*parametros_manuales!$J$112)*parametros_manuales!$I$36*parametros_manuales!$J$36</f>
        <v>590.2172139684</v>
      </c>
      <c r="K19" s="14" t="n">
        <f aca="false">(parametros_manuales!$D$36*(datos_base!$B$2+IF(parametros_manuales!$H$36="Todos",datos_base!$B$9,0))*parametros_manuales!$K$97+parametros_manuales!$E$36*(datos_base!$B$3+IF(parametros_manuales!$H$36="Todos",datos_base!$B$10,0))*parametros_manuales!$K$102+parametros_manuales!$F$36*(datos_base!$B$4+IF(parametros_manuales!$H$36="Todos",datos_base!$B$11,0))*parametros_manuales!$K$107+parametros_manuales!$G$36*(datos_base!$B$5+IF(parametros_manuales!$H$36="Todos",datos_base!$B$12,0))*parametros_manuales!$K$112)*parametros_manuales!$I$36*parametros_manuales!$J$36</f>
        <v>603.60039678705</v>
      </c>
      <c r="L19" s="14" t="n">
        <f aca="false">(parametros_manuales!$D$36*(datos_base!$B$2+IF(parametros_manuales!$H$36="Todos",datos_base!$B$9,0))*parametros_manuales!$L$97+parametros_manuales!$E$36*(datos_base!$B$3+IF(parametros_manuales!$H$36="Todos",datos_base!$B$10,0))*parametros_manuales!$L$102+parametros_manuales!$F$36*(datos_base!$B$4+IF(parametros_manuales!$H$36="Todos",datos_base!$B$11,0))*parametros_manuales!$L$107+parametros_manuales!$G$36*(datos_base!$B$5+IF(parametros_manuales!$H$36="Todos",datos_base!$B$12,0))*parametros_manuales!$L$112)*parametros_manuales!$I$36*parametros_manuales!$J$36</f>
        <v>616.9835796057</v>
      </c>
      <c r="M19" s="14" t="n">
        <f aca="false">(parametros_manuales!$D$36*(datos_base!$B$2+IF(parametros_manuales!$H$36="Todos",datos_base!$B$9,0))*parametros_manuales!$M$97+parametros_manuales!$E$36*(datos_base!$B$3+IF(parametros_manuales!$H$36="Todos",datos_base!$B$10,0))*parametros_manuales!$M$102+parametros_manuales!$F$36*(datos_base!$B$4+IF(parametros_manuales!$H$36="Todos",datos_base!$B$11,0))*parametros_manuales!$M$107+parametros_manuales!$G$36*(datos_base!$B$5+IF(parametros_manuales!$H$36="Todos",datos_base!$B$12,0))*parametros_manuales!$M$112)*parametros_manuales!$I$36*parametros_manuales!$J$36</f>
        <v>616.9835796057</v>
      </c>
      <c r="N19" s="14" t="n">
        <f aca="false">SUM(B19:M19)</f>
        <v>6855.37310673</v>
      </c>
      <c r="O19" s="14" t="n">
        <f aca="false">MAX(B19:M19)</f>
        <v>616.9835796057</v>
      </c>
      <c r="P19" s="57" t="n">
        <f aca="false">O19/(parametros_manuales!$B$7)</f>
        <v>4.113223864038</v>
      </c>
      <c r="Q19" s="13" t="str">
        <f aca="false">IF(O19=0,"-",INDEX($B$1:$M$1,MATCH(O19,B19:M19,0)))</f>
        <v>Ene</v>
      </c>
    </row>
    <row r="20" customFormat="false" ht="14.25" hidden="false" customHeight="true" outlineLevel="0" collapsed="false">
      <c r="A20" s="13" t="str">
        <f aca="false">parametros_manuales!$B$37</f>
        <v>Corrección de defectos</v>
      </c>
      <c r="B20" s="14" t="n">
        <f aca="false">(parametros_manuales!$D$37*(datos_base!$B$2+IF(parametros_manuales!$H$37="Todos",datos_base!$B$9,0))*parametros_manuales!$B$97+parametros_manuales!$E$37*(datos_base!$B$3+IF(parametros_manuales!$H$37="Todos",datos_base!$B$10,0))*parametros_manuales!$B$102+parametros_manuales!$F$37*(datos_base!$B$4+IF(parametros_manuales!$H$37="Todos",datos_base!$B$11,0))*parametros_manuales!$B$107+parametros_manuales!$G$37*(datos_base!$B$5+IF(parametros_manuales!$H$37="Todos",datos_base!$B$12,0))*parametros_manuales!$B$112)*parametros_manuales!$I$37*parametros_manuales!$J$37</f>
        <v>30.849178980285</v>
      </c>
      <c r="C20" s="14" t="n">
        <f aca="false">(parametros_manuales!$D$37*(datos_base!$B$2+IF(parametros_manuales!$H$37="Todos",datos_base!$B$9,0))*parametros_manuales!$C$97+parametros_manuales!$E$37*(datos_base!$B$3+IF(parametros_manuales!$H$37="Todos",datos_base!$B$10,0))*parametros_manuales!$C$102+parametros_manuales!$F$37*(datos_base!$B$4+IF(parametros_manuales!$H$37="Todos",datos_base!$B$11,0))*parametros_manuales!$C$107+parametros_manuales!$G$37*(datos_base!$B$5+IF(parametros_manuales!$H$37="Todos",datos_base!$B$12,0))*parametros_manuales!$C$112)*parametros_manuales!$I$37*parametros_manuales!$J$37</f>
        <v>29.51086069842</v>
      </c>
      <c r="D20" s="14" t="n">
        <f aca="false">(parametros_manuales!$D$37*(datos_base!$B$2+IF(parametros_manuales!$H$37="Todos",datos_base!$B$9,0))*parametros_manuales!$D$97+parametros_manuales!$E$37*(datos_base!$B$3+IF(parametros_manuales!$H$37="Todos",datos_base!$B$10,0))*parametros_manuales!$D$102+parametros_manuales!$F$37*(datos_base!$B$4+IF(parametros_manuales!$H$37="Todos",datos_base!$B$11,0))*parametros_manuales!$D$107+parametros_manuales!$G$37*(datos_base!$B$5+IF(parametros_manuales!$H$37="Todos",datos_base!$B$12,0))*parametros_manuales!$D$112)*parametros_manuales!$I$37*parametros_manuales!$J$37</f>
        <v>28.0906515678525</v>
      </c>
      <c r="E20" s="14" t="n">
        <f aca="false">(parametros_manuales!$D$37*(datos_base!$B$2+IF(parametros_manuales!$H$37="Todos",datos_base!$B$9,0))*parametros_manuales!$E$97+parametros_manuales!$E$37*(datos_base!$B$3+IF(parametros_manuales!$H$37="Todos",datos_base!$B$10,0))*parametros_manuales!$E$102+parametros_manuales!$F$37*(datos_base!$B$4+IF(parametros_manuales!$H$37="Todos",datos_base!$B$11,0))*parametros_manuales!$E$107+parametros_manuales!$G$37*(datos_base!$B$5+IF(parametros_manuales!$H$37="Todos",datos_base!$B$12,0))*parametros_manuales!$E$112)*parametros_manuales!$I$37*parametros_manuales!$J$37</f>
        <v>27.0459674321025</v>
      </c>
      <c r="F20" s="14" t="n">
        <f aca="false">(parametros_manuales!$D$37*(datos_base!$B$2+IF(parametros_manuales!$H$37="Todos",datos_base!$B$9,0))*parametros_manuales!$F$97+parametros_manuales!$E$37*(datos_base!$B$3+IF(parametros_manuales!$H$37="Todos",datos_base!$B$10,0))*parametros_manuales!$F$102+parametros_manuales!$F$37*(datos_base!$B$4+IF(parametros_manuales!$H$37="Todos",datos_base!$B$11,0))*parametros_manuales!$F$107+parametros_manuales!$G$37*(datos_base!$B$5+IF(parametros_manuales!$H$37="Todos",datos_base!$B$12,0))*parametros_manuales!$F$112)*parametros_manuales!$I$37*parametros_manuales!$J$37</f>
        <v>25.33212415542</v>
      </c>
      <c r="G20" s="14" t="n">
        <f aca="false">(parametros_manuales!$D$37*(datos_base!$B$2+IF(parametros_manuales!$H$37="Todos",datos_base!$B$9,0))*parametros_manuales!$G$97+parametros_manuales!$E$37*(datos_base!$B$3+IF(parametros_manuales!$H$37="Todos",datos_base!$B$10,0))*parametros_manuales!$G$102+parametros_manuales!$F$37*(datos_base!$B$4+IF(parametros_manuales!$H$37="Todos",datos_base!$B$11,0))*parametros_manuales!$G$107+parametros_manuales!$G$37*(datos_base!$B$5+IF(parametros_manuales!$H$37="Todos",datos_base!$B$12,0))*parametros_manuales!$G$112)*parametros_manuales!$I$37*parametros_manuales!$J$37</f>
        <v>24.6629650144875</v>
      </c>
      <c r="H20" s="14" t="n">
        <f aca="false">(parametros_manuales!$D$37*(datos_base!$B$2+IF(parametros_manuales!$H$37="Todos",datos_base!$B$9,0))*parametros_manuales!$H$97+parametros_manuales!$E$37*(datos_base!$B$3+IF(parametros_manuales!$H$37="Todos",datos_base!$B$10,0))*parametros_manuales!$H$102+parametros_manuales!$F$37*(datos_base!$B$4+IF(parametros_manuales!$H$37="Todos",datos_base!$B$11,0))*parametros_manuales!$H$107+parametros_manuales!$G$37*(datos_base!$B$5+IF(parametros_manuales!$H$37="Todos",datos_base!$B$12,0))*parametros_manuales!$H$112)*parametros_manuales!$I$37*parametros_manuales!$J$37</f>
        <v>26.37680829117</v>
      </c>
      <c r="I20" s="14" t="n">
        <f aca="false">(parametros_manuales!$D$37*(datos_base!$B$2+IF(parametros_manuales!$H$37="Todos",datos_base!$B$9,0))*parametros_manuales!$I$97+parametros_manuales!$E$37*(datos_base!$B$3+IF(parametros_manuales!$H$37="Todos",datos_base!$B$10,0))*parametros_manuales!$I$102+parametros_manuales!$F$37*(datos_base!$B$4+IF(parametros_manuales!$H$37="Todos",datos_base!$B$11,0))*parametros_manuales!$I$107+parametros_manuales!$G$37*(datos_base!$B$5+IF(parametros_manuales!$H$37="Todos",datos_base!$B$12,0))*parametros_manuales!$I$112)*parametros_manuales!$I$37*parametros_manuales!$J$37</f>
        <v>29.51086069842</v>
      </c>
      <c r="J20" s="14" t="n">
        <f aca="false">(parametros_manuales!$D$37*(datos_base!$B$2+IF(parametros_manuales!$H$37="Todos",datos_base!$B$9,0))*parametros_manuales!$J$97+parametros_manuales!$E$37*(datos_base!$B$3+IF(parametros_manuales!$H$37="Todos",datos_base!$B$10,0))*parametros_manuales!$J$102+parametros_manuales!$F$37*(datos_base!$B$4+IF(parametros_manuales!$H$37="Todos",datos_base!$B$11,0))*parametros_manuales!$J$107+parametros_manuales!$G$37*(datos_base!$B$5+IF(parametros_manuales!$H$37="Todos",datos_base!$B$12,0))*parametros_manuales!$J$112)*parametros_manuales!$I$37*parametros_manuales!$J$37</f>
        <v>29.51086069842</v>
      </c>
      <c r="K20" s="14" t="n">
        <f aca="false">(parametros_manuales!$D$37*(datos_base!$B$2+IF(parametros_manuales!$H$37="Todos",datos_base!$B$9,0))*parametros_manuales!$K$97+parametros_manuales!$E$37*(datos_base!$B$3+IF(parametros_manuales!$H$37="Todos",datos_base!$B$10,0))*parametros_manuales!$K$102+parametros_manuales!$F$37*(datos_base!$B$4+IF(parametros_manuales!$H$37="Todos",datos_base!$B$11,0))*parametros_manuales!$K$107+parametros_manuales!$G$37*(datos_base!$B$5+IF(parametros_manuales!$H$37="Todos",datos_base!$B$12,0))*parametros_manuales!$K$112)*parametros_manuales!$I$37*parametros_manuales!$J$37</f>
        <v>30.1800198393525</v>
      </c>
      <c r="L20" s="14" t="n">
        <f aca="false">(parametros_manuales!$D$37*(datos_base!$B$2+IF(parametros_manuales!$H$37="Todos",datos_base!$B$9,0))*parametros_manuales!$L$97+parametros_manuales!$E$37*(datos_base!$B$3+IF(parametros_manuales!$H$37="Todos",datos_base!$B$10,0))*parametros_manuales!$L$102+parametros_manuales!$F$37*(datos_base!$B$4+IF(parametros_manuales!$H$37="Todos",datos_base!$B$11,0))*parametros_manuales!$L$107+parametros_manuales!$G$37*(datos_base!$B$5+IF(parametros_manuales!$H$37="Todos",datos_base!$B$12,0))*parametros_manuales!$L$112)*parametros_manuales!$I$37*parametros_manuales!$J$37</f>
        <v>30.849178980285</v>
      </c>
      <c r="M20" s="14" t="n">
        <f aca="false">(parametros_manuales!$D$37*(datos_base!$B$2+IF(parametros_manuales!$H$37="Todos",datos_base!$B$9,0))*parametros_manuales!$M$97+parametros_manuales!$E$37*(datos_base!$B$3+IF(parametros_manuales!$H$37="Todos",datos_base!$B$10,0))*parametros_manuales!$M$102+parametros_manuales!$F$37*(datos_base!$B$4+IF(parametros_manuales!$H$37="Todos",datos_base!$B$11,0))*parametros_manuales!$M$107+parametros_manuales!$G$37*(datos_base!$B$5+IF(parametros_manuales!$H$37="Todos",datos_base!$B$12,0))*parametros_manuales!$M$112)*parametros_manuales!$I$37*parametros_manuales!$J$37</f>
        <v>30.849178980285</v>
      </c>
      <c r="N20" s="14" t="n">
        <f aca="false">SUM(B20:M20)</f>
        <v>342.7686553365</v>
      </c>
      <c r="O20" s="14" t="n">
        <f aca="false">MAX(B20:M20)</f>
        <v>30.849178980285</v>
      </c>
      <c r="P20" s="57" t="n">
        <f aca="false">O20/(parametros_manuales!$B$7)</f>
        <v>0.2056611932019</v>
      </c>
      <c r="Q20" s="13" t="str">
        <f aca="false">IF(O20=0,"-",INDEX($B$1:$M$1,MATCH(O20,B20:M20,0)))</f>
        <v>Ene</v>
      </c>
    </row>
    <row r="21" customFormat="false" ht="14.25" hidden="false" customHeight="true" outlineLevel="0" collapsed="false">
      <c r="A21" s="13" t="str">
        <f aca="false">parametros_manuales!$B$38</f>
        <v>Pintura en polvo + horno</v>
      </c>
      <c r="B21" s="14" t="n">
        <f aca="false">(parametros_manuales!$D$38*(datos_base!$B$2+IF(parametros_manuales!$H$38="Todos",datos_base!$B$9,0))*parametros_manuales!$B$97+parametros_manuales!$E$38*(datos_base!$B$3+IF(parametros_manuales!$H$38="Todos",datos_base!$B$10,0))*parametros_manuales!$B$102+parametros_manuales!$F$38*(datos_base!$B$4+IF(parametros_manuales!$H$38="Todos",datos_base!$B$11,0))*parametros_manuales!$B$107+parametros_manuales!$G$38*(datos_base!$B$5+IF(parametros_manuales!$H$38="Todos",datos_base!$B$12,0))*parametros_manuales!$B$112)*parametros_manuales!$I$38*parametros_manuales!$J$38</f>
        <v>616.9835796057</v>
      </c>
      <c r="C21" s="14" t="n">
        <f aca="false">(parametros_manuales!$D$38*(datos_base!$B$2+IF(parametros_manuales!$H$38="Todos",datos_base!$B$9,0))*parametros_manuales!$C$97+parametros_manuales!$E$38*(datos_base!$B$3+IF(parametros_manuales!$H$38="Todos",datos_base!$B$10,0))*parametros_manuales!$C$102+parametros_manuales!$F$38*(datos_base!$B$4+IF(parametros_manuales!$H$38="Todos",datos_base!$B$11,0))*parametros_manuales!$C$107+parametros_manuales!$G$38*(datos_base!$B$5+IF(parametros_manuales!$H$38="Todos",datos_base!$B$12,0))*parametros_manuales!$C$112)*parametros_manuales!$I$38*parametros_manuales!$J$38</f>
        <v>590.2172139684</v>
      </c>
      <c r="D21" s="14" t="n">
        <f aca="false">(parametros_manuales!$D$38*(datos_base!$B$2+IF(parametros_manuales!$H$38="Todos",datos_base!$B$9,0))*parametros_manuales!$D$97+parametros_manuales!$E$38*(datos_base!$B$3+IF(parametros_manuales!$H$38="Todos",datos_base!$B$10,0))*parametros_manuales!$D$102+parametros_manuales!$F$38*(datos_base!$B$4+IF(parametros_manuales!$H$38="Todos",datos_base!$B$11,0))*parametros_manuales!$D$107+parametros_manuales!$G$38*(datos_base!$B$5+IF(parametros_manuales!$H$38="Todos",datos_base!$B$12,0))*parametros_manuales!$D$112)*parametros_manuales!$I$38*parametros_manuales!$J$38</f>
        <v>561.81303135705</v>
      </c>
      <c r="E21" s="14" t="n">
        <f aca="false">(parametros_manuales!$D$38*(datos_base!$B$2+IF(parametros_manuales!$H$38="Todos",datos_base!$B$9,0))*parametros_manuales!$E$97+parametros_manuales!$E$38*(datos_base!$B$3+IF(parametros_manuales!$H$38="Todos",datos_base!$B$10,0))*parametros_manuales!$E$102+parametros_manuales!$F$38*(datos_base!$B$4+IF(parametros_manuales!$H$38="Todos",datos_base!$B$11,0))*parametros_manuales!$E$107+parametros_manuales!$G$38*(datos_base!$B$5+IF(parametros_manuales!$H$38="Todos",datos_base!$B$12,0))*parametros_manuales!$E$112)*parametros_manuales!$I$38*parametros_manuales!$J$38</f>
        <v>540.91934864205</v>
      </c>
      <c r="F21" s="14" t="n">
        <f aca="false">(parametros_manuales!$D$38*(datos_base!$B$2+IF(parametros_manuales!$H$38="Todos",datos_base!$B$9,0))*parametros_manuales!$F$97+parametros_manuales!$E$38*(datos_base!$B$3+IF(parametros_manuales!$H$38="Todos",datos_base!$B$10,0))*parametros_manuales!$F$102+parametros_manuales!$F$38*(datos_base!$B$4+IF(parametros_manuales!$H$38="Todos",datos_base!$B$11,0))*parametros_manuales!$F$107+parametros_manuales!$G$38*(datos_base!$B$5+IF(parametros_manuales!$H$38="Todos",datos_base!$B$12,0))*parametros_manuales!$F$112)*parametros_manuales!$I$38*parametros_manuales!$J$38</f>
        <v>506.6424831084</v>
      </c>
      <c r="G21" s="14" t="n">
        <f aca="false">(parametros_manuales!$D$38*(datos_base!$B$2+IF(parametros_manuales!$H$38="Todos",datos_base!$B$9,0))*parametros_manuales!$G$97+parametros_manuales!$E$38*(datos_base!$B$3+IF(parametros_manuales!$H$38="Todos",datos_base!$B$10,0))*parametros_manuales!$G$102+parametros_manuales!$F$38*(datos_base!$B$4+IF(parametros_manuales!$H$38="Todos",datos_base!$B$11,0))*parametros_manuales!$G$107+parametros_manuales!$G$38*(datos_base!$B$5+IF(parametros_manuales!$H$38="Todos",datos_base!$B$12,0))*parametros_manuales!$G$112)*parametros_manuales!$I$38*parametros_manuales!$J$38</f>
        <v>493.25930028975</v>
      </c>
      <c r="H21" s="14" t="n">
        <f aca="false">(parametros_manuales!$D$38*(datos_base!$B$2+IF(parametros_manuales!$H$38="Todos",datos_base!$B$9,0))*parametros_manuales!$H$97+parametros_manuales!$E$38*(datos_base!$B$3+IF(parametros_manuales!$H$38="Todos",datos_base!$B$10,0))*parametros_manuales!$H$102+parametros_manuales!$F$38*(datos_base!$B$4+IF(parametros_manuales!$H$38="Todos",datos_base!$B$11,0))*parametros_manuales!$H$107+parametros_manuales!$G$38*(datos_base!$B$5+IF(parametros_manuales!$H$38="Todos",datos_base!$B$12,0))*parametros_manuales!$H$112)*parametros_manuales!$I$38*parametros_manuales!$J$38</f>
        <v>527.5361658234</v>
      </c>
      <c r="I21" s="14" t="n">
        <f aca="false">(parametros_manuales!$D$38*(datos_base!$B$2+IF(parametros_manuales!$H$38="Todos",datos_base!$B$9,0))*parametros_manuales!$I$97+parametros_manuales!$E$38*(datos_base!$B$3+IF(parametros_manuales!$H$38="Todos",datos_base!$B$10,0))*parametros_manuales!$I$102+parametros_manuales!$F$38*(datos_base!$B$4+IF(parametros_manuales!$H$38="Todos",datos_base!$B$11,0))*parametros_manuales!$I$107+parametros_manuales!$G$38*(datos_base!$B$5+IF(parametros_manuales!$H$38="Todos",datos_base!$B$12,0))*parametros_manuales!$I$112)*parametros_manuales!$I$38*parametros_manuales!$J$38</f>
        <v>590.2172139684</v>
      </c>
      <c r="J21" s="14" t="n">
        <f aca="false">(parametros_manuales!$D$38*(datos_base!$B$2+IF(parametros_manuales!$H$38="Todos",datos_base!$B$9,0))*parametros_manuales!$J$97+parametros_manuales!$E$38*(datos_base!$B$3+IF(parametros_manuales!$H$38="Todos",datos_base!$B$10,0))*parametros_manuales!$J$102+parametros_manuales!$F$38*(datos_base!$B$4+IF(parametros_manuales!$H$38="Todos",datos_base!$B$11,0))*parametros_manuales!$J$107+parametros_manuales!$G$38*(datos_base!$B$5+IF(parametros_manuales!$H$38="Todos",datos_base!$B$12,0))*parametros_manuales!$J$112)*parametros_manuales!$I$38*parametros_manuales!$J$38</f>
        <v>590.2172139684</v>
      </c>
      <c r="K21" s="14" t="n">
        <f aca="false">(parametros_manuales!$D$38*(datos_base!$B$2+IF(parametros_manuales!$H$38="Todos",datos_base!$B$9,0))*parametros_manuales!$K$97+parametros_manuales!$E$38*(datos_base!$B$3+IF(parametros_manuales!$H$38="Todos",datos_base!$B$10,0))*parametros_manuales!$K$102+parametros_manuales!$F$38*(datos_base!$B$4+IF(parametros_manuales!$H$38="Todos",datos_base!$B$11,0))*parametros_manuales!$K$107+parametros_manuales!$G$38*(datos_base!$B$5+IF(parametros_manuales!$H$38="Todos",datos_base!$B$12,0))*parametros_manuales!$K$112)*parametros_manuales!$I$38*parametros_manuales!$J$38</f>
        <v>603.60039678705</v>
      </c>
      <c r="L21" s="14" t="n">
        <f aca="false">(parametros_manuales!$D$38*(datos_base!$B$2+IF(parametros_manuales!$H$38="Todos",datos_base!$B$9,0))*parametros_manuales!$L$97+parametros_manuales!$E$38*(datos_base!$B$3+IF(parametros_manuales!$H$38="Todos",datos_base!$B$10,0))*parametros_manuales!$L$102+parametros_manuales!$F$38*(datos_base!$B$4+IF(parametros_manuales!$H$38="Todos",datos_base!$B$11,0))*parametros_manuales!$L$107+parametros_manuales!$G$38*(datos_base!$B$5+IF(parametros_manuales!$H$38="Todos",datos_base!$B$12,0))*parametros_manuales!$L$112)*parametros_manuales!$I$38*parametros_manuales!$J$38</f>
        <v>616.9835796057</v>
      </c>
      <c r="M21" s="14" t="n">
        <f aca="false">(parametros_manuales!$D$38*(datos_base!$B$2+IF(parametros_manuales!$H$38="Todos",datos_base!$B$9,0))*parametros_manuales!$M$97+parametros_manuales!$E$38*(datos_base!$B$3+IF(parametros_manuales!$H$38="Todos",datos_base!$B$10,0))*parametros_manuales!$M$102+parametros_manuales!$F$38*(datos_base!$B$4+IF(parametros_manuales!$H$38="Todos",datos_base!$B$11,0))*parametros_manuales!$M$107+parametros_manuales!$G$38*(datos_base!$B$5+IF(parametros_manuales!$H$38="Todos",datos_base!$B$12,0))*parametros_manuales!$M$112)*parametros_manuales!$I$38*parametros_manuales!$J$38</f>
        <v>616.9835796057</v>
      </c>
      <c r="N21" s="14" t="n">
        <f aca="false">SUM(B21:M21)</f>
        <v>6855.37310673</v>
      </c>
      <c r="O21" s="14" t="n">
        <f aca="false">MAX(B21:M21)</f>
        <v>616.9835796057</v>
      </c>
      <c r="P21" s="57" t="n">
        <f aca="false">O21/(parametros_manuales!$B$7)</f>
        <v>4.113223864038</v>
      </c>
      <c r="Q21" s="13" t="str">
        <f aca="false">IF(O21=0,"-",INDEX($B$1:$M$1,MATCH(O21,B21:M21,0)))</f>
        <v>Ene</v>
      </c>
    </row>
    <row r="22" customFormat="false" ht="14.25" hidden="false" customHeight="true" outlineLevel="0" collapsed="false">
      <c r="A22" s="13" t="str">
        <f aca="false">parametros_manuales!$B$39</f>
        <v>Carga de polvo</v>
      </c>
      <c r="B22" s="14" t="n">
        <f aca="false">(parametros_manuales!$D$39*(datos_base!$B$2+IF(parametros_manuales!$H$39="Todos",datos_base!$B$9,0))*parametros_manuales!$B$97+parametros_manuales!$E$39*(datos_base!$B$3+IF(parametros_manuales!$H$39="Todos",datos_base!$B$10,0))*parametros_manuales!$B$102+parametros_manuales!$F$39*(datos_base!$B$4+IF(parametros_manuales!$H$39="Todos",datos_base!$B$11,0))*parametros_manuales!$B$107+parametros_manuales!$G$39*(datos_base!$B$5+IF(parametros_manuales!$H$39="Todos",datos_base!$B$12,0))*parametros_manuales!$B$112)*parametros_manuales!$I$39*parametros_manuales!$J$39</f>
        <v>615.0035796057</v>
      </c>
      <c r="C22" s="14" t="n">
        <f aca="false">(parametros_manuales!$D$39*(datos_base!$B$2+IF(parametros_manuales!$H$39="Todos",datos_base!$B$9,0))*parametros_manuales!$C$97+parametros_manuales!$E$39*(datos_base!$B$3+IF(parametros_manuales!$H$39="Todos",datos_base!$B$10,0))*parametros_manuales!$C$102+parametros_manuales!$F$39*(datos_base!$B$4+IF(parametros_manuales!$H$39="Todos",datos_base!$B$11,0))*parametros_manuales!$C$107+parametros_manuales!$G$39*(datos_base!$B$5+IF(parametros_manuales!$H$39="Todos",datos_base!$B$12,0))*parametros_manuales!$C$112)*parametros_manuales!$I$39*parametros_manuales!$J$39</f>
        <v>588.4572139684</v>
      </c>
      <c r="D22" s="14" t="n">
        <f aca="false">(parametros_manuales!$D$39*(datos_base!$B$2+IF(parametros_manuales!$H$39="Todos",datos_base!$B$9,0))*parametros_manuales!$D$97+parametros_manuales!$E$39*(datos_base!$B$3+IF(parametros_manuales!$H$39="Todos",datos_base!$B$10,0))*parametros_manuales!$D$102+parametros_manuales!$F$39*(datos_base!$B$4+IF(parametros_manuales!$H$39="Todos",datos_base!$B$11,0))*parametros_manuales!$D$107+parametros_manuales!$G$39*(datos_base!$B$5+IF(parametros_manuales!$H$39="Todos",datos_base!$B$12,0))*parametros_manuales!$D$112)*parametros_manuales!$I$39*parametros_manuales!$J$39</f>
        <v>559.94303135705</v>
      </c>
      <c r="E22" s="14" t="n">
        <f aca="false">(parametros_manuales!$D$39*(datos_base!$B$2+IF(parametros_manuales!$H$39="Todos",datos_base!$B$9,0))*parametros_manuales!$E$97+parametros_manuales!$E$39*(datos_base!$B$3+IF(parametros_manuales!$H$39="Todos",datos_base!$B$10,0))*parametros_manuales!$E$102+parametros_manuales!$F$39*(datos_base!$B$4+IF(parametros_manuales!$H$39="Todos",datos_base!$B$11,0))*parametros_manuales!$E$107+parametros_manuales!$G$39*(datos_base!$B$5+IF(parametros_manuales!$H$39="Todos",datos_base!$B$12,0))*parametros_manuales!$E$112)*parametros_manuales!$I$39*parametros_manuales!$J$39</f>
        <v>539.04934864205</v>
      </c>
      <c r="F22" s="14" t="n">
        <f aca="false">(parametros_manuales!$D$39*(datos_base!$B$2+IF(parametros_manuales!$H$39="Todos",datos_base!$B$9,0))*parametros_manuales!$F$97+parametros_manuales!$E$39*(datos_base!$B$3+IF(parametros_manuales!$H$39="Todos",datos_base!$B$10,0))*parametros_manuales!$F$102+parametros_manuales!$F$39*(datos_base!$B$4+IF(parametros_manuales!$H$39="Todos",datos_base!$B$11,0))*parametros_manuales!$F$107+parametros_manuales!$G$39*(datos_base!$B$5+IF(parametros_manuales!$H$39="Todos",datos_base!$B$12,0))*parametros_manuales!$F$112)*parametros_manuales!$I$39*parametros_manuales!$J$39</f>
        <v>504.8824831084</v>
      </c>
      <c r="G22" s="14" t="n">
        <f aca="false">(parametros_manuales!$D$39*(datos_base!$B$2+IF(parametros_manuales!$H$39="Todos",datos_base!$B$9,0))*parametros_manuales!$G$97+parametros_manuales!$E$39*(datos_base!$B$3+IF(parametros_manuales!$H$39="Todos",datos_base!$B$10,0))*parametros_manuales!$G$102+parametros_manuales!$F$39*(datos_base!$B$4+IF(parametros_manuales!$H$39="Todos",datos_base!$B$11,0))*parametros_manuales!$G$107+parametros_manuales!$G$39*(datos_base!$B$5+IF(parametros_manuales!$H$39="Todos",datos_base!$B$12,0))*parametros_manuales!$G$112)*parametros_manuales!$I$39*parametros_manuales!$J$39</f>
        <v>491.60930028975</v>
      </c>
      <c r="H22" s="14" t="n">
        <f aca="false">(parametros_manuales!$D$39*(datos_base!$B$2+IF(parametros_manuales!$H$39="Todos",datos_base!$B$9,0))*parametros_manuales!$H$97+parametros_manuales!$E$39*(datos_base!$B$3+IF(parametros_manuales!$H$39="Todos",datos_base!$B$10,0))*parametros_manuales!$H$102+parametros_manuales!$F$39*(datos_base!$B$4+IF(parametros_manuales!$H$39="Todos",datos_base!$B$11,0))*parametros_manuales!$H$107+parametros_manuales!$G$39*(datos_base!$B$5+IF(parametros_manuales!$H$39="Todos",datos_base!$B$12,0))*parametros_manuales!$H$112)*parametros_manuales!$I$39*parametros_manuales!$J$39</f>
        <v>525.7761658234</v>
      </c>
      <c r="I22" s="14" t="n">
        <f aca="false">(parametros_manuales!$D$39*(datos_base!$B$2+IF(parametros_manuales!$H$39="Todos",datos_base!$B$9,0))*parametros_manuales!$I$97+parametros_manuales!$E$39*(datos_base!$B$3+IF(parametros_manuales!$H$39="Todos",datos_base!$B$10,0))*parametros_manuales!$I$102+parametros_manuales!$F$39*(datos_base!$B$4+IF(parametros_manuales!$H$39="Todos",datos_base!$B$11,0))*parametros_manuales!$I$107+parametros_manuales!$G$39*(datos_base!$B$5+IF(parametros_manuales!$H$39="Todos",datos_base!$B$12,0))*parametros_manuales!$I$112)*parametros_manuales!$I$39*parametros_manuales!$J$39</f>
        <v>588.4572139684</v>
      </c>
      <c r="J22" s="14" t="n">
        <f aca="false">(parametros_manuales!$D$39*(datos_base!$B$2+IF(parametros_manuales!$H$39="Todos",datos_base!$B$9,0))*parametros_manuales!$J$97+parametros_manuales!$E$39*(datos_base!$B$3+IF(parametros_manuales!$H$39="Todos",datos_base!$B$10,0))*parametros_manuales!$J$102+parametros_manuales!$F$39*(datos_base!$B$4+IF(parametros_manuales!$H$39="Todos",datos_base!$B$11,0))*parametros_manuales!$J$107+parametros_manuales!$G$39*(datos_base!$B$5+IF(parametros_manuales!$H$39="Todos",datos_base!$B$12,0))*parametros_manuales!$J$112)*parametros_manuales!$I$39*parametros_manuales!$J$39</f>
        <v>588.4572139684</v>
      </c>
      <c r="K22" s="14" t="n">
        <f aca="false">(parametros_manuales!$D$39*(datos_base!$B$2+IF(parametros_manuales!$H$39="Todos",datos_base!$B$9,0))*parametros_manuales!$K$97+parametros_manuales!$E$39*(datos_base!$B$3+IF(parametros_manuales!$H$39="Todos",datos_base!$B$10,0))*parametros_manuales!$K$102+parametros_manuales!$F$39*(datos_base!$B$4+IF(parametros_manuales!$H$39="Todos",datos_base!$B$11,0))*parametros_manuales!$K$107+parametros_manuales!$G$39*(datos_base!$B$5+IF(parametros_manuales!$H$39="Todos",datos_base!$B$12,0))*parametros_manuales!$K$112)*parametros_manuales!$I$39*parametros_manuales!$J$39</f>
        <v>601.73039678705</v>
      </c>
      <c r="L22" s="14" t="n">
        <f aca="false">(parametros_manuales!$D$39*(datos_base!$B$2+IF(parametros_manuales!$H$39="Todos",datos_base!$B$9,0))*parametros_manuales!$L$97+parametros_manuales!$E$39*(datos_base!$B$3+IF(parametros_manuales!$H$39="Todos",datos_base!$B$10,0))*parametros_manuales!$L$102+parametros_manuales!$F$39*(datos_base!$B$4+IF(parametros_manuales!$H$39="Todos",datos_base!$B$11,0))*parametros_manuales!$L$107+parametros_manuales!$G$39*(datos_base!$B$5+IF(parametros_manuales!$H$39="Todos",datos_base!$B$12,0))*parametros_manuales!$L$112)*parametros_manuales!$I$39*parametros_manuales!$J$39</f>
        <v>615.0035796057</v>
      </c>
      <c r="M22" s="14" t="n">
        <f aca="false">(parametros_manuales!$D$39*(datos_base!$B$2+IF(parametros_manuales!$H$39="Todos",datos_base!$B$9,0))*parametros_manuales!$M$97+parametros_manuales!$E$39*(datos_base!$B$3+IF(parametros_manuales!$H$39="Todos",datos_base!$B$10,0))*parametros_manuales!$M$102+parametros_manuales!$F$39*(datos_base!$B$4+IF(parametros_manuales!$H$39="Todos",datos_base!$B$11,0))*parametros_manuales!$M$107+parametros_manuales!$G$39*(datos_base!$B$5+IF(parametros_manuales!$H$39="Todos",datos_base!$B$12,0))*parametros_manuales!$M$112)*parametros_manuales!$I$39*parametros_manuales!$J$39</f>
        <v>615.0035796057</v>
      </c>
      <c r="N22" s="14" t="n">
        <f aca="false">SUM(B22:M22)</f>
        <v>6833.37310673</v>
      </c>
      <c r="O22" s="14" t="n">
        <f aca="false">MAX(B22:M22)</f>
        <v>615.0035796057</v>
      </c>
      <c r="P22" s="57" t="n">
        <f aca="false">O22/(parametros_manuales!$B$7)</f>
        <v>4.100023864038</v>
      </c>
      <c r="Q22" s="13" t="str">
        <f aca="false">IF(O22=0,"-",INDEX($B$1:$M$1,MATCH(O22,B22:M22,0)))</f>
        <v>Ene</v>
      </c>
    </row>
    <row r="23" customFormat="false" ht="14.25" hidden="false" customHeight="true" outlineLevel="0" collapsed="false">
      <c r="A23" s="13" t="str">
        <f aca="false">parametros_manuales!$B$40</f>
        <v>Ensamblaje</v>
      </c>
      <c r="B23" s="14" t="n">
        <f aca="false">(parametros_manuales!$D$40*(datos_base!$B$2+IF(parametros_manuales!$H$40="Todos",datos_base!$B$9,0))*parametros_manuales!$B$97+parametros_manuales!$E$40*(datos_base!$B$3+IF(parametros_manuales!$H$40="Todos",datos_base!$B$10,0))*parametros_manuales!$B$102+parametros_manuales!$F$40*(datos_base!$B$4+IF(parametros_manuales!$H$40="Todos",datos_base!$B$11,0))*parametros_manuales!$B$107+parametros_manuales!$G$40*(datos_base!$B$5+IF(parametros_manuales!$H$40="Todos",datos_base!$B$12,0))*parametros_manuales!$B$112)*parametros_manuales!$I$40*parametros_manuales!$J$40</f>
        <v>615.0035796057</v>
      </c>
      <c r="C23" s="14" t="n">
        <f aca="false">(parametros_manuales!$D$40*(datos_base!$B$2+IF(parametros_manuales!$H$40="Todos",datos_base!$B$9,0))*parametros_manuales!$C$97+parametros_manuales!$E$40*(datos_base!$B$3+IF(parametros_manuales!$H$40="Todos",datos_base!$B$10,0))*parametros_manuales!$C$102+parametros_manuales!$F$40*(datos_base!$B$4+IF(parametros_manuales!$H$40="Todos",datos_base!$B$11,0))*parametros_manuales!$C$107+parametros_manuales!$G$40*(datos_base!$B$5+IF(parametros_manuales!$H$40="Todos",datos_base!$B$12,0))*parametros_manuales!$C$112)*parametros_manuales!$I$40*parametros_manuales!$J$40</f>
        <v>588.4572139684</v>
      </c>
      <c r="D23" s="14" t="n">
        <f aca="false">(parametros_manuales!$D$40*(datos_base!$B$2+IF(parametros_manuales!$H$40="Todos",datos_base!$B$9,0))*parametros_manuales!$D$97+parametros_manuales!$E$40*(datos_base!$B$3+IF(parametros_manuales!$H$40="Todos",datos_base!$B$10,0))*parametros_manuales!$D$102+parametros_manuales!$F$40*(datos_base!$B$4+IF(parametros_manuales!$H$40="Todos",datos_base!$B$11,0))*parametros_manuales!$D$107+parametros_manuales!$G$40*(datos_base!$B$5+IF(parametros_manuales!$H$40="Todos",datos_base!$B$12,0))*parametros_manuales!$D$112)*parametros_manuales!$I$40*parametros_manuales!$J$40</f>
        <v>559.94303135705</v>
      </c>
      <c r="E23" s="14" t="n">
        <f aca="false">(parametros_manuales!$D$40*(datos_base!$B$2+IF(parametros_manuales!$H$40="Todos",datos_base!$B$9,0))*parametros_manuales!$E$97+parametros_manuales!$E$40*(datos_base!$B$3+IF(parametros_manuales!$H$40="Todos",datos_base!$B$10,0))*parametros_manuales!$E$102+parametros_manuales!$F$40*(datos_base!$B$4+IF(parametros_manuales!$H$40="Todos",datos_base!$B$11,0))*parametros_manuales!$E$107+parametros_manuales!$G$40*(datos_base!$B$5+IF(parametros_manuales!$H$40="Todos",datos_base!$B$12,0))*parametros_manuales!$E$112)*parametros_manuales!$I$40*parametros_manuales!$J$40</f>
        <v>539.04934864205</v>
      </c>
      <c r="F23" s="14" t="n">
        <f aca="false">(parametros_manuales!$D$40*(datos_base!$B$2+IF(parametros_manuales!$H$40="Todos",datos_base!$B$9,0))*parametros_manuales!$F$97+parametros_manuales!$E$40*(datos_base!$B$3+IF(parametros_manuales!$H$40="Todos",datos_base!$B$10,0))*parametros_manuales!$F$102+parametros_manuales!$F$40*(datos_base!$B$4+IF(parametros_manuales!$H$40="Todos",datos_base!$B$11,0))*parametros_manuales!$F$107+parametros_manuales!$G$40*(datos_base!$B$5+IF(parametros_manuales!$H$40="Todos",datos_base!$B$12,0))*parametros_manuales!$F$112)*parametros_manuales!$I$40*parametros_manuales!$J$40</f>
        <v>504.8824831084</v>
      </c>
      <c r="G23" s="14" t="n">
        <f aca="false">(parametros_manuales!$D$40*(datos_base!$B$2+IF(parametros_manuales!$H$40="Todos",datos_base!$B$9,0))*parametros_manuales!$G$97+parametros_manuales!$E$40*(datos_base!$B$3+IF(parametros_manuales!$H$40="Todos",datos_base!$B$10,0))*parametros_manuales!$G$102+parametros_manuales!$F$40*(datos_base!$B$4+IF(parametros_manuales!$H$40="Todos",datos_base!$B$11,0))*parametros_manuales!$G$107+parametros_manuales!$G$40*(datos_base!$B$5+IF(parametros_manuales!$H$40="Todos",datos_base!$B$12,0))*parametros_manuales!$G$112)*parametros_manuales!$I$40*parametros_manuales!$J$40</f>
        <v>491.60930028975</v>
      </c>
      <c r="H23" s="14" t="n">
        <f aca="false">(parametros_manuales!$D$40*(datos_base!$B$2+IF(parametros_manuales!$H$40="Todos",datos_base!$B$9,0))*parametros_manuales!$H$97+parametros_manuales!$E$40*(datos_base!$B$3+IF(parametros_manuales!$H$40="Todos",datos_base!$B$10,0))*parametros_manuales!$H$102+parametros_manuales!$F$40*(datos_base!$B$4+IF(parametros_manuales!$H$40="Todos",datos_base!$B$11,0))*parametros_manuales!$H$107+parametros_manuales!$G$40*(datos_base!$B$5+IF(parametros_manuales!$H$40="Todos",datos_base!$B$12,0))*parametros_manuales!$H$112)*parametros_manuales!$I$40*parametros_manuales!$J$40</f>
        <v>525.7761658234</v>
      </c>
      <c r="I23" s="14" t="n">
        <f aca="false">(parametros_manuales!$D$40*(datos_base!$B$2+IF(parametros_manuales!$H$40="Todos",datos_base!$B$9,0))*parametros_manuales!$I$97+parametros_manuales!$E$40*(datos_base!$B$3+IF(parametros_manuales!$H$40="Todos",datos_base!$B$10,0))*parametros_manuales!$I$102+parametros_manuales!$F$40*(datos_base!$B$4+IF(parametros_manuales!$H$40="Todos",datos_base!$B$11,0))*parametros_manuales!$I$107+parametros_manuales!$G$40*(datos_base!$B$5+IF(parametros_manuales!$H$40="Todos",datos_base!$B$12,0))*parametros_manuales!$I$112)*parametros_manuales!$I$40*parametros_manuales!$J$40</f>
        <v>588.4572139684</v>
      </c>
      <c r="J23" s="14" t="n">
        <f aca="false">(parametros_manuales!$D$40*(datos_base!$B$2+IF(parametros_manuales!$H$40="Todos",datos_base!$B$9,0))*parametros_manuales!$J$97+parametros_manuales!$E$40*(datos_base!$B$3+IF(parametros_manuales!$H$40="Todos",datos_base!$B$10,0))*parametros_manuales!$J$102+parametros_manuales!$F$40*(datos_base!$B$4+IF(parametros_manuales!$H$40="Todos",datos_base!$B$11,0))*parametros_manuales!$J$107+parametros_manuales!$G$40*(datos_base!$B$5+IF(parametros_manuales!$H$40="Todos",datos_base!$B$12,0))*parametros_manuales!$J$112)*parametros_manuales!$I$40*parametros_manuales!$J$40</f>
        <v>588.4572139684</v>
      </c>
      <c r="K23" s="14" t="n">
        <f aca="false">(parametros_manuales!$D$40*(datos_base!$B$2+IF(parametros_manuales!$H$40="Todos",datos_base!$B$9,0))*parametros_manuales!$K$97+parametros_manuales!$E$40*(datos_base!$B$3+IF(parametros_manuales!$H$40="Todos",datos_base!$B$10,0))*parametros_manuales!$K$102+parametros_manuales!$F$40*(datos_base!$B$4+IF(parametros_manuales!$H$40="Todos",datos_base!$B$11,0))*parametros_manuales!$K$107+parametros_manuales!$G$40*(datos_base!$B$5+IF(parametros_manuales!$H$40="Todos",datos_base!$B$12,0))*parametros_manuales!$K$112)*parametros_manuales!$I$40*parametros_manuales!$J$40</f>
        <v>601.73039678705</v>
      </c>
      <c r="L23" s="14" t="n">
        <f aca="false">(parametros_manuales!$D$40*(datos_base!$B$2+IF(parametros_manuales!$H$40="Todos",datos_base!$B$9,0))*parametros_manuales!$L$97+parametros_manuales!$E$40*(datos_base!$B$3+IF(parametros_manuales!$H$40="Todos",datos_base!$B$10,0))*parametros_manuales!$L$102+parametros_manuales!$F$40*(datos_base!$B$4+IF(parametros_manuales!$H$40="Todos",datos_base!$B$11,0))*parametros_manuales!$L$107+parametros_manuales!$G$40*(datos_base!$B$5+IF(parametros_manuales!$H$40="Todos",datos_base!$B$12,0))*parametros_manuales!$L$112)*parametros_manuales!$I$40*parametros_manuales!$J$40</f>
        <v>615.0035796057</v>
      </c>
      <c r="M23" s="14" t="n">
        <f aca="false">(parametros_manuales!$D$40*(datos_base!$B$2+IF(parametros_manuales!$H$40="Todos",datos_base!$B$9,0))*parametros_manuales!$M$97+parametros_manuales!$E$40*(datos_base!$B$3+IF(parametros_manuales!$H$40="Todos",datos_base!$B$10,0))*parametros_manuales!$M$102+parametros_manuales!$F$40*(datos_base!$B$4+IF(parametros_manuales!$H$40="Todos",datos_base!$B$11,0))*parametros_manuales!$M$107+parametros_manuales!$G$40*(datos_base!$B$5+IF(parametros_manuales!$H$40="Todos",datos_base!$B$12,0))*parametros_manuales!$M$112)*parametros_manuales!$I$40*parametros_manuales!$J$40</f>
        <v>615.0035796057</v>
      </c>
      <c r="N23" s="14" t="n">
        <f aca="false">SUM(B23:M23)</f>
        <v>6833.37310673</v>
      </c>
      <c r="O23" s="14" t="n">
        <f aca="false">MAX(B23:M23)</f>
        <v>615.0035796057</v>
      </c>
      <c r="P23" s="57" t="n">
        <f aca="false">O23/(parametros_manuales!$B$7)</f>
        <v>4.100023864038</v>
      </c>
      <c r="Q23" s="13" t="str">
        <f aca="false">IF(O23=0,"-",INDEX($B$1:$M$1,MATCH(O23,B23:M23,0)))</f>
        <v>Ene</v>
      </c>
    </row>
    <row r="24" customFormat="false" ht="14.25" hidden="false" customHeight="true" outlineLevel="0" collapsed="false">
      <c r="A24" s="13" t="str">
        <f aca="false">parametros_manuales!$B$41</f>
        <v>Presurización</v>
      </c>
      <c r="B24" s="14" t="n">
        <f aca="false">(parametros_manuales!$D$41*(datos_base!$B$2+IF(parametros_manuales!$H$41="Todos",datos_base!$B$9,0))*parametros_manuales!$B$97+parametros_manuales!$E$41*(datos_base!$B$3+IF(parametros_manuales!$H$41="Todos",datos_base!$B$10,0))*parametros_manuales!$B$102+parametros_manuales!$F$41*(datos_base!$B$4+IF(parametros_manuales!$H$41="Todos",datos_base!$B$11,0))*parametros_manuales!$B$107+parametros_manuales!$G$41*(datos_base!$B$5+IF(parametros_manuales!$H$41="Todos",datos_base!$B$12,0))*parametros_manuales!$B$112)*parametros_manuales!$I$41*parametros_manuales!$J$41</f>
        <v>615.0035796057</v>
      </c>
      <c r="C24" s="14" t="n">
        <f aca="false">(parametros_manuales!$D$41*(datos_base!$B$2+IF(parametros_manuales!$H$41="Todos",datos_base!$B$9,0))*parametros_manuales!$C$97+parametros_manuales!$E$41*(datos_base!$B$3+IF(parametros_manuales!$H$41="Todos",datos_base!$B$10,0))*parametros_manuales!$C$102+parametros_manuales!$F$41*(datos_base!$B$4+IF(parametros_manuales!$H$41="Todos",datos_base!$B$11,0))*parametros_manuales!$C$107+parametros_manuales!$G$41*(datos_base!$B$5+IF(parametros_manuales!$H$41="Todos",datos_base!$B$12,0))*parametros_manuales!$C$112)*parametros_manuales!$I$41*parametros_manuales!$J$41</f>
        <v>588.4572139684</v>
      </c>
      <c r="D24" s="14" t="n">
        <f aca="false">(parametros_manuales!$D$41*(datos_base!$B$2+IF(parametros_manuales!$H$41="Todos",datos_base!$B$9,0))*parametros_manuales!$D$97+parametros_manuales!$E$41*(datos_base!$B$3+IF(parametros_manuales!$H$41="Todos",datos_base!$B$10,0))*parametros_manuales!$D$102+parametros_manuales!$F$41*(datos_base!$B$4+IF(parametros_manuales!$H$41="Todos",datos_base!$B$11,0))*parametros_manuales!$D$107+parametros_manuales!$G$41*(datos_base!$B$5+IF(parametros_manuales!$H$41="Todos",datos_base!$B$12,0))*parametros_manuales!$D$112)*parametros_manuales!$I$41*parametros_manuales!$J$41</f>
        <v>559.94303135705</v>
      </c>
      <c r="E24" s="14" t="n">
        <f aca="false">(parametros_manuales!$D$41*(datos_base!$B$2+IF(parametros_manuales!$H$41="Todos",datos_base!$B$9,0))*parametros_manuales!$E$97+parametros_manuales!$E$41*(datos_base!$B$3+IF(parametros_manuales!$H$41="Todos",datos_base!$B$10,0))*parametros_manuales!$E$102+parametros_manuales!$F$41*(datos_base!$B$4+IF(parametros_manuales!$H$41="Todos",datos_base!$B$11,0))*parametros_manuales!$E$107+parametros_manuales!$G$41*(datos_base!$B$5+IF(parametros_manuales!$H$41="Todos",datos_base!$B$12,0))*parametros_manuales!$E$112)*parametros_manuales!$I$41*parametros_manuales!$J$41</f>
        <v>539.04934864205</v>
      </c>
      <c r="F24" s="14" t="n">
        <f aca="false">(parametros_manuales!$D$41*(datos_base!$B$2+IF(parametros_manuales!$H$41="Todos",datos_base!$B$9,0))*parametros_manuales!$F$97+parametros_manuales!$E$41*(datos_base!$B$3+IF(parametros_manuales!$H$41="Todos",datos_base!$B$10,0))*parametros_manuales!$F$102+parametros_manuales!$F$41*(datos_base!$B$4+IF(parametros_manuales!$H$41="Todos",datos_base!$B$11,0))*parametros_manuales!$F$107+parametros_manuales!$G$41*(datos_base!$B$5+IF(parametros_manuales!$H$41="Todos",datos_base!$B$12,0))*parametros_manuales!$F$112)*parametros_manuales!$I$41*parametros_manuales!$J$41</f>
        <v>504.8824831084</v>
      </c>
      <c r="G24" s="14" t="n">
        <f aca="false">(parametros_manuales!$D$41*(datos_base!$B$2+IF(parametros_manuales!$H$41="Todos",datos_base!$B$9,0))*parametros_manuales!$G$97+parametros_manuales!$E$41*(datos_base!$B$3+IF(parametros_manuales!$H$41="Todos",datos_base!$B$10,0))*parametros_manuales!$G$102+parametros_manuales!$F$41*(datos_base!$B$4+IF(parametros_manuales!$H$41="Todos",datos_base!$B$11,0))*parametros_manuales!$G$107+parametros_manuales!$G$41*(datos_base!$B$5+IF(parametros_manuales!$H$41="Todos",datos_base!$B$12,0))*parametros_manuales!$G$112)*parametros_manuales!$I$41*parametros_manuales!$J$41</f>
        <v>491.60930028975</v>
      </c>
      <c r="H24" s="14" t="n">
        <f aca="false">(parametros_manuales!$D$41*(datos_base!$B$2+IF(parametros_manuales!$H$41="Todos",datos_base!$B$9,0))*parametros_manuales!$H$97+parametros_manuales!$E$41*(datos_base!$B$3+IF(parametros_manuales!$H$41="Todos",datos_base!$B$10,0))*parametros_manuales!$H$102+parametros_manuales!$F$41*(datos_base!$B$4+IF(parametros_manuales!$H$41="Todos",datos_base!$B$11,0))*parametros_manuales!$H$107+parametros_manuales!$G$41*(datos_base!$B$5+IF(parametros_manuales!$H$41="Todos",datos_base!$B$12,0))*parametros_manuales!$H$112)*parametros_manuales!$I$41*parametros_manuales!$J$41</f>
        <v>525.7761658234</v>
      </c>
      <c r="I24" s="14" t="n">
        <f aca="false">(parametros_manuales!$D$41*(datos_base!$B$2+IF(parametros_manuales!$H$41="Todos",datos_base!$B$9,0))*parametros_manuales!$I$97+parametros_manuales!$E$41*(datos_base!$B$3+IF(parametros_manuales!$H$41="Todos",datos_base!$B$10,0))*parametros_manuales!$I$102+parametros_manuales!$F$41*(datos_base!$B$4+IF(parametros_manuales!$H$41="Todos",datos_base!$B$11,0))*parametros_manuales!$I$107+parametros_manuales!$G$41*(datos_base!$B$5+IF(parametros_manuales!$H$41="Todos",datos_base!$B$12,0))*parametros_manuales!$I$112)*parametros_manuales!$I$41*parametros_manuales!$J$41</f>
        <v>588.4572139684</v>
      </c>
      <c r="J24" s="14" t="n">
        <f aca="false">(parametros_manuales!$D$41*(datos_base!$B$2+IF(parametros_manuales!$H$41="Todos",datos_base!$B$9,0))*parametros_manuales!$J$97+parametros_manuales!$E$41*(datos_base!$B$3+IF(parametros_manuales!$H$41="Todos",datos_base!$B$10,0))*parametros_manuales!$J$102+parametros_manuales!$F$41*(datos_base!$B$4+IF(parametros_manuales!$H$41="Todos",datos_base!$B$11,0))*parametros_manuales!$J$107+parametros_manuales!$G$41*(datos_base!$B$5+IF(parametros_manuales!$H$41="Todos",datos_base!$B$12,0))*parametros_manuales!$J$112)*parametros_manuales!$I$41*parametros_manuales!$J$41</f>
        <v>588.4572139684</v>
      </c>
      <c r="K24" s="14" t="n">
        <f aca="false">(parametros_manuales!$D$41*(datos_base!$B$2+IF(parametros_manuales!$H$41="Todos",datos_base!$B$9,0))*parametros_manuales!$K$97+parametros_manuales!$E$41*(datos_base!$B$3+IF(parametros_manuales!$H$41="Todos",datos_base!$B$10,0))*parametros_manuales!$K$102+parametros_manuales!$F$41*(datos_base!$B$4+IF(parametros_manuales!$H$41="Todos",datos_base!$B$11,0))*parametros_manuales!$K$107+parametros_manuales!$G$41*(datos_base!$B$5+IF(parametros_manuales!$H$41="Todos",datos_base!$B$12,0))*parametros_manuales!$K$112)*parametros_manuales!$I$41*parametros_manuales!$J$41</f>
        <v>601.73039678705</v>
      </c>
      <c r="L24" s="14" t="n">
        <f aca="false">(parametros_manuales!$D$41*(datos_base!$B$2+IF(parametros_manuales!$H$41="Todos",datos_base!$B$9,0))*parametros_manuales!$L$97+parametros_manuales!$E$41*(datos_base!$B$3+IF(parametros_manuales!$H$41="Todos",datos_base!$B$10,0))*parametros_manuales!$L$102+parametros_manuales!$F$41*(datos_base!$B$4+IF(parametros_manuales!$H$41="Todos",datos_base!$B$11,0))*parametros_manuales!$L$107+parametros_manuales!$G$41*(datos_base!$B$5+IF(parametros_manuales!$H$41="Todos",datos_base!$B$12,0))*parametros_manuales!$L$112)*parametros_manuales!$I$41*parametros_manuales!$J$41</f>
        <v>615.0035796057</v>
      </c>
      <c r="M24" s="14" t="n">
        <f aca="false">(parametros_manuales!$D$41*(datos_base!$B$2+IF(parametros_manuales!$H$41="Todos",datos_base!$B$9,0))*parametros_manuales!$M$97+parametros_manuales!$E$41*(datos_base!$B$3+IF(parametros_manuales!$H$41="Todos",datos_base!$B$10,0))*parametros_manuales!$M$102+parametros_manuales!$F$41*(datos_base!$B$4+IF(parametros_manuales!$H$41="Todos",datos_base!$B$11,0))*parametros_manuales!$M$107+parametros_manuales!$G$41*(datos_base!$B$5+IF(parametros_manuales!$H$41="Todos",datos_base!$B$12,0))*parametros_manuales!$M$112)*parametros_manuales!$I$41*parametros_manuales!$J$41</f>
        <v>615.0035796057</v>
      </c>
      <c r="N24" s="14" t="n">
        <f aca="false">SUM(B24:M24)</f>
        <v>6833.37310673</v>
      </c>
      <c r="O24" s="14" t="n">
        <f aca="false">MAX(B24:M24)</f>
        <v>615.0035796057</v>
      </c>
      <c r="P24" s="57" t="n">
        <f aca="false">O24/(parametros_manuales!$B$7)</f>
        <v>4.100023864038</v>
      </c>
      <c r="Q24" s="13" t="str">
        <f aca="false">IF(O24=0,"-",INDEX($B$1:$M$1,MATCH(O24,B24:M24,0)))</f>
        <v>Ene</v>
      </c>
    </row>
    <row r="25" customFormat="false" ht="14.25" hidden="false" customHeight="true" outlineLevel="0" collapsed="false">
      <c r="A25" s="13" t="str">
        <f aca="false">parametros_manuales!$B$42</f>
        <v>Control de calidad — Ensayo de pérdidas</v>
      </c>
      <c r="B25" s="14" t="n">
        <f aca="false">(parametros_manuales!$D$42*(datos_base!$B$2+IF(parametros_manuales!$H$42="Todos",datos_base!$B$9,0))*parametros_manuales!$B$97+parametros_manuales!$E$42*(datos_base!$B$3+IF(parametros_manuales!$H$42="Todos",datos_base!$B$10,0))*parametros_manuales!$B$102+parametros_manuales!$F$42*(datos_base!$B$4+IF(parametros_manuales!$H$42="Todos",datos_base!$B$11,0))*parametros_manuales!$B$107+parametros_manuales!$G$42*(datos_base!$B$5+IF(parametros_manuales!$H$42="Todos",datos_base!$B$12,0))*parametros_manuales!$B$112)*parametros_manuales!$I$42*parametros_manuales!$J$42</f>
        <v>615.0035796057</v>
      </c>
      <c r="C25" s="14" t="n">
        <f aca="false">(parametros_manuales!$D$42*(datos_base!$B$2+IF(parametros_manuales!$H$42="Todos",datos_base!$B$9,0))*parametros_manuales!$C$97+parametros_manuales!$E$42*(datos_base!$B$3+IF(parametros_manuales!$H$42="Todos",datos_base!$B$10,0))*parametros_manuales!$C$102+parametros_manuales!$F$42*(datos_base!$B$4+IF(parametros_manuales!$H$42="Todos",datos_base!$B$11,0))*parametros_manuales!$C$107+parametros_manuales!$G$42*(datos_base!$B$5+IF(parametros_manuales!$H$42="Todos",datos_base!$B$12,0))*parametros_manuales!$C$112)*parametros_manuales!$I$42*parametros_manuales!$J$42</f>
        <v>588.4572139684</v>
      </c>
      <c r="D25" s="14" t="n">
        <f aca="false">(parametros_manuales!$D$42*(datos_base!$B$2+IF(parametros_manuales!$H$42="Todos",datos_base!$B$9,0))*parametros_manuales!$D$97+parametros_manuales!$E$42*(datos_base!$B$3+IF(parametros_manuales!$H$42="Todos",datos_base!$B$10,0))*parametros_manuales!$D$102+parametros_manuales!$F$42*(datos_base!$B$4+IF(parametros_manuales!$H$42="Todos",datos_base!$B$11,0))*parametros_manuales!$D$107+parametros_manuales!$G$42*(datos_base!$B$5+IF(parametros_manuales!$H$42="Todos",datos_base!$B$12,0))*parametros_manuales!$D$112)*parametros_manuales!$I$42*parametros_manuales!$J$42</f>
        <v>559.94303135705</v>
      </c>
      <c r="E25" s="14" t="n">
        <f aca="false">(parametros_manuales!$D$42*(datos_base!$B$2+IF(parametros_manuales!$H$42="Todos",datos_base!$B$9,0))*parametros_manuales!$E$97+parametros_manuales!$E$42*(datos_base!$B$3+IF(parametros_manuales!$H$42="Todos",datos_base!$B$10,0))*parametros_manuales!$E$102+parametros_manuales!$F$42*(datos_base!$B$4+IF(parametros_manuales!$H$42="Todos",datos_base!$B$11,0))*parametros_manuales!$E$107+parametros_manuales!$G$42*(datos_base!$B$5+IF(parametros_manuales!$H$42="Todos",datos_base!$B$12,0))*parametros_manuales!$E$112)*parametros_manuales!$I$42*parametros_manuales!$J$42</f>
        <v>539.04934864205</v>
      </c>
      <c r="F25" s="14" t="n">
        <f aca="false">(parametros_manuales!$D$42*(datos_base!$B$2+IF(parametros_manuales!$H$42="Todos",datos_base!$B$9,0))*parametros_manuales!$F$97+parametros_manuales!$E$42*(datos_base!$B$3+IF(parametros_manuales!$H$42="Todos",datos_base!$B$10,0))*parametros_manuales!$F$102+parametros_manuales!$F$42*(datos_base!$B$4+IF(parametros_manuales!$H$42="Todos",datos_base!$B$11,0))*parametros_manuales!$F$107+parametros_manuales!$G$42*(datos_base!$B$5+IF(parametros_manuales!$H$42="Todos",datos_base!$B$12,0))*parametros_manuales!$F$112)*parametros_manuales!$I$42*parametros_manuales!$J$42</f>
        <v>504.8824831084</v>
      </c>
      <c r="G25" s="14" t="n">
        <f aca="false">(parametros_manuales!$D$42*(datos_base!$B$2+IF(parametros_manuales!$H$42="Todos",datos_base!$B$9,0))*parametros_manuales!$G$97+parametros_manuales!$E$42*(datos_base!$B$3+IF(parametros_manuales!$H$42="Todos",datos_base!$B$10,0))*parametros_manuales!$G$102+parametros_manuales!$F$42*(datos_base!$B$4+IF(parametros_manuales!$H$42="Todos",datos_base!$B$11,0))*parametros_manuales!$G$107+parametros_manuales!$G$42*(datos_base!$B$5+IF(parametros_manuales!$H$42="Todos",datos_base!$B$12,0))*parametros_manuales!$G$112)*parametros_manuales!$I$42*parametros_manuales!$J$42</f>
        <v>491.60930028975</v>
      </c>
      <c r="H25" s="14" t="n">
        <f aca="false">(parametros_manuales!$D$42*(datos_base!$B$2+IF(parametros_manuales!$H$42="Todos",datos_base!$B$9,0))*parametros_manuales!$H$97+parametros_manuales!$E$42*(datos_base!$B$3+IF(parametros_manuales!$H$42="Todos",datos_base!$B$10,0))*parametros_manuales!$H$102+parametros_manuales!$F$42*(datos_base!$B$4+IF(parametros_manuales!$H$42="Todos",datos_base!$B$11,0))*parametros_manuales!$H$107+parametros_manuales!$G$42*(datos_base!$B$5+IF(parametros_manuales!$H$42="Todos",datos_base!$B$12,0))*parametros_manuales!$H$112)*parametros_manuales!$I$42*parametros_manuales!$J$42</f>
        <v>525.7761658234</v>
      </c>
      <c r="I25" s="14" t="n">
        <f aca="false">(parametros_manuales!$D$42*(datos_base!$B$2+IF(parametros_manuales!$H$42="Todos",datos_base!$B$9,0))*parametros_manuales!$I$97+parametros_manuales!$E$42*(datos_base!$B$3+IF(parametros_manuales!$H$42="Todos",datos_base!$B$10,0))*parametros_manuales!$I$102+parametros_manuales!$F$42*(datos_base!$B$4+IF(parametros_manuales!$H$42="Todos",datos_base!$B$11,0))*parametros_manuales!$I$107+parametros_manuales!$G$42*(datos_base!$B$5+IF(parametros_manuales!$H$42="Todos",datos_base!$B$12,0))*parametros_manuales!$I$112)*parametros_manuales!$I$42*parametros_manuales!$J$42</f>
        <v>588.4572139684</v>
      </c>
      <c r="J25" s="14" t="n">
        <f aca="false">(parametros_manuales!$D$42*(datos_base!$B$2+IF(parametros_manuales!$H$42="Todos",datos_base!$B$9,0))*parametros_manuales!$J$97+parametros_manuales!$E$42*(datos_base!$B$3+IF(parametros_manuales!$H$42="Todos",datos_base!$B$10,0))*parametros_manuales!$J$102+parametros_manuales!$F$42*(datos_base!$B$4+IF(parametros_manuales!$H$42="Todos",datos_base!$B$11,0))*parametros_manuales!$J$107+parametros_manuales!$G$42*(datos_base!$B$5+IF(parametros_manuales!$H$42="Todos",datos_base!$B$12,0))*parametros_manuales!$J$112)*parametros_manuales!$I$42*parametros_manuales!$J$42</f>
        <v>588.4572139684</v>
      </c>
      <c r="K25" s="14" t="n">
        <f aca="false">(parametros_manuales!$D$42*(datos_base!$B$2+IF(parametros_manuales!$H$42="Todos",datos_base!$B$9,0))*parametros_manuales!$K$97+parametros_manuales!$E$42*(datos_base!$B$3+IF(parametros_manuales!$H$42="Todos",datos_base!$B$10,0))*parametros_manuales!$K$102+parametros_manuales!$F$42*(datos_base!$B$4+IF(parametros_manuales!$H$42="Todos",datos_base!$B$11,0))*parametros_manuales!$K$107+parametros_manuales!$G$42*(datos_base!$B$5+IF(parametros_manuales!$H$42="Todos",datos_base!$B$12,0))*parametros_manuales!$K$112)*parametros_manuales!$I$42*parametros_manuales!$J$42</f>
        <v>601.73039678705</v>
      </c>
      <c r="L25" s="14" t="n">
        <f aca="false">(parametros_manuales!$D$42*(datos_base!$B$2+IF(parametros_manuales!$H$42="Todos",datos_base!$B$9,0))*parametros_manuales!$L$97+parametros_manuales!$E$42*(datos_base!$B$3+IF(parametros_manuales!$H$42="Todos",datos_base!$B$10,0))*parametros_manuales!$L$102+parametros_manuales!$F$42*(datos_base!$B$4+IF(parametros_manuales!$H$42="Todos",datos_base!$B$11,0))*parametros_manuales!$L$107+parametros_manuales!$G$42*(datos_base!$B$5+IF(parametros_manuales!$H$42="Todos",datos_base!$B$12,0))*parametros_manuales!$L$112)*parametros_manuales!$I$42*parametros_manuales!$J$42</f>
        <v>615.0035796057</v>
      </c>
      <c r="M25" s="14" t="n">
        <f aca="false">(parametros_manuales!$D$42*(datos_base!$B$2+IF(parametros_manuales!$H$42="Todos",datos_base!$B$9,0))*parametros_manuales!$M$97+parametros_manuales!$E$42*(datos_base!$B$3+IF(parametros_manuales!$H$42="Todos",datos_base!$B$10,0))*parametros_manuales!$M$102+parametros_manuales!$F$42*(datos_base!$B$4+IF(parametros_manuales!$H$42="Todos",datos_base!$B$11,0))*parametros_manuales!$M$107+parametros_manuales!$G$42*(datos_base!$B$5+IF(parametros_manuales!$H$42="Todos",datos_base!$B$12,0))*parametros_manuales!$M$112)*parametros_manuales!$I$42*parametros_manuales!$J$42</f>
        <v>615.0035796057</v>
      </c>
      <c r="N25" s="14" t="n">
        <f aca="false">SUM(B25:M25)</f>
        <v>6833.37310673</v>
      </c>
      <c r="O25" s="14" t="n">
        <f aca="false">MAX(B25:M25)</f>
        <v>615.0035796057</v>
      </c>
      <c r="P25" s="57" t="n">
        <f aca="false">O25/(parametros_manuales!$B$7)</f>
        <v>4.100023864038</v>
      </c>
      <c r="Q25" s="13" t="str">
        <f aca="false">IF(O25=0,"-",INDEX($B$1:$M$1,MATCH(O25,B25:M25,0)))</f>
        <v>Ene</v>
      </c>
    </row>
    <row r="26" customFormat="false" ht="14.25" hidden="false" customHeight="true" outlineLevel="0" collapsed="false">
      <c r="A26" s="13" t="str">
        <f aca="false">parametros_manuales!$B$43</f>
        <v>Etiquetado</v>
      </c>
      <c r="B26" s="14" t="n">
        <f aca="false">(parametros_manuales!$D$43*(datos_base!$B$2+IF(parametros_manuales!$H$43="Todos",datos_base!$B$9,0))*parametros_manuales!$B$97+parametros_manuales!$E$43*(datos_base!$B$3+IF(parametros_manuales!$H$43="Todos",datos_base!$B$10,0))*parametros_manuales!$B$102+parametros_manuales!$F$43*(datos_base!$B$4+IF(parametros_manuales!$H$43="Todos",datos_base!$B$11,0))*parametros_manuales!$B$107+parametros_manuales!$G$43*(datos_base!$B$5+IF(parametros_manuales!$H$43="Todos",datos_base!$B$12,0))*parametros_manuales!$B$112)*parametros_manuales!$I$43*parametros_manuales!$J$43</f>
        <v>615.0035796057</v>
      </c>
      <c r="C26" s="14" t="n">
        <f aca="false">(parametros_manuales!$D$43*(datos_base!$B$2+IF(parametros_manuales!$H$43="Todos",datos_base!$B$9,0))*parametros_manuales!$C$97+parametros_manuales!$E$43*(datos_base!$B$3+IF(parametros_manuales!$H$43="Todos",datos_base!$B$10,0))*parametros_manuales!$C$102+parametros_manuales!$F$43*(datos_base!$B$4+IF(parametros_manuales!$H$43="Todos",datos_base!$B$11,0))*parametros_manuales!$C$107+parametros_manuales!$G$43*(datos_base!$B$5+IF(parametros_manuales!$H$43="Todos",datos_base!$B$12,0))*parametros_manuales!$C$112)*parametros_manuales!$I$43*parametros_manuales!$J$43</f>
        <v>588.4572139684</v>
      </c>
      <c r="D26" s="14" t="n">
        <f aca="false">(parametros_manuales!$D$43*(datos_base!$B$2+IF(parametros_manuales!$H$43="Todos",datos_base!$B$9,0))*parametros_manuales!$D$97+parametros_manuales!$E$43*(datos_base!$B$3+IF(parametros_manuales!$H$43="Todos",datos_base!$B$10,0))*parametros_manuales!$D$102+parametros_manuales!$F$43*(datos_base!$B$4+IF(parametros_manuales!$H$43="Todos",datos_base!$B$11,0))*parametros_manuales!$D$107+parametros_manuales!$G$43*(datos_base!$B$5+IF(parametros_manuales!$H$43="Todos",datos_base!$B$12,0))*parametros_manuales!$D$112)*parametros_manuales!$I$43*parametros_manuales!$J$43</f>
        <v>559.94303135705</v>
      </c>
      <c r="E26" s="14" t="n">
        <f aca="false">(parametros_manuales!$D$43*(datos_base!$B$2+IF(parametros_manuales!$H$43="Todos",datos_base!$B$9,0))*parametros_manuales!$E$97+parametros_manuales!$E$43*(datos_base!$B$3+IF(parametros_manuales!$H$43="Todos",datos_base!$B$10,0))*parametros_manuales!$E$102+parametros_manuales!$F$43*(datos_base!$B$4+IF(parametros_manuales!$H$43="Todos",datos_base!$B$11,0))*parametros_manuales!$E$107+parametros_manuales!$G$43*(datos_base!$B$5+IF(parametros_manuales!$H$43="Todos",datos_base!$B$12,0))*parametros_manuales!$E$112)*parametros_manuales!$I$43*parametros_manuales!$J$43</f>
        <v>539.04934864205</v>
      </c>
      <c r="F26" s="14" t="n">
        <f aca="false">(parametros_manuales!$D$43*(datos_base!$B$2+IF(parametros_manuales!$H$43="Todos",datos_base!$B$9,0))*parametros_manuales!$F$97+parametros_manuales!$E$43*(datos_base!$B$3+IF(parametros_manuales!$H$43="Todos",datos_base!$B$10,0))*parametros_manuales!$F$102+parametros_manuales!$F$43*(datos_base!$B$4+IF(parametros_manuales!$H$43="Todos",datos_base!$B$11,0))*parametros_manuales!$F$107+parametros_manuales!$G$43*(datos_base!$B$5+IF(parametros_manuales!$H$43="Todos",datos_base!$B$12,0))*parametros_manuales!$F$112)*parametros_manuales!$I$43*parametros_manuales!$J$43</f>
        <v>504.8824831084</v>
      </c>
      <c r="G26" s="14" t="n">
        <f aca="false">(parametros_manuales!$D$43*(datos_base!$B$2+IF(parametros_manuales!$H$43="Todos",datos_base!$B$9,0))*parametros_manuales!$G$97+parametros_manuales!$E$43*(datos_base!$B$3+IF(parametros_manuales!$H$43="Todos",datos_base!$B$10,0))*parametros_manuales!$G$102+parametros_manuales!$F$43*(datos_base!$B$4+IF(parametros_manuales!$H$43="Todos",datos_base!$B$11,0))*parametros_manuales!$G$107+parametros_manuales!$G$43*(datos_base!$B$5+IF(parametros_manuales!$H$43="Todos",datos_base!$B$12,0))*parametros_manuales!$G$112)*parametros_manuales!$I$43*parametros_manuales!$J$43</f>
        <v>491.60930028975</v>
      </c>
      <c r="H26" s="14" t="n">
        <f aca="false">(parametros_manuales!$D$43*(datos_base!$B$2+IF(parametros_manuales!$H$43="Todos",datos_base!$B$9,0))*parametros_manuales!$H$97+parametros_manuales!$E$43*(datos_base!$B$3+IF(parametros_manuales!$H$43="Todos",datos_base!$B$10,0))*parametros_manuales!$H$102+parametros_manuales!$F$43*(datos_base!$B$4+IF(parametros_manuales!$H$43="Todos",datos_base!$B$11,0))*parametros_manuales!$H$107+parametros_manuales!$G$43*(datos_base!$B$5+IF(parametros_manuales!$H$43="Todos",datos_base!$B$12,0))*parametros_manuales!$H$112)*parametros_manuales!$I$43*parametros_manuales!$J$43</f>
        <v>525.7761658234</v>
      </c>
      <c r="I26" s="14" t="n">
        <f aca="false">(parametros_manuales!$D$43*(datos_base!$B$2+IF(parametros_manuales!$H$43="Todos",datos_base!$B$9,0))*parametros_manuales!$I$97+parametros_manuales!$E$43*(datos_base!$B$3+IF(parametros_manuales!$H$43="Todos",datos_base!$B$10,0))*parametros_manuales!$I$102+parametros_manuales!$F$43*(datos_base!$B$4+IF(parametros_manuales!$H$43="Todos",datos_base!$B$11,0))*parametros_manuales!$I$107+parametros_manuales!$G$43*(datos_base!$B$5+IF(parametros_manuales!$H$43="Todos",datos_base!$B$12,0))*parametros_manuales!$I$112)*parametros_manuales!$I$43*parametros_manuales!$J$43</f>
        <v>588.4572139684</v>
      </c>
      <c r="J26" s="14" t="n">
        <f aca="false">(parametros_manuales!$D$43*(datos_base!$B$2+IF(parametros_manuales!$H$43="Todos",datos_base!$B$9,0))*parametros_manuales!$J$97+parametros_manuales!$E$43*(datos_base!$B$3+IF(parametros_manuales!$H$43="Todos",datos_base!$B$10,0))*parametros_manuales!$J$102+parametros_manuales!$F$43*(datos_base!$B$4+IF(parametros_manuales!$H$43="Todos",datos_base!$B$11,0))*parametros_manuales!$J$107+parametros_manuales!$G$43*(datos_base!$B$5+IF(parametros_manuales!$H$43="Todos",datos_base!$B$12,0))*parametros_manuales!$J$112)*parametros_manuales!$I$43*parametros_manuales!$J$43</f>
        <v>588.4572139684</v>
      </c>
      <c r="K26" s="14" t="n">
        <f aca="false">(parametros_manuales!$D$43*(datos_base!$B$2+IF(parametros_manuales!$H$43="Todos",datos_base!$B$9,0))*parametros_manuales!$K$97+parametros_manuales!$E$43*(datos_base!$B$3+IF(parametros_manuales!$H$43="Todos",datos_base!$B$10,0))*parametros_manuales!$K$102+parametros_manuales!$F$43*(datos_base!$B$4+IF(parametros_manuales!$H$43="Todos",datos_base!$B$11,0))*parametros_manuales!$K$107+parametros_manuales!$G$43*(datos_base!$B$5+IF(parametros_manuales!$H$43="Todos",datos_base!$B$12,0))*parametros_manuales!$K$112)*parametros_manuales!$I$43*parametros_manuales!$J$43</f>
        <v>601.73039678705</v>
      </c>
      <c r="L26" s="14" t="n">
        <f aca="false">(parametros_manuales!$D$43*(datos_base!$B$2+IF(parametros_manuales!$H$43="Todos",datos_base!$B$9,0))*parametros_manuales!$L$97+parametros_manuales!$E$43*(datos_base!$B$3+IF(parametros_manuales!$H$43="Todos",datos_base!$B$10,0))*parametros_manuales!$L$102+parametros_manuales!$F$43*(datos_base!$B$4+IF(parametros_manuales!$H$43="Todos",datos_base!$B$11,0))*parametros_manuales!$L$107+parametros_manuales!$G$43*(datos_base!$B$5+IF(parametros_manuales!$H$43="Todos",datos_base!$B$12,0))*parametros_manuales!$L$112)*parametros_manuales!$I$43*parametros_manuales!$J$43</f>
        <v>615.0035796057</v>
      </c>
      <c r="M26" s="14" t="n">
        <f aca="false">(parametros_manuales!$D$43*(datos_base!$B$2+IF(parametros_manuales!$H$43="Todos",datos_base!$B$9,0))*parametros_manuales!$M$97+parametros_manuales!$E$43*(datos_base!$B$3+IF(parametros_manuales!$H$43="Todos",datos_base!$B$10,0))*parametros_manuales!$M$102+parametros_manuales!$F$43*(datos_base!$B$4+IF(parametros_manuales!$H$43="Todos",datos_base!$B$11,0))*parametros_manuales!$M$107+parametros_manuales!$G$43*(datos_base!$B$5+IF(parametros_manuales!$H$43="Todos",datos_base!$B$12,0))*parametros_manuales!$M$112)*parametros_manuales!$I$43*parametros_manuales!$J$43</f>
        <v>615.0035796057</v>
      </c>
      <c r="N26" s="14" t="n">
        <f aca="false">SUM(B26:M26)</f>
        <v>6833.37310673</v>
      </c>
      <c r="O26" s="14" t="n">
        <f aca="false">MAX(B26:M26)</f>
        <v>615.0035796057</v>
      </c>
      <c r="P26" s="57" t="n">
        <f aca="false">O26/(parametros_manuales!$B$7)</f>
        <v>4.100023864038</v>
      </c>
      <c r="Q26" s="13" t="str">
        <f aca="false">IF(O26=0,"-",INDEX($B$1:$M$1,MATCH(O26,B26:M26,0)))</f>
        <v>Ene</v>
      </c>
    </row>
    <row r="27" customFormat="false" ht="14.25" hidden="false" customHeight="true" outlineLevel="0" collapsed="false">
      <c r="A27" s="13" t="str">
        <f aca="false">parametros_manuales!$B$44</f>
        <v>Embalaje y paletizado</v>
      </c>
      <c r="B27" s="14" t="n">
        <f aca="false">(parametros_manuales!$D$44*(datos_base!$B$2+IF(parametros_manuales!$H$44="Todos",datos_base!$B$9,0))*parametros_manuales!$B$97+parametros_manuales!$E$44*(datos_base!$B$3+IF(parametros_manuales!$H$44="Todos",datos_base!$B$10,0))*parametros_manuales!$B$102+parametros_manuales!$F$44*(datos_base!$B$4+IF(parametros_manuales!$H$44="Todos",datos_base!$B$11,0))*parametros_manuales!$B$107+parametros_manuales!$G$44*(datos_base!$B$5+IF(parametros_manuales!$H$44="Todos",datos_base!$B$12,0))*parametros_manuales!$B$112)*parametros_manuales!$I$44*parametros_manuales!$J$44</f>
        <v>616.9835796057</v>
      </c>
      <c r="C27" s="14" t="n">
        <f aca="false">(parametros_manuales!$D$44*(datos_base!$B$2+IF(parametros_manuales!$H$44="Todos",datos_base!$B$9,0))*parametros_manuales!$C$97+parametros_manuales!$E$44*(datos_base!$B$3+IF(parametros_manuales!$H$44="Todos",datos_base!$B$10,0))*parametros_manuales!$C$102+parametros_manuales!$F$44*(datos_base!$B$4+IF(parametros_manuales!$H$44="Todos",datos_base!$B$11,0))*parametros_manuales!$C$107+parametros_manuales!$G$44*(datos_base!$B$5+IF(parametros_manuales!$H$44="Todos",datos_base!$B$12,0))*parametros_manuales!$C$112)*parametros_manuales!$I$44*parametros_manuales!$J$44</f>
        <v>590.2172139684</v>
      </c>
      <c r="D27" s="14" t="n">
        <f aca="false">(parametros_manuales!$D$44*(datos_base!$B$2+IF(parametros_manuales!$H$44="Todos",datos_base!$B$9,0))*parametros_manuales!$D$97+parametros_manuales!$E$44*(datos_base!$B$3+IF(parametros_manuales!$H$44="Todos",datos_base!$B$10,0))*parametros_manuales!$D$102+parametros_manuales!$F$44*(datos_base!$B$4+IF(parametros_manuales!$H$44="Todos",datos_base!$B$11,0))*parametros_manuales!$D$107+parametros_manuales!$G$44*(datos_base!$B$5+IF(parametros_manuales!$H$44="Todos",datos_base!$B$12,0))*parametros_manuales!$D$112)*parametros_manuales!$I$44*parametros_manuales!$J$44</f>
        <v>561.81303135705</v>
      </c>
      <c r="E27" s="14" t="n">
        <f aca="false">(parametros_manuales!$D$44*(datos_base!$B$2+IF(parametros_manuales!$H$44="Todos",datos_base!$B$9,0))*parametros_manuales!$E$97+parametros_manuales!$E$44*(datos_base!$B$3+IF(parametros_manuales!$H$44="Todos",datos_base!$B$10,0))*parametros_manuales!$E$102+parametros_manuales!$F$44*(datos_base!$B$4+IF(parametros_manuales!$H$44="Todos",datos_base!$B$11,0))*parametros_manuales!$E$107+parametros_manuales!$G$44*(datos_base!$B$5+IF(parametros_manuales!$H$44="Todos",datos_base!$B$12,0))*parametros_manuales!$E$112)*parametros_manuales!$I$44*parametros_manuales!$J$44</f>
        <v>540.91934864205</v>
      </c>
      <c r="F27" s="14" t="n">
        <f aca="false">(parametros_manuales!$D$44*(datos_base!$B$2+IF(parametros_manuales!$H$44="Todos",datos_base!$B$9,0))*parametros_manuales!$F$97+parametros_manuales!$E$44*(datos_base!$B$3+IF(parametros_manuales!$H$44="Todos",datos_base!$B$10,0))*parametros_manuales!$F$102+parametros_manuales!$F$44*(datos_base!$B$4+IF(parametros_manuales!$H$44="Todos",datos_base!$B$11,0))*parametros_manuales!$F$107+parametros_manuales!$G$44*(datos_base!$B$5+IF(parametros_manuales!$H$44="Todos",datos_base!$B$12,0))*parametros_manuales!$F$112)*parametros_manuales!$I$44*parametros_manuales!$J$44</f>
        <v>506.6424831084</v>
      </c>
      <c r="G27" s="14" t="n">
        <f aca="false">(parametros_manuales!$D$44*(datos_base!$B$2+IF(parametros_manuales!$H$44="Todos",datos_base!$B$9,0))*parametros_manuales!$G$97+parametros_manuales!$E$44*(datos_base!$B$3+IF(parametros_manuales!$H$44="Todos",datos_base!$B$10,0))*parametros_manuales!$G$102+parametros_manuales!$F$44*(datos_base!$B$4+IF(parametros_manuales!$H$44="Todos",datos_base!$B$11,0))*parametros_manuales!$G$107+parametros_manuales!$G$44*(datos_base!$B$5+IF(parametros_manuales!$H$44="Todos",datos_base!$B$12,0))*parametros_manuales!$G$112)*parametros_manuales!$I$44*parametros_manuales!$J$44</f>
        <v>493.25930028975</v>
      </c>
      <c r="H27" s="14" t="n">
        <f aca="false">(parametros_manuales!$D$44*(datos_base!$B$2+IF(parametros_manuales!$H$44="Todos",datos_base!$B$9,0))*parametros_manuales!$H$97+parametros_manuales!$E$44*(datos_base!$B$3+IF(parametros_manuales!$H$44="Todos",datos_base!$B$10,0))*parametros_manuales!$H$102+parametros_manuales!$F$44*(datos_base!$B$4+IF(parametros_manuales!$H$44="Todos",datos_base!$B$11,0))*parametros_manuales!$H$107+parametros_manuales!$G$44*(datos_base!$B$5+IF(parametros_manuales!$H$44="Todos",datos_base!$B$12,0))*parametros_manuales!$H$112)*parametros_manuales!$I$44*parametros_manuales!$J$44</f>
        <v>527.5361658234</v>
      </c>
      <c r="I27" s="14" t="n">
        <f aca="false">(parametros_manuales!$D$44*(datos_base!$B$2+IF(parametros_manuales!$H$44="Todos",datos_base!$B$9,0))*parametros_manuales!$I$97+parametros_manuales!$E$44*(datos_base!$B$3+IF(parametros_manuales!$H$44="Todos",datos_base!$B$10,0))*parametros_manuales!$I$102+parametros_manuales!$F$44*(datos_base!$B$4+IF(parametros_manuales!$H$44="Todos",datos_base!$B$11,0))*parametros_manuales!$I$107+parametros_manuales!$G$44*(datos_base!$B$5+IF(parametros_manuales!$H$44="Todos",datos_base!$B$12,0))*parametros_manuales!$I$112)*parametros_manuales!$I$44*parametros_manuales!$J$44</f>
        <v>590.2172139684</v>
      </c>
      <c r="J27" s="14" t="n">
        <f aca="false">(parametros_manuales!$D$44*(datos_base!$B$2+IF(parametros_manuales!$H$44="Todos",datos_base!$B$9,0))*parametros_manuales!$J$97+parametros_manuales!$E$44*(datos_base!$B$3+IF(parametros_manuales!$H$44="Todos",datos_base!$B$10,0))*parametros_manuales!$J$102+parametros_manuales!$F$44*(datos_base!$B$4+IF(parametros_manuales!$H$44="Todos",datos_base!$B$11,0))*parametros_manuales!$J$107+parametros_manuales!$G$44*(datos_base!$B$5+IF(parametros_manuales!$H$44="Todos",datos_base!$B$12,0))*parametros_manuales!$J$112)*parametros_manuales!$I$44*parametros_manuales!$J$44</f>
        <v>590.2172139684</v>
      </c>
      <c r="K27" s="14" t="n">
        <f aca="false">(parametros_manuales!$D$44*(datos_base!$B$2+IF(parametros_manuales!$H$44="Todos",datos_base!$B$9,0))*parametros_manuales!$K$97+parametros_manuales!$E$44*(datos_base!$B$3+IF(parametros_manuales!$H$44="Todos",datos_base!$B$10,0))*parametros_manuales!$K$102+parametros_manuales!$F$44*(datos_base!$B$4+IF(parametros_manuales!$H$44="Todos",datos_base!$B$11,0))*parametros_manuales!$K$107+parametros_manuales!$G$44*(datos_base!$B$5+IF(parametros_manuales!$H$44="Todos",datos_base!$B$12,0))*parametros_manuales!$K$112)*parametros_manuales!$I$44*parametros_manuales!$J$44</f>
        <v>603.60039678705</v>
      </c>
      <c r="L27" s="14" t="n">
        <f aca="false">(parametros_manuales!$D$44*(datos_base!$B$2+IF(parametros_manuales!$H$44="Todos",datos_base!$B$9,0))*parametros_manuales!$L$97+parametros_manuales!$E$44*(datos_base!$B$3+IF(parametros_manuales!$H$44="Todos",datos_base!$B$10,0))*parametros_manuales!$L$102+parametros_manuales!$F$44*(datos_base!$B$4+IF(parametros_manuales!$H$44="Todos",datos_base!$B$11,0))*parametros_manuales!$L$107+parametros_manuales!$G$44*(datos_base!$B$5+IF(parametros_manuales!$H$44="Todos",datos_base!$B$12,0))*parametros_manuales!$L$112)*parametros_manuales!$I$44*parametros_manuales!$J$44</f>
        <v>616.9835796057</v>
      </c>
      <c r="M27" s="14" t="n">
        <f aca="false">(parametros_manuales!$D$44*(datos_base!$B$2+IF(parametros_manuales!$H$44="Todos",datos_base!$B$9,0))*parametros_manuales!$M$97+parametros_manuales!$E$44*(datos_base!$B$3+IF(parametros_manuales!$H$44="Todos",datos_base!$B$10,0))*parametros_manuales!$M$102+parametros_manuales!$F$44*(datos_base!$B$4+IF(parametros_manuales!$H$44="Todos",datos_base!$B$11,0))*parametros_manuales!$M$107+parametros_manuales!$G$44*(datos_base!$B$5+IF(parametros_manuales!$H$44="Todos",datos_base!$B$12,0))*parametros_manuales!$M$112)*parametros_manuales!$I$44*parametros_manuales!$J$44</f>
        <v>616.9835796057</v>
      </c>
      <c r="N27" s="14" t="n">
        <f aca="false">SUM(B27:M27)</f>
        <v>6855.37310673</v>
      </c>
      <c r="O27" s="14" t="n">
        <f aca="false">MAX(B27:M27)</f>
        <v>616.9835796057</v>
      </c>
      <c r="P27" s="57" t="n">
        <f aca="false">O27/(parametros_manuales!$B$7)</f>
        <v>4.113223864038</v>
      </c>
      <c r="Q27" s="13" t="str">
        <f aca="false">IF(O27=0,"-",INDEX($B$1:$M$1,MATCH(O27,B27:M27,0)))</f>
        <v>Ene</v>
      </c>
    </row>
    <row r="28" customFormat="false" ht="14.25" hidden="false" customHeight="true" outlineLevel="0" collapsed="false"/>
    <row r="29" customFormat="false" ht="14.25" hidden="false" customHeight="true" outlineLevel="0" collapsed="false">
      <c r="A29" s="12" t="s">
        <v>269</v>
      </c>
      <c r="B29" s="12" t="s">
        <v>37</v>
      </c>
      <c r="C29" s="12" t="s">
        <v>38</v>
      </c>
      <c r="D29" s="12" t="s">
        <v>39</v>
      </c>
      <c r="E29" s="12" t="s">
        <v>40</v>
      </c>
      <c r="F29" s="12" t="s">
        <v>41</v>
      </c>
      <c r="G29" s="12" t="s">
        <v>42</v>
      </c>
      <c r="H29" s="12" t="s">
        <v>43</v>
      </c>
      <c r="I29" s="12" t="s">
        <v>44</v>
      </c>
      <c r="J29" s="12" t="s">
        <v>45</v>
      </c>
      <c r="K29" s="12" t="s">
        <v>46</v>
      </c>
      <c r="L29" s="12" t="s">
        <v>47</v>
      </c>
      <c r="M29" s="12" t="s">
        <v>48</v>
      </c>
      <c r="N29" s="12" t="s">
        <v>261</v>
      </c>
      <c r="O29" s="12" t="s">
        <v>266</v>
      </c>
      <c r="P29" s="12" t="s">
        <v>267</v>
      </c>
      <c r="Q29" s="12" t="s">
        <v>268</v>
      </c>
    </row>
    <row r="30" customFormat="false" ht="14.25" hidden="false" customHeight="true" outlineLevel="0" collapsed="false">
      <c r="A30" s="13" t="str">
        <f aca="false">parametros_manuales!$B$19</f>
        <v>Recepción de materia prima</v>
      </c>
      <c r="B30" s="14" t="n">
        <f aca="false">(parametros_manuales!$D$19*(datos_base!$C$2+IF(parametros_manuales!$H$19="Todos",datos_base!$C$9,0))*parametros_manuales!$B$97+parametros_manuales!$E$19*(datos_base!$C$3+IF(parametros_manuales!$H$19="Todos",datos_base!$C$10,0))*parametros_manuales!$B$102+parametros_manuales!$F$19*(datos_base!$C$4+IF(parametros_manuales!$H$19="Todos",datos_base!$C$11,0))*parametros_manuales!$B$107+parametros_manuales!$G$19*(datos_base!$C$5+IF(parametros_manuales!$H$19="Todos",datos_base!$C$12,0))*parametros_manuales!$B$112)*parametros_manuales!$I$19*parametros_manuales!$J$19</f>
        <v>974.87798445</v>
      </c>
      <c r="C30" s="14" t="n">
        <f aca="false">(parametros_manuales!$D$19*(datos_base!$C$2+IF(parametros_manuales!$H$19="Todos",datos_base!$C$9,0))*parametros_manuales!$C$97+parametros_manuales!$E$19*(datos_base!$C$3+IF(parametros_manuales!$H$19="Todos",datos_base!$C$10,0))*parametros_manuales!$C$102+parametros_manuales!$F$19*(datos_base!$C$4+IF(parametros_manuales!$H$19="Todos",datos_base!$C$11,0))*parametros_manuales!$C$107+parametros_manuales!$G$19*(datos_base!$C$5+IF(parametros_manuales!$H$19="Todos",datos_base!$C$12,0))*parametros_manuales!$C$112)*parametros_manuales!$I$19*parametros_manuales!$J$19</f>
        <v>926.53124817</v>
      </c>
      <c r="D30" s="14" t="n">
        <f aca="false">(parametros_manuales!$D$19*(datos_base!$C$2+IF(parametros_manuales!$H$19="Todos",datos_base!$C$9,0))*parametros_manuales!$D$97+parametros_manuales!$E$19*(datos_base!$C$3+IF(parametros_manuales!$H$19="Todos",datos_base!$C$10,0))*parametros_manuales!$D$102+parametros_manuales!$F$19*(datos_base!$C$4+IF(parametros_manuales!$H$19="Todos",datos_base!$C$11,0))*parametros_manuales!$D$107+parametros_manuales!$G$19*(datos_base!$C$5+IF(parametros_manuales!$H$19="Todos",datos_base!$C$12,0))*parametros_manuales!$D$112)*parametros_manuales!$I$19*parametros_manuales!$J$19</f>
        <v>890.73157654</v>
      </c>
      <c r="E30" s="14" t="n">
        <f aca="false">(parametros_manuales!$D$19*(datos_base!$C$2+IF(parametros_manuales!$H$19="Todos",datos_base!$C$9,0))*parametros_manuales!$E$97+parametros_manuales!$E$19*(datos_base!$C$3+IF(parametros_manuales!$H$19="Todos",datos_base!$C$10,0))*parametros_manuales!$E$102+parametros_manuales!$F$19*(datos_base!$C$4+IF(parametros_manuales!$H$19="Todos",datos_base!$C$11,0))*parametros_manuales!$E$107+parametros_manuales!$G$19*(datos_base!$C$5+IF(parametros_manuales!$H$19="Todos",datos_base!$C$12,0))*parametros_manuales!$E$112)*parametros_manuales!$I$19*parametros_manuales!$J$19</f>
        <v>860.745056655</v>
      </c>
      <c r="F30" s="14" t="n">
        <f aca="false">(parametros_manuales!$D$19*(datos_base!$C$2+IF(parametros_manuales!$H$19="Todos",datos_base!$C$9,0))*parametros_manuales!$F$97+parametros_manuales!$E$19*(datos_base!$C$3+IF(parametros_manuales!$H$19="Todos",datos_base!$C$10,0))*parametros_manuales!$F$102+parametros_manuales!$F$19*(datos_base!$C$4+IF(parametros_manuales!$H$19="Todos",datos_base!$C$11,0))*parametros_manuales!$F$107+parametros_manuales!$G$19*(datos_base!$C$5+IF(parametros_manuales!$H$19="Todos",datos_base!$C$12,0))*parametros_manuales!$F$112)*parametros_manuales!$I$19*parametros_manuales!$J$19</f>
        <v>806.58516863</v>
      </c>
      <c r="G30" s="14" t="n">
        <f aca="false">(parametros_manuales!$D$19*(datos_base!$C$2+IF(parametros_manuales!$H$19="Todos",datos_base!$C$9,0))*parametros_manuales!$G$97+parametros_manuales!$E$19*(datos_base!$C$3+IF(parametros_manuales!$H$19="Todos",datos_base!$C$10,0))*parametros_manuales!$G$102+parametros_manuales!$F$19*(datos_base!$C$4+IF(parametros_manuales!$H$19="Todos",datos_base!$C$11,0))*parametros_manuales!$G$107+parametros_manuales!$G$19*(datos_base!$C$5+IF(parametros_manuales!$H$19="Todos",datos_base!$C$12,0))*parametros_manuales!$G$112)*parametros_manuales!$I$19*parametros_manuales!$J$19</f>
        <v>782.41180049</v>
      </c>
      <c r="H30" s="14" t="n">
        <f aca="false">(parametros_manuales!$D$19*(datos_base!$C$2+IF(parametros_manuales!$H$19="Todos",datos_base!$C$9,0))*parametros_manuales!$H$97+parametros_manuales!$E$19*(datos_base!$C$3+IF(parametros_manuales!$H$19="Todos",datos_base!$C$10,0))*parametros_manuales!$H$102+parametros_manuales!$F$19*(datos_base!$C$4+IF(parametros_manuales!$H$19="Todos",datos_base!$C$11,0))*parametros_manuales!$H$107+parametros_manuales!$G$19*(datos_base!$C$5+IF(parametros_manuales!$H$19="Todos",datos_base!$C$12,0))*parametros_manuales!$H$112)*parametros_manuales!$I$19*parametros_manuales!$J$19</f>
        <v>836.571688515</v>
      </c>
      <c r="I30" s="14" t="n">
        <f aca="false">(parametros_manuales!$D$19*(datos_base!$C$2+IF(parametros_manuales!$H$19="Todos",datos_base!$C$9,0))*parametros_manuales!$I$97+parametros_manuales!$E$19*(datos_base!$C$3+IF(parametros_manuales!$H$19="Todos",datos_base!$C$10,0))*parametros_manuales!$I$102+parametros_manuales!$F$19*(datos_base!$C$4+IF(parametros_manuales!$H$19="Todos",datos_base!$C$11,0))*parametros_manuales!$I$107+parametros_manuales!$G$19*(datos_base!$C$5+IF(parametros_manuales!$H$19="Todos",datos_base!$C$12,0))*parametros_manuales!$I$112)*parametros_manuales!$I$19*parametros_manuales!$J$19</f>
        <v>926.53124817</v>
      </c>
      <c r="J30" s="14" t="n">
        <f aca="false">(parametros_manuales!$D$19*(datos_base!$C$2+IF(parametros_manuales!$H$19="Todos",datos_base!$C$9,0))*parametros_manuales!$J$97+parametros_manuales!$E$19*(datos_base!$C$3+IF(parametros_manuales!$H$19="Todos",datos_base!$C$10,0))*parametros_manuales!$J$102+parametros_manuales!$F$19*(datos_base!$C$4+IF(parametros_manuales!$H$19="Todos",datos_base!$C$11,0))*parametros_manuales!$J$107+parametros_manuales!$G$19*(datos_base!$C$5+IF(parametros_manuales!$H$19="Todos",datos_base!$C$12,0))*parametros_manuales!$J$112)*parametros_manuales!$I$19*parametros_manuales!$J$19</f>
        <v>926.53124817</v>
      </c>
      <c r="K30" s="14" t="n">
        <f aca="false">(parametros_manuales!$D$19*(datos_base!$C$2+IF(parametros_manuales!$H$19="Todos",datos_base!$C$9,0))*parametros_manuales!$K$97+parametros_manuales!$E$19*(datos_base!$C$3+IF(parametros_manuales!$H$19="Todos",datos_base!$C$10,0))*parametros_manuales!$K$102+parametros_manuales!$F$19*(datos_base!$C$4+IF(parametros_manuales!$H$19="Todos",datos_base!$C$11,0))*parametros_manuales!$K$107+parametros_manuales!$G$19*(datos_base!$C$5+IF(parametros_manuales!$H$19="Todos",datos_base!$C$12,0))*parametros_manuales!$K$112)*parametros_manuales!$I$19*parametros_manuales!$J$19</f>
        <v>950.70461631</v>
      </c>
      <c r="L30" s="14" t="n">
        <f aca="false">(parametros_manuales!$D$19*(datos_base!$C$2+IF(parametros_manuales!$H$19="Todos",datos_base!$C$9,0))*parametros_manuales!$L$97+parametros_manuales!$E$19*(datos_base!$C$3+IF(parametros_manuales!$H$19="Todos",datos_base!$C$10,0))*parametros_manuales!$L$102+parametros_manuales!$F$19*(datos_base!$C$4+IF(parametros_manuales!$H$19="Todos",datos_base!$C$11,0))*parametros_manuales!$L$107+parametros_manuales!$G$19*(datos_base!$C$5+IF(parametros_manuales!$H$19="Todos",datos_base!$C$12,0))*parametros_manuales!$L$112)*parametros_manuales!$I$19*parametros_manuales!$J$19</f>
        <v>974.87798445</v>
      </c>
      <c r="M30" s="14" t="n">
        <f aca="false">(parametros_manuales!$D$19*(datos_base!$C$2+IF(parametros_manuales!$H$19="Todos",datos_base!$C$9,0))*parametros_manuales!$M$97+parametros_manuales!$E$19*(datos_base!$C$3+IF(parametros_manuales!$H$19="Todos",datos_base!$C$10,0))*parametros_manuales!$M$102+parametros_manuales!$F$19*(datos_base!$C$4+IF(parametros_manuales!$H$19="Todos",datos_base!$C$11,0))*parametros_manuales!$M$107+parametros_manuales!$G$19*(datos_base!$C$5+IF(parametros_manuales!$H$19="Todos",datos_base!$C$12,0))*parametros_manuales!$M$112)*parametros_manuales!$I$19*parametros_manuales!$J$19</f>
        <v>974.87798445</v>
      </c>
      <c r="N30" s="14" t="n">
        <f aca="false">SUM(B30:M30)</f>
        <v>10831.977605</v>
      </c>
      <c r="O30" s="14" t="n">
        <f aca="false">MAX(B30:M30)</f>
        <v>974.87798445</v>
      </c>
      <c r="P30" s="57" t="n">
        <f aca="false">O30/(parametros_manuales!$B$7)</f>
        <v>6.499186563</v>
      </c>
      <c r="Q30" s="13" t="str">
        <f aca="false">IF(O30=0,"-",INDEX($B$29:$M$29,MATCH(O30,B30:M30,0)))</f>
        <v>Ene</v>
      </c>
    </row>
    <row r="31" customFormat="false" ht="14.25" hidden="false" customHeight="true" outlineLevel="0" collapsed="false">
      <c r="A31" s="13" t="str">
        <f aca="false">parametros_manuales!$B$20</f>
        <v>Corte de chapa — 1.er corte en franjas (guillotina 1, manuales + carros)</v>
      </c>
      <c r="B31" s="14" t="n">
        <f aca="false">(parametros_manuales!$D$20*(datos_base!$C$2+IF(parametros_manuales!$H$20="Todos",datos_base!$C$9,0))*parametros_manuales!$B$97+parametros_manuales!$E$20*(datos_base!$C$3+IF(parametros_manuales!$H$20="Todos",datos_base!$C$10,0))*parametros_manuales!$B$102+parametros_manuales!$F$20*(datos_base!$C$4+IF(parametros_manuales!$H$20="Todos",datos_base!$C$11,0))*parametros_manuales!$B$107+parametros_manuales!$G$20*(datos_base!$C$5+IF(parametros_manuales!$H$20="Todos",datos_base!$C$12,0))*parametros_manuales!$B$112)*parametros_manuales!$I$20*parametros_manuales!$J$20+parametros_manuales!$B$149</f>
        <v>1120.93466698022</v>
      </c>
      <c r="C31" s="14" t="n">
        <f aca="false">(parametros_manuales!$D$20*(datos_base!$C$2+IF(parametros_manuales!$H$20="Todos",datos_base!$C$9,0))*parametros_manuales!$C$97+parametros_manuales!$E$20*(datos_base!$C$3+IF(parametros_manuales!$H$20="Todos",datos_base!$C$10,0))*parametros_manuales!$C$102+parametros_manuales!$F$20*(datos_base!$C$4+IF(parametros_manuales!$H$20="Todos",datos_base!$C$11,0))*parametros_manuales!$C$107+parametros_manuales!$G$20*(datos_base!$C$5+IF(parametros_manuales!$H$20="Todos",datos_base!$C$12,0))*parametros_manuales!$C$112)*parametros_manuales!$I$20*parametros_manuales!$J$20+parametros_manuales!$C$149</f>
        <v>1055.40479157902</v>
      </c>
      <c r="D31" s="14" t="n">
        <f aca="false">(parametros_manuales!$D$20*(datos_base!$C$2+IF(parametros_manuales!$H$20="Todos",datos_base!$C$9,0))*parametros_manuales!$D$97+parametros_manuales!$E$20*(datos_base!$C$3+IF(parametros_manuales!$H$20="Todos",datos_base!$C$10,0))*parametros_manuales!$D$102+parametros_manuales!$F$20*(datos_base!$C$4+IF(parametros_manuales!$H$20="Todos",datos_base!$C$11,0))*parametros_manuales!$D$107+parametros_manuales!$G$20*(datos_base!$C$5+IF(parametros_manuales!$H$20="Todos",datos_base!$C$12,0))*parametros_manuales!$D$112)*parametros_manuales!$I$20*parametros_manuales!$J$20+parametros_manuales!$D$149</f>
        <v>1045.37982863082</v>
      </c>
      <c r="E31" s="14" t="n">
        <f aca="false">(parametros_manuales!$D$20*(datos_base!$C$2+IF(parametros_manuales!$H$20="Todos",datos_base!$C$9,0))*parametros_manuales!$E$97+parametros_manuales!$E$20*(datos_base!$C$3+IF(parametros_manuales!$H$20="Todos",datos_base!$C$10,0))*parametros_manuales!$E$102+parametros_manuales!$F$20*(datos_base!$C$4+IF(parametros_manuales!$H$20="Todos",datos_base!$C$11,0))*parametros_manuales!$E$107+parametros_manuales!$G$20*(datos_base!$C$5+IF(parametros_manuales!$H$20="Todos",datos_base!$C$12,0))*parametros_manuales!$E$112)*parametros_manuales!$I$20*parametros_manuales!$J$20+parametros_manuales!$E$149</f>
        <v>1015.39330874582</v>
      </c>
      <c r="F31" s="14" t="n">
        <f aca="false">(parametros_manuales!$D$20*(datos_base!$C$2+IF(parametros_manuales!$H$20="Todos",datos_base!$C$9,0))*parametros_manuales!$F$97+parametros_manuales!$E$20*(datos_base!$C$3+IF(parametros_manuales!$H$20="Todos",datos_base!$C$10,0))*parametros_manuales!$F$102+parametros_manuales!$F$20*(datos_base!$C$4+IF(parametros_manuales!$H$20="Todos",datos_base!$C$11,0))*parametros_manuales!$F$107+parametros_manuales!$G$20*(datos_base!$C$5+IF(parametros_manuales!$H$20="Todos",datos_base!$C$12,0))*parametros_manuales!$F$112)*parametros_manuales!$I$20*parametros_manuales!$J$20+parametros_manuales!$F$149</f>
        <v>961.233420720825</v>
      </c>
      <c r="G31" s="14" t="n">
        <f aca="false">(parametros_manuales!$D$20*(datos_base!$C$2+IF(parametros_manuales!$H$20="Todos",datos_base!$C$9,0))*parametros_manuales!$G$97+parametros_manuales!$E$20*(datos_base!$C$3+IF(parametros_manuales!$H$20="Todos",datos_base!$C$10,0))*parametros_manuales!$G$102+parametros_manuales!$F$20*(datos_base!$C$4+IF(parametros_manuales!$H$20="Todos",datos_base!$C$11,0))*parametros_manuales!$G$107+parametros_manuales!$G$20*(datos_base!$C$5+IF(parametros_manuales!$H$20="Todos",datos_base!$C$12,0))*parametros_manuales!$G$112)*parametros_manuales!$I$20*parametros_manuales!$J$20+parametros_manuales!$G$149</f>
        <v>919.876913459622</v>
      </c>
      <c r="H31" s="14" t="n">
        <f aca="false">(parametros_manuales!$D$20*(datos_base!$C$2+IF(parametros_manuales!$H$20="Todos",datos_base!$C$9,0))*parametros_manuales!$H$97+parametros_manuales!$E$20*(datos_base!$C$3+IF(parametros_manuales!$H$20="Todos",datos_base!$C$10,0))*parametros_manuales!$H$102+parametros_manuales!$F$20*(datos_base!$C$4+IF(parametros_manuales!$H$20="Todos",datos_base!$C$11,0))*parametros_manuales!$H$107+parametros_manuales!$G$20*(datos_base!$C$5+IF(parametros_manuales!$H$20="Todos",datos_base!$C$12,0))*parametros_manuales!$H$112)*parametros_manuales!$I$20*parametros_manuales!$J$20+parametros_manuales!$H$149</f>
        <v>991.219940605825</v>
      </c>
      <c r="I31" s="14" t="n">
        <f aca="false">(parametros_manuales!$D$20*(datos_base!$C$2+IF(parametros_manuales!$H$20="Todos",datos_base!$C$9,0))*parametros_manuales!$I$97+parametros_manuales!$E$20*(datos_base!$C$3+IF(parametros_manuales!$H$20="Todos",datos_base!$C$10,0))*parametros_manuales!$I$102+parametros_manuales!$F$20*(datos_base!$C$4+IF(parametros_manuales!$H$20="Todos",datos_base!$C$11,0))*parametros_manuales!$I$107+parametros_manuales!$G$20*(datos_base!$C$5+IF(parametros_manuales!$H$20="Todos",datos_base!$C$12,0))*parametros_manuales!$I$112)*parametros_manuales!$I$20*parametros_manuales!$J$20+parametros_manuales!$I$149</f>
        <v>1081.17950026082</v>
      </c>
      <c r="J31" s="14" t="n">
        <f aca="false">(parametros_manuales!$D$20*(datos_base!$C$2+IF(parametros_manuales!$H$20="Todos",datos_base!$C$9,0))*parametros_manuales!$J$97+parametros_manuales!$E$20*(datos_base!$C$3+IF(parametros_manuales!$H$20="Todos",datos_base!$C$10,0))*parametros_manuales!$J$102+parametros_manuales!$F$20*(datos_base!$C$4+IF(parametros_manuales!$H$20="Todos",datos_base!$C$11,0))*parametros_manuales!$J$107+parametros_manuales!$G$20*(datos_base!$C$5+IF(parametros_manuales!$H$20="Todos",datos_base!$C$12,0))*parametros_manuales!$J$112)*parametros_manuales!$I$20*parametros_manuales!$J$20+parametros_manuales!$J$149</f>
        <v>1072.58793070022</v>
      </c>
      <c r="K31" s="14" t="n">
        <f aca="false">(parametros_manuales!$D$20*(datos_base!$C$2+IF(parametros_manuales!$H$20="Todos",datos_base!$C$9,0))*parametros_manuales!$K$97+parametros_manuales!$E$20*(datos_base!$C$3+IF(parametros_manuales!$H$20="Todos",datos_base!$C$10,0))*parametros_manuales!$K$102+parametros_manuales!$F$20*(datos_base!$C$4+IF(parametros_manuales!$H$20="Todos",datos_base!$C$11,0))*parametros_manuales!$K$107+parametros_manuales!$G$20*(datos_base!$C$5+IF(parametros_manuales!$H$20="Todos",datos_base!$C$12,0))*parametros_manuales!$K$112)*parametros_manuales!$I$20*parametros_manuales!$J$20+parametros_manuales!$K$149</f>
        <v>1079.57815971902</v>
      </c>
      <c r="L31" s="14" t="n">
        <f aca="false">(parametros_manuales!$D$20*(datos_base!$C$2+IF(parametros_manuales!$H$20="Todos",datos_base!$C$9,0))*parametros_manuales!$L$97+parametros_manuales!$E$20*(datos_base!$C$3+IF(parametros_manuales!$H$20="Todos",datos_base!$C$10,0))*parametros_manuales!$L$102+parametros_manuales!$F$20*(datos_base!$C$4+IF(parametros_manuales!$H$20="Todos",datos_base!$C$11,0))*parametros_manuales!$L$107+parametros_manuales!$G$20*(datos_base!$C$5+IF(parametros_manuales!$H$20="Todos",datos_base!$C$12,0))*parametros_manuales!$L$112)*parametros_manuales!$I$20*parametros_manuales!$J$20+parametros_manuales!$L$149</f>
        <v>1095.15995829842</v>
      </c>
      <c r="M31" s="14" t="n">
        <f aca="false">(parametros_manuales!$D$20*(datos_base!$C$2+IF(parametros_manuales!$H$20="Todos",datos_base!$C$9,0))*parametros_manuales!$M$97+parametros_manuales!$E$20*(datos_base!$C$3+IF(parametros_manuales!$H$20="Todos",datos_base!$C$10,0))*parametros_manuales!$M$102+parametros_manuales!$F$20*(datos_base!$C$4+IF(parametros_manuales!$H$20="Todos",datos_base!$C$11,0))*parametros_manuales!$M$107+parametros_manuales!$G$20*(datos_base!$C$5+IF(parametros_manuales!$H$20="Todos",datos_base!$C$12,0))*parametros_manuales!$M$112)*parametros_manuales!$I$20*parametros_manuales!$J$20+parametros_manuales!$M$149</f>
        <v>1112.34309741962</v>
      </c>
      <c r="N31" s="14" t="n">
        <f aca="false">SUM(B31:M31)</f>
        <v>12550.2915171203</v>
      </c>
      <c r="O31" s="14" t="n">
        <f aca="false">MAX(B31:M31)</f>
        <v>1120.93466698022</v>
      </c>
      <c r="P31" s="57" t="n">
        <f aca="false">O31/(parametros_manuales!$B$7)</f>
        <v>7.47289777986815</v>
      </c>
      <c r="Q31" s="13" t="str">
        <f aca="false">IF(O31=0,"-",INDEX($B$29:$M$29,MATCH(O31,B31:M31,0)))</f>
        <v>Ene</v>
      </c>
    </row>
    <row r="32" customFormat="false" ht="14.25" hidden="false" customHeight="true" outlineLevel="0" collapsed="false">
      <c r="A32" s="13" t="str">
        <f aca="false">parametros_manuales!$B$21</f>
        <v>Corte de chapa — 2.º corte en piezas (guillotina 2, manuales + carros)</v>
      </c>
      <c r="B32" s="14" t="n">
        <f aca="false">(parametros_manuales!$D$21*(datos_base!$C$2+IF(parametros_manuales!$H$21="Todos",datos_base!$C$9,0))*parametros_manuales!$B$97+parametros_manuales!$E$21*(datos_base!$C$3+IF(parametros_manuales!$H$21="Todos",datos_base!$C$10,0))*parametros_manuales!$B$102+parametros_manuales!$F$21*(datos_base!$C$4+IF(parametros_manuales!$H$21="Todos",datos_base!$C$11,0))*parametros_manuales!$B$107+parametros_manuales!$G$21*(datos_base!$C$5+IF(parametros_manuales!$H$21="Todos",datos_base!$C$12,0))*parametros_manuales!$B$112)*parametros_manuales!$I$21*parametros_manuales!$J$21+parametros_manuales!$B$161</f>
        <v>1164.51435214024</v>
      </c>
      <c r="C32" s="14" t="n">
        <f aca="false">(parametros_manuales!$D$21*(datos_base!$C$2+IF(parametros_manuales!$H$21="Todos",datos_base!$C$9,0))*parametros_manuales!$C$97+parametros_manuales!$E$21*(datos_base!$C$3+IF(parametros_manuales!$H$21="Todos",datos_base!$C$10,0))*parametros_manuales!$C$102+parametros_manuales!$F$21*(datos_base!$C$4+IF(parametros_manuales!$H$21="Todos",datos_base!$C$11,0))*parametros_manuales!$C$107+parametros_manuales!$G$21*(datos_base!$C$5+IF(parametros_manuales!$H$21="Todos",datos_base!$C$12,0))*parametros_manuales!$C$112)*parametros_manuales!$I$21*parametros_manuales!$J$21+parametros_manuales!$C$161</f>
        <v>1093.85745495551</v>
      </c>
      <c r="D32" s="14" t="n">
        <f aca="false">(parametros_manuales!$D$21*(datos_base!$C$2+IF(parametros_manuales!$H$21="Todos",datos_base!$C$9,0))*parametros_manuales!$D$97+parametros_manuales!$E$21*(datos_base!$C$3+IF(parametros_manuales!$H$21="Todos",datos_base!$C$10,0))*parametros_manuales!$D$102+parametros_manuales!$F$21*(datos_base!$C$4+IF(parametros_manuales!$H$21="Todos",datos_base!$C$11,0))*parametros_manuales!$D$107+parametros_manuales!$G$21*(datos_base!$C$5+IF(parametros_manuales!$H$21="Todos",datos_base!$C$12,0))*parametros_manuales!$D$112)*parametros_manuales!$I$21*parametros_manuales!$J$21+parametros_manuales!$D$161</f>
        <v>1091.52302468261</v>
      </c>
      <c r="E32" s="14" t="n">
        <f aca="false">(parametros_manuales!$D$21*(datos_base!$C$2+IF(parametros_manuales!$H$21="Todos",datos_base!$C$9,0))*parametros_manuales!$E$97+parametros_manuales!$E$21*(datos_base!$C$3+IF(parametros_manuales!$H$21="Todos",datos_base!$C$10,0))*parametros_manuales!$E$102+parametros_manuales!$F$21*(datos_base!$C$4+IF(parametros_manuales!$H$21="Todos",datos_base!$C$11,0))*parametros_manuales!$E$107+parametros_manuales!$G$21*(datos_base!$C$5+IF(parametros_manuales!$H$21="Todos",datos_base!$C$12,0))*parametros_manuales!$E$112)*parametros_manuales!$I$21*parametros_manuales!$J$21+parametros_manuales!$E$161</f>
        <v>1061.53650479761</v>
      </c>
      <c r="F32" s="14" t="n">
        <f aca="false">(parametros_manuales!$D$21*(datos_base!$C$2+IF(parametros_manuales!$H$21="Todos",datos_base!$C$9,0))*parametros_manuales!$F$97+parametros_manuales!$E$21*(datos_base!$C$3+IF(parametros_manuales!$H$21="Todos",datos_base!$C$10,0))*parametros_manuales!$F$102+parametros_manuales!$F$21*(datos_base!$C$4+IF(parametros_manuales!$H$21="Todos",datos_base!$C$11,0))*parametros_manuales!$F$107+parametros_manuales!$G$21*(datos_base!$C$5+IF(parametros_manuales!$H$21="Todos",datos_base!$C$12,0))*parametros_manuales!$F$112)*parametros_manuales!$I$21*parametros_manuales!$J$21+parametros_manuales!$F$161</f>
        <v>1007.37661677261</v>
      </c>
      <c r="G32" s="14" t="n">
        <f aca="false">(parametros_manuales!$D$21*(datos_base!$C$2+IF(parametros_manuales!$H$21="Todos",datos_base!$C$9,0))*parametros_manuales!$G$97+parametros_manuales!$E$21*(datos_base!$C$3+IF(parametros_manuales!$H$21="Todos",datos_base!$C$10,0))*parametros_manuales!$G$102+parametros_manuales!$F$21*(datos_base!$C$4+IF(parametros_manuales!$H$21="Todos",datos_base!$C$11,0))*parametros_manuales!$G$107+parametros_manuales!$G$21*(datos_base!$C$5+IF(parametros_manuales!$H$21="Todos",datos_base!$C$12,0))*parametros_manuales!$G$112)*parametros_manuales!$I$21*parametros_manuales!$J$21+parametros_manuales!$G$161</f>
        <v>960.893087727874</v>
      </c>
      <c r="H32" s="14" t="n">
        <f aca="false">(parametros_manuales!$D$21*(datos_base!$C$2+IF(parametros_manuales!$H$21="Todos",datos_base!$C$9,0))*parametros_manuales!$H$97+parametros_manuales!$E$21*(datos_base!$C$3+IF(parametros_manuales!$H$21="Todos",datos_base!$C$10,0))*parametros_manuales!$H$102+parametros_manuales!$F$21*(datos_base!$C$4+IF(parametros_manuales!$H$21="Todos",datos_base!$C$11,0))*parametros_manuales!$H$107+parametros_manuales!$G$21*(datos_base!$C$5+IF(parametros_manuales!$H$21="Todos",datos_base!$C$12,0))*parametros_manuales!$H$112)*parametros_manuales!$I$21*parametros_manuales!$J$21+parametros_manuales!$H$161</f>
        <v>1037.36313665761</v>
      </c>
      <c r="I32" s="14" t="n">
        <f aca="false">(parametros_manuales!$D$21*(datos_base!$C$2+IF(parametros_manuales!$H$21="Todos",datos_base!$C$9,0))*parametros_manuales!$I$97+parametros_manuales!$E$21*(datos_base!$C$3+IF(parametros_manuales!$H$21="Todos",datos_base!$C$10,0))*parametros_manuales!$I$102+parametros_manuales!$F$21*(datos_base!$C$4+IF(parametros_manuales!$H$21="Todos",datos_base!$C$11,0))*parametros_manuales!$I$107+parametros_manuales!$G$21*(datos_base!$C$5+IF(parametros_manuales!$H$21="Todos",datos_base!$C$12,0))*parametros_manuales!$I$112)*parametros_manuales!$I$21*parametros_manuales!$J$21+parametros_manuales!$I$161</f>
        <v>1127.32269631261</v>
      </c>
      <c r="J32" s="14" t="n">
        <f aca="false">(parametros_manuales!$D$21*(datos_base!$C$2+IF(parametros_manuales!$H$21="Todos",datos_base!$C$9,0))*parametros_manuales!$J$97+parametros_manuales!$E$21*(datos_base!$C$3+IF(parametros_manuales!$H$21="Todos",datos_base!$C$10,0))*parametros_manuales!$J$102+parametros_manuales!$F$21*(datos_base!$C$4+IF(parametros_manuales!$H$21="Todos",datos_base!$C$11,0))*parametros_manuales!$J$107+parametros_manuales!$G$21*(datos_base!$C$5+IF(parametros_manuales!$H$21="Todos",datos_base!$C$12,0))*parametros_manuales!$J$112)*parametros_manuales!$I$21*parametros_manuales!$J$21+parametros_manuales!$J$161</f>
        <v>1116.16761586024</v>
      </c>
      <c r="K32" s="14" t="n">
        <f aca="false">(parametros_manuales!$D$21*(datos_base!$C$2+IF(parametros_manuales!$H$21="Todos",datos_base!$C$9,0))*parametros_manuales!$K$97+parametros_manuales!$E$21*(datos_base!$C$3+IF(parametros_manuales!$H$21="Todos",datos_base!$C$10,0))*parametros_manuales!$K$102+parametros_manuales!$F$21*(datos_base!$C$4+IF(parametros_manuales!$H$21="Todos",datos_base!$C$11,0))*parametros_manuales!$K$107+parametros_manuales!$G$21*(datos_base!$C$5+IF(parametros_manuales!$H$21="Todos",datos_base!$C$12,0))*parametros_manuales!$K$112)*parametros_manuales!$I$21*parametros_manuales!$J$21+parametros_manuales!$K$161</f>
        <v>1118.03082309551</v>
      </c>
      <c r="L32" s="14" t="n">
        <f aca="false">(parametros_manuales!$D$21*(datos_base!$C$2+IF(parametros_manuales!$H$21="Todos",datos_base!$C$9,0))*parametros_manuales!$L$97+parametros_manuales!$E$21*(datos_base!$C$3+IF(parametros_manuales!$H$21="Todos",datos_base!$C$10,0))*parametros_manuales!$L$102+parametros_manuales!$F$21*(datos_base!$C$4+IF(parametros_manuales!$H$21="Todos",datos_base!$C$11,0))*parametros_manuales!$L$107+parametros_manuales!$G$21*(datos_base!$C$5+IF(parametros_manuales!$H$21="Todos",datos_base!$C$12,0))*parametros_manuales!$L$112)*parametros_manuales!$I$21*parametros_manuales!$J$21+parametros_manuales!$L$161</f>
        <v>1131.04911078314</v>
      </c>
      <c r="M32" s="14" t="n">
        <f aca="false">(parametros_manuales!$D$21*(datos_base!$C$2+IF(parametros_manuales!$H$21="Todos",datos_base!$C$9,0))*parametros_manuales!$M$97+parametros_manuales!$E$21*(datos_base!$C$3+IF(parametros_manuales!$H$21="Todos",datos_base!$C$10,0))*parametros_manuales!$M$102+parametros_manuales!$F$21*(datos_base!$C$4+IF(parametros_manuales!$H$21="Todos",datos_base!$C$11,0))*parametros_manuales!$M$107+parametros_manuales!$G$21*(datos_base!$C$5+IF(parametros_manuales!$H$21="Todos",datos_base!$C$12,0))*parametros_manuales!$M$112)*parametros_manuales!$I$21*parametros_manuales!$J$21+parametros_manuales!$M$161</f>
        <v>1153.35927168787</v>
      </c>
      <c r="N32" s="14" t="n">
        <f aca="false">SUM(B32:M32)</f>
        <v>13062.9936954734</v>
      </c>
      <c r="O32" s="14" t="n">
        <f aca="false">MAX(B32:M32)</f>
        <v>1164.51435214024</v>
      </c>
      <c r="P32" s="57" t="n">
        <f aca="false">O32/(parametros_manuales!$B$7)</f>
        <v>7.76342901426828</v>
      </c>
      <c r="Q32" s="13" t="str">
        <f aca="false">IF(O32=0,"-",INDEX($B$29:$M$29,MATCH(O32,B32:M32,0)))</f>
        <v>Ene</v>
      </c>
    </row>
    <row r="33" customFormat="false" ht="14.25" hidden="false" customHeight="true" outlineLevel="0" collapsed="false">
      <c r="A33" s="13" t="str">
        <f aca="false">parametros_manuales!$B$22</f>
        <v>Corte de disco y embutido (cúpula y fondo)</v>
      </c>
      <c r="B33" s="14" t="n">
        <f aca="false">(parametros_manuales!$D$22*(datos_base!$C$2+IF(parametros_manuales!$H$22="Todos",datos_base!$C$9,0))*parametros_manuales!$B$97+parametros_manuales!$E$22*(datos_base!$C$3+IF(parametros_manuales!$H$22="Todos",datos_base!$C$10,0))*parametros_manuales!$B$102+parametros_manuales!$F$22*(datos_base!$C$4+IF(parametros_manuales!$H$22="Todos",datos_base!$C$11,0))*parametros_manuales!$B$107+parametros_manuales!$G$22*(datos_base!$C$5+IF(parametros_manuales!$H$22="Todos",datos_base!$C$12,0))*parametros_manuales!$B$112)*parametros_manuales!$I$22*parametros_manuales!$J$22</f>
        <v>1949.7559689</v>
      </c>
      <c r="C33" s="14" t="n">
        <f aca="false">(parametros_manuales!$D$22*(datos_base!$C$2+IF(parametros_manuales!$H$22="Todos",datos_base!$C$9,0))*parametros_manuales!$C$97+parametros_manuales!$E$22*(datos_base!$C$3+IF(parametros_manuales!$H$22="Todos",datos_base!$C$10,0))*parametros_manuales!$C$102+parametros_manuales!$F$22*(datos_base!$C$4+IF(parametros_manuales!$H$22="Todos",datos_base!$C$11,0))*parametros_manuales!$C$107+parametros_manuales!$G$22*(datos_base!$C$5+IF(parametros_manuales!$H$22="Todos",datos_base!$C$12,0))*parametros_manuales!$C$112)*parametros_manuales!$I$22*parametros_manuales!$J$22</f>
        <v>1853.06249634</v>
      </c>
      <c r="D33" s="14" t="n">
        <f aca="false">(parametros_manuales!$D$22*(datos_base!$C$2+IF(parametros_manuales!$H$22="Todos",datos_base!$C$9,0))*parametros_manuales!$D$97+parametros_manuales!$E$22*(datos_base!$C$3+IF(parametros_manuales!$H$22="Todos",datos_base!$C$10,0))*parametros_manuales!$D$102+parametros_manuales!$F$22*(datos_base!$C$4+IF(parametros_manuales!$H$22="Todos",datos_base!$C$11,0))*parametros_manuales!$D$107+parametros_manuales!$G$22*(datos_base!$C$5+IF(parametros_manuales!$H$22="Todos",datos_base!$C$12,0))*parametros_manuales!$D$112)*parametros_manuales!$I$22*parametros_manuales!$J$22</f>
        <v>1781.46315308</v>
      </c>
      <c r="E33" s="14" t="n">
        <f aca="false">(parametros_manuales!$D$22*(datos_base!$C$2+IF(parametros_manuales!$H$22="Todos",datos_base!$C$9,0))*parametros_manuales!$E$97+parametros_manuales!$E$22*(datos_base!$C$3+IF(parametros_manuales!$H$22="Todos",datos_base!$C$10,0))*parametros_manuales!$E$102+parametros_manuales!$F$22*(datos_base!$C$4+IF(parametros_manuales!$H$22="Todos",datos_base!$C$11,0))*parametros_manuales!$E$107+parametros_manuales!$G$22*(datos_base!$C$5+IF(parametros_manuales!$H$22="Todos",datos_base!$C$12,0))*parametros_manuales!$E$112)*parametros_manuales!$I$22*parametros_manuales!$J$22</f>
        <v>1721.49011331</v>
      </c>
      <c r="F33" s="14" t="n">
        <f aca="false">(parametros_manuales!$D$22*(datos_base!$C$2+IF(parametros_manuales!$H$22="Todos",datos_base!$C$9,0))*parametros_manuales!$F$97+parametros_manuales!$E$22*(datos_base!$C$3+IF(parametros_manuales!$H$22="Todos",datos_base!$C$10,0))*parametros_manuales!$F$102+parametros_manuales!$F$22*(datos_base!$C$4+IF(parametros_manuales!$H$22="Todos",datos_base!$C$11,0))*parametros_manuales!$F$107+parametros_manuales!$G$22*(datos_base!$C$5+IF(parametros_manuales!$H$22="Todos",datos_base!$C$12,0))*parametros_manuales!$F$112)*parametros_manuales!$I$22*parametros_manuales!$J$22</f>
        <v>1613.17033726</v>
      </c>
      <c r="G33" s="14" t="n">
        <f aca="false">(parametros_manuales!$D$22*(datos_base!$C$2+IF(parametros_manuales!$H$22="Todos",datos_base!$C$9,0))*parametros_manuales!$G$97+parametros_manuales!$E$22*(datos_base!$C$3+IF(parametros_manuales!$H$22="Todos",datos_base!$C$10,0))*parametros_manuales!$G$102+parametros_manuales!$F$22*(datos_base!$C$4+IF(parametros_manuales!$H$22="Todos",datos_base!$C$11,0))*parametros_manuales!$G$107+parametros_manuales!$G$22*(datos_base!$C$5+IF(parametros_manuales!$H$22="Todos",datos_base!$C$12,0))*parametros_manuales!$G$112)*parametros_manuales!$I$22*parametros_manuales!$J$22</f>
        <v>1564.82360098</v>
      </c>
      <c r="H33" s="14" t="n">
        <f aca="false">(parametros_manuales!$D$22*(datos_base!$C$2+IF(parametros_manuales!$H$22="Todos",datos_base!$C$9,0))*parametros_manuales!$H$97+parametros_manuales!$E$22*(datos_base!$C$3+IF(parametros_manuales!$H$22="Todos",datos_base!$C$10,0))*parametros_manuales!$H$102+parametros_manuales!$F$22*(datos_base!$C$4+IF(parametros_manuales!$H$22="Todos",datos_base!$C$11,0))*parametros_manuales!$H$107+parametros_manuales!$G$22*(datos_base!$C$5+IF(parametros_manuales!$H$22="Todos",datos_base!$C$12,0))*parametros_manuales!$H$112)*parametros_manuales!$I$22*parametros_manuales!$J$22</f>
        <v>1673.14337703</v>
      </c>
      <c r="I33" s="14" t="n">
        <f aca="false">(parametros_manuales!$D$22*(datos_base!$C$2+IF(parametros_manuales!$H$22="Todos",datos_base!$C$9,0))*parametros_manuales!$I$97+parametros_manuales!$E$22*(datos_base!$C$3+IF(parametros_manuales!$H$22="Todos",datos_base!$C$10,0))*parametros_manuales!$I$102+parametros_manuales!$F$22*(datos_base!$C$4+IF(parametros_manuales!$H$22="Todos",datos_base!$C$11,0))*parametros_manuales!$I$107+parametros_manuales!$G$22*(datos_base!$C$5+IF(parametros_manuales!$H$22="Todos",datos_base!$C$12,0))*parametros_manuales!$I$112)*parametros_manuales!$I$22*parametros_manuales!$J$22</f>
        <v>1853.06249634</v>
      </c>
      <c r="J33" s="14" t="n">
        <f aca="false">(parametros_manuales!$D$22*(datos_base!$C$2+IF(parametros_manuales!$H$22="Todos",datos_base!$C$9,0))*parametros_manuales!$J$97+parametros_manuales!$E$22*(datos_base!$C$3+IF(parametros_manuales!$H$22="Todos",datos_base!$C$10,0))*parametros_manuales!$J$102+parametros_manuales!$F$22*(datos_base!$C$4+IF(parametros_manuales!$H$22="Todos",datos_base!$C$11,0))*parametros_manuales!$J$107+parametros_manuales!$G$22*(datos_base!$C$5+IF(parametros_manuales!$H$22="Todos",datos_base!$C$12,0))*parametros_manuales!$J$112)*parametros_manuales!$I$22*parametros_manuales!$J$22</f>
        <v>1853.06249634</v>
      </c>
      <c r="K33" s="14" t="n">
        <f aca="false">(parametros_manuales!$D$22*(datos_base!$C$2+IF(parametros_manuales!$H$22="Todos",datos_base!$C$9,0))*parametros_manuales!$K$97+parametros_manuales!$E$22*(datos_base!$C$3+IF(parametros_manuales!$H$22="Todos",datos_base!$C$10,0))*parametros_manuales!$K$102+parametros_manuales!$F$22*(datos_base!$C$4+IF(parametros_manuales!$H$22="Todos",datos_base!$C$11,0))*parametros_manuales!$K$107+parametros_manuales!$G$22*(datos_base!$C$5+IF(parametros_manuales!$H$22="Todos",datos_base!$C$12,0))*parametros_manuales!$K$112)*parametros_manuales!$I$22*parametros_manuales!$J$22</f>
        <v>1901.40923262</v>
      </c>
      <c r="L33" s="14" t="n">
        <f aca="false">(parametros_manuales!$D$22*(datos_base!$C$2+IF(parametros_manuales!$H$22="Todos",datos_base!$C$9,0))*parametros_manuales!$L$97+parametros_manuales!$E$22*(datos_base!$C$3+IF(parametros_manuales!$H$22="Todos",datos_base!$C$10,0))*parametros_manuales!$L$102+parametros_manuales!$F$22*(datos_base!$C$4+IF(parametros_manuales!$H$22="Todos",datos_base!$C$11,0))*parametros_manuales!$L$107+parametros_manuales!$G$22*(datos_base!$C$5+IF(parametros_manuales!$H$22="Todos",datos_base!$C$12,0))*parametros_manuales!$L$112)*parametros_manuales!$I$22*parametros_manuales!$J$22</f>
        <v>1949.7559689</v>
      </c>
      <c r="M33" s="14" t="n">
        <f aca="false">(parametros_manuales!$D$22*(datos_base!$C$2+IF(parametros_manuales!$H$22="Todos",datos_base!$C$9,0))*parametros_manuales!$M$97+parametros_manuales!$E$22*(datos_base!$C$3+IF(parametros_manuales!$H$22="Todos",datos_base!$C$10,0))*parametros_manuales!$M$102+parametros_manuales!$F$22*(datos_base!$C$4+IF(parametros_manuales!$H$22="Todos",datos_base!$C$11,0))*parametros_manuales!$M$107+parametros_manuales!$G$22*(datos_base!$C$5+IF(parametros_manuales!$H$22="Todos",datos_base!$C$12,0))*parametros_manuales!$M$112)*parametros_manuales!$I$22*parametros_manuales!$J$22</f>
        <v>1949.7559689</v>
      </c>
      <c r="N33" s="14" t="n">
        <f aca="false">SUM(B33:M33)</f>
        <v>21663.95521</v>
      </c>
      <c r="O33" s="14" t="n">
        <f aca="false">MAX(B33:M33)</f>
        <v>1949.7559689</v>
      </c>
      <c r="P33" s="57" t="n">
        <f aca="false">O33/(parametros_manuales!$B$7)</f>
        <v>12.998373126</v>
      </c>
      <c r="Q33" s="13" t="str">
        <f aca="false">IF(O33=0,"-",INDEX($B$29:$M$29,MATCH(O33,B33:M33,0)))</f>
        <v>Ene</v>
      </c>
    </row>
    <row r="34" customFormat="false" ht="14.25" hidden="false" customHeight="true" outlineLevel="0" collapsed="false">
      <c r="A34" s="13" t="str">
        <f aca="false">parametros_manuales!$B$23</f>
        <v>Preparación de cuello</v>
      </c>
      <c r="B34" s="14" t="n">
        <f aca="false">(parametros_manuales!$D$23*(datos_base!$C$2+IF(parametros_manuales!$H$23="Todos",datos_base!$C$9,0))*parametros_manuales!$B$97+parametros_manuales!$E$23*(datos_base!$C$3+IF(parametros_manuales!$H$23="Todos",datos_base!$C$10,0))*parametros_manuales!$B$102+parametros_manuales!$F$23*(datos_base!$C$4+IF(parametros_manuales!$H$23="Todos",datos_base!$C$11,0))*parametros_manuales!$B$107+parametros_manuales!$G$23*(datos_base!$C$5+IF(parametros_manuales!$H$23="Todos",datos_base!$C$12,0))*parametros_manuales!$B$112)*parametros_manuales!$I$23*parametros_manuales!$J$23</f>
        <v>974.87798445</v>
      </c>
      <c r="C34" s="14" t="n">
        <f aca="false">(parametros_manuales!$D$23*(datos_base!$C$2+IF(parametros_manuales!$H$23="Todos",datos_base!$C$9,0))*parametros_manuales!$C$97+parametros_manuales!$E$23*(datos_base!$C$3+IF(parametros_manuales!$H$23="Todos",datos_base!$C$10,0))*parametros_manuales!$C$102+parametros_manuales!$F$23*(datos_base!$C$4+IF(parametros_manuales!$H$23="Todos",datos_base!$C$11,0))*parametros_manuales!$C$107+parametros_manuales!$G$23*(datos_base!$C$5+IF(parametros_manuales!$H$23="Todos",datos_base!$C$12,0))*parametros_manuales!$C$112)*parametros_manuales!$I$23*parametros_manuales!$J$23</f>
        <v>926.53124817</v>
      </c>
      <c r="D34" s="14" t="n">
        <f aca="false">(parametros_manuales!$D$23*(datos_base!$C$2+IF(parametros_manuales!$H$23="Todos",datos_base!$C$9,0))*parametros_manuales!$D$97+parametros_manuales!$E$23*(datos_base!$C$3+IF(parametros_manuales!$H$23="Todos",datos_base!$C$10,0))*parametros_manuales!$D$102+parametros_manuales!$F$23*(datos_base!$C$4+IF(parametros_manuales!$H$23="Todos",datos_base!$C$11,0))*parametros_manuales!$D$107+parametros_manuales!$G$23*(datos_base!$C$5+IF(parametros_manuales!$H$23="Todos",datos_base!$C$12,0))*parametros_manuales!$D$112)*parametros_manuales!$I$23*parametros_manuales!$J$23</f>
        <v>890.73157654</v>
      </c>
      <c r="E34" s="14" t="n">
        <f aca="false">(parametros_manuales!$D$23*(datos_base!$C$2+IF(parametros_manuales!$H$23="Todos",datos_base!$C$9,0))*parametros_manuales!$E$97+parametros_manuales!$E$23*(datos_base!$C$3+IF(parametros_manuales!$H$23="Todos",datos_base!$C$10,0))*parametros_manuales!$E$102+parametros_manuales!$F$23*(datos_base!$C$4+IF(parametros_manuales!$H$23="Todos",datos_base!$C$11,0))*parametros_manuales!$E$107+parametros_manuales!$G$23*(datos_base!$C$5+IF(parametros_manuales!$H$23="Todos",datos_base!$C$12,0))*parametros_manuales!$E$112)*parametros_manuales!$I$23*parametros_manuales!$J$23</f>
        <v>860.745056655</v>
      </c>
      <c r="F34" s="14" t="n">
        <f aca="false">(parametros_manuales!$D$23*(datos_base!$C$2+IF(parametros_manuales!$H$23="Todos",datos_base!$C$9,0))*parametros_manuales!$F$97+parametros_manuales!$E$23*(datos_base!$C$3+IF(parametros_manuales!$H$23="Todos",datos_base!$C$10,0))*parametros_manuales!$F$102+parametros_manuales!$F$23*(datos_base!$C$4+IF(parametros_manuales!$H$23="Todos",datos_base!$C$11,0))*parametros_manuales!$F$107+parametros_manuales!$G$23*(datos_base!$C$5+IF(parametros_manuales!$H$23="Todos",datos_base!$C$12,0))*parametros_manuales!$F$112)*parametros_manuales!$I$23*parametros_manuales!$J$23</f>
        <v>806.58516863</v>
      </c>
      <c r="G34" s="14" t="n">
        <f aca="false">(parametros_manuales!$D$23*(datos_base!$C$2+IF(parametros_manuales!$H$23="Todos",datos_base!$C$9,0))*parametros_manuales!$G$97+parametros_manuales!$E$23*(datos_base!$C$3+IF(parametros_manuales!$H$23="Todos",datos_base!$C$10,0))*parametros_manuales!$G$102+parametros_manuales!$F$23*(datos_base!$C$4+IF(parametros_manuales!$H$23="Todos",datos_base!$C$11,0))*parametros_manuales!$G$107+parametros_manuales!$G$23*(datos_base!$C$5+IF(parametros_manuales!$H$23="Todos",datos_base!$C$12,0))*parametros_manuales!$G$112)*parametros_manuales!$I$23*parametros_manuales!$J$23</f>
        <v>782.41180049</v>
      </c>
      <c r="H34" s="14" t="n">
        <f aca="false">(parametros_manuales!$D$23*(datos_base!$C$2+IF(parametros_manuales!$H$23="Todos",datos_base!$C$9,0))*parametros_manuales!$H$97+parametros_manuales!$E$23*(datos_base!$C$3+IF(parametros_manuales!$H$23="Todos",datos_base!$C$10,0))*parametros_manuales!$H$102+parametros_manuales!$F$23*(datos_base!$C$4+IF(parametros_manuales!$H$23="Todos",datos_base!$C$11,0))*parametros_manuales!$H$107+parametros_manuales!$G$23*(datos_base!$C$5+IF(parametros_manuales!$H$23="Todos",datos_base!$C$12,0))*parametros_manuales!$H$112)*parametros_manuales!$I$23*parametros_manuales!$J$23</f>
        <v>836.571688515</v>
      </c>
      <c r="I34" s="14" t="n">
        <f aca="false">(parametros_manuales!$D$23*(datos_base!$C$2+IF(parametros_manuales!$H$23="Todos",datos_base!$C$9,0))*parametros_manuales!$I$97+parametros_manuales!$E$23*(datos_base!$C$3+IF(parametros_manuales!$H$23="Todos",datos_base!$C$10,0))*parametros_manuales!$I$102+parametros_manuales!$F$23*(datos_base!$C$4+IF(parametros_manuales!$H$23="Todos",datos_base!$C$11,0))*parametros_manuales!$I$107+parametros_manuales!$G$23*(datos_base!$C$5+IF(parametros_manuales!$H$23="Todos",datos_base!$C$12,0))*parametros_manuales!$I$112)*parametros_manuales!$I$23*parametros_manuales!$J$23</f>
        <v>926.53124817</v>
      </c>
      <c r="J34" s="14" t="n">
        <f aca="false">(parametros_manuales!$D$23*(datos_base!$C$2+IF(parametros_manuales!$H$23="Todos",datos_base!$C$9,0))*parametros_manuales!$J$97+parametros_manuales!$E$23*(datos_base!$C$3+IF(parametros_manuales!$H$23="Todos",datos_base!$C$10,0))*parametros_manuales!$J$102+parametros_manuales!$F$23*(datos_base!$C$4+IF(parametros_manuales!$H$23="Todos",datos_base!$C$11,0))*parametros_manuales!$J$107+parametros_manuales!$G$23*(datos_base!$C$5+IF(parametros_manuales!$H$23="Todos",datos_base!$C$12,0))*parametros_manuales!$J$112)*parametros_manuales!$I$23*parametros_manuales!$J$23</f>
        <v>926.53124817</v>
      </c>
      <c r="K34" s="14" t="n">
        <f aca="false">(parametros_manuales!$D$23*(datos_base!$C$2+IF(parametros_manuales!$H$23="Todos",datos_base!$C$9,0))*parametros_manuales!$K$97+parametros_manuales!$E$23*(datos_base!$C$3+IF(parametros_manuales!$H$23="Todos",datos_base!$C$10,0))*parametros_manuales!$K$102+parametros_manuales!$F$23*(datos_base!$C$4+IF(parametros_manuales!$H$23="Todos",datos_base!$C$11,0))*parametros_manuales!$K$107+parametros_manuales!$G$23*(datos_base!$C$5+IF(parametros_manuales!$H$23="Todos",datos_base!$C$12,0))*parametros_manuales!$K$112)*parametros_manuales!$I$23*parametros_manuales!$J$23</f>
        <v>950.70461631</v>
      </c>
      <c r="L34" s="14" t="n">
        <f aca="false">(parametros_manuales!$D$23*(datos_base!$C$2+IF(parametros_manuales!$H$23="Todos",datos_base!$C$9,0))*parametros_manuales!$L$97+parametros_manuales!$E$23*(datos_base!$C$3+IF(parametros_manuales!$H$23="Todos",datos_base!$C$10,0))*parametros_manuales!$L$102+parametros_manuales!$F$23*(datos_base!$C$4+IF(parametros_manuales!$H$23="Todos",datos_base!$C$11,0))*parametros_manuales!$L$107+parametros_manuales!$G$23*(datos_base!$C$5+IF(parametros_manuales!$H$23="Todos",datos_base!$C$12,0))*parametros_manuales!$L$112)*parametros_manuales!$I$23*parametros_manuales!$J$23</f>
        <v>974.87798445</v>
      </c>
      <c r="M34" s="14" t="n">
        <f aca="false">(parametros_manuales!$D$23*(datos_base!$C$2+IF(parametros_manuales!$H$23="Todos",datos_base!$C$9,0))*parametros_manuales!$M$97+parametros_manuales!$E$23*(datos_base!$C$3+IF(parametros_manuales!$H$23="Todos",datos_base!$C$10,0))*parametros_manuales!$M$102+parametros_manuales!$F$23*(datos_base!$C$4+IF(parametros_manuales!$H$23="Todos",datos_base!$C$11,0))*parametros_manuales!$M$107+parametros_manuales!$G$23*(datos_base!$C$5+IF(parametros_manuales!$H$23="Todos",datos_base!$C$12,0))*parametros_manuales!$M$112)*parametros_manuales!$I$23*parametros_manuales!$J$23</f>
        <v>974.87798445</v>
      </c>
      <c r="N34" s="14" t="n">
        <f aca="false">SUM(B34:M34)</f>
        <v>10831.977605</v>
      </c>
      <c r="O34" s="14" t="n">
        <f aca="false">MAX(B34:M34)</f>
        <v>974.87798445</v>
      </c>
      <c r="P34" s="57" t="n">
        <f aca="false">O34/(parametros_manuales!$B$7)</f>
        <v>6.499186563</v>
      </c>
      <c r="Q34" s="13" t="str">
        <f aca="false">IF(O34=0,"-",INDEX($B$29:$M$29,MATCH(O34,B34:M34,0)))</f>
        <v>Ene</v>
      </c>
    </row>
    <row r="35" customFormat="false" ht="14.25" hidden="false" customHeight="true" outlineLevel="0" collapsed="false">
      <c r="A35" s="13" t="str">
        <f aca="false">parametros_manuales!$B$24</f>
        <v>Numerado de cúpula</v>
      </c>
      <c r="B35" s="14" t="n">
        <f aca="false">(parametros_manuales!$D$24*(datos_base!$C$2+IF(parametros_manuales!$H$24="Todos",datos_base!$C$9,0))*parametros_manuales!$B$97+parametros_manuales!$E$24*(datos_base!$C$3+IF(parametros_manuales!$H$24="Todos",datos_base!$C$10,0))*parametros_manuales!$B$102+parametros_manuales!$F$24*(datos_base!$C$4+IF(parametros_manuales!$H$24="Todos",datos_base!$C$11,0))*parametros_manuales!$B$107+parametros_manuales!$G$24*(datos_base!$C$5+IF(parametros_manuales!$H$24="Todos",datos_base!$C$12,0))*parametros_manuales!$B$112)*parametros_manuales!$I$24*parametros_manuales!$J$24</f>
        <v>974.87798445</v>
      </c>
      <c r="C35" s="14" t="n">
        <f aca="false">(parametros_manuales!$D$24*(datos_base!$C$2+IF(parametros_manuales!$H$24="Todos",datos_base!$C$9,0))*parametros_manuales!$C$97+parametros_manuales!$E$24*(datos_base!$C$3+IF(parametros_manuales!$H$24="Todos",datos_base!$C$10,0))*parametros_manuales!$C$102+parametros_manuales!$F$24*(datos_base!$C$4+IF(parametros_manuales!$H$24="Todos",datos_base!$C$11,0))*parametros_manuales!$C$107+parametros_manuales!$G$24*(datos_base!$C$5+IF(parametros_manuales!$H$24="Todos",datos_base!$C$12,0))*parametros_manuales!$C$112)*parametros_manuales!$I$24*parametros_manuales!$J$24</f>
        <v>926.53124817</v>
      </c>
      <c r="D35" s="14" t="n">
        <f aca="false">(parametros_manuales!$D$24*(datos_base!$C$2+IF(parametros_manuales!$H$24="Todos",datos_base!$C$9,0))*parametros_manuales!$D$97+parametros_manuales!$E$24*(datos_base!$C$3+IF(parametros_manuales!$H$24="Todos",datos_base!$C$10,0))*parametros_manuales!$D$102+parametros_manuales!$F$24*(datos_base!$C$4+IF(parametros_manuales!$H$24="Todos",datos_base!$C$11,0))*parametros_manuales!$D$107+parametros_manuales!$G$24*(datos_base!$C$5+IF(parametros_manuales!$H$24="Todos",datos_base!$C$12,0))*parametros_manuales!$D$112)*parametros_manuales!$I$24*parametros_manuales!$J$24</f>
        <v>890.73157654</v>
      </c>
      <c r="E35" s="14" t="n">
        <f aca="false">(parametros_manuales!$D$24*(datos_base!$C$2+IF(parametros_manuales!$H$24="Todos",datos_base!$C$9,0))*parametros_manuales!$E$97+parametros_manuales!$E$24*(datos_base!$C$3+IF(parametros_manuales!$H$24="Todos",datos_base!$C$10,0))*parametros_manuales!$E$102+parametros_manuales!$F$24*(datos_base!$C$4+IF(parametros_manuales!$H$24="Todos",datos_base!$C$11,0))*parametros_manuales!$E$107+parametros_manuales!$G$24*(datos_base!$C$5+IF(parametros_manuales!$H$24="Todos",datos_base!$C$12,0))*parametros_manuales!$E$112)*parametros_manuales!$I$24*parametros_manuales!$J$24</f>
        <v>860.745056655</v>
      </c>
      <c r="F35" s="14" t="n">
        <f aca="false">(parametros_manuales!$D$24*(datos_base!$C$2+IF(parametros_manuales!$H$24="Todos",datos_base!$C$9,0))*parametros_manuales!$F$97+parametros_manuales!$E$24*(datos_base!$C$3+IF(parametros_manuales!$H$24="Todos",datos_base!$C$10,0))*parametros_manuales!$F$102+parametros_manuales!$F$24*(datos_base!$C$4+IF(parametros_manuales!$H$24="Todos",datos_base!$C$11,0))*parametros_manuales!$F$107+parametros_manuales!$G$24*(datos_base!$C$5+IF(parametros_manuales!$H$24="Todos",datos_base!$C$12,0))*parametros_manuales!$F$112)*parametros_manuales!$I$24*parametros_manuales!$J$24</f>
        <v>806.58516863</v>
      </c>
      <c r="G35" s="14" t="n">
        <f aca="false">(parametros_manuales!$D$24*(datos_base!$C$2+IF(parametros_manuales!$H$24="Todos",datos_base!$C$9,0))*parametros_manuales!$G$97+parametros_manuales!$E$24*(datos_base!$C$3+IF(parametros_manuales!$H$24="Todos",datos_base!$C$10,0))*parametros_manuales!$G$102+parametros_manuales!$F$24*(datos_base!$C$4+IF(parametros_manuales!$H$24="Todos",datos_base!$C$11,0))*parametros_manuales!$G$107+parametros_manuales!$G$24*(datos_base!$C$5+IF(parametros_manuales!$H$24="Todos",datos_base!$C$12,0))*parametros_manuales!$G$112)*parametros_manuales!$I$24*parametros_manuales!$J$24</f>
        <v>782.41180049</v>
      </c>
      <c r="H35" s="14" t="n">
        <f aca="false">(parametros_manuales!$D$24*(datos_base!$C$2+IF(parametros_manuales!$H$24="Todos",datos_base!$C$9,0))*parametros_manuales!$H$97+parametros_manuales!$E$24*(datos_base!$C$3+IF(parametros_manuales!$H$24="Todos",datos_base!$C$10,0))*parametros_manuales!$H$102+parametros_manuales!$F$24*(datos_base!$C$4+IF(parametros_manuales!$H$24="Todos",datos_base!$C$11,0))*parametros_manuales!$H$107+parametros_manuales!$G$24*(datos_base!$C$5+IF(parametros_manuales!$H$24="Todos",datos_base!$C$12,0))*parametros_manuales!$H$112)*parametros_manuales!$I$24*parametros_manuales!$J$24</f>
        <v>836.571688515</v>
      </c>
      <c r="I35" s="14" t="n">
        <f aca="false">(parametros_manuales!$D$24*(datos_base!$C$2+IF(parametros_manuales!$H$24="Todos",datos_base!$C$9,0))*parametros_manuales!$I$97+parametros_manuales!$E$24*(datos_base!$C$3+IF(parametros_manuales!$H$24="Todos",datos_base!$C$10,0))*parametros_manuales!$I$102+parametros_manuales!$F$24*(datos_base!$C$4+IF(parametros_manuales!$H$24="Todos",datos_base!$C$11,0))*parametros_manuales!$I$107+parametros_manuales!$G$24*(datos_base!$C$5+IF(parametros_manuales!$H$24="Todos",datos_base!$C$12,0))*parametros_manuales!$I$112)*parametros_manuales!$I$24*parametros_manuales!$J$24</f>
        <v>926.53124817</v>
      </c>
      <c r="J35" s="14" t="n">
        <f aca="false">(parametros_manuales!$D$24*(datos_base!$C$2+IF(parametros_manuales!$H$24="Todos",datos_base!$C$9,0))*parametros_manuales!$J$97+parametros_manuales!$E$24*(datos_base!$C$3+IF(parametros_manuales!$H$24="Todos",datos_base!$C$10,0))*parametros_manuales!$J$102+parametros_manuales!$F$24*(datos_base!$C$4+IF(parametros_manuales!$H$24="Todos",datos_base!$C$11,0))*parametros_manuales!$J$107+parametros_manuales!$G$24*(datos_base!$C$5+IF(parametros_manuales!$H$24="Todos",datos_base!$C$12,0))*parametros_manuales!$J$112)*parametros_manuales!$I$24*parametros_manuales!$J$24</f>
        <v>926.53124817</v>
      </c>
      <c r="K35" s="14" t="n">
        <f aca="false">(parametros_manuales!$D$24*(datos_base!$C$2+IF(parametros_manuales!$H$24="Todos",datos_base!$C$9,0))*parametros_manuales!$K$97+parametros_manuales!$E$24*(datos_base!$C$3+IF(parametros_manuales!$H$24="Todos",datos_base!$C$10,0))*parametros_manuales!$K$102+parametros_manuales!$F$24*(datos_base!$C$4+IF(parametros_manuales!$H$24="Todos",datos_base!$C$11,0))*parametros_manuales!$K$107+parametros_manuales!$G$24*(datos_base!$C$5+IF(parametros_manuales!$H$24="Todos",datos_base!$C$12,0))*parametros_manuales!$K$112)*parametros_manuales!$I$24*parametros_manuales!$J$24</f>
        <v>950.70461631</v>
      </c>
      <c r="L35" s="14" t="n">
        <f aca="false">(parametros_manuales!$D$24*(datos_base!$C$2+IF(parametros_manuales!$H$24="Todos",datos_base!$C$9,0))*parametros_manuales!$L$97+parametros_manuales!$E$24*(datos_base!$C$3+IF(parametros_manuales!$H$24="Todos",datos_base!$C$10,0))*parametros_manuales!$L$102+parametros_manuales!$F$24*(datos_base!$C$4+IF(parametros_manuales!$H$24="Todos",datos_base!$C$11,0))*parametros_manuales!$L$107+parametros_manuales!$G$24*(datos_base!$C$5+IF(parametros_manuales!$H$24="Todos",datos_base!$C$12,0))*parametros_manuales!$L$112)*parametros_manuales!$I$24*parametros_manuales!$J$24</f>
        <v>974.87798445</v>
      </c>
      <c r="M35" s="14" t="n">
        <f aca="false">(parametros_manuales!$D$24*(datos_base!$C$2+IF(parametros_manuales!$H$24="Todos",datos_base!$C$9,0))*parametros_manuales!$M$97+parametros_manuales!$E$24*(datos_base!$C$3+IF(parametros_manuales!$H$24="Todos",datos_base!$C$10,0))*parametros_manuales!$M$102+parametros_manuales!$F$24*(datos_base!$C$4+IF(parametros_manuales!$H$24="Todos",datos_base!$C$11,0))*parametros_manuales!$M$107+parametros_manuales!$G$24*(datos_base!$C$5+IF(parametros_manuales!$H$24="Todos",datos_base!$C$12,0))*parametros_manuales!$M$112)*parametros_manuales!$I$24*parametros_manuales!$J$24</f>
        <v>974.87798445</v>
      </c>
      <c r="N35" s="14" t="n">
        <f aca="false">SUM(B35:M35)</f>
        <v>10831.977605</v>
      </c>
      <c r="O35" s="14" t="n">
        <f aca="false">MAX(B35:M35)</f>
        <v>974.87798445</v>
      </c>
      <c r="P35" s="57" t="n">
        <f aca="false">O35/(parametros_manuales!$B$7)</f>
        <v>6.499186563</v>
      </c>
      <c r="Q35" s="13" t="str">
        <f aca="false">IF(O35=0,"-",INDEX($B$29:$M$29,MATCH(O35,B35:M35,0)))</f>
        <v>Ene</v>
      </c>
    </row>
    <row r="36" customFormat="false" ht="14.25" hidden="false" customHeight="true" outlineLevel="0" collapsed="false">
      <c r="A36" s="13" t="str">
        <f aca="false">parametros_manuales!$B$25</f>
        <v>Soldadura del cuello a la cúpula</v>
      </c>
      <c r="B36" s="14" t="n">
        <f aca="false">(parametros_manuales!$D$25*(datos_base!$C$2+IF(parametros_manuales!$H$25="Todos",datos_base!$C$9,0))*parametros_manuales!$B$97+parametros_manuales!$E$25*(datos_base!$C$3+IF(parametros_manuales!$H$25="Todos",datos_base!$C$10,0))*parametros_manuales!$B$102+parametros_manuales!$F$25*(datos_base!$C$4+IF(parametros_manuales!$H$25="Todos",datos_base!$C$11,0))*parametros_manuales!$B$107+parametros_manuales!$G$25*(datos_base!$C$5+IF(parametros_manuales!$H$25="Todos",datos_base!$C$12,0))*parametros_manuales!$B$112)*parametros_manuales!$I$25*parametros_manuales!$J$25</f>
        <v>974.87798445</v>
      </c>
      <c r="C36" s="14" t="n">
        <f aca="false">(parametros_manuales!$D$25*(datos_base!$C$2+IF(parametros_manuales!$H$25="Todos",datos_base!$C$9,0))*parametros_manuales!$C$97+parametros_manuales!$E$25*(datos_base!$C$3+IF(parametros_manuales!$H$25="Todos",datos_base!$C$10,0))*parametros_manuales!$C$102+parametros_manuales!$F$25*(datos_base!$C$4+IF(parametros_manuales!$H$25="Todos",datos_base!$C$11,0))*parametros_manuales!$C$107+parametros_manuales!$G$25*(datos_base!$C$5+IF(parametros_manuales!$H$25="Todos",datos_base!$C$12,0))*parametros_manuales!$C$112)*parametros_manuales!$I$25*parametros_manuales!$J$25</f>
        <v>926.53124817</v>
      </c>
      <c r="D36" s="14" t="n">
        <f aca="false">(parametros_manuales!$D$25*(datos_base!$C$2+IF(parametros_manuales!$H$25="Todos",datos_base!$C$9,0))*parametros_manuales!$D$97+parametros_manuales!$E$25*(datos_base!$C$3+IF(parametros_manuales!$H$25="Todos",datos_base!$C$10,0))*parametros_manuales!$D$102+parametros_manuales!$F$25*(datos_base!$C$4+IF(parametros_manuales!$H$25="Todos",datos_base!$C$11,0))*parametros_manuales!$D$107+parametros_manuales!$G$25*(datos_base!$C$5+IF(parametros_manuales!$H$25="Todos",datos_base!$C$12,0))*parametros_manuales!$D$112)*parametros_manuales!$I$25*parametros_manuales!$J$25</f>
        <v>890.73157654</v>
      </c>
      <c r="E36" s="14" t="n">
        <f aca="false">(parametros_manuales!$D$25*(datos_base!$C$2+IF(parametros_manuales!$H$25="Todos",datos_base!$C$9,0))*parametros_manuales!$E$97+parametros_manuales!$E$25*(datos_base!$C$3+IF(parametros_manuales!$H$25="Todos",datos_base!$C$10,0))*parametros_manuales!$E$102+parametros_manuales!$F$25*(datos_base!$C$4+IF(parametros_manuales!$H$25="Todos",datos_base!$C$11,0))*parametros_manuales!$E$107+parametros_manuales!$G$25*(datos_base!$C$5+IF(parametros_manuales!$H$25="Todos",datos_base!$C$12,0))*parametros_manuales!$E$112)*parametros_manuales!$I$25*parametros_manuales!$J$25</f>
        <v>860.745056655</v>
      </c>
      <c r="F36" s="14" t="n">
        <f aca="false">(parametros_manuales!$D$25*(datos_base!$C$2+IF(parametros_manuales!$H$25="Todos",datos_base!$C$9,0))*parametros_manuales!$F$97+parametros_manuales!$E$25*(datos_base!$C$3+IF(parametros_manuales!$H$25="Todos",datos_base!$C$10,0))*parametros_manuales!$F$102+parametros_manuales!$F$25*(datos_base!$C$4+IF(parametros_manuales!$H$25="Todos",datos_base!$C$11,0))*parametros_manuales!$F$107+parametros_manuales!$G$25*(datos_base!$C$5+IF(parametros_manuales!$H$25="Todos",datos_base!$C$12,0))*parametros_manuales!$F$112)*parametros_manuales!$I$25*parametros_manuales!$J$25</f>
        <v>806.58516863</v>
      </c>
      <c r="G36" s="14" t="n">
        <f aca="false">(parametros_manuales!$D$25*(datos_base!$C$2+IF(parametros_manuales!$H$25="Todos",datos_base!$C$9,0))*parametros_manuales!$G$97+parametros_manuales!$E$25*(datos_base!$C$3+IF(parametros_manuales!$H$25="Todos",datos_base!$C$10,0))*parametros_manuales!$G$102+parametros_manuales!$F$25*(datos_base!$C$4+IF(parametros_manuales!$H$25="Todos",datos_base!$C$11,0))*parametros_manuales!$G$107+parametros_manuales!$G$25*(datos_base!$C$5+IF(parametros_manuales!$H$25="Todos",datos_base!$C$12,0))*parametros_manuales!$G$112)*parametros_manuales!$I$25*parametros_manuales!$J$25</f>
        <v>782.41180049</v>
      </c>
      <c r="H36" s="14" t="n">
        <f aca="false">(parametros_manuales!$D$25*(datos_base!$C$2+IF(parametros_manuales!$H$25="Todos",datos_base!$C$9,0))*parametros_manuales!$H$97+parametros_manuales!$E$25*(datos_base!$C$3+IF(parametros_manuales!$H$25="Todos",datos_base!$C$10,0))*parametros_manuales!$H$102+parametros_manuales!$F$25*(datos_base!$C$4+IF(parametros_manuales!$H$25="Todos",datos_base!$C$11,0))*parametros_manuales!$H$107+parametros_manuales!$G$25*(datos_base!$C$5+IF(parametros_manuales!$H$25="Todos",datos_base!$C$12,0))*parametros_manuales!$H$112)*parametros_manuales!$I$25*parametros_manuales!$J$25</f>
        <v>836.571688515</v>
      </c>
      <c r="I36" s="14" t="n">
        <f aca="false">(parametros_manuales!$D$25*(datos_base!$C$2+IF(parametros_manuales!$H$25="Todos",datos_base!$C$9,0))*parametros_manuales!$I$97+parametros_manuales!$E$25*(datos_base!$C$3+IF(parametros_manuales!$H$25="Todos",datos_base!$C$10,0))*parametros_manuales!$I$102+parametros_manuales!$F$25*(datos_base!$C$4+IF(parametros_manuales!$H$25="Todos",datos_base!$C$11,0))*parametros_manuales!$I$107+parametros_manuales!$G$25*(datos_base!$C$5+IF(parametros_manuales!$H$25="Todos",datos_base!$C$12,0))*parametros_manuales!$I$112)*parametros_manuales!$I$25*parametros_manuales!$J$25</f>
        <v>926.53124817</v>
      </c>
      <c r="J36" s="14" t="n">
        <f aca="false">(parametros_manuales!$D$25*(datos_base!$C$2+IF(parametros_manuales!$H$25="Todos",datos_base!$C$9,0))*parametros_manuales!$J$97+parametros_manuales!$E$25*(datos_base!$C$3+IF(parametros_manuales!$H$25="Todos",datos_base!$C$10,0))*parametros_manuales!$J$102+parametros_manuales!$F$25*(datos_base!$C$4+IF(parametros_manuales!$H$25="Todos",datos_base!$C$11,0))*parametros_manuales!$J$107+parametros_manuales!$G$25*(datos_base!$C$5+IF(parametros_manuales!$H$25="Todos",datos_base!$C$12,0))*parametros_manuales!$J$112)*parametros_manuales!$I$25*parametros_manuales!$J$25</f>
        <v>926.53124817</v>
      </c>
      <c r="K36" s="14" t="n">
        <f aca="false">(parametros_manuales!$D$25*(datos_base!$C$2+IF(parametros_manuales!$H$25="Todos",datos_base!$C$9,0))*parametros_manuales!$K$97+parametros_manuales!$E$25*(datos_base!$C$3+IF(parametros_manuales!$H$25="Todos",datos_base!$C$10,0))*parametros_manuales!$K$102+parametros_manuales!$F$25*(datos_base!$C$4+IF(parametros_manuales!$H$25="Todos",datos_base!$C$11,0))*parametros_manuales!$K$107+parametros_manuales!$G$25*(datos_base!$C$5+IF(parametros_manuales!$H$25="Todos",datos_base!$C$12,0))*parametros_manuales!$K$112)*parametros_manuales!$I$25*parametros_manuales!$J$25</f>
        <v>950.70461631</v>
      </c>
      <c r="L36" s="14" t="n">
        <f aca="false">(parametros_manuales!$D$25*(datos_base!$C$2+IF(parametros_manuales!$H$25="Todos",datos_base!$C$9,0))*parametros_manuales!$L$97+parametros_manuales!$E$25*(datos_base!$C$3+IF(parametros_manuales!$H$25="Todos",datos_base!$C$10,0))*parametros_manuales!$L$102+parametros_manuales!$F$25*(datos_base!$C$4+IF(parametros_manuales!$H$25="Todos",datos_base!$C$11,0))*parametros_manuales!$L$107+parametros_manuales!$G$25*(datos_base!$C$5+IF(parametros_manuales!$H$25="Todos",datos_base!$C$12,0))*parametros_manuales!$L$112)*parametros_manuales!$I$25*parametros_manuales!$J$25</f>
        <v>974.87798445</v>
      </c>
      <c r="M36" s="14" t="n">
        <f aca="false">(parametros_manuales!$D$25*(datos_base!$C$2+IF(parametros_manuales!$H$25="Todos",datos_base!$C$9,0))*parametros_manuales!$M$97+parametros_manuales!$E$25*(datos_base!$C$3+IF(parametros_manuales!$H$25="Todos",datos_base!$C$10,0))*parametros_manuales!$M$102+parametros_manuales!$F$25*(datos_base!$C$4+IF(parametros_manuales!$H$25="Todos",datos_base!$C$11,0))*parametros_manuales!$M$107+parametros_manuales!$G$25*(datos_base!$C$5+IF(parametros_manuales!$H$25="Todos",datos_base!$C$12,0))*parametros_manuales!$M$112)*parametros_manuales!$I$25*parametros_manuales!$J$25</f>
        <v>974.87798445</v>
      </c>
      <c r="N36" s="14" t="n">
        <f aca="false">SUM(B36:M36)</f>
        <v>10831.977605</v>
      </c>
      <c r="O36" s="14" t="n">
        <f aca="false">MAX(B36:M36)</f>
        <v>974.87798445</v>
      </c>
      <c r="P36" s="57" t="n">
        <f aca="false">O36/(parametros_manuales!$B$7)</f>
        <v>6.499186563</v>
      </c>
      <c r="Q36" s="13" t="str">
        <f aca="false">IF(O36=0,"-",INDEX($B$29:$M$29,MATCH(O36,B36:M36,0)))</f>
        <v>Ene</v>
      </c>
    </row>
    <row r="37" customFormat="false" ht="14.25" hidden="false" customHeight="true" outlineLevel="0" collapsed="false">
      <c r="A37" s="13" t="str">
        <f aca="false">parametros_manuales!$B$26</f>
        <v>Cilindrado</v>
      </c>
      <c r="B37" s="14" t="n">
        <f aca="false">(parametros_manuales!$D$26*(datos_base!$C$2+IF(parametros_manuales!$H$26="Todos",datos_base!$C$9,0))*parametros_manuales!$B$97+parametros_manuales!$E$26*(datos_base!$C$3+IF(parametros_manuales!$H$26="Todos",datos_base!$C$10,0))*parametros_manuales!$B$102+parametros_manuales!$F$26*(datos_base!$C$4+IF(parametros_manuales!$H$26="Todos",datos_base!$C$11,0))*parametros_manuales!$B$107+parametros_manuales!$G$26*(datos_base!$C$5+IF(parametros_manuales!$H$26="Todos",datos_base!$C$12,0))*parametros_manuales!$B$112)*parametros_manuales!$I$26*parametros_manuales!$J$26</f>
        <v>974.87798445</v>
      </c>
      <c r="C37" s="14" t="n">
        <f aca="false">(parametros_manuales!$D$26*(datos_base!$C$2+IF(parametros_manuales!$H$26="Todos",datos_base!$C$9,0))*parametros_manuales!$C$97+parametros_manuales!$E$26*(datos_base!$C$3+IF(parametros_manuales!$H$26="Todos",datos_base!$C$10,0))*parametros_manuales!$C$102+parametros_manuales!$F$26*(datos_base!$C$4+IF(parametros_manuales!$H$26="Todos",datos_base!$C$11,0))*parametros_manuales!$C$107+parametros_manuales!$G$26*(datos_base!$C$5+IF(parametros_manuales!$H$26="Todos",datos_base!$C$12,0))*parametros_manuales!$C$112)*parametros_manuales!$I$26*parametros_manuales!$J$26</f>
        <v>926.53124817</v>
      </c>
      <c r="D37" s="14" t="n">
        <f aca="false">(parametros_manuales!$D$26*(datos_base!$C$2+IF(parametros_manuales!$H$26="Todos",datos_base!$C$9,0))*parametros_manuales!$D$97+parametros_manuales!$E$26*(datos_base!$C$3+IF(parametros_manuales!$H$26="Todos",datos_base!$C$10,0))*parametros_manuales!$D$102+parametros_manuales!$F$26*(datos_base!$C$4+IF(parametros_manuales!$H$26="Todos",datos_base!$C$11,0))*parametros_manuales!$D$107+parametros_manuales!$G$26*(datos_base!$C$5+IF(parametros_manuales!$H$26="Todos",datos_base!$C$12,0))*parametros_manuales!$D$112)*parametros_manuales!$I$26*parametros_manuales!$J$26</f>
        <v>890.73157654</v>
      </c>
      <c r="E37" s="14" t="n">
        <f aca="false">(parametros_manuales!$D$26*(datos_base!$C$2+IF(parametros_manuales!$H$26="Todos",datos_base!$C$9,0))*parametros_manuales!$E$97+parametros_manuales!$E$26*(datos_base!$C$3+IF(parametros_manuales!$H$26="Todos",datos_base!$C$10,0))*parametros_manuales!$E$102+parametros_manuales!$F$26*(datos_base!$C$4+IF(parametros_manuales!$H$26="Todos",datos_base!$C$11,0))*parametros_manuales!$E$107+parametros_manuales!$G$26*(datos_base!$C$5+IF(parametros_manuales!$H$26="Todos",datos_base!$C$12,0))*parametros_manuales!$E$112)*parametros_manuales!$I$26*parametros_manuales!$J$26</f>
        <v>860.745056655</v>
      </c>
      <c r="F37" s="14" t="n">
        <f aca="false">(parametros_manuales!$D$26*(datos_base!$C$2+IF(parametros_manuales!$H$26="Todos",datos_base!$C$9,0))*parametros_manuales!$F$97+parametros_manuales!$E$26*(datos_base!$C$3+IF(parametros_manuales!$H$26="Todos",datos_base!$C$10,0))*parametros_manuales!$F$102+parametros_manuales!$F$26*(datos_base!$C$4+IF(parametros_manuales!$H$26="Todos",datos_base!$C$11,0))*parametros_manuales!$F$107+parametros_manuales!$G$26*(datos_base!$C$5+IF(parametros_manuales!$H$26="Todos",datos_base!$C$12,0))*parametros_manuales!$F$112)*parametros_manuales!$I$26*parametros_manuales!$J$26</f>
        <v>806.58516863</v>
      </c>
      <c r="G37" s="14" t="n">
        <f aca="false">(parametros_manuales!$D$26*(datos_base!$C$2+IF(parametros_manuales!$H$26="Todos",datos_base!$C$9,0))*parametros_manuales!$G$97+parametros_manuales!$E$26*(datos_base!$C$3+IF(parametros_manuales!$H$26="Todos",datos_base!$C$10,0))*parametros_manuales!$G$102+parametros_manuales!$F$26*(datos_base!$C$4+IF(parametros_manuales!$H$26="Todos",datos_base!$C$11,0))*parametros_manuales!$G$107+parametros_manuales!$G$26*(datos_base!$C$5+IF(parametros_manuales!$H$26="Todos",datos_base!$C$12,0))*parametros_manuales!$G$112)*parametros_manuales!$I$26*parametros_manuales!$J$26</f>
        <v>782.41180049</v>
      </c>
      <c r="H37" s="14" t="n">
        <f aca="false">(parametros_manuales!$D$26*(datos_base!$C$2+IF(parametros_manuales!$H$26="Todos",datos_base!$C$9,0))*parametros_manuales!$H$97+parametros_manuales!$E$26*(datos_base!$C$3+IF(parametros_manuales!$H$26="Todos",datos_base!$C$10,0))*parametros_manuales!$H$102+parametros_manuales!$F$26*(datos_base!$C$4+IF(parametros_manuales!$H$26="Todos",datos_base!$C$11,0))*parametros_manuales!$H$107+parametros_manuales!$G$26*(datos_base!$C$5+IF(parametros_manuales!$H$26="Todos",datos_base!$C$12,0))*parametros_manuales!$H$112)*parametros_manuales!$I$26*parametros_manuales!$J$26</f>
        <v>836.571688515</v>
      </c>
      <c r="I37" s="14" t="n">
        <f aca="false">(parametros_manuales!$D$26*(datos_base!$C$2+IF(parametros_manuales!$H$26="Todos",datos_base!$C$9,0))*parametros_manuales!$I$97+parametros_manuales!$E$26*(datos_base!$C$3+IF(parametros_manuales!$H$26="Todos",datos_base!$C$10,0))*parametros_manuales!$I$102+parametros_manuales!$F$26*(datos_base!$C$4+IF(parametros_manuales!$H$26="Todos",datos_base!$C$11,0))*parametros_manuales!$I$107+parametros_manuales!$G$26*(datos_base!$C$5+IF(parametros_manuales!$H$26="Todos",datos_base!$C$12,0))*parametros_manuales!$I$112)*parametros_manuales!$I$26*parametros_manuales!$J$26</f>
        <v>926.53124817</v>
      </c>
      <c r="J37" s="14" t="n">
        <f aca="false">(parametros_manuales!$D$26*(datos_base!$C$2+IF(parametros_manuales!$H$26="Todos",datos_base!$C$9,0))*parametros_manuales!$J$97+parametros_manuales!$E$26*(datos_base!$C$3+IF(parametros_manuales!$H$26="Todos",datos_base!$C$10,0))*parametros_manuales!$J$102+parametros_manuales!$F$26*(datos_base!$C$4+IF(parametros_manuales!$H$26="Todos",datos_base!$C$11,0))*parametros_manuales!$J$107+parametros_manuales!$G$26*(datos_base!$C$5+IF(parametros_manuales!$H$26="Todos",datos_base!$C$12,0))*parametros_manuales!$J$112)*parametros_manuales!$I$26*parametros_manuales!$J$26</f>
        <v>926.53124817</v>
      </c>
      <c r="K37" s="14" t="n">
        <f aca="false">(parametros_manuales!$D$26*(datos_base!$C$2+IF(parametros_manuales!$H$26="Todos",datos_base!$C$9,0))*parametros_manuales!$K$97+parametros_manuales!$E$26*(datos_base!$C$3+IF(parametros_manuales!$H$26="Todos",datos_base!$C$10,0))*parametros_manuales!$K$102+parametros_manuales!$F$26*(datos_base!$C$4+IF(parametros_manuales!$H$26="Todos",datos_base!$C$11,0))*parametros_manuales!$K$107+parametros_manuales!$G$26*(datos_base!$C$5+IF(parametros_manuales!$H$26="Todos",datos_base!$C$12,0))*parametros_manuales!$K$112)*parametros_manuales!$I$26*parametros_manuales!$J$26</f>
        <v>950.70461631</v>
      </c>
      <c r="L37" s="14" t="n">
        <f aca="false">(parametros_manuales!$D$26*(datos_base!$C$2+IF(parametros_manuales!$H$26="Todos",datos_base!$C$9,0))*parametros_manuales!$L$97+parametros_manuales!$E$26*(datos_base!$C$3+IF(parametros_manuales!$H$26="Todos",datos_base!$C$10,0))*parametros_manuales!$L$102+parametros_manuales!$F$26*(datos_base!$C$4+IF(parametros_manuales!$H$26="Todos",datos_base!$C$11,0))*parametros_manuales!$L$107+parametros_manuales!$G$26*(datos_base!$C$5+IF(parametros_manuales!$H$26="Todos",datos_base!$C$12,0))*parametros_manuales!$L$112)*parametros_manuales!$I$26*parametros_manuales!$J$26</f>
        <v>974.87798445</v>
      </c>
      <c r="M37" s="14" t="n">
        <f aca="false">(parametros_manuales!$D$26*(datos_base!$C$2+IF(parametros_manuales!$H$26="Todos",datos_base!$C$9,0))*parametros_manuales!$M$97+parametros_manuales!$E$26*(datos_base!$C$3+IF(parametros_manuales!$H$26="Todos",datos_base!$C$10,0))*parametros_manuales!$M$102+parametros_manuales!$F$26*(datos_base!$C$4+IF(parametros_manuales!$H$26="Todos",datos_base!$C$11,0))*parametros_manuales!$M$107+parametros_manuales!$G$26*(datos_base!$C$5+IF(parametros_manuales!$H$26="Todos",datos_base!$C$12,0))*parametros_manuales!$M$112)*parametros_manuales!$I$26*parametros_manuales!$J$26</f>
        <v>974.87798445</v>
      </c>
      <c r="N37" s="14" t="n">
        <f aca="false">SUM(B37:M37)</f>
        <v>10831.977605</v>
      </c>
      <c r="O37" s="14" t="n">
        <f aca="false">MAX(B37:M37)</f>
        <v>974.87798445</v>
      </c>
      <c r="P37" s="57" t="n">
        <f aca="false">O37/(parametros_manuales!$B$7)</f>
        <v>6.499186563</v>
      </c>
      <c r="Q37" s="13" t="str">
        <f aca="false">IF(O37=0,"-",INDEX($B$29:$M$29,MATCH(O37,B37:M37,0)))</f>
        <v>Ene</v>
      </c>
    </row>
    <row r="38" customFormat="false" ht="14.25" hidden="false" customHeight="true" outlineLevel="0" collapsed="false">
      <c r="A38" s="13" t="str">
        <f aca="false">parametros_manuales!$B$27</f>
        <v>Soldadura longitudinal — 2,5 a 10 kg</v>
      </c>
      <c r="B38" s="14" t="n">
        <f aca="false">(parametros_manuales!$D$27*(datos_base!$C$2+IF(parametros_manuales!$H$27="Todos",datos_base!$C$9,0))*parametros_manuales!$B$97+parametros_manuales!$E$27*(datos_base!$C$3+IF(parametros_manuales!$H$27="Todos",datos_base!$C$10,0))*parametros_manuales!$B$102+parametros_manuales!$F$27*(datos_base!$C$4+IF(parametros_manuales!$H$27="Todos",datos_base!$C$11,0))*parametros_manuales!$B$107+parametros_manuales!$G$27*(datos_base!$C$5+IF(parametros_manuales!$H$27="Todos",datos_base!$C$12,0))*parametros_manuales!$B$112)*parametros_manuales!$I$27*parametros_manuales!$J$27</f>
        <v>435.12062652</v>
      </c>
      <c r="C38" s="14" t="n">
        <f aca="false">(parametros_manuales!$D$27*(datos_base!$C$2+IF(parametros_manuales!$H$27="Todos",datos_base!$C$9,0))*parametros_manuales!$C$97+parametros_manuales!$E$27*(datos_base!$C$3+IF(parametros_manuales!$H$27="Todos",datos_base!$C$10,0))*parametros_manuales!$C$102+parametros_manuales!$F$27*(datos_base!$C$4+IF(parametros_manuales!$H$27="Todos",datos_base!$C$11,0))*parametros_manuales!$C$107+parametros_manuales!$G$27*(datos_base!$C$5+IF(parametros_manuales!$H$27="Todos",datos_base!$C$12,0))*parametros_manuales!$C$112)*parametros_manuales!$I$27*parametros_manuales!$J$27</f>
        <v>386.77389024</v>
      </c>
      <c r="D38" s="14" t="n">
        <f aca="false">(parametros_manuales!$D$27*(datos_base!$C$2+IF(parametros_manuales!$H$27="Todos",datos_base!$C$9,0))*parametros_manuales!$D$97+parametros_manuales!$E$27*(datos_base!$C$3+IF(parametros_manuales!$H$27="Todos",datos_base!$C$10,0))*parametros_manuales!$D$102+parametros_manuales!$F$27*(datos_base!$C$4+IF(parametros_manuales!$H$27="Todos",datos_base!$C$11,0))*parametros_manuales!$D$107+parametros_manuales!$G$27*(datos_base!$C$5+IF(parametros_manuales!$H$27="Todos",datos_base!$C$12,0))*parametros_manuales!$D$112)*parametros_manuales!$I$27*parametros_manuales!$J$27</f>
        <v>410.94725838</v>
      </c>
      <c r="E38" s="14" t="n">
        <f aca="false">(parametros_manuales!$D$27*(datos_base!$C$2+IF(parametros_manuales!$H$27="Todos",datos_base!$C$9,0))*parametros_manuales!$E$97+parametros_manuales!$E$27*(datos_base!$C$3+IF(parametros_manuales!$H$27="Todos",datos_base!$C$10,0))*parametros_manuales!$E$102+parametros_manuales!$F$27*(datos_base!$C$4+IF(parametros_manuales!$H$27="Todos",datos_base!$C$11,0))*parametros_manuales!$E$107+parametros_manuales!$G$27*(datos_base!$C$5+IF(parametros_manuales!$H$27="Todos",datos_base!$C$12,0))*parametros_manuales!$E$112)*parametros_manuales!$I$27*parametros_manuales!$J$27</f>
        <v>410.94725838</v>
      </c>
      <c r="F38" s="14" t="n">
        <f aca="false">(parametros_manuales!$D$27*(datos_base!$C$2+IF(parametros_manuales!$H$27="Todos",datos_base!$C$9,0))*parametros_manuales!$F$97+parametros_manuales!$E$27*(datos_base!$C$3+IF(parametros_manuales!$H$27="Todos",datos_base!$C$10,0))*parametros_manuales!$F$102+parametros_manuales!$F$27*(datos_base!$C$4+IF(parametros_manuales!$H$27="Todos",datos_base!$C$11,0))*parametros_manuales!$F$107+parametros_manuales!$G$27*(datos_base!$C$5+IF(parametros_manuales!$H$27="Todos",datos_base!$C$12,0))*parametros_manuales!$F$112)*parametros_manuales!$I$27*parametros_manuales!$J$27</f>
        <v>386.77389024</v>
      </c>
      <c r="G38" s="14" t="n">
        <f aca="false">(parametros_manuales!$D$27*(datos_base!$C$2+IF(parametros_manuales!$H$27="Todos",datos_base!$C$9,0))*parametros_manuales!$G$97+parametros_manuales!$E$27*(datos_base!$C$3+IF(parametros_manuales!$H$27="Todos",datos_base!$C$10,0))*parametros_manuales!$G$102+parametros_manuales!$F$27*(datos_base!$C$4+IF(parametros_manuales!$H$27="Todos",datos_base!$C$11,0))*parametros_manuales!$G$107+parametros_manuales!$G$27*(datos_base!$C$5+IF(parametros_manuales!$H$27="Todos",datos_base!$C$12,0))*parametros_manuales!$G$112)*parametros_manuales!$I$27*parametros_manuales!$J$27</f>
        <v>362.6005221</v>
      </c>
      <c r="H38" s="14" t="n">
        <f aca="false">(parametros_manuales!$D$27*(datos_base!$C$2+IF(parametros_manuales!$H$27="Todos",datos_base!$C$9,0))*parametros_manuales!$H$97+parametros_manuales!$E$27*(datos_base!$C$3+IF(parametros_manuales!$H$27="Todos",datos_base!$C$10,0))*parametros_manuales!$H$102+parametros_manuales!$F$27*(datos_base!$C$4+IF(parametros_manuales!$H$27="Todos",datos_base!$C$11,0))*parametros_manuales!$H$107+parametros_manuales!$G$27*(datos_base!$C$5+IF(parametros_manuales!$H$27="Todos",datos_base!$C$12,0))*parametros_manuales!$H$112)*parametros_manuales!$I$27*parametros_manuales!$J$27</f>
        <v>386.77389024</v>
      </c>
      <c r="I38" s="14" t="n">
        <f aca="false">(parametros_manuales!$D$27*(datos_base!$C$2+IF(parametros_manuales!$H$27="Todos",datos_base!$C$9,0))*parametros_manuales!$I$97+parametros_manuales!$E$27*(datos_base!$C$3+IF(parametros_manuales!$H$27="Todos",datos_base!$C$10,0))*parametros_manuales!$I$102+parametros_manuales!$F$27*(datos_base!$C$4+IF(parametros_manuales!$H$27="Todos",datos_base!$C$11,0))*parametros_manuales!$I$107+parametros_manuales!$G$27*(datos_base!$C$5+IF(parametros_manuales!$H$27="Todos",datos_base!$C$12,0))*parametros_manuales!$I$112)*parametros_manuales!$I$27*parametros_manuales!$J$27</f>
        <v>386.77389024</v>
      </c>
      <c r="J38" s="14" t="n">
        <f aca="false">(parametros_manuales!$D$27*(datos_base!$C$2+IF(parametros_manuales!$H$27="Todos",datos_base!$C$9,0))*parametros_manuales!$J$97+parametros_manuales!$E$27*(datos_base!$C$3+IF(parametros_manuales!$H$27="Todos",datos_base!$C$10,0))*parametros_manuales!$J$102+parametros_manuales!$F$27*(datos_base!$C$4+IF(parametros_manuales!$H$27="Todos",datos_base!$C$11,0))*parametros_manuales!$J$107+parametros_manuales!$G$27*(datos_base!$C$5+IF(parametros_manuales!$H$27="Todos",datos_base!$C$12,0))*parametros_manuales!$J$112)*parametros_manuales!$I$27*parametros_manuales!$J$27</f>
        <v>386.77389024</v>
      </c>
      <c r="K38" s="14" t="n">
        <f aca="false">(parametros_manuales!$D$27*(datos_base!$C$2+IF(parametros_manuales!$H$27="Todos",datos_base!$C$9,0))*parametros_manuales!$K$97+parametros_manuales!$E$27*(datos_base!$C$3+IF(parametros_manuales!$H$27="Todos",datos_base!$C$10,0))*parametros_manuales!$K$102+parametros_manuales!$F$27*(datos_base!$C$4+IF(parametros_manuales!$H$27="Todos",datos_base!$C$11,0))*parametros_manuales!$K$107+parametros_manuales!$G$27*(datos_base!$C$5+IF(parametros_manuales!$H$27="Todos",datos_base!$C$12,0))*parametros_manuales!$K$112)*parametros_manuales!$I$27*parametros_manuales!$J$27</f>
        <v>410.94725838</v>
      </c>
      <c r="L38" s="14" t="n">
        <f aca="false">(parametros_manuales!$D$27*(datos_base!$C$2+IF(parametros_manuales!$H$27="Todos",datos_base!$C$9,0))*parametros_manuales!$L$97+parametros_manuales!$E$27*(datos_base!$C$3+IF(parametros_manuales!$H$27="Todos",datos_base!$C$10,0))*parametros_manuales!$L$102+parametros_manuales!$F$27*(datos_base!$C$4+IF(parametros_manuales!$H$27="Todos",datos_base!$C$11,0))*parametros_manuales!$L$107+parametros_manuales!$G$27*(datos_base!$C$5+IF(parametros_manuales!$H$27="Todos",datos_base!$C$12,0))*parametros_manuales!$L$112)*parametros_manuales!$I$27*parametros_manuales!$J$27</f>
        <v>435.12062652</v>
      </c>
      <c r="M38" s="14" t="n">
        <f aca="false">(parametros_manuales!$D$27*(datos_base!$C$2+IF(parametros_manuales!$H$27="Todos",datos_base!$C$9,0))*parametros_manuales!$M$97+parametros_manuales!$E$27*(datos_base!$C$3+IF(parametros_manuales!$H$27="Todos",datos_base!$C$10,0))*parametros_manuales!$M$102+parametros_manuales!$F$27*(datos_base!$C$4+IF(parametros_manuales!$H$27="Todos",datos_base!$C$11,0))*parametros_manuales!$M$107+parametros_manuales!$G$27*(datos_base!$C$5+IF(parametros_manuales!$H$27="Todos",datos_base!$C$12,0))*parametros_manuales!$M$112)*parametros_manuales!$I$27*parametros_manuales!$J$27</f>
        <v>435.12062652</v>
      </c>
      <c r="N38" s="14" t="n">
        <f aca="false">SUM(B38:M38)</f>
        <v>4834.673628</v>
      </c>
      <c r="O38" s="14" t="n">
        <f aca="false">MAX(B38:M38)</f>
        <v>435.12062652</v>
      </c>
      <c r="P38" s="57" t="n">
        <f aca="false">O38/(parametros_manuales!$B$7)</f>
        <v>2.9008041768</v>
      </c>
      <c r="Q38" s="13" t="str">
        <f aca="false">IF(O38=0,"-",INDEX($B$29:$M$29,MATCH(O38,B38:M38,0)))</f>
        <v>Ene</v>
      </c>
    </row>
    <row r="39" customFormat="false" ht="14.25" hidden="false" customHeight="true" outlineLevel="0" collapsed="false">
      <c r="A39" s="13" t="str">
        <f aca="false">parametros_manuales!$B$28</f>
        <v>Soldadura longitudinal TIG — 1 kg</v>
      </c>
      <c r="B39" s="14" t="n">
        <f aca="false">(parametros_manuales!$D$28*(datos_base!$C$2+IF(parametros_manuales!$H$28="Todos",datos_base!$C$9,0))*parametros_manuales!$B$97+parametros_manuales!$E$28*(datos_base!$C$3+IF(parametros_manuales!$H$28="Todos",datos_base!$C$10,0))*parametros_manuales!$B$102+parametros_manuales!$F$28*(datos_base!$C$4+IF(parametros_manuales!$H$28="Todos",datos_base!$C$11,0))*parametros_manuales!$B$107+parametros_manuales!$G$28*(datos_base!$C$5+IF(parametros_manuales!$H$28="Todos",datos_base!$C$12,0))*parametros_manuales!$B$112)*parametros_manuales!$I$28*parametros_manuales!$J$28</f>
        <v>539.75735793</v>
      </c>
      <c r="C39" s="14" t="n">
        <f aca="false">(parametros_manuales!$D$28*(datos_base!$C$2+IF(parametros_manuales!$H$28="Todos",datos_base!$C$9,0))*parametros_manuales!$C$97+parametros_manuales!$E$28*(datos_base!$C$3+IF(parametros_manuales!$H$28="Todos",datos_base!$C$10,0))*parametros_manuales!$C$102+parametros_manuales!$F$28*(datos_base!$C$4+IF(parametros_manuales!$H$28="Todos",datos_base!$C$11,0))*parametros_manuales!$C$107+parametros_manuales!$G$28*(datos_base!$C$5+IF(parametros_manuales!$H$28="Todos",datos_base!$C$12,0))*parametros_manuales!$C$112)*parametros_manuales!$I$28*parametros_manuales!$J$28</f>
        <v>539.75735793</v>
      </c>
      <c r="D39" s="14" t="n">
        <f aca="false">(parametros_manuales!$D$28*(datos_base!$C$2+IF(parametros_manuales!$H$28="Todos",datos_base!$C$9,0))*parametros_manuales!$D$97+parametros_manuales!$E$28*(datos_base!$C$3+IF(parametros_manuales!$H$28="Todos",datos_base!$C$10,0))*parametros_manuales!$D$102+parametros_manuales!$F$28*(datos_base!$C$4+IF(parametros_manuales!$H$28="Todos",datos_base!$C$11,0))*parametros_manuales!$D$107+parametros_manuales!$G$28*(datos_base!$C$5+IF(parametros_manuales!$H$28="Todos",datos_base!$C$12,0))*parametros_manuales!$D$112)*parametros_manuales!$I$28*parametros_manuales!$J$28</f>
        <v>479.78431816</v>
      </c>
      <c r="E39" s="14" t="n">
        <f aca="false">(parametros_manuales!$D$28*(datos_base!$C$2+IF(parametros_manuales!$H$28="Todos",datos_base!$C$9,0))*parametros_manuales!$E$97+parametros_manuales!$E$28*(datos_base!$C$3+IF(parametros_manuales!$H$28="Todos",datos_base!$C$10,0))*parametros_manuales!$E$102+parametros_manuales!$F$28*(datos_base!$C$4+IF(parametros_manuales!$H$28="Todos",datos_base!$C$11,0))*parametros_manuales!$E$107+parametros_manuales!$G$28*(datos_base!$C$5+IF(parametros_manuales!$H$28="Todos",datos_base!$C$12,0))*parametros_manuales!$E$112)*parametros_manuales!$I$28*parametros_manuales!$J$28</f>
        <v>449.797798275</v>
      </c>
      <c r="F39" s="14" t="n">
        <f aca="false">(parametros_manuales!$D$28*(datos_base!$C$2+IF(parametros_manuales!$H$28="Todos",datos_base!$C$9,0))*parametros_manuales!$F$97+parametros_manuales!$E$28*(datos_base!$C$3+IF(parametros_manuales!$H$28="Todos",datos_base!$C$10,0))*parametros_manuales!$F$102+parametros_manuales!$F$28*(datos_base!$C$4+IF(parametros_manuales!$H$28="Todos",datos_base!$C$11,0))*parametros_manuales!$F$107+parametros_manuales!$G$28*(datos_base!$C$5+IF(parametros_manuales!$H$28="Todos",datos_base!$C$12,0))*parametros_manuales!$F$112)*parametros_manuales!$I$28*parametros_manuales!$J$28</f>
        <v>419.81127839</v>
      </c>
      <c r="G39" s="14" t="n">
        <f aca="false">(parametros_manuales!$D$28*(datos_base!$C$2+IF(parametros_manuales!$H$28="Todos",datos_base!$C$9,0))*parametros_manuales!$G$97+parametros_manuales!$E$28*(datos_base!$C$3+IF(parametros_manuales!$H$28="Todos",datos_base!$C$10,0))*parametros_manuales!$G$102+parametros_manuales!$F$28*(datos_base!$C$4+IF(parametros_manuales!$H$28="Todos",datos_base!$C$11,0))*parametros_manuales!$G$107+parametros_manuales!$G$28*(datos_base!$C$5+IF(parametros_manuales!$H$28="Todos",datos_base!$C$12,0))*parametros_manuales!$G$112)*parametros_manuales!$I$28*parametros_manuales!$J$28</f>
        <v>419.81127839</v>
      </c>
      <c r="H39" s="14" t="n">
        <f aca="false">(parametros_manuales!$D$28*(datos_base!$C$2+IF(parametros_manuales!$H$28="Todos",datos_base!$C$9,0))*parametros_manuales!$H$97+parametros_manuales!$E$28*(datos_base!$C$3+IF(parametros_manuales!$H$28="Todos",datos_base!$C$10,0))*parametros_manuales!$H$102+parametros_manuales!$F$28*(datos_base!$C$4+IF(parametros_manuales!$H$28="Todos",datos_base!$C$11,0))*parametros_manuales!$H$107+parametros_manuales!$G$28*(datos_base!$C$5+IF(parametros_manuales!$H$28="Todos",datos_base!$C$12,0))*parametros_manuales!$H$112)*parametros_manuales!$I$28*parametros_manuales!$J$28</f>
        <v>449.797798275</v>
      </c>
      <c r="I39" s="14" t="n">
        <f aca="false">(parametros_manuales!$D$28*(datos_base!$C$2+IF(parametros_manuales!$H$28="Todos",datos_base!$C$9,0))*parametros_manuales!$I$97+parametros_manuales!$E$28*(datos_base!$C$3+IF(parametros_manuales!$H$28="Todos",datos_base!$C$10,0))*parametros_manuales!$I$102+parametros_manuales!$F$28*(datos_base!$C$4+IF(parametros_manuales!$H$28="Todos",datos_base!$C$11,0))*parametros_manuales!$I$107+parametros_manuales!$G$28*(datos_base!$C$5+IF(parametros_manuales!$H$28="Todos",datos_base!$C$12,0))*parametros_manuales!$I$112)*parametros_manuales!$I$28*parametros_manuales!$J$28</f>
        <v>539.75735793</v>
      </c>
      <c r="J39" s="14" t="n">
        <f aca="false">(parametros_manuales!$D$28*(datos_base!$C$2+IF(parametros_manuales!$H$28="Todos",datos_base!$C$9,0))*parametros_manuales!$J$97+parametros_manuales!$E$28*(datos_base!$C$3+IF(parametros_manuales!$H$28="Todos",datos_base!$C$10,0))*parametros_manuales!$J$102+parametros_manuales!$F$28*(datos_base!$C$4+IF(parametros_manuales!$H$28="Todos",datos_base!$C$11,0))*parametros_manuales!$J$107+parametros_manuales!$G$28*(datos_base!$C$5+IF(parametros_manuales!$H$28="Todos",datos_base!$C$12,0))*parametros_manuales!$J$112)*parametros_manuales!$I$28*parametros_manuales!$J$28</f>
        <v>539.75735793</v>
      </c>
      <c r="K39" s="14" t="n">
        <f aca="false">(parametros_manuales!$D$28*(datos_base!$C$2+IF(parametros_manuales!$H$28="Todos",datos_base!$C$9,0))*parametros_manuales!$K$97+parametros_manuales!$E$28*(datos_base!$C$3+IF(parametros_manuales!$H$28="Todos",datos_base!$C$10,0))*parametros_manuales!$K$102+parametros_manuales!$F$28*(datos_base!$C$4+IF(parametros_manuales!$H$28="Todos",datos_base!$C$11,0))*parametros_manuales!$K$107+parametros_manuales!$G$28*(datos_base!$C$5+IF(parametros_manuales!$H$28="Todos",datos_base!$C$12,0))*parametros_manuales!$K$112)*parametros_manuales!$I$28*parametros_manuales!$J$28</f>
        <v>539.75735793</v>
      </c>
      <c r="L39" s="14" t="n">
        <f aca="false">(parametros_manuales!$D$28*(datos_base!$C$2+IF(parametros_manuales!$H$28="Todos",datos_base!$C$9,0))*parametros_manuales!$L$97+parametros_manuales!$E$28*(datos_base!$C$3+IF(parametros_manuales!$H$28="Todos",datos_base!$C$10,0))*parametros_manuales!$L$102+parametros_manuales!$F$28*(datos_base!$C$4+IF(parametros_manuales!$H$28="Todos",datos_base!$C$11,0))*parametros_manuales!$L$107+parametros_manuales!$G$28*(datos_base!$C$5+IF(parametros_manuales!$H$28="Todos",datos_base!$C$12,0))*parametros_manuales!$L$112)*parametros_manuales!$I$28*parametros_manuales!$J$28</f>
        <v>539.75735793</v>
      </c>
      <c r="M39" s="14" t="n">
        <f aca="false">(parametros_manuales!$D$28*(datos_base!$C$2+IF(parametros_manuales!$H$28="Todos",datos_base!$C$9,0))*parametros_manuales!$M$97+parametros_manuales!$E$28*(datos_base!$C$3+IF(parametros_manuales!$H$28="Todos",datos_base!$C$10,0))*parametros_manuales!$M$102+parametros_manuales!$F$28*(datos_base!$C$4+IF(parametros_manuales!$H$28="Todos",datos_base!$C$11,0))*parametros_manuales!$M$107+parametros_manuales!$G$28*(datos_base!$C$5+IF(parametros_manuales!$H$28="Todos",datos_base!$C$12,0))*parametros_manuales!$M$112)*parametros_manuales!$I$28*parametros_manuales!$J$28</f>
        <v>539.75735793</v>
      </c>
      <c r="N39" s="14" t="n">
        <f aca="false">SUM(B39:M39)</f>
        <v>5997.303977</v>
      </c>
      <c r="O39" s="14" t="n">
        <f aca="false">MAX(B39:M39)</f>
        <v>539.75735793</v>
      </c>
      <c r="P39" s="57" t="n">
        <f aca="false">O39/(parametros_manuales!$B$7)</f>
        <v>3.5983823862</v>
      </c>
      <c r="Q39" s="13" t="str">
        <f aca="false">IF(O39=0,"-",INDEX($B$29:$M$29,MATCH(O39,B39:M39,0)))</f>
        <v>Ene</v>
      </c>
    </row>
    <row r="40" customFormat="false" ht="14.25" hidden="false" customHeight="true" outlineLevel="0" collapsed="false">
      <c r="A40" s="13" t="str">
        <f aca="false">parametros_manuales!$B$29</f>
        <v>Encastre de fondo</v>
      </c>
      <c r="B40" s="14" t="n">
        <f aca="false">(parametros_manuales!$D$29*(datos_base!$C$2+IF(parametros_manuales!$H$29="Todos",datos_base!$C$9,0))*parametros_manuales!$B$97+parametros_manuales!$E$29*(datos_base!$C$3+IF(parametros_manuales!$H$29="Todos",datos_base!$C$10,0))*parametros_manuales!$B$102+parametros_manuales!$F$29*(datos_base!$C$4+IF(parametros_manuales!$H$29="Todos",datos_base!$C$11,0))*parametros_manuales!$B$107+parametros_manuales!$G$29*(datos_base!$C$5+IF(parametros_manuales!$H$29="Todos",datos_base!$C$12,0))*parametros_manuales!$B$112)*parametros_manuales!$I$29*parametros_manuales!$J$29</f>
        <v>974.87798445</v>
      </c>
      <c r="C40" s="14" t="n">
        <f aca="false">(parametros_manuales!$D$29*(datos_base!$C$2+IF(parametros_manuales!$H$29="Todos",datos_base!$C$9,0))*parametros_manuales!$C$97+parametros_manuales!$E$29*(datos_base!$C$3+IF(parametros_manuales!$H$29="Todos",datos_base!$C$10,0))*parametros_manuales!$C$102+parametros_manuales!$F$29*(datos_base!$C$4+IF(parametros_manuales!$H$29="Todos",datos_base!$C$11,0))*parametros_manuales!$C$107+parametros_manuales!$G$29*(datos_base!$C$5+IF(parametros_manuales!$H$29="Todos",datos_base!$C$12,0))*parametros_manuales!$C$112)*parametros_manuales!$I$29*parametros_manuales!$J$29</f>
        <v>926.53124817</v>
      </c>
      <c r="D40" s="14" t="n">
        <f aca="false">(parametros_manuales!$D$29*(datos_base!$C$2+IF(parametros_manuales!$H$29="Todos",datos_base!$C$9,0))*parametros_manuales!$D$97+parametros_manuales!$E$29*(datos_base!$C$3+IF(parametros_manuales!$H$29="Todos",datos_base!$C$10,0))*parametros_manuales!$D$102+parametros_manuales!$F$29*(datos_base!$C$4+IF(parametros_manuales!$H$29="Todos",datos_base!$C$11,0))*parametros_manuales!$D$107+parametros_manuales!$G$29*(datos_base!$C$5+IF(parametros_manuales!$H$29="Todos",datos_base!$C$12,0))*parametros_manuales!$D$112)*parametros_manuales!$I$29*parametros_manuales!$J$29</f>
        <v>890.73157654</v>
      </c>
      <c r="E40" s="14" t="n">
        <f aca="false">(parametros_manuales!$D$29*(datos_base!$C$2+IF(parametros_manuales!$H$29="Todos",datos_base!$C$9,0))*parametros_manuales!$E$97+parametros_manuales!$E$29*(datos_base!$C$3+IF(parametros_manuales!$H$29="Todos",datos_base!$C$10,0))*parametros_manuales!$E$102+parametros_manuales!$F$29*(datos_base!$C$4+IF(parametros_manuales!$H$29="Todos",datos_base!$C$11,0))*parametros_manuales!$E$107+parametros_manuales!$G$29*(datos_base!$C$5+IF(parametros_manuales!$H$29="Todos",datos_base!$C$12,0))*parametros_manuales!$E$112)*parametros_manuales!$I$29*parametros_manuales!$J$29</f>
        <v>860.745056655</v>
      </c>
      <c r="F40" s="14" t="n">
        <f aca="false">(parametros_manuales!$D$29*(datos_base!$C$2+IF(parametros_manuales!$H$29="Todos",datos_base!$C$9,0))*parametros_manuales!$F$97+parametros_manuales!$E$29*(datos_base!$C$3+IF(parametros_manuales!$H$29="Todos",datos_base!$C$10,0))*parametros_manuales!$F$102+parametros_manuales!$F$29*(datos_base!$C$4+IF(parametros_manuales!$H$29="Todos",datos_base!$C$11,0))*parametros_manuales!$F$107+parametros_manuales!$G$29*(datos_base!$C$5+IF(parametros_manuales!$H$29="Todos",datos_base!$C$12,0))*parametros_manuales!$F$112)*parametros_manuales!$I$29*parametros_manuales!$J$29</f>
        <v>806.58516863</v>
      </c>
      <c r="G40" s="14" t="n">
        <f aca="false">(parametros_manuales!$D$29*(datos_base!$C$2+IF(parametros_manuales!$H$29="Todos",datos_base!$C$9,0))*parametros_manuales!$G$97+parametros_manuales!$E$29*(datos_base!$C$3+IF(parametros_manuales!$H$29="Todos",datos_base!$C$10,0))*parametros_manuales!$G$102+parametros_manuales!$F$29*(datos_base!$C$4+IF(parametros_manuales!$H$29="Todos",datos_base!$C$11,0))*parametros_manuales!$G$107+parametros_manuales!$G$29*(datos_base!$C$5+IF(parametros_manuales!$H$29="Todos",datos_base!$C$12,0))*parametros_manuales!$G$112)*parametros_manuales!$I$29*parametros_manuales!$J$29</f>
        <v>782.41180049</v>
      </c>
      <c r="H40" s="14" t="n">
        <f aca="false">(parametros_manuales!$D$29*(datos_base!$C$2+IF(parametros_manuales!$H$29="Todos",datos_base!$C$9,0))*parametros_manuales!$H$97+parametros_manuales!$E$29*(datos_base!$C$3+IF(parametros_manuales!$H$29="Todos",datos_base!$C$10,0))*parametros_manuales!$H$102+parametros_manuales!$F$29*(datos_base!$C$4+IF(parametros_manuales!$H$29="Todos",datos_base!$C$11,0))*parametros_manuales!$H$107+parametros_manuales!$G$29*(datos_base!$C$5+IF(parametros_manuales!$H$29="Todos",datos_base!$C$12,0))*parametros_manuales!$H$112)*parametros_manuales!$I$29*parametros_manuales!$J$29</f>
        <v>836.571688515</v>
      </c>
      <c r="I40" s="14" t="n">
        <f aca="false">(parametros_manuales!$D$29*(datos_base!$C$2+IF(parametros_manuales!$H$29="Todos",datos_base!$C$9,0))*parametros_manuales!$I$97+parametros_manuales!$E$29*(datos_base!$C$3+IF(parametros_manuales!$H$29="Todos",datos_base!$C$10,0))*parametros_manuales!$I$102+parametros_manuales!$F$29*(datos_base!$C$4+IF(parametros_manuales!$H$29="Todos",datos_base!$C$11,0))*parametros_manuales!$I$107+parametros_manuales!$G$29*(datos_base!$C$5+IF(parametros_manuales!$H$29="Todos",datos_base!$C$12,0))*parametros_manuales!$I$112)*parametros_manuales!$I$29*parametros_manuales!$J$29</f>
        <v>926.53124817</v>
      </c>
      <c r="J40" s="14" t="n">
        <f aca="false">(parametros_manuales!$D$29*(datos_base!$C$2+IF(parametros_manuales!$H$29="Todos",datos_base!$C$9,0))*parametros_manuales!$J$97+parametros_manuales!$E$29*(datos_base!$C$3+IF(parametros_manuales!$H$29="Todos",datos_base!$C$10,0))*parametros_manuales!$J$102+parametros_manuales!$F$29*(datos_base!$C$4+IF(parametros_manuales!$H$29="Todos",datos_base!$C$11,0))*parametros_manuales!$J$107+parametros_manuales!$G$29*(datos_base!$C$5+IF(parametros_manuales!$H$29="Todos",datos_base!$C$12,0))*parametros_manuales!$J$112)*parametros_manuales!$I$29*parametros_manuales!$J$29</f>
        <v>926.53124817</v>
      </c>
      <c r="K40" s="14" t="n">
        <f aca="false">(parametros_manuales!$D$29*(datos_base!$C$2+IF(parametros_manuales!$H$29="Todos",datos_base!$C$9,0))*parametros_manuales!$K$97+parametros_manuales!$E$29*(datos_base!$C$3+IF(parametros_manuales!$H$29="Todos",datos_base!$C$10,0))*parametros_manuales!$K$102+parametros_manuales!$F$29*(datos_base!$C$4+IF(parametros_manuales!$H$29="Todos",datos_base!$C$11,0))*parametros_manuales!$K$107+parametros_manuales!$G$29*(datos_base!$C$5+IF(parametros_manuales!$H$29="Todos",datos_base!$C$12,0))*parametros_manuales!$K$112)*parametros_manuales!$I$29*parametros_manuales!$J$29</f>
        <v>950.70461631</v>
      </c>
      <c r="L40" s="14" t="n">
        <f aca="false">(parametros_manuales!$D$29*(datos_base!$C$2+IF(parametros_manuales!$H$29="Todos",datos_base!$C$9,0))*parametros_manuales!$L$97+parametros_manuales!$E$29*(datos_base!$C$3+IF(parametros_manuales!$H$29="Todos",datos_base!$C$10,0))*parametros_manuales!$L$102+parametros_manuales!$F$29*(datos_base!$C$4+IF(parametros_manuales!$H$29="Todos",datos_base!$C$11,0))*parametros_manuales!$L$107+parametros_manuales!$G$29*(datos_base!$C$5+IF(parametros_manuales!$H$29="Todos",datos_base!$C$12,0))*parametros_manuales!$L$112)*parametros_manuales!$I$29*parametros_manuales!$J$29</f>
        <v>974.87798445</v>
      </c>
      <c r="M40" s="14" t="n">
        <f aca="false">(parametros_manuales!$D$29*(datos_base!$C$2+IF(parametros_manuales!$H$29="Todos",datos_base!$C$9,0))*parametros_manuales!$M$97+parametros_manuales!$E$29*(datos_base!$C$3+IF(parametros_manuales!$H$29="Todos",datos_base!$C$10,0))*parametros_manuales!$M$102+parametros_manuales!$F$29*(datos_base!$C$4+IF(parametros_manuales!$H$29="Todos",datos_base!$C$11,0))*parametros_manuales!$M$107+parametros_manuales!$G$29*(datos_base!$C$5+IF(parametros_manuales!$H$29="Todos",datos_base!$C$12,0))*parametros_manuales!$M$112)*parametros_manuales!$I$29*parametros_manuales!$J$29</f>
        <v>974.87798445</v>
      </c>
      <c r="N40" s="14" t="n">
        <f aca="false">SUM(B40:M40)</f>
        <v>10831.977605</v>
      </c>
      <c r="O40" s="14" t="n">
        <f aca="false">MAX(B40:M40)</f>
        <v>974.87798445</v>
      </c>
      <c r="P40" s="57" t="n">
        <f aca="false">O40/(parametros_manuales!$B$7)</f>
        <v>6.499186563</v>
      </c>
      <c r="Q40" s="13" t="str">
        <f aca="false">IF(O40=0,"-",INDEX($B$29:$M$29,MATCH(O40,B40:M40,0)))</f>
        <v>Ene</v>
      </c>
    </row>
    <row r="41" customFormat="false" ht="14.25" hidden="false" customHeight="true" outlineLevel="0" collapsed="false">
      <c r="A41" s="13" t="str">
        <f aca="false">parametros_manuales!$B$30</f>
        <v>Bordoneado</v>
      </c>
      <c r="B41" s="14" t="n">
        <f aca="false">(parametros_manuales!$D$30*(datos_base!$C$2+IF(parametros_manuales!$H$30="Todos",datos_base!$C$9,0))*parametros_manuales!$B$97+parametros_manuales!$E$30*(datos_base!$C$3+IF(parametros_manuales!$H$30="Todos",datos_base!$C$10,0))*parametros_manuales!$B$102+parametros_manuales!$F$30*(datos_base!$C$4+IF(parametros_manuales!$H$30="Todos",datos_base!$C$11,0))*parametros_manuales!$B$107+parametros_manuales!$G$30*(datos_base!$C$5+IF(parametros_manuales!$H$30="Todos",datos_base!$C$12,0))*parametros_manuales!$B$112)*parametros_manuales!$I$30*parametros_manuales!$J$30</f>
        <v>974.87798445</v>
      </c>
      <c r="C41" s="14" t="n">
        <f aca="false">(parametros_manuales!$D$30*(datos_base!$C$2+IF(parametros_manuales!$H$30="Todos",datos_base!$C$9,0))*parametros_manuales!$C$97+parametros_manuales!$E$30*(datos_base!$C$3+IF(parametros_manuales!$H$30="Todos",datos_base!$C$10,0))*parametros_manuales!$C$102+parametros_manuales!$F$30*(datos_base!$C$4+IF(parametros_manuales!$H$30="Todos",datos_base!$C$11,0))*parametros_manuales!$C$107+parametros_manuales!$G$30*(datos_base!$C$5+IF(parametros_manuales!$H$30="Todos",datos_base!$C$12,0))*parametros_manuales!$C$112)*parametros_manuales!$I$30*parametros_manuales!$J$30</f>
        <v>926.53124817</v>
      </c>
      <c r="D41" s="14" t="n">
        <f aca="false">(parametros_manuales!$D$30*(datos_base!$C$2+IF(parametros_manuales!$H$30="Todos",datos_base!$C$9,0))*parametros_manuales!$D$97+parametros_manuales!$E$30*(datos_base!$C$3+IF(parametros_manuales!$H$30="Todos",datos_base!$C$10,0))*parametros_manuales!$D$102+parametros_manuales!$F$30*(datos_base!$C$4+IF(parametros_manuales!$H$30="Todos",datos_base!$C$11,0))*parametros_manuales!$D$107+parametros_manuales!$G$30*(datos_base!$C$5+IF(parametros_manuales!$H$30="Todos",datos_base!$C$12,0))*parametros_manuales!$D$112)*parametros_manuales!$I$30*parametros_manuales!$J$30</f>
        <v>890.73157654</v>
      </c>
      <c r="E41" s="14" t="n">
        <f aca="false">(parametros_manuales!$D$30*(datos_base!$C$2+IF(parametros_manuales!$H$30="Todos",datos_base!$C$9,0))*parametros_manuales!$E$97+parametros_manuales!$E$30*(datos_base!$C$3+IF(parametros_manuales!$H$30="Todos",datos_base!$C$10,0))*parametros_manuales!$E$102+parametros_manuales!$F$30*(datos_base!$C$4+IF(parametros_manuales!$H$30="Todos",datos_base!$C$11,0))*parametros_manuales!$E$107+parametros_manuales!$G$30*(datos_base!$C$5+IF(parametros_manuales!$H$30="Todos",datos_base!$C$12,0))*parametros_manuales!$E$112)*parametros_manuales!$I$30*parametros_manuales!$J$30</f>
        <v>860.745056655</v>
      </c>
      <c r="F41" s="14" t="n">
        <f aca="false">(parametros_manuales!$D$30*(datos_base!$C$2+IF(parametros_manuales!$H$30="Todos",datos_base!$C$9,0))*parametros_manuales!$F$97+parametros_manuales!$E$30*(datos_base!$C$3+IF(parametros_manuales!$H$30="Todos",datos_base!$C$10,0))*parametros_manuales!$F$102+parametros_manuales!$F$30*(datos_base!$C$4+IF(parametros_manuales!$H$30="Todos",datos_base!$C$11,0))*parametros_manuales!$F$107+parametros_manuales!$G$30*(datos_base!$C$5+IF(parametros_manuales!$H$30="Todos",datos_base!$C$12,0))*parametros_manuales!$F$112)*parametros_manuales!$I$30*parametros_manuales!$J$30</f>
        <v>806.58516863</v>
      </c>
      <c r="G41" s="14" t="n">
        <f aca="false">(parametros_manuales!$D$30*(datos_base!$C$2+IF(parametros_manuales!$H$30="Todos",datos_base!$C$9,0))*parametros_manuales!$G$97+parametros_manuales!$E$30*(datos_base!$C$3+IF(parametros_manuales!$H$30="Todos",datos_base!$C$10,0))*parametros_manuales!$G$102+parametros_manuales!$F$30*(datos_base!$C$4+IF(parametros_manuales!$H$30="Todos",datos_base!$C$11,0))*parametros_manuales!$G$107+parametros_manuales!$G$30*(datos_base!$C$5+IF(parametros_manuales!$H$30="Todos",datos_base!$C$12,0))*parametros_manuales!$G$112)*parametros_manuales!$I$30*parametros_manuales!$J$30</f>
        <v>782.41180049</v>
      </c>
      <c r="H41" s="14" t="n">
        <f aca="false">(parametros_manuales!$D$30*(datos_base!$C$2+IF(parametros_manuales!$H$30="Todos",datos_base!$C$9,0))*parametros_manuales!$H$97+parametros_manuales!$E$30*(datos_base!$C$3+IF(parametros_manuales!$H$30="Todos",datos_base!$C$10,0))*parametros_manuales!$H$102+parametros_manuales!$F$30*(datos_base!$C$4+IF(parametros_manuales!$H$30="Todos",datos_base!$C$11,0))*parametros_manuales!$H$107+parametros_manuales!$G$30*(datos_base!$C$5+IF(parametros_manuales!$H$30="Todos",datos_base!$C$12,0))*parametros_manuales!$H$112)*parametros_manuales!$I$30*parametros_manuales!$J$30</f>
        <v>836.571688515</v>
      </c>
      <c r="I41" s="14" t="n">
        <f aca="false">(parametros_manuales!$D$30*(datos_base!$C$2+IF(parametros_manuales!$H$30="Todos",datos_base!$C$9,0))*parametros_manuales!$I$97+parametros_manuales!$E$30*(datos_base!$C$3+IF(parametros_manuales!$H$30="Todos",datos_base!$C$10,0))*parametros_manuales!$I$102+parametros_manuales!$F$30*(datos_base!$C$4+IF(parametros_manuales!$H$30="Todos",datos_base!$C$11,0))*parametros_manuales!$I$107+parametros_manuales!$G$30*(datos_base!$C$5+IF(parametros_manuales!$H$30="Todos",datos_base!$C$12,0))*parametros_manuales!$I$112)*parametros_manuales!$I$30*parametros_manuales!$J$30</f>
        <v>926.53124817</v>
      </c>
      <c r="J41" s="14" t="n">
        <f aca="false">(parametros_manuales!$D$30*(datos_base!$C$2+IF(parametros_manuales!$H$30="Todos",datos_base!$C$9,0))*parametros_manuales!$J$97+parametros_manuales!$E$30*(datos_base!$C$3+IF(parametros_manuales!$H$30="Todos",datos_base!$C$10,0))*parametros_manuales!$J$102+parametros_manuales!$F$30*(datos_base!$C$4+IF(parametros_manuales!$H$30="Todos",datos_base!$C$11,0))*parametros_manuales!$J$107+parametros_manuales!$G$30*(datos_base!$C$5+IF(parametros_manuales!$H$30="Todos",datos_base!$C$12,0))*parametros_manuales!$J$112)*parametros_manuales!$I$30*parametros_manuales!$J$30</f>
        <v>926.53124817</v>
      </c>
      <c r="K41" s="14" t="n">
        <f aca="false">(parametros_manuales!$D$30*(datos_base!$C$2+IF(parametros_manuales!$H$30="Todos",datos_base!$C$9,0))*parametros_manuales!$K$97+parametros_manuales!$E$30*(datos_base!$C$3+IF(parametros_manuales!$H$30="Todos",datos_base!$C$10,0))*parametros_manuales!$K$102+parametros_manuales!$F$30*(datos_base!$C$4+IF(parametros_manuales!$H$30="Todos",datos_base!$C$11,0))*parametros_manuales!$K$107+parametros_manuales!$G$30*(datos_base!$C$5+IF(parametros_manuales!$H$30="Todos",datos_base!$C$12,0))*parametros_manuales!$K$112)*parametros_manuales!$I$30*parametros_manuales!$J$30</f>
        <v>950.70461631</v>
      </c>
      <c r="L41" s="14" t="n">
        <f aca="false">(parametros_manuales!$D$30*(datos_base!$C$2+IF(parametros_manuales!$H$30="Todos",datos_base!$C$9,0))*parametros_manuales!$L$97+parametros_manuales!$E$30*(datos_base!$C$3+IF(parametros_manuales!$H$30="Todos",datos_base!$C$10,0))*parametros_manuales!$L$102+parametros_manuales!$F$30*(datos_base!$C$4+IF(parametros_manuales!$H$30="Todos",datos_base!$C$11,0))*parametros_manuales!$L$107+parametros_manuales!$G$30*(datos_base!$C$5+IF(parametros_manuales!$H$30="Todos",datos_base!$C$12,0))*parametros_manuales!$L$112)*parametros_manuales!$I$30*parametros_manuales!$J$30</f>
        <v>974.87798445</v>
      </c>
      <c r="M41" s="14" t="n">
        <f aca="false">(parametros_manuales!$D$30*(datos_base!$C$2+IF(parametros_manuales!$H$30="Todos",datos_base!$C$9,0))*parametros_manuales!$M$97+parametros_manuales!$E$30*(datos_base!$C$3+IF(parametros_manuales!$H$30="Todos",datos_base!$C$10,0))*parametros_manuales!$M$102+parametros_manuales!$F$30*(datos_base!$C$4+IF(parametros_manuales!$H$30="Todos",datos_base!$C$11,0))*parametros_manuales!$M$107+parametros_manuales!$G$30*(datos_base!$C$5+IF(parametros_manuales!$H$30="Todos",datos_base!$C$12,0))*parametros_manuales!$M$112)*parametros_manuales!$I$30*parametros_manuales!$J$30</f>
        <v>974.87798445</v>
      </c>
      <c r="N41" s="14" t="n">
        <f aca="false">SUM(B41:M41)</f>
        <v>10831.977605</v>
      </c>
      <c r="O41" s="14" t="n">
        <f aca="false">MAX(B41:M41)</f>
        <v>974.87798445</v>
      </c>
      <c r="P41" s="57" t="n">
        <f aca="false">O41/(parametros_manuales!$B$7)</f>
        <v>6.499186563</v>
      </c>
      <c r="Q41" s="13" t="str">
        <f aca="false">IF(O41=0,"-",INDEX($B$29:$M$29,MATCH(O41,B41:M41,0)))</f>
        <v>Ene</v>
      </c>
    </row>
    <row r="42" customFormat="false" ht="14.25" hidden="false" customHeight="true" outlineLevel="0" collapsed="false">
      <c r="A42" s="13" t="str">
        <f aca="false">parametros_manuales!$B$31</f>
        <v>Soldadura circunferencial de cúpula y fondo</v>
      </c>
      <c r="B42" s="14" t="n">
        <f aca="false">(parametros_manuales!$D$31*(datos_base!$C$2+IF(parametros_manuales!$H$31="Todos",datos_base!$C$9,0))*parametros_manuales!$B$97+parametros_manuales!$E$31*(datos_base!$C$3+IF(parametros_manuales!$H$31="Todos",datos_base!$C$10,0))*parametros_manuales!$B$102+parametros_manuales!$F$31*(datos_base!$C$4+IF(parametros_manuales!$H$31="Todos",datos_base!$C$11,0))*parametros_manuales!$B$107+parametros_manuales!$G$31*(datos_base!$C$5+IF(parametros_manuales!$H$31="Todos",datos_base!$C$12,0))*parametros_manuales!$B$112)*parametros_manuales!$I$31*parametros_manuales!$J$31</f>
        <v>974.87798445</v>
      </c>
      <c r="C42" s="14" t="n">
        <f aca="false">(parametros_manuales!$D$31*(datos_base!$C$2+IF(parametros_manuales!$H$31="Todos",datos_base!$C$9,0))*parametros_manuales!$C$97+parametros_manuales!$E$31*(datos_base!$C$3+IF(parametros_manuales!$H$31="Todos",datos_base!$C$10,0))*parametros_manuales!$C$102+parametros_manuales!$F$31*(datos_base!$C$4+IF(parametros_manuales!$H$31="Todos",datos_base!$C$11,0))*parametros_manuales!$C$107+parametros_manuales!$G$31*(datos_base!$C$5+IF(parametros_manuales!$H$31="Todos",datos_base!$C$12,0))*parametros_manuales!$C$112)*parametros_manuales!$I$31*parametros_manuales!$J$31</f>
        <v>926.53124817</v>
      </c>
      <c r="D42" s="14" t="n">
        <f aca="false">(parametros_manuales!$D$31*(datos_base!$C$2+IF(parametros_manuales!$H$31="Todos",datos_base!$C$9,0))*parametros_manuales!$D$97+parametros_manuales!$E$31*(datos_base!$C$3+IF(parametros_manuales!$H$31="Todos",datos_base!$C$10,0))*parametros_manuales!$D$102+parametros_manuales!$F$31*(datos_base!$C$4+IF(parametros_manuales!$H$31="Todos",datos_base!$C$11,0))*parametros_manuales!$D$107+parametros_manuales!$G$31*(datos_base!$C$5+IF(parametros_manuales!$H$31="Todos",datos_base!$C$12,0))*parametros_manuales!$D$112)*parametros_manuales!$I$31*parametros_manuales!$J$31</f>
        <v>890.73157654</v>
      </c>
      <c r="E42" s="14" t="n">
        <f aca="false">(parametros_manuales!$D$31*(datos_base!$C$2+IF(parametros_manuales!$H$31="Todos",datos_base!$C$9,0))*parametros_manuales!$E$97+parametros_manuales!$E$31*(datos_base!$C$3+IF(parametros_manuales!$H$31="Todos",datos_base!$C$10,0))*parametros_manuales!$E$102+parametros_manuales!$F$31*(datos_base!$C$4+IF(parametros_manuales!$H$31="Todos",datos_base!$C$11,0))*parametros_manuales!$E$107+parametros_manuales!$G$31*(datos_base!$C$5+IF(parametros_manuales!$H$31="Todos",datos_base!$C$12,0))*parametros_manuales!$E$112)*parametros_manuales!$I$31*parametros_manuales!$J$31</f>
        <v>860.745056655</v>
      </c>
      <c r="F42" s="14" t="n">
        <f aca="false">(parametros_manuales!$D$31*(datos_base!$C$2+IF(parametros_manuales!$H$31="Todos",datos_base!$C$9,0))*parametros_manuales!$F$97+parametros_manuales!$E$31*(datos_base!$C$3+IF(parametros_manuales!$H$31="Todos",datos_base!$C$10,0))*parametros_manuales!$F$102+parametros_manuales!$F$31*(datos_base!$C$4+IF(parametros_manuales!$H$31="Todos",datos_base!$C$11,0))*parametros_manuales!$F$107+parametros_manuales!$G$31*(datos_base!$C$5+IF(parametros_manuales!$H$31="Todos",datos_base!$C$12,0))*parametros_manuales!$F$112)*parametros_manuales!$I$31*parametros_manuales!$J$31</f>
        <v>806.58516863</v>
      </c>
      <c r="G42" s="14" t="n">
        <f aca="false">(parametros_manuales!$D$31*(datos_base!$C$2+IF(parametros_manuales!$H$31="Todos",datos_base!$C$9,0))*parametros_manuales!$G$97+parametros_manuales!$E$31*(datos_base!$C$3+IF(parametros_manuales!$H$31="Todos",datos_base!$C$10,0))*parametros_manuales!$G$102+parametros_manuales!$F$31*(datos_base!$C$4+IF(parametros_manuales!$H$31="Todos",datos_base!$C$11,0))*parametros_manuales!$G$107+parametros_manuales!$G$31*(datos_base!$C$5+IF(parametros_manuales!$H$31="Todos",datos_base!$C$12,0))*parametros_manuales!$G$112)*parametros_manuales!$I$31*parametros_manuales!$J$31</f>
        <v>782.41180049</v>
      </c>
      <c r="H42" s="14" t="n">
        <f aca="false">(parametros_manuales!$D$31*(datos_base!$C$2+IF(parametros_manuales!$H$31="Todos",datos_base!$C$9,0))*parametros_manuales!$H$97+parametros_manuales!$E$31*(datos_base!$C$3+IF(parametros_manuales!$H$31="Todos",datos_base!$C$10,0))*parametros_manuales!$H$102+parametros_manuales!$F$31*(datos_base!$C$4+IF(parametros_manuales!$H$31="Todos",datos_base!$C$11,0))*parametros_manuales!$H$107+parametros_manuales!$G$31*(datos_base!$C$5+IF(parametros_manuales!$H$31="Todos",datos_base!$C$12,0))*parametros_manuales!$H$112)*parametros_manuales!$I$31*parametros_manuales!$J$31</f>
        <v>836.571688515</v>
      </c>
      <c r="I42" s="14" t="n">
        <f aca="false">(parametros_manuales!$D$31*(datos_base!$C$2+IF(parametros_manuales!$H$31="Todos",datos_base!$C$9,0))*parametros_manuales!$I$97+parametros_manuales!$E$31*(datos_base!$C$3+IF(parametros_manuales!$H$31="Todos",datos_base!$C$10,0))*parametros_manuales!$I$102+parametros_manuales!$F$31*(datos_base!$C$4+IF(parametros_manuales!$H$31="Todos",datos_base!$C$11,0))*parametros_manuales!$I$107+parametros_manuales!$G$31*(datos_base!$C$5+IF(parametros_manuales!$H$31="Todos",datos_base!$C$12,0))*parametros_manuales!$I$112)*parametros_manuales!$I$31*parametros_manuales!$J$31</f>
        <v>926.53124817</v>
      </c>
      <c r="J42" s="14" t="n">
        <f aca="false">(parametros_manuales!$D$31*(datos_base!$C$2+IF(parametros_manuales!$H$31="Todos",datos_base!$C$9,0))*parametros_manuales!$J$97+parametros_manuales!$E$31*(datos_base!$C$3+IF(parametros_manuales!$H$31="Todos",datos_base!$C$10,0))*parametros_manuales!$J$102+parametros_manuales!$F$31*(datos_base!$C$4+IF(parametros_manuales!$H$31="Todos",datos_base!$C$11,0))*parametros_manuales!$J$107+parametros_manuales!$G$31*(datos_base!$C$5+IF(parametros_manuales!$H$31="Todos",datos_base!$C$12,0))*parametros_manuales!$J$112)*parametros_manuales!$I$31*parametros_manuales!$J$31</f>
        <v>926.53124817</v>
      </c>
      <c r="K42" s="14" t="n">
        <f aca="false">(parametros_manuales!$D$31*(datos_base!$C$2+IF(parametros_manuales!$H$31="Todos",datos_base!$C$9,0))*parametros_manuales!$K$97+parametros_manuales!$E$31*(datos_base!$C$3+IF(parametros_manuales!$H$31="Todos",datos_base!$C$10,0))*parametros_manuales!$K$102+parametros_manuales!$F$31*(datos_base!$C$4+IF(parametros_manuales!$H$31="Todos",datos_base!$C$11,0))*parametros_manuales!$K$107+parametros_manuales!$G$31*(datos_base!$C$5+IF(parametros_manuales!$H$31="Todos",datos_base!$C$12,0))*parametros_manuales!$K$112)*parametros_manuales!$I$31*parametros_manuales!$J$31</f>
        <v>950.70461631</v>
      </c>
      <c r="L42" s="14" t="n">
        <f aca="false">(parametros_manuales!$D$31*(datos_base!$C$2+IF(parametros_manuales!$H$31="Todos",datos_base!$C$9,0))*parametros_manuales!$L$97+parametros_manuales!$E$31*(datos_base!$C$3+IF(parametros_manuales!$H$31="Todos",datos_base!$C$10,0))*parametros_manuales!$L$102+parametros_manuales!$F$31*(datos_base!$C$4+IF(parametros_manuales!$H$31="Todos",datos_base!$C$11,0))*parametros_manuales!$L$107+parametros_manuales!$G$31*(datos_base!$C$5+IF(parametros_manuales!$H$31="Todos",datos_base!$C$12,0))*parametros_manuales!$L$112)*parametros_manuales!$I$31*parametros_manuales!$J$31</f>
        <v>974.87798445</v>
      </c>
      <c r="M42" s="14" t="n">
        <f aca="false">(parametros_manuales!$D$31*(datos_base!$C$2+IF(parametros_manuales!$H$31="Todos",datos_base!$C$9,0))*parametros_manuales!$M$97+parametros_manuales!$E$31*(datos_base!$C$3+IF(parametros_manuales!$H$31="Todos",datos_base!$C$10,0))*parametros_manuales!$M$102+parametros_manuales!$F$31*(datos_base!$C$4+IF(parametros_manuales!$H$31="Todos",datos_base!$C$11,0))*parametros_manuales!$M$107+parametros_manuales!$G$31*(datos_base!$C$5+IF(parametros_manuales!$H$31="Todos",datos_base!$C$12,0))*parametros_manuales!$M$112)*parametros_manuales!$I$31*parametros_manuales!$J$31</f>
        <v>974.87798445</v>
      </c>
      <c r="N42" s="14" t="n">
        <f aca="false">SUM(B42:M42)</f>
        <v>10831.977605</v>
      </c>
      <c r="O42" s="14" t="n">
        <f aca="false">MAX(B42:M42)</f>
        <v>974.87798445</v>
      </c>
      <c r="P42" s="57" t="n">
        <f aca="false">O42/(parametros_manuales!$B$7)</f>
        <v>6.499186563</v>
      </c>
      <c r="Q42" s="13" t="str">
        <f aca="false">IF(O42=0,"-",INDEX($B$29:$M$29,MATCH(O42,B42:M42,0)))</f>
        <v>Ene</v>
      </c>
    </row>
    <row r="43" customFormat="false" ht="14.25" hidden="false" customHeight="true" outlineLevel="0" collapsed="false">
      <c r="A43" s="13" t="str">
        <f aca="false">parametros_manuales!$B$32</f>
        <v>Control de calidad — Espesor</v>
      </c>
      <c r="B43" s="14" t="n">
        <f aca="false">(parametros_manuales!$D$32*(datos_base!$C$2+IF(parametros_manuales!$H$32="Todos",datos_base!$C$9,0))*parametros_manuales!$B$97+parametros_manuales!$E$32*(datos_base!$C$3+IF(parametros_manuales!$H$32="Todos",datos_base!$C$10,0))*parametros_manuales!$B$102+parametros_manuales!$F$32*(datos_base!$C$4+IF(parametros_manuales!$H$32="Todos",datos_base!$C$11,0))*parametros_manuales!$B$107+parametros_manuales!$G$32*(datos_base!$C$5+IF(parametros_manuales!$H$32="Todos",datos_base!$C$12,0))*parametros_manuales!$B$112)*parametros_manuales!$I$32*parametros_manuales!$J$32</f>
        <v>19.497559689</v>
      </c>
      <c r="C43" s="14" t="n">
        <f aca="false">(parametros_manuales!$D$32*(datos_base!$C$2+IF(parametros_manuales!$H$32="Todos",datos_base!$C$9,0))*parametros_manuales!$C$97+parametros_manuales!$E$32*(datos_base!$C$3+IF(parametros_manuales!$H$32="Todos",datos_base!$C$10,0))*parametros_manuales!$C$102+parametros_manuales!$F$32*(datos_base!$C$4+IF(parametros_manuales!$H$32="Todos",datos_base!$C$11,0))*parametros_manuales!$C$107+parametros_manuales!$G$32*(datos_base!$C$5+IF(parametros_manuales!$H$32="Todos",datos_base!$C$12,0))*parametros_manuales!$C$112)*parametros_manuales!$I$32*parametros_manuales!$J$32</f>
        <v>18.5306249634</v>
      </c>
      <c r="D43" s="14" t="n">
        <f aca="false">(parametros_manuales!$D$32*(datos_base!$C$2+IF(parametros_manuales!$H$32="Todos",datos_base!$C$9,0))*parametros_manuales!$D$97+parametros_manuales!$E$32*(datos_base!$C$3+IF(parametros_manuales!$H$32="Todos",datos_base!$C$10,0))*parametros_manuales!$D$102+parametros_manuales!$F$32*(datos_base!$C$4+IF(parametros_manuales!$H$32="Todos",datos_base!$C$11,0))*parametros_manuales!$D$107+parametros_manuales!$G$32*(datos_base!$C$5+IF(parametros_manuales!$H$32="Todos",datos_base!$C$12,0))*parametros_manuales!$D$112)*parametros_manuales!$I$32*parametros_manuales!$J$32</f>
        <v>17.8146315308</v>
      </c>
      <c r="E43" s="14" t="n">
        <f aca="false">(parametros_manuales!$D$32*(datos_base!$C$2+IF(parametros_manuales!$H$32="Todos",datos_base!$C$9,0))*parametros_manuales!$E$97+parametros_manuales!$E$32*(datos_base!$C$3+IF(parametros_manuales!$H$32="Todos",datos_base!$C$10,0))*parametros_manuales!$E$102+parametros_manuales!$F$32*(datos_base!$C$4+IF(parametros_manuales!$H$32="Todos",datos_base!$C$11,0))*parametros_manuales!$E$107+parametros_manuales!$G$32*(datos_base!$C$5+IF(parametros_manuales!$H$32="Todos",datos_base!$C$12,0))*parametros_manuales!$E$112)*parametros_manuales!$I$32*parametros_manuales!$J$32</f>
        <v>17.2149011331</v>
      </c>
      <c r="F43" s="14" t="n">
        <f aca="false">(parametros_manuales!$D$32*(datos_base!$C$2+IF(parametros_manuales!$H$32="Todos",datos_base!$C$9,0))*parametros_manuales!$F$97+parametros_manuales!$E$32*(datos_base!$C$3+IF(parametros_manuales!$H$32="Todos",datos_base!$C$10,0))*parametros_manuales!$F$102+parametros_manuales!$F$32*(datos_base!$C$4+IF(parametros_manuales!$H$32="Todos",datos_base!$C$11,0))*parametros_manuales!$F$107+parametros_manuales!$G$32*(datos_base!$C$5+IF(parametros_manuales!$H$32="Todos",datos_base!$C$12,0))*parametros_manuales!$F$112)*parametros_manuales!$I$32*parametros_manuales!$J$32</f>
        <v>16.1317033726</v>
      </c>
      <c r="G43" s="14" t="n">
        <f aca="false">(parametros_manuales!$D$32*(datos_base!$C$2+IF(parametros_manuales!$H$32="Todos",datos_base!$C$9,0))*parametros_manuales!$G$97+parametros_manuales!$E$32*(datos_base!$C$3+IF(parametros_manuales!$H$32="Todos",datos_base!$C$10,0))*parametros_manuales!$G$102+parametros_manuales!$F$32*(datos_base!$C$4+IF(parametros_manuales!$H$32="Todos",datos_base!$C$11,0))*parametros_manuales!$G$107+parametros_manuales!$G$32*(datos_base!$C$5+IF(parametros_manuales!$H$32="Todos",datos_base!$C$12,0))*parametros_manuales!$G$112)*parametros_manuales!$I$32*parametros_manuales!$J$32</f>
        <v>15.6482360098</v>
      </c>
      <c r="H43" s="14" t="n">
        <f aca="false">(parametros_manuales!$D$32*(datos_base!$C$2+IF(parametros_manuales!$H$32="Todos",datos_base!$C$9,0))*parametros_manuales!$H$97+parametros_manuales!$E$32*(datos_base!$C$3+IF(parametros_manuales!$H$32="Todos",datos_base!$C$10,0))*parametros_manuales!$H$102+parametros_manuales!$F$32*(datos_base!$C$4+IF(parametros_manuales!$H$32="Todos",datos_base!$C$11,0))*parametros_manuales!$H$107+parametros_manuales!$G$32*(datos_base!$C$5+IF(parametros_manuales!$H$32="Todos",datos_base!$C$12,0))*parametros_manuales!$H$112)*parametros_manuales!$I$32*parametros_manuales!$J$32</f>
        <v>16.7314337703</v>
      </c>
      <c r="I43" s="14" t="n">
        <f aca="false">(parametros_manuales!$D$32*(datos_base!$C$2+IF(parametros_manuales!$H$32="Todos",datos_base!$C$9,0))*parametros_manuales!$I$97+parametros_manuales!$E$32*(datos_base!$C$3+IF(parametros_manuales!$H$32="Todos",datos_base!$C$10,0))*parametros_manuales!$I$102+parametros_manuales!$F$32*(datos_base!$C$4+IF(parametros_manuales!$H$32="Todos",datos_base!$C$11,0))*parametros_manuales!$I$107+parametros_manuales!$G$32*(datos_base!$C$5+IF(parametros_manuales!$H$32="Todos",datos_base!$C$12,0))*parametros_manuales!$I$112)*parametros_manuales!$I$32*parametros_manuales!$J$32</f>
        <v>18.5306249634</v>
      </c>
      <c r="J43" s="14" t="n">
        <f aca="false">(parametros_manuales!$D$32*(datos_base!$C$2+IF(parametros_manuales!$H$32="Todos",datos_base!$C$9,0))*parametros_manuales!$J$97+parametros_manuales!$E$32*(datos_base!$C$3+IF(parametros_manuales!$H$32="Todos",datos_base!$C$10,0))*parametros_manuales!$J$102+parametros_manuales!$F$32*(datos_base!$C$4+IF(parametros_manuales!$H$32="Todos",datos_base!$C$11,0))*parametros_manuales!$J$107+parametros_manuales!$G$32*(datos_base!$C$5+IF(parametros_manuales!$H$32="Todos",datos_base!$C$12,0))*parametros_manuales!$J$112)*parametros_manuales!$I$32*parametros_manuales!$J$32</f>
        <v>18.5306249634</v>
      </c>
      <c r="K43" s="14" t="n">
        <f aca="false">(parametros_manuales!$D$32*(datos_base!$C$2+IF(parametros_manuales!$H$32="Todos",datos_base!$C$9,0))*parametros_manuales!$K$97+parametros_manuales!$E$32*(datos_base!$C$3+IF(parametros_manuales!$H$32="Todos",datos_base!$C$10,0))*parametros_manuales!$K$102+parametros_manuales!$F$32*(datos_base!$C$4+IF(parametros_manuales!$H$32="Todos",datos_base!$C$11,0))*parametros_manuales!$K$107+parametros_manuales!$G$32*(datos_base!$C$5+IF(parametros_manuales!$H$32="Todos",datos_base!$C$12,0))*parametros_manuales!$K$112)*parametros_manuales!$I$32*parametros_manuales!$J$32</f>
        <v>19.0140923262</v>
      </c>
      <c r="L43" s="14" t="n">
        <f aca="false">(parametros_manuales!$D$32*(datos_base!$C$2+IF(parametros_manuales!$H$32="Todos",datos_base!$C$9,0))*parametros_manuales!$L$97+parametros_manuales!$E$32*(datos_base!$C$3+IF(parametros_manuales!$H$32="Todos",datos_base!$C$10,0))*parametros_manuales!$L$102+parametros_manuales!$F$32*(datos_base!$C$4+IF(parametros_manuales!$H$32="Todos",datos_base!$C$11,0))*parametros_manuales!$L$107+parametros_manuales!$G$32*(datos_base!$C$5+IF(parametros_manuales!$H$32="Todos",datos_base!$C$12,0))*parametros_manuales!$L$112)*parametros_manuales!$I$32*parametros_manuales!$J$32</f>
        <v>19.497559689</v>
      </c>
      <c r="M43" s="14" t="n">
        <f aca="false">(parametros_manuales!$D$32*(datos_base!$C$2+IF(parametros_manuales!$H$32="Todos",datos_base!$C$9,0))*parametros_manuales!$M$97+parametros_manuales!$E$32*(datos_base!$C$3+IF(parametros_manuales!$H$32="Todos",datos_base!$C$10,0))*parametros_manuales!$M$102+parametros_manuales!$F$32*(datos_base!$C$4+IF(parametros_manuales!$H$32="Todos",datos_base!$C$11,0))*parametros_manuales!$M$107+parametros_manuales!$G$32*(datos_base!$C$5+IF(parametros_manuales!$H$32="Todos",datos_base!$C$12,0))*parametros_manuales!$M$112)*parametros_manuales!$I$32*parametros_manuales!$J$32</f>
        <v>19.497559689</v>
      </c>
      <c r="N43" s="14" t="n">
        <f aca="false">SUM(B43:M43)</f>
        <v>216.6395521</v>
      </c>
      <c r="O43" s="14" t="n">
        <f aca="false">MAX(B43:M43)</f>
        <v>19.497559689</v>
      </c>
      <c r="P43" s="57" t="n">
        <f aca="false">O43/(parametros_manuales!$B$7)</f>
        <v>0.12998373126</v>
      </c>
      <c r="Q43" s="13" t="str">
        <f aca="false">IF(O43=0,"-",INDEX($B$29:$M$29,MATCH(O43,B43:M43,0)))</f>
        <v>Ene</v>
      </c>
    </row>
    <row r="44" customFormat="false" ht="14.25" hidden="false" customHeight="true" outlineLevel="0" collapsed="false">
      <c r="A44" s="13" t="str">
        <f aca="false">parametros_manuales!$B$33</f>
        <v>Prueba hidráulica</v>
      </c>
      <c r="B44" s="14" t="n">
        <f aca="false">(parametros_manuales!$D$33*(datos_base!$C$2+IF(parametros_manuales!$H$33="Todos",datos_base!$C$9,0))*parametros_manuales!$B$97+parametros_manuales!$E$33*(datos_base!$C$3+IF(parametros_manuales!$H$33="Todos",datos_base!$C$10,0))*parametros_manuales!$B$102+parametros_manuales!$F$33*(datos_base!$C$4+IF(parametros_manuales!$H$33="Todos",datos_base!$C$11,0))*parametros_manuales!$B$107+parametros_manuales!$G$33*(datos_base!$C$5+IF(parametros_manuales!$H$33="Todos",datos_base!$C$12,0))*parametros_manuales!$B$112)*parametros_manuales!$I$33*parametros_manuales!$J$33</f>
        <v>974.87798445</v>
      </c>
      <c r="C44" s="14" t="n">
        <f aca="false">(parametros_manuales!$D$33*(datos_base!$C$2+IF(parametros_manuales!$H$33="Todos",datos_base!$C$9,0))*parametros_manuales!$C$97+parametros_manuales!$E$33*(datos_base!$C$3+IF(parametros_manuales!$H$33="Todos",datos_base!$C$10,0))*parametros_manuales!$C$102+parametros_manuales!$F$33*(datos_base!$C$4+IF(parametros_manuales!$H$33="Todos",datos_base!$C$11,0))*parametros_manuales!$C$107+parametros_manuales!$G$33*(datos_base!$C$5+IF(parametros_manuales!$H$33="Todos",datos_base!$C$12,0))*parametros_manuales!$C$112)*parametros_manuales!$I$33*parametros_manuales!$J$33</f>
        <v>926.53124817</v>
      </c>
      <c r="D44" s="14" t="n">
        <f aca="false">(parametros_manuales!$D$33*(datos_base!$C$2+IF(parametros_manuales!$H$33="Todos",datos_base!$C$9,0))*parametros_manuales!$D$97+parametros_manuales!$E$33*(datos_base!$C$3+IF(parametros_manuales!$H$33="Todos",datos_base!$C$10,0))*parametros_manuales!$D$102+parametros_manuales!$F$33*(datos_base!$C$4+IF(parametros_manuales!$H$33="Todos",datos_base!$C$11,0))*parametros_manuales!$D$107+parametros_manuales!$G$33*(datos_base!$C$5+IF(parametros_manuales!$H$33="Todos",datos_base!$C$12,0))*parametros_manuales!$D$112)*parametros_manuales!$I$33*parametros_manuales!$J$33</f>
        <v>890.73157654</v>
      </c>
      <c r="E44" s="14" t="n">
        <f aca="false">(parametros_manuales!$D$33*(datos_base!$C$2+IF(parametros_manuales!$H$33="Todos",datos_base!$C$9,0))*parametros_manuales!$E$97+parametros_manuales!$E$33*(datos_base!$C$3+IF(parametros_manuales!$H$33="Todos",datos_base!$C$10,0))*parametros_manuales!$E$102+parametros_manuales!$F$33*(datos_base!$C$4+IF(parametros_manuales!$H$33="Todos",datos_base!$C$11,0))*parametros_manuales!$E$107+parametros_manuales!$G$33*(datos_base!$C$5+IF(parametros_manuales!$H$33="Todos",datos_base!$C$12,0))*parametros_manuales!$E$112)*parametros_manuales!$I$33*parametros_manuales!$J$33</f>
        <v>860.745056655</v>
      </c>
      <c r="F44" s="14" t="n">
        <f aca="false">(parametros_manuales!$D$33*(datos_base!$C$2+IF(parametros_manuales!$H$33="Todos",datos_base!$C$9,0))*parametros_manuales!$F$97+parametros_manuales!$E$33*(datos_base!$C$3+IF(parametros_manuales!$H$33="Todos",datos_base!$C$10,0))*parametros_manuales!$F$102+parametros_manuales!$F$33*(datos_base!$C$4+IF(parametros_manuales!$H$33="Todos",datos_base!$C$11,0))*parametros_manuales!$F$107+parametros_manuales!$G$33*(datos_base!$C$5+IF(parametros_manuales!$H$33="Todos",datos_base!$C$12,0))*parametros_manuales!$F$112)*parametros_manuales!$I$33*parametros_manuales!$J$33</f>
        <v>806.58516863</v>
      </c>
      <c r="G44" s="14" t="n">
        <f aca="false">(parametros_manuales!$D$33*(datos_base!$C$2+IF(parametros_manuales!$H$33="Todos",datos_base!$C$9,0))*parametros_manuales!$G$97+parametros_manuales!$E$33*(datos_base!$C$3+IF(parametros_manuales!$H$33="Todos",datos_base!$C$10,0))*parametros_manuales!$G$102+parametros_manuales!$F$33*(datos_base!$C$4+IF(parametros_manuales!$H$33="Todos",datos_base!$C$11,0))*parametros_manuales!$G$107+parametros_manuales!$G$33*(datos_base!$C$5+IF(parametros_manuales!$H$33="Todos",datos_base!$C$12,0))*parametros_manuales!$G$112)*parametros_manuales!$I$33*parametros_manuales!$J$33</f>
        <v>782.41180049</v>
      </c>
      <c r="H44" s="14" t="n">
        <f aca="false">(parametros_manuales!$D$33*(datos_base!$C$2+IF(parametros_manuales!$H$33="Todos",datos_base!$C$9,0))*parametros_manuales!$H$97+parametros_manuales!$E$33*(datos_base!$C$3+IF(parametros_manuales!$H$33="Todos",datos_base!$C$10,0))*parametros_manuales!$H$102+parametros_manuales!$F$33*(datos_base!$C$4+IF(parametros_manuales!$H$33="Todos",datos_base!$C$11,0))*parametros_manuales!$H$107+parametros_manuales!$G$33*(datos_base!$C$5+IF(parametros_manuales!$H$33="Todos",datos_base!$C$12,0))*parametros_manuales!$H$112)*parametros_manuales!$I$33*parametros_manuales!$J$33</f>
        <v>836.571688515</v>
      </c>
      <c r="I44" s="14" t="n">
        <f aca="false">(parametros_manuales!$D$33*(datos_base!$C$2+IF(parametros_manuales!$H$33="Todos",datos_base!$C$9,0))*parametros_manuales!$I$97+parametros_manuales!$E$33*(datos_base!$C$3+IF(parametros_manuales!$H$33="Todos",datos_base!$C$10,0))*parametros_manuales!$I$102+parametros_manuales!$F$33*(datos_base!$C$4+IF(parametros_manuales!$H$33="Todos",datos_base!$C$11,0))*parametros_manuales!$I$107+parametros_manuales!$G$33*(datos_base!$C$5+IF(parametros_manuales!$H$33="Todos",datos_base!$C$12,0))*parametros_manuales!$I$112)*parametros_manuales!$I$33*parametros_manuales!$J$33</f>
        <v>926.53124817</v>
      </c>
      <c r="J44" s="14" t="n">
        <f aca="false">(parametros_manuales!$D$33*(datos_base!$C$2+IF(parametros_manuales!$H$33="Todos",datos_base!$C$9,0))*parametros_manuales!$J$97+parametros_manuales!$E$33*(datos_base!$C$3+IF(parametros_manuales!$H$33="Todos",datos_base!$C$10,0))*parametros_manuales!$J$102+parametros_manuales!$F$33*(datos_base!$C$4+IF(parametros_manuales!$H$33="Todos",datos_base!$C$11,0))*parametros_manuales!$J$107+parametros_manuales!$G$33*(datos_base!$C$5+IF(parametros_manuales!$H$33="Todos",datos_base!$C$12,0))*parametros_manuales!$J$112)*parametros_manuales!$I$33*parametros_manuales!$J$33</f>
        <v>926.53124817</v>
      </c>
      <c r="K44" s="14" t="n">
        <f aca="false">(parametros_manuales!$D$33*(datos_base!$C$2+IF(parametros_manuales!$H$33="Todos",datos_base!$C$9,0))*parametros_manuales!$K$97+parametros_manuales!$E$33*(datos_base!$C$3+IF(parametros_manuales!$H$33="Todos",datos_base!$C$10,0))*parametros_manuales!$K$102+parametros_manuales!$F$33*(datos_base!$C$4+IF(parametros_manuales!$H$33="Todos",datos_base!$C$11,0))*parametros_manuales!$K$107+parametros_manuales!$G$33*(datos_base!$C$5+IF(parametros_manuales!$H$33="Todos",datos_base!$C$12,0))*parametros_manuales!$K$112)*parametros_manuales!$I$33*parametros_manuales!$J$33</f>
        <v>950.70461631</v>
      </c>
      <c r="L44" s="14" t="n">
        <f aca="false">(parametros_manuales!$D$33*(datos_base!$C$2+IF(parametros_manuales!$H$33="Todos",datos_base!$C$9,0))*parametros_manuales!$L$97+parametros_manuales!$E$33*(datos_base!$C$3+IF(parametros_manuales!$H$33="Todos",datos_base!$C$10,0))*parametros_manuales!$L$102+parametros_manuales!$F$33*(datos_base!$C$4+IF(parametros_manuales!$H$33="Todos",datos_base!$C$11,0))*parametros_manuales!$L$107+parametros_manuales!$G$33*(datos_base!$C$5+IF(parametros_manuales!$H$33="Todos",datos_base!$C$12,0))*parametros_manuales!$L$112)*parametros_manuales!$I$33*parametros_manuales!$J$33</f>
        <v>974.87798445</v>
      </c>
      <c r="M44" s="14" t="n">
        <f aca="false">(parametros_manuales!$D$33*(datos_base!$C$2+IF(parametros_manuales!$H$33="Todos",datos_base!$C$9,0))*parametros_manuales!$M$97+parametros_manuales!$E$33*(datos_base!$C$3+IF(parametros_manuales!$H$33="Todos",datos_base!$C$10,0))*parametros_manuales!$M$102+parametros_manuales!$F$33*(datos_base!$C$4+IF(parametros_manuales!$H$33="Todos",datos_base!$C$11,0))*parametros_manuales!$M$107+parametros_manuales!$G$33*(datos_base!$C$5+IF(parametros_manuales!$H$33="Todos",datos_base!$C$12,0))*parametros_manuales!$M$112)*parametros_manuales!$I$33*parametros_manuales!$J$33</f>
        <v>974.87798445</v>
      </c>
      <c r="N44" s="14" t="n">
        <f aca="false">SUM(B44:M44)</f>
        <v>10831.977605</v>
      </c>
      <c r="O44" s="14" t="n">
        <f aca="false">MAX(B44:M44)</f>
        <v>974.87798445</v>
      </c>
      <c r="P44" s="57" t="n">
        <f aca="false">O44/(parametros_manuales!$B$7)</f>
        <v>6.499186563</v>
      </c>
      <c r="Q44" s="13" t="str">
        <f aca="false">IF(O44=0,"-",INDEX($B$29:$M$29,MATCH(O44,B44:M44,0)))</f>
        <v>Ene</v>
      </c>
    </row>
    <row r="45" customFormat="false" ht="14.25" hidden="false" customHeight="true" outlineLevel="0" collapsed="false">
      <c r="A45" s="13" t="str">
        <f aca="false">parametros_manuales!$B$34</f>
        <v>Secado</v>
      </c>
      <c r="B45" s="14" t="n">
        <f aca="false">(parametros_manuales!$D$34*(datos_base!$C$2+IF(parametros_manuales!$H$34="Todos",datos_base!$C$9,0))*parametros_manuales!$B$97+parametros_manuales!$E$34*(datos_base!$C$3+IF(parametros_manuales!$H$34="Todos",datos_base!$C$10,0))*parametros_manuales!$B$102+parametros_manuales!$F$34*(datos_base!$C$4+IF(parametros_manuales!$H$34="Todos",datos_base!$C$11,0))*parametros_manuales!$B$107+parametros_manuales!$G$34*(datos_base!$C$5+IF(parametros_manuales!$H$34="Todos",datos_base!$C$12,0))*parametros_manuales!$B$112)*parametros_manuales!$I$34*parametros_manuales!$J$34</f>
        <v>974.87798445</v>
      </c>
      <c r="C45" s="14" t="n">
        <f aca="false">(parametros_manuales!$D$34*(datos_base!$C$2+IF(parametros_manuales!$H$34="Todos",datos_base!$C$9,0))*parametros_manuales!$C$97+parametros_manuales!$E$34*(datos_base!$C$3+IF(parametros_manuales!$H$34="Todos",datos_base!$C$10,0))*parametros_manuales!$C$102+parametros_manuales!$F$34*(datos_base!$C$4+IF(parametros_manuales!$H$34="Todos",datos_base!$C$11,0))*parametros_manuales!$C$107+parametros_manuales!$G$34*(datos_base!$C$5+IF(parametros_manuales!$H$34="Todos",datos_base!$C$12,0))*parametros_manuales!$C$112)*parametros_manuales!$I$34*parametros_manuales!$J$34</f>
        <v>926.53124817</v>
      </c>
      <c r="D45" s="14" t="n">
        <f aca="false">(parametros_manuales!$D$34*(datos_base!$C$2+IF(parametros_manuales!$H$34="Todos",datos_base!$C$9,0))*parametros_manuales!$D$97+parametros_manuales!$E$34*(datos_base!$C$3+IF(parametros_manuales!$H$34="Todos",datos_base!$C$10,0))*parametros_manuales!$D$102+parametros_manuales!$F$34*(datos_base!$C$4+IF(parametros_manuales!$H$34="Todos",datos_base!$C$11,0))*parametros_manuales!$D$107+parametros_manuales!$G$34*(datos_base!$C$5+IF(parametros_manuales!$H$34="Todos",datos_base!$C$12,0))*parametros_manuales!$D$112)*parametros_manuales!$I$34*parametros_manuales!$J$34</f>
        <v>890.73157654</v>
      </c>
      <c r="E45" s="14" t="n">
        <f aca="false">(parametros_manuales!$D$34*(datos_base!$C$2+IF(parametros_manuales!$H$34="Todos",datos_base!$C$9,0))*parametros_manuales!$E$97+parametros_manuales!$E$34*(datos_base!$C$3+IF(parametros_manuales!$H$34="Todos",datos_base!$C$10,0))*parametros_manuales!$E$102+parametros_manuales!$F$34*(datos_base!$C$4+IF(parametros_manuales!$H$34="Todos",datos_base!$C$11,0))*parametros_manuales!$E$107+parametros_manuales!$G$34*(datos_base!$C$5+IF(parametros_manuales!$H$34="Todos",datos_base!$C$12,0))*parametros_manuales!$E$112)*parametros_manuales!$I$34*parametros_manuales!$J$34</f>
        <v>860.745056655</v>
      </c>
      <c r="F45" s="14" t="n">
        <f aca="false">(parametros_manuales!$D$34*(datos_base!$C$2+IF(parametros_manuales!$H$34="Todos",datos_base!$C$9,0))*parametros_manuales!$F$97+parametros_manuales!$E$34*(datos_base!$C$3+IF(parametros_manuales!$H$34="Todos",datos_base!$C$10,0))*parametros_manuales!$F$102+parametros_manuales!$F$34*(datos_base!$C$4+IF(parametros_manuales!$H$34="Todos",datos_base!$C$11,0))*parametros_manuales!$F$107+parametros_manuales!$G$34*(datos_base!$C$5+IF(parametros_manuales!$H$34="Todos",datos_base!$C$12,0))*parametros_manuales!$F$112)*parametros_manuales!$I$34*parametros_manuales!$J$34</f>
        <v>806.58516863</v>
      </c>
      <c r="G45" s="14" t="n">
        <f aca="false">(parametros_manuales!$D$34*(datos_base!$C$2+IF(parametros_manuales!$H$34="Todos",datos_base!$C$9,0))*parametros_manuales!$G$97+parametros_manuales!$E$34*(datos_base!$C$3+IF(parametros_manuales!$H$34="Todos",datos_base!$C$10,0))*parametros_manuales!$G$102+parametros_manuales!$F$34*(datos_base!$C$4+IF(parametros_manuales!$H$34="Todos",datos_base!$C$11,0))*parametros_manuales!$G$107+parametros_manuales!$G$34*(datos_base!$C$5+IF(parametros_manuales!$H$34="Todos",datos_base!$C$12,0))*parametros_manuales!$G$112)*parametros_manuales!$I$34*parametros_manuales!$J$34</f>
        <v>782.41180049</v>
      </c>
      <c r="H45" s="14" t="n">
        <f aca="false">(parametros_manuales!$D$34*(datos_base!$C$2+IF(parametros_manuales!$H$34="Todos",datos_base!$C$9,0))*parametros_manuales!$H$97+parametros_manuales!$E$34*(datos_base!$C$3+IF(parametros_manuales!$H$34="Todos",datos_base!$C$10,0))*parametros_manuales!$H$102+parametros_manuales!$F$34*(datos_base!$C$4+IF(parametros_manuales!$H$34="Todos",datos_base!$C$11,0))*parametros_manuales!$H$107+parametros_manuales!$G$34*(datos_base!$C$5+IF(parametros_manuales!$H$34="Todos",datos_base!$C$12,0))*parametros_manuales!$H$112)*parametros_manuales!$I$34*parametros_manuales!$J$34</f>
        <v>836.571688515</v>
      </c>
      <c r="I45" s="14" t="n">
        <f aca="false">(parametros_manuales!$D$34*(datos_base!$C$2+IF(parametros_manuales!$H$34="Todos",datos_base!$C$9,0))*parametros_manuales!$I$97+parametros_manuales!$E$34*(datos_base!$C$3+IF(parametros_manuales!$H$34="Todos",datos_base!$C$10,0))*parametros_manuales!$I$102+parametros_manuales!$F$34*(datos_base!$C$4+IF(parametros_manuales!$H$34="Todos",datos_base!$C$11,0))*parametros_manuales!$I$107+parametros_manuales!$G$34*(datos_base!$C$5+IF(parametros_manuales!$H$34="Todos",datos_base!$C$12,0))*parametros_manuales!$I$112)*parametros_manuales!$I$34*parametros_manuales!$J$34</f>
        <v>926.53124817</v>
      </c>
      <c r="J45" s="14" t="n">
        <f aca="false">(parametros_manuales!$D$34*(datos_base!$C$2+IF(parametros_manuales!$H$34="Todos",datos_base!$C$9,0))*parametros_manuales!$J$97+parametros_manuales!$E$34*(datos_base!$C$3+IF(parametros_manuales!$H$34="Todos",datos_base!$C$10,0))*parametros_manuales!$J$102+parametros_manuales!$F$34*(datos_base!$C$4+IF(parametros_manuales!$H$34="Todos",datos_base!$C$11,0))*parametros_manuales!$J$107+parametros_manuales!$G$34*(datos_base!$C$5+IF(parametros_manuales!$H$34="Todos",datos_base!$C$12,0))*parametros_manuales!$J$112)*parametros_manuales!$I$34*parametros_manuales!$J$34</f>
        <v>926.53124817</v>
      </c>
      <c r="K45" s="14" t="n">
        <f aca="false">(parametros_manuales!$D$34*(datos_base!$C$2+IF(parametros_manuales!$H$34="Todos",datos_base!$C$9,0))*parametros_manuales!$K$97+parametros_manuales!$E$34*(datos_base!$C$3+IF(parametros_manuales!$H$34="Todos",datos_base!$C$10,0))*parametros_manuales!$K$102+parametros_manuales!$F$34*(datos_base!$C$4+IF(parametros_manuales!$H$34="Todos",datos_base!$C$11,0))*parametros_manuales!$K$107+parametros_manuales!$G$34*(datos_base!$C$5+IF(parametros_manuales!$H$34="Todos",datos_base!$C$12,0))*parametros_manuales!$K$112)*parametros_manuales!$I$34*parametros_manuales!$J$34</f>
        <v>950.70461631</v>
      </c>
      <c r="L45" s="14" t="n">
        <f aca="false">(parametros_manuales!$D$34*(datos_base!$C$2+IF(parametros_manuales!$H$34="Todos",datos_base!$C$9,0))*parametros_manuales!$L$97+parametros_manuales!$E$34*(datos_base!$C$3+IF(parametros_manuales!$H$34="Todos",datos_base!$C$10,0))*parametros_manuales!$L$102+parametros_manuales!$F$34*(datos_base!$C$4+IF(parametros_manuales!$H$34="Todos",datos_base!$C$11,0))*parametros_manuales!$L$107+parametros_manuales!$G$34*(datos_base!$C$5+IF(parametros_manuales!$H$34="Todos",datos_base!$C$12,0))*parametros_manuales!$L$112)*parametros_manuales!$I$34*parametros_manuales!$J$34</f>
        <v>974.87798445</v>
      </c>
      <c r="M45" s="14" t="n">
        <f aca="false">(parametros_manuales!$D$34*(datos_base!$C$2+IF(parametros_manuales!$H$34="Todos",datos_base!$C$9,0))*parametros_manuales!$M$97+parametros_manuales!$E$34*(datos_base!$C$3+IF(parametros_manuales!$H$34="Todos",datos_base!$C$10,0))*parametros_manuales!$M$102+parametros_manuales!$F$34*(datos_base!$C$4+IF(parametros_manuales!$H$34="Todos",datos_base!$C$11,0))*parametros_manuales!$M$107+parametros_manuales!$G$34*(datos_base!$C$5+IF(parametros_manuales!$H$34="Todos",datos_base!$C$12,0))*parametros_manuales!$M$112)*parametros_manuales!$I$34*parametros_manuales!$J$34</f>
        <v>974.87798445</v>
      </c>
      <c r="N45" s="14" t="n">
        <f aca="false">SUM(B45:M45)</f>
        <v>10831.977605</v>
      </c>
      <c r="O45" s="14" t="n">
        <f aca="false">MAX(B45:M45)</f>
        <v>974.87798445</v>
      </c>
      <c r="P45" s="57" t="n">
        <f aca="false">O45/(parametros_manuales!$B$7)</f>
        <v>6.499186563</v>
      </c>
      <c r="Q45" s="13" t="str">
        <f aca="false">IF(O45=0,"-",INDEX($B$29:$M$29,MATCH(O45,B45:M45,0)))</f>
        <v>Ene</v>
      </c>
    </row>
    <row r="46" customFormat="false" ht="14.25" hidden="false" customHeight="true" outlineLevel="0" collapsed="false">
      <c r="A46" s="13" t="str">
        <f aca="false">parametros_manuales!$B$35</f>
        <v>Granallado</v>
      </c>
      <c r="B46" s="14" t="n">
        <f aca="false">(parametros_manuales!$D$35*(datos_base!$C$2+IF(parametros_manuales!$H$35="Todos",datos_base!$C$9,0))*parametros_manuales!$B$97+parametros_manuales!$E$35*(datos_base!$C$3+IF(parametros_manuales!$H$35="Todos",datos_base!$C$10,0))*parametros_manuales!$B$102+parametros_manuales!$F$35*(datos_base!$C$4+IF(parametros_manuales!$H$35="Todos",datos_base!$C$11,0))*parametros_manuales!$B$107+parametros_manuales!$G$35*(datos_base!$C$5+IF(parametros_manuales!$H$35="Todos",datos_base!$C$12,0))*parametros_manuales!$B$112)*parametros_manuales!$I$35*parametros_manuales!$J$35</f>
        <v>974.87798445</v>
      </c>
      <c r="C46" s="14" t="n">
        <f aca="false">(parametros_manuales!$D$35*(datos_base!$C$2+IF(parametros_manuales!$H$35="Todos",datos_base!$C$9,0))*parametros_manuales!$C$97+parametros_manuales!$E$35*(datos_base!$C$3+IF(parametros_manuales!$H$35="Todos",datos_base!$C$10,0))*parametros_manuales!$C$102+parametros_manuales!$F$35*(datos_base!$C$4+IF(parametros_manuales!$H$35="Todos",datos_base!$C$11,0))*parametros_manuales!$C$107+parametros_manuales!$G$35*(datos_base!$C$5+IF(parametros_manuales!$H$35="Todos",datos_base!$C$12,0))*parametros_manuales!$C$112)*parametros_manuales!$I$35*parametros_manuales!$J$35</f>
        <v>926.53124817</v>
      </c>
      <c r="D46" s="14" t="n">
        <f aca="false">(parametros_manuales!$D$35*(datos_base!$C$2+IF(parametros_manuales!$H$35="Todos",datos_base!$C$9,0))*parametros_manuales!$D$97+parametros_manuales!$E$35*(datos_base!$C$3+IF(parametros_manuales!$H$35="Todos",datos_base!$C$10,0))*parametros_manuales!$D$102+parametros_manuales!$F$35*(datos_base!$C$4+IF(parametros_manuales!$H$35="Todos",datos_base!$C$11,0))*parametros_manuales!$D$107+parametros_manuales!$G$35*(datos_base!$C$5+IF(parametros_manuales!$H$35="Todos",datos_base!$C$12,0))*parametros_manuales!$D$112)*parametros_manuales!$I$35*parametros_manuales!$J$35</f>
        <v>890.73157654</v>
      </c>
      <c r="E46" s="14" t="n">
        <f aca="false">(parametros_manuales!$D$35*(datos_base!$C$2+IF(parametros_manuales!$H$35="Todos",datos_base!$C$9,0))*parametros_manuales!$E$97+parametros_manuales!$E$35*(datos_base!$C$3+IF(parametros_manuales!$H$35="Todos",datos_base!$C$10,0))*parametros_manuales!$E$102+parametros_manuales!$F$35*(datos_base!$C$4+IF(parametros_manuales!$H$35="Todos",datos_base!$C$11,0))*parametros_manuales!$E$107+parametros_manuales!$G$35*(datos_base!$C$5+IF(parametros_manuales!$H$35="Todos",datos_base!$C$12,0))*parametros_manuales!$E$112)*parametros_manuales!$I$35*parametros_manuales!$J$35</f>
        <v>860.745056655</v>
      </c>
      <c r="F46" s="14" t="n">
        <f aca="false">(parametros_manuales!$D$35*(datos_base!$C$2+IF(parametros_manuales!$H$35="Todos",datos_base!$C$9,0))*parametros_manuales!$F$97+parametros_manuales!$E$35*(datos_base!$C$3+IF(parametros_manuales!$H$35="Todos",datos_base!$C$10,0))*parametros_manuales!$F$102+parametros_manuales!$F$35*(datos_base!$C$4+IF(parametros_manuales!$H$35="Todos",datos_base!$C$11,0))*parametros_manuales!$F$107+parametros_manuales!$G$35*(datos_base!$C$5+IF(parametros_manuales!$H$35="Todos",datos_base!$C$12,0))*parametros_manuales!$F$112)*parametros_manuales!$I$35*parametros_manuales!$J$35</f>
        <v>806.58516863</v>
      </c>
      <c r="G46" s="14" t="n">
        <f aca="false">(parametros_manuales!$D$35*(datos_base!$C$2+IF(parametros_manuales!$H$35="Todos",datos_base!$C$9,0))*parametros_manuales!$G$97+parametros_manuales!$E$35*(datos_base!$C$3+IF(parametros_manuales!$H$35="Todos",datos_base!$C$10,0))*parametros_manuales!$G$102+parametros_manuales!$F$35*(datos_base!$C$4+IF(parametros_manuales!$H$35="Todos",datos_base!$C$11,0))*parametros_manuales!$G$107+parametros_manuales!$G$35*(datos_base!$C$5+IF(parametros_manuales!$H$35="Todos",datos_base!$C$12,0))*parametros_manuales!$G$112)*parametros_manuales!$I$35*parametros_manuales!$J$35</f>
        <v>782.41180049</v>
      </c>
      <c r="H46" s="14" t="n">
        <f aca="false">(parametros_manuales!$D$35*(datos_base!$C$2+IF(parametros_manuales!$H$35="Todos",datos_base!$C$9,0))*parametros_manuales!$H$97+parametros_manuales!$E$35*(datos_base!$C$3+IF(parametros_manuales!$H$35="Todos",datos_base!$C$10,0))*parametros_manuales!$H$102+parametros_manuales!$F$35*(datos_base!$C$4+IF(parametros_manuales!$H$35="Todos",datos_base!$C$11,0))*parametros_manuales!$H$107+parametros_manuales!$G$35*(datos_base!$C$5+IF(parametros_manuales!$H$35="Todos",datos_base!$C$12,0))*parametros_manuales!$H$112)*parametros_manuales!$I$35*parametros_manuales!$J$35</f>
        <v>836.571688515</v>
      </c>
      <c r="I46" s="14" t="n">
        <f aca="false">(parametros_manuales!$D$35*(datos_base!$C$2+IF(parametros_manuales!$H$35="Todos",datos_base!$C$9,0))*parametros_manuales!$I$97+parametros_manuales!$E$35*(datos_base!$C$3+IF(parametros_manuales!$H$35="Todos",datos_base!$C$10,0))*parametros_manuales!$I$102+parametros_manuales!$F$35*(datos_base!$C$4+IF(parametros_manuales!$H$35="Todos",datos_base!$C$11,0))*parametros_manuales!$I$107+parametros_manuales!$G$35*(datos_base!$C$5+IF(parametros_manuales!$H$35="Todos",datos_base!$C$12,0))*parametros_manuales!$I$112)*parametros_manuales!$I$35*parametros_manuales!$J$35</f>
        <v>926.53124817</v>
      </c>
      <c r="J46" s="14" t="n">
        <f aca="false">(parametros_manuales!$D$35*(datos_base!$C$2+IF(parametros_manuales!$H$35="Todos",datos_base!$C$9,0))*parametros_manuales!$J$97+parametros_manuales!$E$35*(datos_base!$C$3+IF(parametros_manuales!$H$35="Todos",datos_base!$C$10,0))*parametros_manuales!$J$102+parametros_manuales!$F$35*(datos_base!$C$4+IF(parametros_manuales!$H$35="Todos",datos_base!$C$11,0))*parametros_manuales!$J$107+parametros_manuales!$G$35*(datos_base!$C$5+IF(parametros_manuales!$H$35="Todos",datos_base!$C$12,0))*parametros_manuales!$J$112)*parametros_manuales!$I$35*parametros_manuales!$J$35</f>
        <v>926.53124817</v>
      </c>
      <c r="K46" s="14" t="n">
        <f aca="false">(parametros_manuales!$D$35*(datos_base!$C$2+IF(parametros_manuales!$H$35="Todos",datos_base!$C$9,0))*parametros_manuales!$K$97+parametros_manuales!$E$35*(datos_base!$C$3+IF(parametros_manuales!$H$35="Todos",datos_base!$C$10,0))*parametros_manuales!$K$102+parametros_manuales!$F$35*(datos_base!$C$4+IF(parametros_manuales!$H$35="Todos",datos_base!$C$11,0))*parametros_manuales!$K$107+parametros_manuales!$G$35*(datos_base!$C$5+IF(parametros_manuales!$H$35="Todos",datos_base!$C$12,0))*parametros_manuales!$K$112)*parametros_manuales!$I$35*parametros_manuales!$J$35</f>
        <v>950.70461631</v>
      </c>
      <c r="L46" s="14" t="n">
        <f aca="false">(parametros_manuales!$D$35*(datos_base!$C$2+IF(parametros_manuales!$H$35="Todos",datos_base!$C$9,0))*parametros_manuales!$L$97+parametros_manuales!$E$35*(datos_base!$C$3+IF(parametros_manuales!$H$35="Todos",datos_base!$C$10,0))*parametros_manuales!$L$102+parametros_manuales!$F$35*(datos_base!$C$4+IF(parametros_manuales!$H$35="Todos",datos_base!$C$11,0))*parametros_manuales!$L$107+parametros_manuales!$G$35*(datos_base!$C$5+IF(parametros_manuales!$H$35="Todos",datos_base!$C$12,0))*parametros_manuales!$L$112)*parametros_manuales!$I$35*parametros_manuales!$J$35</f>
        <v>974.87798445</v>
      </c>
      <c r="M46" s="14" t="n">
        <f aca="false">(parametros_manuales!$D$35*(datos_base!$C$2+IF(parametros_manuales!$H$35="Todos",datos_base!$C$9,0))*parametros_manuales!$M$97+parametros_manuales!$E$35*(datos_base!$C$3+IF(parametros_manuales!$H$35="Todos",datos_base!$C$10,0))*parametros_manuales!$M$102+parametros_manuales!$F$35*(datos_base!$C$4+IF(parametros_manuales!$H$35="Todos",datos_base!$C$11,0))*parametros_manuales!$M$107+parametros_manuales!$G$35*(datos_base!$C$5+IF(parametros_manuales!$H$35="Todos",datos_base!$C$12,0))*parametros_manuales!$M$112)*parametros_manuales!$I$35*parametros_manuales!$J$35</f>
        <v>974.87798445</v>
      </c>
      <c r="N46" s="14" t="n">
        <f aca="false">SUM(B46:M46)</f>
        <v>10831.977605</v>
      </c>
      <c r="O46" s="14" t="n">
        <f aca="false">MAX(B46:M46)</f>
        <v>974.87798445</v>
      </c>
      <c r="P46" s="57" t="n">
        <f aca="false">O46/(parametros_manuales!$B$7)</f>
        <v>6.499186563</v>
      </c>
      <c r="Q46" s="13" t="str">
        <f aca="false">IF(O46=0,"-",INDEX($B$29:$M$29,MATCH(O46,B46:M46,0)))</f>
        <v>Ene</v>
      </c>
    </row>
    <row r="47" customFormat="false" ht="14.25" hidden="false" customHeight="true" outlineLevel="0" collapsed="false">
      <c r="A47" s="13" t="str">
        <f aca="false">parametros_manuales!$B$36</f>
        <v>Detección de defectos</v>
      </c>
      <c r="B47" s="14" t="n">
        <f aca="false">(parametros_manuales!$D$36*(datos_base!$C$2+IF(parametros_manuales!$H$36="Todos",datos_base!$C$9,0))*parametros_manuales!$B$97+parametros_manuales!$E$36*(datos_base!$C$3+IF(parametros_manuales!$H$36="Todos",datos_base!$C$10,0))*parametros_manuales!$B$102+parametros_manuales!$F$36*(datos_base!$C$4+IF(parametros_manuales!$H$36="Todos",datos_base!$C$11,0))*parametros_manuales!$B$107+parametros_manuales!$G$36*(datos_base!$C$5+IF(parametros_manuales!$H$36="Todos",datos_base!$C$12,0))*parametros_manuales!$B$112)*parametros_manuales!$I$36*parametros_manuales!$J$36</f>
        <v>974.87798445</v>
      </c>
      <c r="C47" s="14" t="n">
        <f aca="false">(parametros_manuales!$D$36*(datos_base!$C$2+IF(parametros_manuales!$H$36="Todos",datos_base!$C$9,0))*parametros_manuales!$C$97+parametros_manuales!$E$36*(datos_base!$C$3+IF(parametros_manuales!$H$36="Todos",datos_base!$C$10,0))*parametros_manuales!$C$102+parametros_manuales!$F$36*(datos_base!$C$4+IF(parametros_manuales!$H$36="Todos",datos_base!$C$11,0))*parametros_manuales!$C$107+parametros_manuales!$G$36*(datos_base!$C$5+IF(parametros_manuales!$H$36="Todos",datos_base!$C$12,0))*parametros_manuales!$C$112)*parametros_manuales!$I$36*parametros_manuales!$J$36</f>
        <v>926.53124817</v>
      </c>
      <c r="D47" s="14" t="n">
        <f aca="false">(parametros_manuales!$D$36*(datos_base!$C$2+IF(parametros_manuales!$H$36="Todos",datos_base!$C$9,0))*parametros_manuales!$D$97+parametros_manuales!$E$36*(datos_base!$C$3+IF(parametros_manuales!$H$36="Todos",datos_base!$C$10,0))*parametros_manuales!$D$102+parametros_manuales!$F$36*(datos_base!$C$4+IF(parametros_manuales!$H$36="Todos",datos_base!$C$11,0))*parametros_manuales!$D$107+parametros_manuales!$G$36*(datos_base!$C$5+IF(parametros_manuales!$H$36="Todos",datos_base!$C$12,0))*parametros_manuales!$D$112)*parametros_manuales!$I$36*parametros_manuales!$J$36</f>
        <v>890.73157654</v>
      </c>
      <c r="E47" s="14" t="n">
        <f aca="false">(parametros_manuales!$D$36*(datos_base!$C$2+IF(parametros_manuales!$H$36="Todos",datos_base!$C$9,0))*parametros_manuales!$E$97+parametros_manuales!$E$36*(datos_base!$C$3+IF(parametros_manuales!$H$36="Todos",datos_base!$C$10,0))*parametros_manuales!$E$102+parametros_manuales!$F$36*(datos_base!$C$4+IF(parametros_manuales!$H$36="Todos",datos_base!$C$11,0))*parametros_manuales!$E$107+parametros_manuales!$G$36*(datos_base!$C$5+IF(parametros_manuales!$H$36="Todos",datos_base!$C$12,0))*parametros_manuales!$E$112)*parametros_manuales!$I$36*parametros_manuales!$J$36</f>
        <v>860.745056655</v>
      </c>
      <c r="F47" s="14" t="n">
        <f aca="false">(parametros_manuales!$D$36*(datos_base!$C$2+IF(parametros_manuales!$H$36="Todos",datos_base!$C$9,0))*parametros_manuales!$F$97+parametros_manuales!$E$36*(datos_base!$C$3+IF(parametros_manuales!$H$36="Todos",datos_base!$C$10,0))*parametros_manuales!$F$102+parametros_manuales!$F$36*(datos_base!$C$4+IF(parametros_manuales!$H$36="Todos",datos_base!$C$11,0))*parametros_manuales!$F$107+parametros_manuales!$G$36*(datos_base!$C$5+IF(parametros_manuales!$H$36="Todos",datos_base!$C$12,0))*parametros_manuales!$F$112)*parametros_manuales!$I$36*parametros_manuales!$J$36</f>
        <v>806.58516863</v>
      </c>
      <c r="G47" s="14" t="n">
        <f aca="false">(parametros_manuales!$D$36*(datos_base!$C$2+IF(parametros_manuales!$H$36="Todos",datos_base!$C$9,0))*parametros_manuales!$G$97+parametros_manuales!$E$36*(datos_base!$C$3+IF(parametros_manuales!$H$36="Todos",datos_base!$C$10,0))*parametros_manuales!$G$102+parametros_manuales!$F$36*(datos_base!$C$4+IF(parametros_manuales!$H$36="Todos",datos_base!$C$11,0))*parametros_manuales!$G$107+parametros_manuales!$G$36*(datos_base!$C$5+IF(parametros_manuales!$H$36="Todos",datos_base!$C$12,0))*parametros_manuales!$G$112)*parametros_manuales!$I$36*parametros_manuales!$J$36</f>
        <v>782.41180049</v>
      </c>
      <c r="H47" s="14" t="n">
        <f aca="false">(parametros_manuales!$D$36*(datos_base!$C$2+IF(parametros_manuales!$H$36="Todos",datos_base!$C$9,0))*parametros_manuales!$H$97+parametros_manuales!$E$36*(datos_base!$C$3+IF(parametros_manuales!$H$36="Todos",datos_base!$C$10,0))*parametros_manuales!$H$102+parametros_manuales!$F$36*(datos_base!$C$4+IF(parametros_manuales!$H$36="Todos",datos_base!$C$11,0))*parametros_manuales!$H$107+parametros_manuales!$G$36*(datos_base!$C$5+IF(parametros_manuales!$H$36="Todos",datos_base!$C$12,0))*parametros_manuales!$H$112)*parametros_manuales!$I$36*parametros_manuales!$J$36</f>
        <v>836.571688515</v>
      </c>
      <c r="I47" s="14" t="n">
        <f aca="false">(parametros_manuales!$D$36*(datos_base!$C$2+IF(parametros_manuales!$H$36="Todos",datos_base!$C$9,0))*parametros_manuales!$I$97+parametros_manuales!$E$36*(datos_base!$C$3+IF(parametros_manuales!$H$36="Todos",datos_base!$C$10,0))*parametros_manuales!$I$102+parametros_manuales!$F$36*(datos_base!$C$4+IF(parametros_manuales!$H$36="Todos",datos_base!$C$11,0))*parametros_manuales!$I$107+parametros_manuales!$G$36*(datos_base!$C$5+IF(parametros_manuales!$H$36="Todos",datos_base!$C$12,0))*parametros_manuales!$I$112)*parametros_manuales!$I$36*parametros_manuales!$J$36</f>
        <v>926.53124817</v>
      </c>
      <c r="J47" s="14" t="n">
        <f aca="false">(parametros_manuales!$D$36*(datos_base!$C$2+IF(parametros_manuales!$H$36="Todos",datos_base!$C$9,0))*parametros_manuales!$J$97+parametros_manuales!$E$36*(datos_base!$C$3+IF(parametros_manuales!$H$36="Todos",datos_base!$C$10,0))*parametros_manuales!$J$102+parametros_manuales!$F$36*(datos_base!$C$4+IF(parametros_manuales!$H$36="Todos",datos_base!$C$11,0))*parametros_manuales!$J$107+parametros_manuales!$G$36*(datos_base!$C$5+IF(parametros_manuales!$H$36="Todos",datos_base!$C$12,0))*parametros_manuales!$J$112)*parametros_manuales!$I$36*parametros_manuales!$J$36</f>
        <v>926.53124817</v>
      </c>
      <c r="K47" s="14" t="n">
        <f aca="false">(parametros_manuales!$D$36*(datos_base!$C$2+IF(parametros_manuales!$H$36="Todos",datos_base!$C$9,0))*parametros_manuales!$K$97+parametros_manuales!$E$36*(datos_base!$C$3+IF(parametros_manuales!$H$36="Todos",datos_base!$C$10,0))*parametros_manuales!$K$102+parametros_manuales!$F$36*(datos_base!$C$4+IF(parametros_manuales!$H$36="Todos",datos_base!$C$11,0))*parametros_manuales!$K$107+parametros_manuales!$G$36*(datos_base!$C$5+IF(parametros_manuales!$H$36="Todos",datos_base!$C$12,0))*parametros_manuales!$K$112)*parametros_manuales!$I$36*parametros_manuales!$J$36</f>
        <v>950.70461631</v>
      </c>
      <c r="L47" s="14" t="n">
        <f aca="false">(parametros_manuales!$D$36*(datos_base!$C$2+IF(parametros_manuales!$H$36="Todos",datos_base!$C$9,0))*parametros_manuales!$L$97+parametros_manuales!$E$36*(datos_base!$C$3+IF(parametros_manuales!$H$36="Todos",datos_base!$C$10,0))*parametros_manuales!$L$102+parametros_manuales!$F$36*(datos_base!$C$4+IF(parametros_manuales!$H$36="Todos",datos_base!$C$11,0))*parametros_manuales!$L$107+parametros_manuales!$G$36*(datos_base!$C$5+IF(parametros_manuales!$H$36="Todos",datos_base!$C$12,0))*parametros_manuales!$L$112)*parametros_manuales!$I$36*parametros_manuales!$J$36</f>
        <v>974.87798445</v>
      </c>
      <c r="M47" s="14" t="n">
        <f aca="false">(parametros_manuales!$D$36*(datos_base!$C$2+IF(parametros_manuales!$H$36="Todos",datos_base!$C$9,0))*parametros_manuales!$M$97+parametros_manuales!$E$36*(datos_base!$C$3+IF(parametros_manuales!$H$36="Todos",datos_base!$C$10,0))*parametros_manuales!$M$102+parametros_manuales!$F$36*(datos_base!$C$4+IF(parametros_manuales!$H$36="Todos",datos_base!$C$11,0))*parametros_manuales!$M$107+parametros_manuales!$G$36*(datos_base!$C$5+IF(parametros_manuales!$H$36="Todos",datos_base!$C$12,0))*parametros_manuales!$M$112)*parametros_manuales!$I$36*parametros_manuales!$J$36</f>
        <v>974.87798445</v>
      </c>
      <c r="N47" s="14" t="n">
        <f aca="false">SUM(B47:M47)</f>
        <v>10831.977605</v>
      </c>
      <c r="O47" s="14" t="n">
        <f aca="false">MAX(B47:M47)</f>
        <v>974.87798445</v>
      </c>
      <c r="P47" s="57" t="n">
        <f aca="false">O47/(parametros_manuales!$B$7)</f>
        <v>6.499186563</v>
      </c>
      <c r="Q47" s="13" t="str">
        <f aca="false">IF(O47=0,"-",INDEX($B$29:$M$29,MATCH(O47,B47:M47,0)))</f>
        <v>Ene</v>
      </c>
    </row>
    <row r="48" customFormat="false" ht="14.25" hidden="false" customHeight="true" outlineLevel="0" collapsed="false">
      <c r="A48" s="13" t="str">
        <f aca="false">parametros_manuales!$B$37</f>
        <v>Corrección de defectos</v>
      </c>
      <c r="B48" s="14" t="n">
        <f aca="false">(parametros_manuales!$D$37*(datos_base!$C$2+IF(parametros_manuales!$H$37="Todos",datos_base!$C$9,0))*parametros_manuales!$B$97+parametros_manuales!$E$37*(datos_base!$C$3+IF(parametros_manuales!$H$37="Todos",datos_base!$C$10,0))*parametros_manuales!$B$102+parametros_manuales!$F$37*(datos_base!$C$4+IF(parametros_manuales!$H$37="Todos",datos_base!$C$11,0))*parametros_manuales!$B$107+parametros_manuales!$G$37*(datos_base!$C$5+IF(parametros_manuales!$H$37="Todos",datos_base!$C$12,0))*parametros_manuales!$B$112)*parametros_manuales!$I$37*parametros_manuales!$J$37</f>
        <v>48.7438992225</v>
      </c>
      <c r="C48" s="14" t="n">
        <f aca="false">(parametros_manuales!$D$37*(datos_base!$C$2+IF(parametros_manuales!$H$37="Todos",datos_base!$C$9,0))*parametros_manuales!$C$97+parametros_manuales!$E$37*(datos_base!$C$3+IF(parametros_manuales!$H$37="Todos",datos_base!$C$10,0))*parametros_manuales!$C$102+parametros_manuales!$F$37*(datos_base!$C$4+IF(parametros_manuales!$H$37="Todos",datos_base!$C$11,0))*parametros_manuales!$C$107+parametros_manuales!$G$37*(datos_base!$C$5+IF(parametros_manuales!$H$37="Todos",datos_base!$C$12,0))*parametros_manuales!$C$112)*parametros_manuales!$I$37*parametros_manuales!$J$37</f>
        <v>46.3265624085</v>
      </c>
      <c r="D48" s="14" t="n">
        <f aca="false">(parametros_manuales!$D$37*(datos_base!$C$2+IF(parametros_manuales!$H$37="Todos",datos_base!$C$9,0))*parametros_manuales!$D$97+parametros_manuales!$E$37*(datos_base!$C$3+IF(parametros_manuales!$H$37="Todos",datos_base!$C$10,0))*parametros_manuales!$D$102+parametros_manuales!$F$37*(datos_base!$C$4+IF(parametros_manuales!$H$37="Todos",datos_base!$C$11,0))*parametros_manuales!$D$107+parametros_manuales!$G$37*(datos_base!$C$5+IF(parametros_manuales!$H$37="Todos",datos_base!$C$12,0))*parametros_manuales!$D$112)*parametros_manuales!$I$37*parametros_manuales!$J$37</f>
        <v>44.536578827</v>
      </c>
      <c r="E48" s="14" t="n">
        <f aca="false">(parametros_manuales!$D$37*(datos_base!$C$2+IF(parametros_manuales!$H$37="Todos",datos_base!$C$9,0))*parametros_manuales!$E$97+parametros_manuales!$E$37*(datos_base!$C$3+IF(parametros_manuales!$H$37="Todos",datos_base!$C$10,0))*parametros_manuales!$E$102+parametros_manuales!$F$37*(datos_base!$C$4+IF(parametros_manuales!$H$37="Todos",datos_base!$C$11,0))*parametros_manuales!$E$107+parametros_manuales!$G$37*(datos_base!$C$5+IF(parametros_manuales!$H$37="Todos",datos_base!$C$12,0))*parametros_manuales!$E$112)*parametros_manuales!$I$37*parametros_manuales!$J$37</f>
        <v>43.03725283275</v>
      </c>
      <c r="F48" s="14" t="n">
        <f aca="false">(parametros_manuales!$D$37*(datos_base!$C$2+IF(parametros_manuales!$H$37="Todos",datos_base!$C$9,0))*parametros_manuales!$F$97+parametros_manuales!$E$37*(datos_base!$C$3+IF(parametros_manuales!$H$37="Todos",datos_base!$C$10,0))*parametros_manuales!$F$102+parametros_manuales!$F$37*(datos_base!$C$4+IF(parametros_manuales!$H$37="Todos",datos_base!$C$11,0))*parametros_manuales!$F$107+parametros_manuales!$G$37*(datos_base!$C$5+IF(parametros_manuales!$H$37="Todos",datos_base!$C$12,0))*parametros_manuales!$F$112)*parametros_manuales!$I$37*parametros_manuales!$J$37</f>
        <v>40.3292584315</v>
      </c>
      <c r="G48" s="14" t="n">
        <f aca="false">(parametros_manuales!$D$37*(datos_base!$C$2+IF(parametros_manuales!$H$37="Todos",datos_base!$C$9,0))*parametros_manuales!$G$97+parametros_manuales!$E$37*(datos_base!$C$3+IF(parametros_manuales!$H$37="Todos",datos_base!$C$10,0))*parametros_manuales!$G$102+parametros_manuales!$F$37*(datos_base!$C$4+IF(parametros_manuales!$H$37="Todos",datos_base!$C$11,0))*parametros_manuales!$G$107+parametros_manuales!$G$37*(datos_base!$C$5+IF(parametros_manuales!$H$37="Todos",datos_base!$C$12,0))*parametros_manuales!$G$112)*parametros_manuales!$I$37*parametros_manuales!$J$37</f>
        <v>39.1205900245</v>
      </c>
      <c r="H48" s="14" t="n">
        <f aca="false">(parametros_manuales!$D$37*(datos_base!$C$2+IF(parametros_manuales!$H$37="Todos",datos_base!$C$9,0))*parametros_manuales!$H$97+parametros_manuales!$E$37*(datos_base!$C$3+IF(parametros_manuales!$H$37="Todos",datos_base!$C$10,0))*parametros_manuales!$H$102+parametros_manuales!$F$37*(datos_base!$C$4+IF(parametros_manuales!$H$37="Todos",datos_base!$C$11,0))*parametros_manuales!$H$107+parametros_manuales!$G$37*(datos_base!$C$5+IF(parametros_manuales!$H$37="Todos",datos_base!$C$12,0))*parametros_manuales!$H$112)*parametros_manuales!$I$37*parametros_manuales!$J$37</f>
        <v>41.82858442575</v>
      </c>
      <c r="I48" s="14" t="n">
        <f aca="false">(parametros_manuales!$D$37*(datos_base!$C$2+IF(parametros_manuales!$H$37="Todos",datos_base!$C$9,0))*parametros_manuales!$I$97+parametros_manuales!$E$37*(datos_base!$C$3+IF(parametros_manuales!$H$37="Todos",datos_base!$C$10,0))*parametros_manuales!$I$102+parametros_manuales!$F$37*(datos_base!$C$4+IF(parametros_manuales!$H$37="Todos",datos_base!$C$11,0))*parametros_manuales!$I$107+parametros_manuales!$G$37*(datos_base!$C$5+IF(parametros_manuales!$H$37="Todos",datos_base!$C$12,0))*parametros_manuales!$I$112)*parametros_manuales!$I$37*parametros_manuales!$J$37</f>
        <v>46.3265624085</v>
      </c>
      <c r="J48" s="14" t="n">
        <f aca="false">(parametros_manuales!$D$37*(datos_base!$C$2+IF(parametros_manuales!$H$37="Todos",datos_base!$C$9,0))*parametros_manuales!$J$97+parametros_manuales!$E$37*(datos_base!$C$3+IF(parametros_manuales!$H$37="Todos",datos_base!$C$10,0))*parametros_manuales!$J$102+parametros_manuales!$F$37*(datos_base!$C$4+IF(parametros_manuales!$H$37="Todos",datos_base!$C$11,0))*parametros_manuales!$J$107+parametros_manuales!$G$37*(datos_base!$C$5+IF(parametros_manuales!$H$37="Todos",datos_base!$C$12,0))*parametros_manuales!$J$112)*parametros_manuales!$I$37*parametros_manuales!$J$37</f>
        <v>46.3265624085</v>
      </c>
      <c r="K48" s="14" t="n">
        <f aca="false">(parametros_manuales!$D$37*(datos_base!$C$2+IF(parametros_manuales!$H$37="Todos",datos_base!$C$9,0))*parametros_manuales!$K$97+parametros_manuales!$E$37*(datos_base!$C$3+IF(parametros_manuales!$H$37="Todos",datos_base!$C$10,0))*parametros_manuales!$K$102+parametros_manuales!$F$37*(datos_base!$C$4+IF(parametros_manuales!$H$37="Todos",datos_base!$C$11,0))*parametros_manuales!$K$107+parametros_manuales!$G$37*(datos_base!$C$5+IF(parametros_manuales!$H$37="Todos",datos_base!$C$12,0))*parametros_manuales!$K$112)*parametros_manuales!$I$37*parametros_manuales!$J$37</f>
        <v>47.5352308155</v>
      </c>
      <c r="L48" s="14" t="n">
        <f aca="false">(parametros_manuales!$D$37*(datos_base!$C$2+IF(parametros_manuales!$H$37="Todos",datos_base!$C$9,0))*parametros_manuales!$L$97+parametros_manuales!$E$37*(datos_base!$C$3+IF(parametros_manuales!$H$37="Todos",datos_base!$C$10,0))*parametros_manuales!$L$102+parametros_manuales!$F$37*(datos_base!$C$4+IF(parametros_manuales!$H$37="Todos",datos_base!$C$11,0))*parametros_manuales!$L$107+parametros_manuales!$G$37*(datos_base!$C$5+IF(parametros_manuales!$H$37="Todos",datos_base!$C$12,0))*parametros_manuales!$L$112)*parametros_manuales!$I$37*parametros_manuales!$J$37</f>
        <v>48.7438992225</v>
      </c>
      <c r="M48" s="14" t="n">
        <f aca="false">(parametros_manuales!$D$37*(datos_base!$C$2+IF(parametros_manuales!$H$37="Todos",datos_base!$C$9,0))*parametros_manuales!$M$97+parametros_manuales!$E$37*(datos_base!$C$3+IF(parametros_manuales!$H$37="Todos",datos_base!$C$10,0))*parametros_manuales!$M$102+parametros_manuales!$F$37*(datos_base!$C$4+IF(parametros_manuales!$H$37="Todos",datos_base!$C$11,0))*parametros_manuales!$M$107+parametros_manuales!$G$37*(datos_base!$C$5+IF(parametros_manuales!$H$37="Todos",datos_base!$C$12,0))*parametros_manuales!$M$112)*parametros_manuales!$I$37*parametros_manuales!$J$37</f>
        <v>48.7438992225</v>
      </c>
      <c r="N48" s="14" t="n">
        <f aca="false">SUM(B48:M48)</f>
        <v>541.59888025</v>
      </c>
      <c r="O48" s="14" t="n">
        <f aca="false">MAX(B48:M48)</f>
        <v>48.7438992225</v>
      </c>
      <c r="P48" s="57" t="n">
        <f aca="false">O48/(parametros_manuales!$B$7)</f>
        <v>0.32495932815</v>
      </c>
      <c r="Q48" s="13" t="str">
        <f aca="false">IF(O48=0,"-",INDEX($B$29:$M$29,MATCH(O48,B48:M48,0)))</f>
        <v>Ene</v>
      </c>
    </row>
    <row r="49" customFormat="false" ht="14.25" hidden="false" customHeight="true" outlineLevel="0" collapsed="false">
      <c r="A49" s="13" t="str">
        <f aca="false">parametros_manuales!$B$38</f>
        <v>Pintura en polvo + horno</v>
      </c>
      <c r="B49" s="14" t="n">
        <f aca="false">(parametros_manuales!$D$38*(datos_base!$C$2+IF(parametros_manuales!$H$38="Todos",datos_base!$C$9,0))*parametros_manuales!$B$97+parametros_manuales!$E$38*(datos_base!$C$3+IF(parametros_manuales!$H$38="Todos",datos_base!$C$10,0))*parametros_manuales!$B$102+parametros_manuales!$F$38*(datos_base!$C$4+IF(parametros_manuales!$H$38="Todos",datos_base!$C$11,0))*parametros_manuales!$B$107+parametros_manuales!$G$38*(datos_base!$C$5+IF(parametros_manuales!$H$38="Todos",datos_base!$C$12,0))*parametros_manuales!$B$112)*parametros_manuales!$I$38*parametros_manuales!$J$38</f>
        <v>974.87798445</v>
      </c>
      <c r="C49" s="14" t="n">
        <f aca="false">(parametros_manuales!$D$38*(datos_base!$C$2+IF(parametros_manuales!$H$38="Todos",datos_base!$C$9,0))*parametros_manuales!$C$97+parametros_manuales!$E$38*(datos_base!$C$3+IF(parametros_manuales!$H$38="Todos",datos_base!$C$10,0))*parametros_manuales!$C$102+parametros_manuales!$F$38*(datos_base!$C$4+IF(parametros_manuales!$H$38="Todos",datos_base!$C$11,0))*parametros_manuales!$C$107+parametros_manuales!$G$38*(datos_base!$C$5+IF(parametros_manuales!$H$38="Todos",datos_base!$C$12,0))*parametros_manuales!$C$112)*parametros_manuales!$I$38*parametros_manuales!$J$38</f>
        <v>926.53124817</v>
      </c>
      <c r="D49" s="14" t="n">
        <f aca="false">(parametros_manuales!$D$38*(datos_base!$C$2+IF(parametros_manuales!$H$38="Todos",datos_base!$C$9,0))*parametros_manuales!$D$97+parametros_manuales!$E$38*(datos_base!$C$3+IF(parametros_manuales!$H$38="Todos",datos_base!$C$10,0))*parametros_manuales!$D$102+parametros_manuales!$F$38*(datos_base!$C$4+IF(parametros_manuales!$H$38="Todos",datos_base!$C$11,0))*parametros_manuales!$D$107+parametros_manuales!$G$38*(datos_base!$C$5+IF(parametros_manuales!$H$38="Todos",datos_base!$C$12,0))*parametros_manuales!$D$112)*parametros_manuales!$I$38*parametros_manuales!$J$38</f>
        <v>890.73157654</v>
      </c>
      <c r="E49" s="14" t="n">
        <f aca="false">(parametros_manuales!$D$38*(datos_base!$C$2+IF(parametros_manuales!$H$38="Todos",datos_base!$C$9,0))*parametros_manuales!$E$97+parametros_manuales!$E$38*(datos_base!$C$3+IF(parametros_manuales!$H$38="Todos",datos_base!$C$10,0))*parametros_manuales!$E$102+parametros_manuales!$F$38*(datos_base!$C$4+IF(parametros_manuales!$H$38="Todos",datos_base!$C$11,0))*parametros_manuales!$E$107+parametros_manuales!$G$38*(datos_base!$C$5+IF(parametros_manuales!$H$38="Todos",datos_base!$C$12,0))*parametros_manuales!$E$112)*parametros_manuales!$I$38*parametros_manuales!$J$38</f>
        <v>860.745056655</v>
      </c>
      <c r="F49" s="14" t="n">
        <f aca="false">(parametros_manuales!$D$38*(datos_base!$C$2+IF(parametros_manuales!$H$38="Todos",datos_base!$C$9,0))*parametros_manuales!$F$97+parametros_manuales!$E$38*(datos_base!$C$3+IF(parametros_manuales!$H$38="Todos",datos_base!$C$10,0))*parametros_manuales!$F$102+parametros_manuales!$F$38*(datos_base!$C$4+IF(parametros_manuales!$H$38="Todos",datos_base!$C$11,0))*parametros_manuales!$F$107+parametros_manuales!$G$38*(datos_base!$C$5+IF(parametros_manuales!$H$38="Todos",datos_base!$C$12,0))*parametros_manuales!$F$112)*parametros_manuales!$I$38*parametros_manuales!$J$38</f>
        <v>806.58516863</v>
      </c>
      <c r="G49" s="14" t="n">
        <f aca="false">(parametros_manuales!$D$38*(datos_base!$C$2+IF(parametros_manuales!$H$38="Todos",datos_base!$C$9,0))*parametros_manuales!$G$97+parametros_manuales!$E$38*(datos_base!$C$3+IF(parametros_manuales!$H$38="Todos",datos_base!$C$10,0))*parametros_manuales!$G$102+parametros_manuales!$F$38*(datos_base!$C$4+IF(parametros_manuales!$H$38="Todos",datos_base!$C$11,0))*parametros_manuales!$G$107+parametros_manuales!$G$38*(datos_base!$C$5+IF(parametros_manuales!$H$38="Todos",datos_base!$C$12,0))*parametros_manuales!$G$112)*parametros_manuales!$I$38*parametros_manuales!$J$38</f>
        <v>782.41180049</v>
      </c>
      <c r="H49" s="14" t="n">
        <f aca="false">(parametros_manuales!$D$38*(datos_base!$C$2+IF(parametros_manuales!$H$38="Todos",datos_base!$C$9,0))*parametros_manuales!$H$97+parametros_manuales!$E$38*(datos_base!$C$3+IF(parametros_manuales!$H$38="Todos",datos_base!$C$10,0))*parametros_manuales!$H$102+parametros_manuales!$F$38*(datos_base!$C$4+IF(parametros_manuales!$H$38="Todos",datos_base!$C$11,0))*parametros_manuales!$H$107+parametros_manuales!$G$38*(datos_base!$C$5+IF(parametros_manuales!$H$38="Todos",datos_base!$C$12,0))*parametros_manuales!$H$112)*parametros_manuales!$I$38*parametros_manuales!$J$38</f>
        <v>836.571688515</v>
      </c>
      <c r="I49" s="14" t="n">
        <f aca="false">(parametros_manuales!$D$38*(datos_base!$C$2+IF(parametros_manuales!$H$38="Todos",datos_base!$C$9,0))*parametros_manuales!$I$97+parametros_manuales!$E$38*(datos_base!$C$3+IF(parametros_manuales!$H$38="Todos",datos_base!$C$10,0))*parametros_manuales!$I$102+parametros_manuales!$F$38*(datos_base!$C$4+IF(parametros_manuales!$H$38="Todos",datos_base!$C$11,0))*parametros_manuales!$I$107+parametros_manuales!$G$38*(datos_base!$C$5+IF(parametros_manuales!$H$38="Todos",datos_base!$C$12,0))*parametros_manuales!$I$112)*parametros_manuales!$I$38*parametros_manuales!$J$38</f>
        <v>926.53124817</v>
      </c>
      <c r="J49" s="14" t="n">
        <f aca="false">(parametros_manuales!$D$38*(datos_base!$C$2+IF(parametros_manuales!$H$38="Todos",datos_base!$C$9,0))*parametros_manuales!$J$97+parametros_manuales!$E$38*(datos_base!$C$3+IF(parametros_manuales!$H$38="Todos",datos_base!$C$10,0))*parametros_manuales!$J$102+parametros_manuales!$F$38*(datos_base!$C$4+IF(parametros_manuales!$H$38="Todos",datos_base!$C$11,0))*parametros_manuales!$J$107+parametros_manuales!$G$38*(datos_base!$C$5+IF(parametros_manuales!$H$38="Todos",datos_base!$C$12,0))*parametros_manuales!$J$112)*parametros_manuales!$I$38*parametros_manuales!$J$38</f>
        <v>926.53124817</v>
      </c>
      <c r="K49" s="14" t="n">
        <f aca="false">(parametros_manuales!$D$38*(datos_base!$C$2+IF(parametros_manuales!$H$38="Todos",datos_base!$C$9,0))*parametros_manuales!$K$97+parametros_manuales!$E$38*(datos_base!$C$3+IF(parametros_manuales!$H$38="Todos",datos_base!$C$10,0))*parametros_manuales!$K$102+parametros_manuales!$F$38*(datos_base!$C$4+IF(parametros_manuales!$H$38="Todos",datos_base!$C$11,0))*parametros_manuales!$K$107+parametros_manuales!$G$38*(datos_base!$C$5+IF(parametros_manuales!$H$38="Todos",datos_base!$C$12,0))*parametros_manuales!$K$112)*parametros_manuales!$I$38*parametros_manuales!$J$38</f>
        <v>950.70461631</v>
      </c>
      <c r="L49" s="14" t="n">
        <f aca="false">(parametros_manuales!$D$38*(datos_base!$C$2+IF(parametros_manuales!$H$38="Todos",datos_base!$C$9,0))*parametros_manuales!$L$97+parametros_manuales!$E$38*(datos_base!$C$3+IF(parametros_manuales!$H$38="Todos",datos_base!$C$10,0))*parametros_manuales!$L$102+parametros_manuales!$F$38*(datos_base!$C$4+IF(parametros_manuales!$H$38="Todos",datos_base!$C$11,0))*parametros_manuales!$L$107+parametros_manuales!$G$38*(datos_base!$C$5+IF(parametros_manuales!$H$38="Todos",datos_base!$C$12,0))*parametros_manuales!$L$112)*parametros_manuales!$I$38*parametros_manuales!$J$38</f>
        <v>974.87798445</v>
      </c>
      <c r="M49" s="14" t="n">
        <f aca="false">(parametros_manuales!$D$38*(datos_base!$C$2+IF(parametros_manuales!$H$38="Todos",datos_base!$C$9,0))*parametros_manuales!$M$97+parametros_manuales!$E$38*(datos_base!$C$3+IF(parametros_manuales!$H$38="Todos",datos_base!$C$10,0))*parametros_manuales!$M$102+parametros_manuales!$F$38*(datos_base!$C$4+IF(parametros_manuales!$H$38="Todos",datos_base!$C$11,0))*parametros_manuales!$M$107+parametros_manuales!$G$38*(datos_base!$C$5+IF(parametros_manuales!$H$38="Todos",datos_base!$C$12,0))*parametros_manuales!$M$112)*parametros_manuales!$I$38*parametros_manuales!$J$38</f>
        <v>974.87798445</v>
      </c>
      <c r="N49" s="14" t="n">
        <f aca="false">SUM(B49:M49)</f>
        <v>10831.977605</v>
      </c>
      <c r="O49" s="14" t="n">
        <f aca="false">MAX(B49:M49)</f>
        <v>974.87798445</v>
      </c>
      <c r="P49" s="57" t="n">
        <f aca="false">O49/(parametros_manuales!$B$7)</f>
        <v>6.499186563</v>
      </c>
      <c r="Q49" s="13" t="str">
        <f aca="false">IF(O49=0,"-",INDEX($B$29:$M$29,MATCH(O49,B49:M49,0)))</f>
        <v>Ene</v>
      </c>
    </row>
    <row r="50" customFormat="false" ht="14.25" hidden="false" customHeight="true" outlineLevel="0" collapsed="false">
      <c r="A50" s="13" t="str">
        <f aca="false">parametros_manuales!$B$39</f>
        <v>Carga de polvo</v>
      </c>
      <c r="B50" s="14" t="n">
        <f aca="false">(parametros_manuales!$D$39*(datos_base!$C$2+IF(parametros_manuales!$H$39="Todos",datos_base!$C$9,0))*parametros_manuales!$B$97+parametros_manuales!$E$39*(datos_base!$C$3+IF(parametros_manuales!$H$39="Todos",datos_base!$C$10,0))*parametros_manuales!$B$102+parametros_manuales!$F$39*(datos_base!$C$4+IF(parametros_manuales!$H$39="Todos",datos_base!$C$11,0))*parametros_manuales!$B$107+parametros_manuales!$G$39*(datos_base!$C$5+IF(parametros_manuales!$H$39="Todos",datos_base!$C$12,0))*parametros_manuales!$B$112)*parametros_manuales!$I$39*parametros_manuales!$J$39</f>
        <v>968.95958445</v>
      </c>
      <c r="C50" s="14" t="n">
        <f aca="false">(parametros_manuales!$D$39*(datos_base!$C$2+IF(parametros_manuales!$H$39="Todos",datos_base!$C$9,0))*parametros_manuales!$C$97+parametros_manuales!$E$39*(datos_base!$C$3+IF(parametros_manuales!$H$39="Todos",datos_base!$C$10,0))*parametros_manuales!$C$102+parametros_manuales!$F$39*(datos_base!$C$4+IF(parametros_manuales!$H$39="Todos",datos_base!$C$11,0))*parametros_manuales!$C$107+parametros_manuales!$G$39*(datos_base!$C$5+IF(parametros_manuales!$H$39="Todos",datos_base!$C$12,0))*parametros_manuales!$C$112)*parametros_manuales!$I$39*parametros_manuales!$J$39</f>
        <v>921.27044817</v>
      </c>
      <c r="D50" s="14" t="n">
        <f aca="false">(parametros_manuales!$D$39*(datos_base!$C$2+IF(parametros_manuales!$H$39="Todos",datos_base!$C$9,0))*parametros_manuales!$D$97+parametros_manuales!$E$39*(datos_base!$C$3+IF(parametros_manuales!$H$39="Todos",datos_base!$C$10,0))*parametros_manuales!$D$102+parametros_manuales!$F$39*(datos_base!$C$4+IF(parametros_manuales!$H$39="Todos",datos_base!$C$11,0))*parametros_manuales!$D$107+parametros_manuales!$G$39*(datos_base!$C$5+IF(parametros_manuales!$H$39="Todos",datos_base!$C$12,0))*parametros_manuales!$D$112)*parametros_manuales!$I$39*parametros_manuales!$J$39</f>
        <v>885.14197654</v>
      </c>
      <c r="E50" s="14" t="n">
        <f aca="false">(parametros_manuales!$D$39*(datos_base!$C$2+IF(parametros_manuales!$H$39="Todos",datos_base!$C$9,0))*parametros_manuales!$E$97+parametros_manuales!$E$39*(datos_base!$C$3+IF(parametros_manuales!$H$39="Todos",datos_base!$C$10,0))*parametros_manuales!$E$102+parametros_manuales!$F$39*(datos_base!$C$4+IF(parametros_manuales!$H$39="Todos",datos_base!$C$11,0))*parametros_manuales!$E$107+parametros_manuales!$G$39*(datos_base!$C$5+IF(parametros_manuales!$H$39="Todos",datos_base!$C$12,0))*parametros_manuales!$E$112)*parametros_manuales!$I$39*parametros_manuales!$J$39</f>
        <v>855.155456655</v>
      </c>
      <c r="F50" s="14" t="n">
        <f aca="false">(parametros_manuales!$D$39*(datos_base!$C$2+IF(parametros_manuales!$H$39="Todos",datos_base!$C$9,0))*parametros_manuales!$F$97+parametros_manuales!$E$39*(datos_base!$C$3+IF(parametros_manuales!$H$39="Todos",datos_base!$C$10,0))*parametros_manuales!$F$102+parametros_manuales!$F$39*(datos_base!$C$4+IF(parametros_manuales!$H$39="Todos",datos_base!$C$11,0))*parametros_manuales!$F$107+parametros_manuales!$G$39*(datos_base!$C$5+IF(parametros_manuales!$H$39="Todos",datos_base!$C$12,0))*parametros_manuales!$F$112)*parametros_manuales!$I$39*parametros_manuales!$J$39</f>
        <v>801.32436863</v>
      </c>
      <c r="G50" s="14" t="n">
        <f aca="false">(parametros_manuales!$D$39*(datos_base!$C$2+IF(parametros_manuales!$H$39="Todos",datos_base!$C$9,0))*parametros_manuales!$G$97+parametros_manuales!$E$39*(datos_base!$C$3+IF(parametros_manuales!$H$39="Todos",datos_base!$C$10,0))*parametros_manuales!$G$102+parametros_manuales!$F$39*(datos_base!$C$4+IF(parametros_manuales!$H$39="Todos",datos_base!$C$11,0))*parametros_manuales!$G$107+parametros_manuales!$G$39*(datos_base!$C$5+IF(parametros_manuales!$H$39="Todos",datos_base!$C$12,0))*parametros_manuales!$G$112)*parametros_manuales!$I$39*parametros_manuales!$J$39</f>
        <v>777.47980049</v>
      </c>
      <c r="H50" s="14" t="n">
        <f aca="false">(parametros_manuales!$D$39*(datos_base!$C$2+IF(parametros_manuales!$H$39="Todos",datos_base!$C$9,0))*parametros_manuales!$H$97+parametros_manuales!$E$39*(datos_base!$C$3+IF(parametros_manuales!$H$39="Todos",datos_base!$C$10,0))*parametros_manuales!$H$102+parametros_manuales!$F$39*(datos_base!$C$4+IF(parametros_manuales!$H$39="Todos",datos_base!$C$11,0))*parametros_manuales!$H$107+parametros_manuales!$G$39*(datos_base!$C$5+IF(parametros_manuales!$H$39="Todos",datos_base!$C$12,0))*parametros_manuales!$H$112)*parametros_manuales!$I$39*parametros_manuales!$J$39</f>
        <v>831.310888515</v>
      </c>
      <c r="I50" s="14" t="n">
        <f aca="false">(parametros_manuales!$D$39*(datos_base!$C$2+IF(parametros_manuales!$H$39="Todos",datos_base!$C$9,0))*parametros_manuales!$I$97+parametros_manuales!$E$39*(datos_base!$C$3+IF(parametros_manuales!$H$39="Todos",datos_base!$C$10,0))*parametros_manuales!$I$102+parametros_manuales!$F$39*(datos_base!$C$4+IF(parametros_manuales!$H$39="Todos",datos_base!$C$11,0))*parametros_manuales!$I$107+parametros_manuales!$G$39*(datos_base!$C$5+IF(parametros_manuales!$H$39="Todos",datos_base!$C$12,0))*parametros_manuales!$I$112)*parametros_manuales!$I$39*parametros_manuales!$J$39</f>
        <v>921.27044817</v>
      </c>
      <c r="J50" s="14" t="n">
        <f aca="false">(parametros_manuales!$D$39*(datos_base!$C$2+IF(parametros_manuales!$H$39="Todos",datos_base!$C$9,0))*parametros_manuales!$J$97+parametros_manuales!$E$39*(datos_base!$C$3+IF(parametros_manuales!$H$39="Todos",datos_base!$C$10,0))*parametros_manuales!$J$102+parametros_manuales!$F$39*(datos_base!$C$4+IF(parametros_manuales!$H$39="Todos",datos_base!$C$11,0))*parametros_manuales!$J$107+parametros_manuales!$G$39*(datos_base!$C$5+IF(parametros_manuales!$H$39="Todos",datos_base!$C$12,0))*parametros_manuales!$J$112)*parametros_manuales!$I$39*parametros_manuales!$J$39</f>
        <v>921.27044817</v>
      </c>
      <c r="K50" s="14" t="n">
        <f aca="false">(parametros_manuales!$D$39*(datos_base!$C$2+IF(parametros_manuales!$H$39="Todos",datos_base!$C$9,0))*parametros_manuales!$K$97+parametros_manuales!$E$39*(datos_base!$C$3+IF(parametros_manuales!$H$39="Todos",datos_base!$C$10,0))*parametros_manuales!$K$102+parametros_manuales!$F$39*(datos_base!$C$4+IF(parametros_manuales!$H$39="Todos",datos_base!$C$11,0))*parametros_manuales!$K$107+parametros_manuales!$G$39*(datos_base!$C$5+IF(parametros_manuales!$H$39="Todos",datos_base!$C$12,0))*parametros_manuales!$K$112)*parametros_manuales!$I$39*parametros_manuales!$J$39</f>
        <v>945.11501631</v>
      </c>
      <c r="L50" s="14" t="n">
        <f aca="false">(parametros_manuales!$D$39*(datos_base!$C$2+IF(parametros_manuales!$H$39="Todos",datos_base!$C$9,0))*parametros_manuales!$L$97+parametros_manuales!$E$39*(datos_base!$C$3+IF(parametros_manuales!$H$39="Todos",datos_base!$C$10,0))*parametros_manuales!$L$102+parametros_manuales!$F$39*(datos_base!$C$4+IF(parametros_manuales!$H$39="Todos",datos_base!$C$11,0))*parametros_manuales!$L$107+parametros_manuales!$G$39*(datos_base!$C$5+IF(parametros_manuales!$H$39="Todos",datos_base!$C$12,0))*parametros_manuales!$L$112)*parametros_manuales!$I$39*parametros_manuales!$J$39</f>
        <v>968.95958445</v>
      </c>
      <c r="M50" s="14" t="n">
        <f aca="false">(parametros_manuales!$D$39*(datos_base!$C$2+IF(parametros_manuales!$H$39="Todos",datos_base!$C$9,0))*parametros_manuales!$M$97+parametros_manuales!$E$39*(datos_base!$C$3+IF(parametros_manuales!$H$39="Todos",datos_base!$C$10,0))*parametros_manuales!$M$102+parametros_manuales!$F$39*(datos_base!$C$4+IF(parametros_manuales!$H$39="Todos",datos_base!$C$11,0))*parametros_manuales!$M$107+parametros_manuales!$G$39*(datos_base!$C$5+IF(parametros_manuales!$H$39="Todos",datos_base!$C$12,0))*parametros_manuales!$M$112)*parametros_manuales!$I$39*parametros_manuales!$J$39</f>
        <v>968.95958445</v>
      </c>
      <c r="N50" s="14" t="n">
        <f aca="false">SUM(B50:M50)</f>
        <v>10766.217605</v>
      </c>
      <c r="O50" s="14" t="n">
        <f aca="false">MAX(B50:M50)</f>
        <v>968.95958445</v>
      </c>
      <c r="P50" s="57" t="n">
        <f aca="false">O50/(parametros_manuales!$B$7)</f>
        <v>6.459730563</v>
      </c>
      <c r="Q50" s="13" t="str">
        <f aca="false">IF(O50=0,"-",INDEX($B$29:$M$29,MATCH(O50,B50:M50,0)))</f>
        <v>Ene</v>
      </c>
    </row>
    <row r="51" customFormat="false" ht="14.25" hidden="false" customHeight="true" outlineLevel="0" collapsed="false">
      <c r="A51" s="13" t="str">
        <f aca="false">parametros_manuales!$B$40</f>
        <v>Ensamblaje</v>
      </c>
      <c r="B51" s="14" t="n">
        <f aca="false">(parametros_manuales!$D$40*(datos_base!$C$2+IF(parametros_manuales!$H$40="Todos",datos_base!$C$9,0))*parametros_manuales!$B$97+parametros_manuales!$E$40*(datos_base!$C$3+IF(parametros_manuales!$H$40="Todos",datos_base!$C$10,0))*parametros_manuales!$B$102+parametros_manuales!$F$40*(datos_base!$C$4+IF(parametros_manuales!$H$40="Todos",datos_base!$C$11,0))*parametros_manuales!$B$107+parametros_manuales!$G$40*(datos_base!$C$5+IF(parametros_manuales!$H$40="Todos",datos_base!$C$12,0))*parametros_manuales!$B$112)*parametros_manuales!$I$40*parametros_manuales!$J$40</f>
        <v>968.95958445</v>
      </c>
      <c r="C51" s="14" t="n">
        <f aca="false">(parametros_manuales!$D$40*(datos_base!$C$2+IF(parametros_manuales!$H$40="Todos",datos_base!$C$9,0))*parametros_manuales!$C$97+parametros_manuales!$E$40*(datos_base!$C$3+IF(parametros_manuales!$H$40="Todos",datos_base!$C$10,0))*parametros_manuales!$C$102+parametros_manuales!$F$40*(datos_base!$C$4+IF(parametros_manuales!$H$40="Todos",datos_base!$C$11,0))*parametros_manuales!$C$107+parametros_manuales!$G$40*(datos_base!$C$5+IF(parametros_manuales!$H$40="Todos",datos_base!$C$12,0))*parametros_manuales!$C$112)*parametros_manuales!$I$40*parametros_manuales!$J$40</f>
        <v>921.27044817</v>
      </c>
      <c r="D51" s="14" t="n">
        <f aca="false">(parametros_manuales!$D$40*(datos_base!$C$2+IF(parametros_manuales!$H$40="Todos",datos_base!$C$9,0))*parametros_manuales!$D$97+parametros_manuales!$E$40*(datos_base!$C$3+IF(parametros_manuales!$H$40="Todos",datos_base!$C$10,0))*parametros_manuales!$D$102+parametros_manuales!$F$40*(datos_base!$C$4+IF(parametros_manuales!$H$40="Todos",datos_base!$C$11,0))*parametros_manuales!$D$107+parametros_manuales!$G$40*(datos_base!$C$5+IF(parametros_manuales!$H$40="Todos",datos_base!$C$12,0))*parametros_manuales!$D$112)*parametros_manuales!$I$40*parametros_manuales!$J$40</f>
        <v>885.14197654</v>
      </c>
      <c r="E51" s="14" t="n">
        <f aca="false">(parametros_manuales!$D$40*(datos_base!$C$2+IF(parametros_manuales!$H$40="Todos",datos_base!$C$9,0))*parametros_manuales!$E$97+parametros_manuales!$E$40*(datos_base!$C$3+IF(parametros_manuales!$H$40="Todos",datos_base!$C$10,0))*parametros_manuales!$E$102+parametros_manuales!$F$40*(datos_base!$C$4+IF(parametros_manuales!$H$40="Todos",datos_base!$C$11,0))*parametros_manuales!$E$107+parametros_manuales!$G$40*(datos_base!$C$5+IF(parametros_manuales!$H$40="Todos",datos_base!$C$12,0))*parametros_manuales!$E$112)*parametros_manuales!$I$40*parametros_manuales!$J$40</f>
        <v>855.155456655</v>
      </c>
      <c r="F51" s="14" t="n">
        <f aca="false">(parametros_manuales!$D$40*(datos_base!$C$2+IF(parametros_manuales!$H$40="Todos",datos_base!$C$9,0))*parametros_manuales!$F$97+parametros_manuales!$E$40*(datos_base!$C$3+IF(parametros_manuales!$H$40="Todos",datos_base!$C$10,0))*parametros_manuales!$F$102+parametros_manuales!$F$40*(datos_base!$C$4+IF(parametros_manuales!$H$40="Todos",datos_base!$C$11,0))*parametros_manuales!$F$107+parametros_manuales!$G$40*(datos_base!$C$5+IF(parametros_manuales!$H$40="Todos",datos_base!$C$12,0))*parametros_manuales!$F$112)*parametros_manuales!$I$40*parametros_manuales!$J$40</f>
        <v>801.32436863</v>
      </c>
      <c r="G51" s="14" t="n">
        <f aca="false">(parametros_manuales!$D$40*(datos_base!$C$2+IF(parametros_manuales!$H$40="Todos",datos_base!$C$9,0))*parametros_manuales!$G$97+parametros_manuales!$E$40*(datos_base!$C$3+IF(parametros_manuales!$H$40="Todos",datos_base!$C$10,0))*parametros_manuales!$G$102+parametros_manuales!$F$40*(datos_base!$C$4+IF(parametros_manuales!$H$40="Todos",datos_base!$C$11,0))*parametros_manuales!$G$107+parametros_manuales!$G$40*(datos_base!$C$5+IF(parametros_manuales!$H$40="Todos",datos_base!$C$12,0))*parametros_manuales!$G$112)*parametros_manuales!$I$40*parametros_manuales!$J$40</f>
        <v>777.47980049</v>
      </c>
      <c r="H51" s="14" t="n">
        <f aca="false">(parametros_manuales!$D$40*(datos_base!$C$2+IF(parametros_manuales!$H$40="Todos",datos_base!$C$9,0))*parametros_manuales!$H$97+parametros_manuales!$E$40*(datos_base!$C$3+IF(parametros_manuales!$H$40="Todos",datos_base!$C$10,0))*parametros_manuales!$H$102+parametros_manuales!$F$40*(datos_base!$C$4+IF(parametros_manuales!$H$40="Todos",datos_base!$C$11,0))*parametros_manuales!$H$107+parametros_manuales!$G$40*(datos_base!$C$5+IF(parametros_manuales!$H$40="Todos",datos_base!$C$12,0))*parametros_manuales!$H$112)*parametros_manuales!$I$40*parametros_manuales!$J$40</f>
        <v>831.310888515</v>
      </c>
      <c r="I51" s="14" t="n">
        <f aca="false">(parametros_manuales!$D$40*(datos_base!$C$2+IF(parametros_manuales!$H$40="Todos",datos_base!$C$9,0))*parametros_manuales!$I$97+parametros_manuales!$E$40*(datos_base!$C$3+IF(parametros_manuales!$H$40="Todos",datos_base!$C$10,0))*parametros_manuales!$I$102+parametros_manuales!$F$40*(datos_base!$C$4+IF(parametros_manuales!$H$40="Todos",datos_base!$C$11,0))*parametros_manuales!$I$107+parametros_manuales!$G$40*(datos_base!$C$5+IF(parametros_manuales!$H$40="Todos",datos_base!$C$12,0))*parametros_manuales!$I$112)*parametros_manuales!$I$40*parametros_manuales!$J$40</f>
        <v>921.27044817</v>
      </c>
      <c r="J51" s="14" t="n">
        <f aca="false">(parametros_manuales!$D$40*(datos_base!$C$2+IF(parametros_manuales!$H$40="Todos",datos_base!$C$9,0))*parametros_manuales!$J$97+parametros_manuales!$E$40*(datos_base!$C$3+IF(parametros_manuales!$H$40="Todos",datos_base!$C$10,0))*parametros_manuales!$J$102+parametros_manuales!$F$40*(datos_base!$C$4+IF(parametros_manuales!$H$40="Todos",datos_base!$C$11,0))*parametros_manuales!$J$107+parametros_manuales!$G$40*(datos_base!$C$5+IF(parametros_manuales!$H$40="Todos",datos_base!$C$12,0))*parametros_manuales!$J$112)*parametros_manuales!$I$40*parametros_manuales!$J$40</f>
        <v>921.27044817</v>
      </c>
      <c r="K51" s="14" t="n">
        <f aca="false">(parametros_manuales!$D$40*(datos_base!$C$2+IF(parametros_manuales!$H$40="Todos",datos_base!$C$9,0))*parametros_manuales!$K$97+parametros_manuales!$E$40*(datos_base!$C$3+IF(parametros_manuales!$H$40="Todos",datos_base!$C$10,0))*parametros_manuales!$K$102+parametros_manuales!$F$40*(datos_base!$C$4+IF(parametros_manuales!$H$40="Todos",datos_base!$C$11,0))*parametros_manuales!$K$107+parametros_manuales!$G$40*(datos_base!$C$5+IF(parametros_manuales!$H$40="Todos",datos_base!$C$12,0))*parametros_manuales!$K$112)*parametros_manuales!$I$40*parametros_manuales!$J$40</f>
        <v>945.11501631</v>
      </c>
      <c r="L51" s="14" t="n">
        <f aca="false">(parametros_manuales!$D$40*(datos_base!$C$2+IF(parametros_manuales!$H$40="Todos",datos_base!$C$9,0))*parametros_manuales!$L$97+parametros_manuales!$E$40*(datos_base!$C$3+IF(parametros_manuales!$H$40="Todos",datos_base!$C$10,0))*parametros_manuales!$L$102+parametros_manuales!$F$40*(datos_base!$C$4+IF(parametros_manuales!$H$40="Todos",datos_base!$C$11,0))*parametros_manuales!$L$107+parametros_manuales!$G$40*(datos_base!$C$5+IF(parametros_manuales!$H$40="Todos",datos_base!$C$12,0))*parametros_manuales!$L$112)*parametros_manuales!$I$40*parametros_manuales!$J$40</f>
        <v>968.95958445</v>
      </c>
      <c r="M51" s="14" t="n">
        <f aca="false">(parametros_manuales!$D$40*(datos_base!$C$2+IF(parametros_manuales!$H$40="Todos",datos_base!$C$9,0))*parametros_manuales!$M$97+parametros_manuales!$E$40*(datos_base!$C$3+IF(parametros_manuales!$H$40="Todos",datos_base!$C$10,0))*parametros_manuales!$M$102+parametros_manuales!$F$40*(datos_base!$C$4+IF(parametros_manuales!$H$40="Todos",datos_base!$C$11,0))*parametros_manuales!$M$107+parametros_manuales!$G$40*(datos_base!$C$5+IF(parametros_manuales!$H$40="Todos",datos_base!$C$12,0))*parametros_manuales!$M$112)*parametros_manuales!$I$40*parametros_manuales!$J$40</f>
        <v>968.95958445</v>
      </c>
      <c r="N51" s="14" t="n">
        <f aca="false">SUM(B51:M51)</f>
        <v>10766.217605</v>
      </c>
      <c r="O51" s="14" t="n">
        <f aca="false">MAX(B51:M51)</f>
        <v>968.95958445</v>
      </c>
      <c r="P51" s="57" t="n">
        <f aca="false">O51/(parametros_manuales!$B$7)</f>
        <v>6.459730563</v>
      </c>
      <c r="Q51" s="13" t="str">
        <f aca="false">IF(O51=0,"-",INDEX($B$29:$M$29,MATCH(O51,B51:M51,0)))</f>
        <v>Ene</v>
      </c>
    </row>
    <row r="52" customFormat="false" ht="14.25" hidden="false" customHeight="true" outlineLevel="0" collapsed="false">
      <c r="A52" s="13" t="str">
        <f aca="false">parametros_manuales!$B$41</f>
        <v>Presurización</v>
      </c>
      <c r="B52" s="14" t="n">
        <f aca="false">(parametros_manuales!$D$41*(datos_base!$C$2+IF(parametros_manuales!$H$41="Todos",datos_base!$C$9,0))*parametros_manuales!$B$97+parametros_manuales!$E$41*(datos_base!$C$3+IF(parametros_manuales!$H$41="Todos",datos_base!$C$10,0))*parametros_manuales!$B$102+parametros_manuales!$F$41*(datos_base!$C$4+IF(parametros_manuales!$H$41="Todos",datos_base!$C$11,0))*parametros_manuales!$B$107+parametros_manuales!$G$41*(datos_base!$C$5+IF(parametros_manuales!$H$41="Todos",datos_base!$C$12,0))*parametros_manuales!$B$112)*parametros_manuales!$I$41*parametros_manuales!$J$41</f>
        <v>968.95958445</v>
      </c>
      <c r="C52" s="14" t="n">
        <f aca="false">(parametros_manuales!$D$41*(datos_base!$C$2+IF(parametros_manuales!$H$41="Todos",datos_base!$C$9,0))*parametros_manuales!$C$97+parametros_manuales!$E$41*(datos_base!$C$3+IF(parametros_manuales!$H$41="Todos",datos_base!$C$10,0))*parametros_manuales!$C$102+parametros_manuales!$F$41*(datos_base!$C$4+IF(parametros_manuales!$H$41="Todos",datos_base!$C$11,0))*parametros_manuales!$C$107+parametros_manuales!$G$41*(datos_base!$C$5+IF(parametros_manuales!$H$41="Todos",datos_base!$C$12,0))*parametros_manuales!$C$112)*parametros_manuales!$I$41*parametros_manuales!$J$41</f>
        <v>921.27044817</v>
      </c>
      <c r="D52" s="14" t="n">
        <f aca="false">(parametros_manuales!$D$41*(datos_base!$C$2+IF(parametros_manuales!$H$41="Todos",datos_base!$C$9,0))*parametros_manuales!$D$97+parametros_manuales!$E$41*(datos_base!$C$3+IF(parametros_manuales!$H$41="Todos",datos_base!$C$10,0))*parametros_manuales!$D$102+parametros_manuales!$F$41*(datos_base!$C$4+IF(parametros_manuales!$H$41="Todos",datos_base!$C$11,0))*parametros_manuales!$D$107+parametros_manuales!$G$41*(datos_base!$C$5+IF(parametros_manuales!$H$41="Todos",datos_base!$C$12,0))*parametros_manuales!$D$112)*parametros_manuales!$I$41*parametros_manuales!$J$41</f>
        <v>885.14197654</v>
      </c>
      <c r="E52" s="14" t="n">
        <f aca="false">(parametros_manuales!$D$41*(datos_base!$C$2+IF(parametros_manuales!$H$41="Todos",datos_base!$C$9,0))*parametros_manuales!$E$97+parametros_manuales!$E$41*(datos_base!$C$3+IF(parametros_manuales!$H$41="Todos",datos_base!$C$10,0))*parametros_manuales!$E$102+parametros_manuales!$F$41*(datos_base!$C$4+IF(parametros_manuales!$H$41="Todos",datos_base!$C$11,0))*parametros_manuales!$E$107+parametros_manuales!$G$41*(datos_base!$C$5+IF(parametros_manuales!$H$41="Todos",datos_base!$C$12,0))*parametros_manuales!$E$112)*parametros_manuales!$I$41*parametros_manuales!$J$41</f>
        <v>855.155456655</v>
      </c>
      <c r="F52" s="14" t="n">
        <f aca="false">(parametros_manuales!$D$41*(datos_base!$C$2+IF(parametros_manuales!$H$41="Todos",datos_base!$C$9,0))*parametros_manuales!$F$97+parametros_manuales!$E$41*(datos_base!$C$3+IF(parametros_manuales!$H$41="Todos",datos_base!$C$10,0))*parametros_manuales!$F$102+parametros_manuales!$F$41*(datos_base!$C$4+IF(parametros_manuales!$H$41="Todos",datos_base!$C$11,0))*parametros_manuales!$F$107+parametros_manuales!$G$41*(datos_base!$C$5+IF(parametros_manuales!$H$41="Todos",datos_base!$C$12,0))*parametros_manuales!$F$112)*parametros_manuales!$I$41*parametros_manuales!$J$41</f>
        <v>801.32436863</v>
      </c>
      <c r="G52" s="14" t="n">
        <f aca="false">(parametros_manuales!$D$41*(datos_base!$C$2+IF(parametros_manuales!$H$41="Todos",datos_base!$C$9,0))*parametros_manuales!$G$97+parametros_manuales!$E$41*(datos_base!$C$3+IF(parametros_manuales!$H$41="Todos",datos_base!$C$10,0))*parametros_manuales!$G$102+parametros_manuales!$F$41*(datos_base!$C$4+IF(parametros_manuales!$H$41="Todos",datos_base!$C$11,0))*parametros_manuales!$G$107+parametros_manuales!$G$41*(datos_base!$C$5+IF(parametros_manuales!$H$41="Todos",datos_base!$C$12,0))*parametros_manuales!$G$112)*parametros_manuales!$I$41*parametros_manuales!$J$41</f>
        <v>777.47980049</v>
      </c>
      <c r="H52" s="14" t="n">
        <f aca="false">(parametros_manuales!$D$41*(datos_base!$C$2+IF(parametros_manuales!$H$41="Todos",datos_base!$C$9,0))*parametros_manuales!$H$97+parametros_manuales!$E$41*(datos_base!$C$3+IF(parametros_manuales!$H$41="Todos",datos_base!$C$10,0))*parametros_manuales!$H$102+parametros_manuales!$F$41*(datos_base!$C$4+IF(parametros_manuales!$H$41="Todos",datos_base!$C$11,0))*parametros_manuales!$H$107+parametros_manuales!$G$41*(datos_base!$C$5+IF(parametros_manuales!$H$41="Todos",datos_base!$C$12,0))*parametros_manuales!$H$112)*parametros_manuales!$I$41*parametros_manuales!$J$41</f>
        <v>831.310888515</v>
      </c>
      <c r="I52" s="14" t="n">
        <f aca="false">(parametros_manuales!$D$41*(datos_base!$C$2+IF(parametros_manuales!$H$41="Todos",datos_base!$C$9,0))*parametros_manuales!$I$97+parametros_manuales!$E$41*(datos_base!$C$3+IF(parametros_manuales!$H$41="Todos",datos_base!$C$10,0))*parametros_manuales!$I$102+parametros_manuales!$F$41*(datos_base!$C$4+IF(parametros_manuales!$H$41="Todos",datos_base!$C$11,0))*parametros_manuales!$I$107+parametros_manuales!$G$41*(datos_base!$C$5+IF(parametros_manuales!$H$41="Todos",datos_base!$C$12,0))*parametros_manuales!$I$112)*parametros_manuales!$I$41*parametros_manuales!$J$41</f>
        <v>921.27044817</v>
      </c>
      <c r="J52" s="14" t="n">
        <f aca="false">(parametros_manuales!$D$41*(datos_base!$C$2+IF(parametros_manuales!$H$41="Todos",datos_base!$C$9,0))*parametros_manuales!$J$97+parametros_manuales!$E$41*(datos_base!$C$3+IF(parametros_manuales!$H$41="Todos",datos_base!$C$10,0))*parametros_manuales!$J$102+parametros_manuales!$F$41*(datos_base!$C$4+IF(parametros_manuales!$H$41="Todos",datos_base!$C$11,0))*parametros_manuales!$J$107+parametros_manuales!$G$41*(datos_base!$C$5+IF(parametros_manuales!$H$41="Todos",datos_base!$C$12,0))*parametros_manuales!$J$112)*parametros_manuales!$I$41*parametros_manuales!$J$41</f>
        <v>921.27044817</v>
      </c>
      <c r="K52" s="14" t="n">
        <f aca="false">(parametros_manuales!$D$41*(datos_base!$C$2+IF(parametros_manuales!$H$41="Todos",datos_base!$C$9,0))*parametros_manuales!$K$97+parametros_manuales!$E$41*(datos_base!$C$3+IF(parametros_manuales!$H$41="Todos",datos_base!$C$10,0))*parametros_manuales!$K$102+parametros_manuales!$F$41*(datos_base!$C$4+IF(parametros_manuales!$H$41="Todos",datos_base!$C$11,0))*parametros_manuales!$K$107+parametros_manuales!$G$41*(datos_base!$C$5+IF(parametros_manuales!$H$41="Todos",datos_base!$C$12,0))*parametros_manuales!$K$112)*parametros_manuales!$I$41*parametros_manuales!$J$41</f>
        <v>945.11501631</v>
      </c>
      <c r="L52" s="14" t="n">
        <f aca="false">(parametros_manuales!$D$41*(datos_base!$C$2+IF(parametros_manuales!$H$41="Todos",datos_base!$C$9,0))*parametros_manuales!$L$97+parametros_manuales!$E$41*(datos_base!$C$3+IF(parametros_manuales!$H$41="Todos",datos_base!$C$10,0))*parametros_manuales!$L$102+parametros_manuales!$F$41*(datos_base!$C$4+IF(parametros_manuales!$H$41="Todos",datos_base!$C$11,0))*parametros_manuales!$L$107+parametros_manuales!$G$41*(datos_base!$C$5+IF(parametros_manuales!$H$41="Todos",datos_base!$C$12,0))*parametros_manuales!$L$112)*parametros_manuales!$I$41*parametros_manuales!$J$41</f>
        <v>968.95958445</v>
      </c>
      <c r="M52" s="14" t="n">
        <f aca="false">(parametros_manuales!$D$41*(datos_base!$C$2+IF(parametros_manuales!$H$41="Todos",datos_base!$C$9,0))*parametros_manuales!$M$97+parametros_manuales!$E$41*(datos_base!$C$3+IF(parametros_manuales!$H$41="Todos",datos_base!$C$10,0))*parametros_manuales!$M$102+parametros_manuales!$F$41*(datos_base!$C$4+IF(parametros_manuales!$H$41="Todos",datos_base!$C$11,0))*parametros_manuales!$M$107+parametros_manuales!$G$41*(datos_base!$C$5+IF(parametros_manuales!$H$41="Todos",datos_base!$C$12,0))*parametros_manuales!$M$112)*parametros_manuales!$I$41*parametros_manuales!$J$41</f>
        <v>968.95958445</v>
      </c>
      <c r="N52" s="14" t="n">
        <f aca="false">SUM(B52:M52)</f>
        <v>10766.217605</v>
      </c>
      <c r="O52" s="14" t="n">
        <f aca="false">MAX(B52:M52)</f>
        <v>968.95958445</v>
      </c>
      <c r="P52" s="57" t="n">
        <f aca="false">O52/(parametros_manuales!$B$7)</f>
        <v>6.459730563</v>
      </c>
      <c r="Q52" s="13" t="str">
        <f aca="false">IF(O52=0,"-",INDEX($B$29:$M$29,MATCH(O52,B52:M52,0)))</f>
        <v>Ene</v>
      </c>
    </row>
    <row r="53" customFormat="false" ht="14.25" hidden="false" customHeight="true" outlineLevel="0" collapsed="false">
      <c r="A53" s="13" t="str">
        <f aca="false">parametros_manuales!$B$42</f>
        <v>Control de calidad — Ensayo de pérdidas</v>
      </c>
      <c r="B53" s="14" t="n">
        <f aca="false">(parametros_manuales!$D$42*(datos_base!$C$2+IF(parametros_manuales!$H$42="Todos",datos_base!$C$9,0))*parametros_manuales!$B$97+parametros_manuales!$E$42*(datos_base!$C$3+IF(parametros_manuales!$H$42="Todos",datos_base!$C$10,0))*parametros_manuales!$B$102+parametros_manuales!$F$42*(datos_base!$C$4+IF(parametros_manuales!$H$42="Todos",datos_base!$C$11,0))*parametros_manuales!$B$107+parametros_manuales!$G$42*(datos_base!$C$5+IF(parametros_manuales!$H$42="Todos",datos_base!$C$12,0))*parametros_manuales!$B$112)*parametros_manuales!$I$42*parametros_manuales!$J$42</f>
        <v>968.95958445</v>
      </c>
      <c r="C53" s="14" t="n">
        <f aca="false">(parametros_manuales!$D$42*(datos_base!$C$2+IF(parametros_manuales!$H$42="Todos",datos_base!$C$9,0))*parametros_manuales!$C$97+parametros_manuales!$E$42*(datos_base!$C$3+IF(parametros_manuales!$H$42="Todos",datos_base!$C$10,0))*parametros_manuales!$C$102+parametros_manuales!$F$42*(datos_base!$C$4+IF(parametros_manuales!$H$42="Todos",datos_base!$C$11,0))*parametros_manuales!$C$107+parametros_manuales!$G$42*(datos_base!$C$5+IF(parametros_manuales!$H$42="Todos",datos_base!$C$12,0))*parametros_manuales!$C$112)*parametros_manuales!$I$42*parametros_manuales!$J$42</f>
        <v>921.27044817</v>
      </c>
      <c r="D53" s="14" t="n">
        <f aca="false">(parametros_manuales!$D$42*(datos_base!$C$2+IF(parametros_manuales!$H$42="Todos",datos_base!$C$9,0))*parametros_manuales!$D$97+parametros_manuales!$E$42*(datos_base!$C$3+IF(parametros_manuales!$H$42="Todos",datos_base!$C$10,0))*parametros_manuales!$D$102+parametros_manuales!$F$42*(datos_base!$C$4+IF(parametros_manuales!$H$42="Todos",datos_base!$C$11,0))*parametros_manuales!$D$107+parametros_manuales!$G$42*(datos_base!$C$5+IF(parametros_manuales!$H$42="Todos",datos_base!$C$12,0))*parametros_manuales!$D$112)*parametros_manuales!$I$42*parametros_manuales!$J$42</f>
        <v>885.14197654</v>
      </c>
      <c r="E53" s="14" t="n">
        <f aca="false">(parametros_manuales!$D$42*(datos_base!$C$2+IF(parametros_manuales!$H$42="Todos",datos_base!$C$9,0))*parametros_manuales!$E$97+parametros_manuales!$E$42*(datos_base!$C$3+IF(parametros_manuales!$H$42="Todos",datos_base!$C$10,0))*parametros_manuales!$E$102+parametros_manuales!$F$42*(datos_base!$C$4+IF(parametros_manuales!$H$42="Todos",datos_base!$C$11,0))*parametros_manuales!$E$107+parametros_manuales!$G$42*(datos_base!$C$5+IF(parametros_manuales!$H$42="Todos",datos_base!$C$12,0))*parametros_manuales!$E$112)*parametros_manuales!$I$42*parametros_manuales!$J$42</f>
        <v>855.155456655</v>
      </c>
      <c r="F53" s="14" t="n">
        <f aca="false">(parametros_manuales!$D$42*(datos_base!$C$2+IF(parametros_manuales!$H$42="Todos",datos_base!$C$9,0))*parametros_manuales!$F$97+parametros_manuales!$E$42*(datos_base!$C$3+IF(parametros_manuales!$H$42="Todos",datos_base!$C$10,0))*parametros_manuales!$F$102+parametros_manuales!$F$42*(datos_base!$C$4+IF(parametros_manuales!$H$42="Todos",datos_base!$C$11,0))*parametros_manuales!$F$107+parametros_manuales!$G$42*(datos_base!$C$5+IF(parametros_manuales!$H$42="Todos",datos_base!$C$12,0))*parametros_manuales!$F$112)*parametros_manuales!$I$42*parametros_manuales!$J$42</f>
        <v>801.32436863</v>
      </c>
      <c r="G53" s="14" t="n">
        <f aca="false">(parametros_manuales!$D$42*(datos_base!$C$2+IF(parametros_manuales!$H$42="Todos",datos_base!$C$9,0))*parametros_manuales!$G$97+parametros_manuales!$E$42*(datos_base!$C$3+IF(parametros_manuales!$H$42="Todos",datos_base!$C$10,0))*parametros_manuales!$G$102+parametros_manuales!$F$42*(datos_base!$C$4+IF(parametros_manuales!$H$42="Todos",datos_base!$C$11,0))*parametros_manuales!$G$107+parametros_manuales!$G$42*(datos_base!$C$5+IF(parametros_manuales!$H$42="Todos",datos_base!$C$12,0))*parametros_manuales!$G$112)*parametros_manuales!$I$42*parametros_manuales!$J$42</f>
        <v>777.47980049</v>
      </c>
      <c r="H53" s="14" t="n">
        <f aca="false">(parametros_manuales!$D$42*(datos_base!$C$2+IF(parametros_manuales!$H$42="Todos",datos_base!$C$9,0))*parametros_manuales!$H$97+parametros_manuales!$E$42*(datos_base!$C$3+IF(parametros_manuales!$H$42="Todos",datos_base!$C$10,0))*parametros_manuales!$H$102+parametros_manuales!$F$42*(datos_base!$C$4+IF(parametros_manuales!$H$42="Todos",datos_base!$C$11,0))*parametros_manuales!$H$107+parametros_manuales!$G$42*(datos_base!$C$5+IF(parametros_manuales!$H$42="Todos",datos_base!$C$12,0))*parametros_manuales!$H$112)*parametros_manuales!$I$42*parametros_manuales!$J$42</f>
        <v>831.310888515</v>
      </c>
      <c r="I53" s="14" t="n">
        <f aca="false">(parametros_manuales!$D$42*(datos_base!$C$2+IF(parametros_manuales!$H$42="Todos",datos_base!$C$9,0))*parametros_manuales!$I$97+parametros_manuales!$E$42*(datos_base!$C$3+IF(parametros_manuales!$H$42="Todos",datos_base!$C$10,0))*parametros_manuales!$I$102+parametros_manuales!$F$42*(datos_base!$C$4+IF(parametros_manuales!$H$42="Todos",datos_base!$C$11,0))*parametros_manuales!$I$107+parametros_manuales!$G$42*(datos_base!$C$5+IF(parametros_manuales!$H$42="Todos",datos_base!$C$12,0))*parametros_manuales!$I$112)*parametros_manuales!$I$42*parametros_manuales!$J$42</f>
        <v>921.27044817</v>
      </c>
      <c r="J53" s="14" t="n">
        <f aca="false">(parametros_manuales!$D$42*(datos_base!$C$2+IF(parametros_manuales!$H$42="Todos",datos_base!$C$9,0))*parametros_manuales!$J$97+parametros_manuales!$E$42*(datos_base!$C$3+IF(parametros_manuales!$H$42="Todos",datos_base!$C$10,0))*parametros_manuales!$J$102+parametros_manuales!$F$42*(datos_base!$C$4+IF(parametros_manuales!$H$42="Todos",datos_base!$C$11,0))*parametros_manuales!$J$107+parametros_manuales!$G$42*(datos_base!$C$5+IF(parametros_manuales!$H$42="Todos",datos_base!$C$12,0))*parametros_manuales!$J$112)*parametros_manuales!$I$42*parametros_manuales!$J$42</f>
        <v>921.27044817</v>
      </c>
      <c r="K53" s="14" t="n">
        <f aca="false">(parametros_manuales!$D$42*(datos_base!$C$2+IF(parametros_manuales!$H$42="Todos",datos_base!$C$9,0))*parametros_manuales!$K$97+parametros_manuales!$E$42*(datos_base!$C$3+IF(parametros_manuales!$H$42="Todos",datos_base!$C$10,0))*parametros_manuales!$K$102+parametros_manuales!$F$42*(datos_base!$C$4+IF(parametros_manuales!$H$42="Todos",datos_base!$C$11,0))*parametros_manuales!$K$107+parametros_manuales!$G$42*(datos_base!$C$5+IF(parametros_manuales!$H$42="Todos",datos_base!$C$12,0))*parametros_manuales!$K$112)*parametros_manuales!$I$42*parametros_manuales!$J$42</f>
        <v>945.11501631</v>
      </c>
      <c r="L53" s="14" t="n">
        <f aca="false">(parametros_manuales!$D$42*(datos_base!$C$2+IF(parametros_manuales!$H$42="Todos",datos_base!$C$9,0))*parametros_manuales!$L$97+parametros_manuales!$E$42*(datos_base!$C$3+IF(parametros_manuales!$H$42="Todos",datos_base!$C$10,0))*parametros_manuales!$L$102+parametros_manuales!$F$42*(datos_base!$C$4+IF(parametros_manuales!$H$42="Todos",datos_base!$C$11,0))*parametros_manuales!$L$107+parametros_manuales!$G$42*(datos_base!$C$5+IF(parametros_manuales!$H$42="Todos",datos_base!$C$12,0))*parametros_manuales!$L$112)*parametros_manuales!$I$42*parametros_manuales!$J$42</f>
        <v>968.95958445</v>
      </c>
      <c r="M53" s="14" t="n">
        <f aca="false">(parametros_manuales!$D$42*(datos_base!$C$2+IF(parametros_manuales!$H$42="Todos",datos_base!$C$9,0))*parametros_manuales!$M$97+parametros_manuales!$E$42*(datos_base!$C$3+IF(parametros_manuales!$H$42="Todos",datos_base!$C$10,0))*parametros_manuales!$M$102+parametros_manuales!$F$42*(datos_base!$C$4+IF(parametros_manuales!$H$42="Todos",datos_base!$C$11,0))*parametros_manuales!$M$107+parametros_manuales!$G$42*(datos_base!$C$5+IF(parametros_manuales!$H$42="Todos",datos_base!$C$12,0))*parametros_manuales!$M$112)*parametros_manuales!$I$42*parametros_manuales!$J$42</f>
        <v>968.95958445</v>
      </c>
      <c r="N53" s="14" t="n">
        <f aca="false">SUM(B53:M53)</f>
        <v>10766.217605</v>
      </c>
      <c r="O53" s="14" t="n">
        <f aca="false">MAX(B53:M53)</f>
        <v>968.95958445</v>
      </c>
      <c r="P53" s="57" t="n">
        <f aca="false">O53/(parametros_manuales!$B$7)</f>
        <v>6.459730563</v>
      </c>
      <c r="Q53" s="13" t="str">
        <f aca="false">IF(O53=0,"-",INDEX($B$29:$M$29,MATCH(O53,B53:M53,0)))</f>
        <v>Ene</v>
      </c>
    </row>
    <row r="54" customFormat="false" ht="14.25" hidden="false" customHeight="true" outlineLevel="0" collapsed="false">
      <c r="A54" s="13" t="str">
        <f aca="false">parametros_manuales!$B$43</f>
        <v>Etiquetado</v>
      </c>
      <c r="B54" s="14" t="n">
        <f aca="false">(parametros_manuales!$D$43*(datos_base!$C$2+IF(parametros_manuales!$H$43="Todos",datos_base!$C$9,0))*parametros_manuales!$B$97+parametros_manuales!$E$43*(datos_base!$C$3+IF(parametros_manuales!$H$43="Todos",datos_base!$C$10,0))*parametros_manuales!$B$102+parametros_manuales!$F$43*(datos_base!$C$4+IF(parametros_manuales!$H$43="Todos",datos_base!$C$11,0))*parametros_manuales!$B$107+parametros_manuales!$G$43*(datos_base!$C$5+IF(parametros_manuales!$H$43="Todos",datos_base!$C$12,0))*parametros_manuales!$B$112)*parametros_manuales!$I$43*parametros_manuales!$J$43</f>
        <v>968.95958445</v>
      </c>
      <c r="C54" s="14" t="n">
        <f aca="false">(parametros_manuales!$D$43*(datos_base!$C$2+IF(parametros_manuales!$H$43="Todos",datos_base!$C$9,0))*parametros_manuales!$C$97+parametros_manuales!$E$43*(datos_base!$C$3+IF(parametros_manuales!$H$43="Todos",datos_base!$C$10,0))*parametros_manuales!$C$102+parametros_manuales!$F$43*(datos_base!$C$4+IF(parametros_manuales!$H$43="Todos",datos_base!$C$11,0))*parametros_manuales!$C$107+parametros_manuales!$G$43*(datos_base!$C$5+IF(parametros_manuales!$H$43="Todos",datos_base!$C$12,0))*parametros_manuales!$C$112)*parametros_manuales!$I$43*parametros_manuales!$J$43</f>
        <v>921.27044817</v>
      </c>
      <c r="D54" s="14" t="n">
        <f aca="false">(parametros_manuales!$D$43*(datos_base!$C$2+IF(parametros_manuales!$H$43="Todos",datos_base!$C$9,0))*parametros_manuales!$D$97+parametros_manuales!$E$43*(datos_base!$C$3+IF(parametros_manuales!$H$43="Todos",datos_base!$C$10,0))*parametros_manuales!$D$102+parametros_manuales!$F$43*(datos_base!$C$4+IF(parametros_manuales!$H$43="Todos",datos_base!$C$11,0))*parametros_manuales!$D$107+parametros_manuales!$G$43*(datos_base!$C$5+IF(parametros_manuales!$H$43="Todos",datos_base!$C$12,0))*parametros_manuales!$D$112)*parametros_manuales!$I$43*parametros_manuales!$J$43</f>
        <v>885.14197654</v>
      </c>
      <c r="E54" s="14" t="n">
        <f aca="false">(parametros_manuales!$D$43*(datos_base!$C$2+IF(parametros_manuales!$H$43="Todos",datos_base!$C$9,0))*parametros_manuales!$E$97+parametros_manuales!$E$43*(datos_base!$C$3+IF(parametros_manuales!$H$43="Todos",datos_base!$C$10,0))*parametros_manuales!$E$102+parametros_manuales!$F$43*(datos_base!$C$4+IF(parametros_manuales!$H$43="Todos",datos_base!$C$11,0))*parametros_manuales!$E$107+parametros_manuales!$G$43*(datos_base!$C$5+IF(parametros_manuales!$H$43="Todos",datos_base!$C$12,0))*parametros_manuales!$E$112)*parametros_manuales!$I$43*parametros_manuales!$J$43</f>
        <v>855.155456655</v>
      </c>
      <c r="F54" s="14" t="n">
        <f aca="false">(parametros_manuales!$D$43*(datos_base!$C$2+IF(parametros_manuales!$H$43="Todos",datos_base!$C$9,0))*parametros_manuales!$F$97+parametros_manuales!$E$43*(datos_base!$C$3+IF(parametros_manuales!$H$43="Todos",datos_base!$C$10,0))*parametros_manuales!$F$102+parametros_manuales!$F$43*(datos_base!$C$4+IF(parametros_manuales!$H$43="Todos",datos_base!$C$11,0))*parametros_manuales!$F$107+parametros_manuales!$G$43*(datos_base!$C$5+IF(parametros_manuales!$H$43="Todos",datos_base!$C$12,0))*parametros_manuales!$F$112)*parametros_manuales!$I$43*parametros_manuales!$J$43</f>
        <v>801.32436863</v>
      </c>
      <c r="G54" s="14" t="n">
        <f aca="false">(parametros_manuales!$D$43*(datos_base!$C$2+IF(parametros_manuales!$H$43="Todos",datos_base!$C$9,0))*parametros_manuales!$G$97+parametros_manuales!$E$43*(datos_base!$C$3+IF(parametros_manuales!$H$43="Todos",datos_base!$C$10,0))*parametros_manuales!$G$102+parametros_manuales!$F$43*(datos_base!$C$4+IF(parametros_manuales!$H$43="Todos",datos_base!$C$11,0))*parametros_manuales!$G$107+parametros_manuales!$G$43*(datos_base!$C$5+IF(parametros_manuales!$H$43="Todos",datos_base!$C$12,0))*parametros_manuales!$G$112)*parametros_manuales!$I$43*parametros_manuales!$J$43</f>
        <v>777.47980049</v>
      </c>
      <c r="H54" s="14" t="n">
        <f aca="false">(parametros_manuales!$D$43*(datos_base!$C$2+IF(parametros_manuales!$H$43="Todos",datos_base!$C$9,0))*parametros_manuales!$H$97+parametros_manuales!$E$43*(datos_base!$C$3+IF(parametros_manuales!$H$43="Todos",datos_base!$C$10,0))*parametros_manuales!$H$102+parametros_manuales!$F$43*(datos_base!$C$4+IF(parametros_manuales!$H$43="Todos",datos_base!$C$11,0))*parametros_manuales!$H$107+parametros_manuales!$G$43*(datos_base!$C$5+IF(parametros_manuales!$H$43="Todos",datos_base!$C$12,0))*parametros_manuales!$H$112)*parametros_manuales!$I$43*parametros_manuales!$J$43</f>
        <v>831.310888515</v>
      </c>
      <c r="I54" s="14" t="n">
        <f aca="false">(parametros_manuales!$D$43*(datos_base!$C$2+IF(parametros_manuales!$H$43="Todos",datos_base!$C$9,0))*parametros_manuales!$I$97+parametros_manuales!$E$43*(datos_base!$C$3+IF(parametros_manuales!$H$43="Todos",datos_base!$C$10,0))*parametros_manuales!$I$102+parametros_manuales!$F$43*(datos_base!$C$4+IF(parametros_manuales!$H$43="Todos",datos_base!$C$11,0))*parametros_manuales!$I$107+parametros_manuales!$G$43*(datos_base!$C$5+IF(parametros_manuales!$H$43="Todos",datos_base!$C$12,0))*parametros_manuales!$I$112)*parametros_manuales!$I$43*parametros_manuales!$J$43</f>
        <v>921.27044817</v>
      </c>
      <c r="J54" s="14" t="n">
        <f aca="false">(parametros_manuales!$D$43*(datos_base!$C$2+IF(parametros_manuales!$H$43="Todos",datos_base!$C$9,0))*parametros_manuales!$J$97+parametros_manuales!$E$43*(datos_base!$C$3+IF(parametros_manuales!$H$43="Todos",datos_base!$C$10,0))*parametros_manuales!$J$102+parametros_manuales!$F$43*(datos_base!$C$4+IF(parametros_manuales!$H$43="Todos",datos_base!$C$11,0))*parametros_manuales!$J$107+parametros_manuales!$G$43*(datos_base!$C$5+IF(parametros_manuales!$H$43="Todos",datos_base!$C$12,0))*parametros_manuales!$J$112)*parametros_manuales!$I$43*parametros_manuales!$J$43</f>
        <v>921.27044817</v>
      </c>
      <c r="K54" s="14" t="n">
        <f aca="false">(parametros_manuales!$D$43*(datos_base!$C$2+IF(parametros_manuales!$H$43="Todos",datos_base!$C$9,0))*parametros_manuales!$K$97+parametros_manuales!$E$43*(datos_base!$C$3+IF(parametros_manuales!$H$43="Todos",datos_base!$C$10,0))*parametros_manuales!$K$102+parametros_manuales!$F$43*(datos_base!$C$4+IF(parametros_manuales!$H$43="Todos",datos_base!$C$11,0))*parametros_manuales!$K$107+parametros_manuales!$G$43*(datos_base!$C$5+IF(parametros_manuales!$H$43="Todos",datos_base!$C$12,0))*parametros_manuales!$K$112)*parametros_manuales!$I$43*parametros_manuales!$J$43</f>
        <v>945.11501631</v>
      </c>
      <c r="L54" s="14" t="n">
        <f aca="false">(parametros_manuales!$D$43*(datos_base!$C$2+IF(parametros_manuales!$H$43="Todos",datos_base!$C$9,0))*parametros_manuales!$L$97+parametros_manuales!$E$43*(datos_base!$C$3+IF(parametros_manuales!$H$43="Todos",datos_base!$C$10,0))*parametros_manuales!$L$102+parametros_manuales!$F$43*(datos_base!$C$4+IF(parametros_manuales!$H$43="Todos",datos_base!$C$11,0))*parametros_manuales!$L$107+parametros_manuales!$G$43*(datos_base!$C$5+IF(parametros_manuales!$H$43="Todos",datos_base!$C$12,0))*parametros_manuales!$L$112)*parametros_manuales!$I$43*parametros_manuales!$J$43</f>
        <v>968.95958445</v>
      </c>
      <c r="M54" s="14" t="n">
        <f aca="false">(parametros_manuales!$D$43*(datos_base!$C$2+IF(parametros_manuales!$H$43="Todos",datos_base!$C$9,0))*parametros_manuales!$M$97+parametros_manuales!$E$43*(datos_base!$C$3+IF(parametros_manuales!$H$43="Todos",datos_base!$C$10,0))*parametros_manuales!$M$102+parametros_manuales!$F$43*(datos_base!$C$4+IF(parametros_manuales!$H$43="Todos",datos_base!$C$11,0))*parametros_manuales!$M$107+parametros_manuales!$G$43*(datos_base!$C$5+IF(parametros_manuales!$H$43="Todos",datos_base!$C$12,0))*parametros_manuales!$M$112)*parametros_manuales!$I$43*parametros_manuales!$J$43</f>
        <v>968.95958445</v>
      </c>
      <c r="N54" s="14" t="n">
        <f aca="false">SUM(B54:M54)</f>
        <v>10766.217605</v>
      </c>
      <c r="O54" s="14" t="n">
        <f aca="false">MAX(B54:M54)</f>
        <v>968.95958445</v>
      </c>
      <c r="P54" s="57" t="n">
        <f aca="false">O54/(parametros_manuales!$B$7)</f>
        <v>6.459730563</v>
      </c>
      <c r="Q54" s="13" t="str">
        <f aca="false">IF(O54=0,"-",INDEX($B$29:$M$29,MATCH(O54,B54:M54,0)))</f>
        <v>Ene</v>
      </c>
    </row>
    <row r="55" customFormat="false" ht="14.25" hidden="false" customHeight="true" outlineLevel="0" collapsed="false">
      <c r="A55" s="13" t="str">
        <f aca="false">parametros_manuales!$B$44</f>
        <v>Embalaje y paletizado</v>
      </c>
      <c r="B55" s="14" t="n">
        <f aca="false">(parametros_manuales!$D$44*(datos_base!$C$2+IF(parametros_manuales!$H$44="Todos",datos_base!$C$9,0))*parametros_manuales!$B$97+parametros_manuales!$E$44*(datos_base!$C$3+IF(parametros_manuales!$H$44="Todos",datos_base!$C$10,0))*parametros_manuales!$B$102+parametros_manuales!$F$44*(datos_base!$C$4+IF(parametros_manuales!$H$44="Todos",datos_base!$C$11,0))*parametros_manuales!$B$107+parametros_manuales!$G$44*(datos_base!$C$5+IF(parametros_manuales!$H$44="Todos",datos_base!$C$12,0))*parametros_manuales!$B$112)*parametros_manuales!$I$44*parametros_manuales!$J$44</f>
        <v>974.87798445</v>
      </c>
      <c r="C55" s="14" t="n">
        <f aca="false">(parametros_manuales!$D$44*(datos_base!$C$2+IF(parametros_manuales!$H$44="Todos",datos_base!$C$9,0))*parametros_manuales!$C$97+parametros_manuales!$E$44*(datos_base!$C$3+IF(parametros_manuales!$H$44="Todos",datos_base!$C$10,0))*parametros_manuales!$C$102+parametros_manuales!$F$44*(datos_base!$C$4+IF(parametros_manuales!$H$44="Todos",datos_base!$C$11,0))*parametros_manuales!$C$107+parametros_manuales!$G$44*(datos_base!$C$5+IF(parametros_manuales!$H$44="Todos",datos_base!$C$12,0))*parametros_manuales!$C$112)*parametros_manuales!$I$44*parametros_manuales!$J$44</f>
        <v>926.53124817</v>
      </c>
      <c r="D55" s="14" t="n">
        <f aca="false">(parametros_manuales!$D$44*(datos_base!$C$2+IF(parametros_manuales!$H$44="Todos",datos_base!$C$9,0))*parametros_manuales!$D$97+parametros_manuales!$E$44*(datos_base!$C$3+IF(parametros_manuales!$H$44="Todos",datos_base!$C$10,0))*parametros_manuales!$D$102+parametros_manuales!$F$44*(datos_base!$C$4+IF(parametros_manuales!$H$44="Todos",datos_base!$C$11,0))*parametros_manuales!$D$107+parametros_manuales!$G$44*(datos_base!$C$5+IF(parametros_manuales!$H$44="Todos",datos_base!$C$12,0))*parametros_manuales!$D$112)*parametros_manuales!$I$44*parametros_manuales!$J$44</f>
        <v>890.73157654</v>
      </c>
      <c r="E55" s="14" t="n">
        <f aca="false">(parametros_manuales!$D$44*(datos_base!$C$2+IF(parametros_manuales!$H$44="Todos",datos_base!$C$9,0))*parametros_manuales!$E$97+parametros_manuales!$E$44*(datos_base!$C$3+IF(parametros_manuales!$H$44="Todos",datos_base!$C$10,0))*parametros_manuales!$E$102+parametros_manuales!$F$44*(datos_base!$C$4+IF(parametros_manuales!$H$44="Todos",datos_base!$C$11,0))*parametros_manuales!$E$107+parametros_manuales!$G$44*(datos_base!$C$5+IF(parametros_manuales!$H$44="Todos",datos_base!$C$12,0))*parametros_manuales!$E$112)*parametros_manuales!$I$44*parametros_manuales!$J$44</f>
        <v>860.745056655</v>
      </c>
      <c r="F55" s="14" t="n">
        <f aca="false">(parametros_manuales!$D$44*(datos_base!$C$2+IF(parametros_manuales!$H$44="Todos",datos_base!$C$9,0))*parametros_manuales!$F$97+parametros_manuales!$E$44*(datos_base!$C$3+IF(parametros_manuales!$H$44="Todos",datos_base!$C$10,0))*parametros_manuales!$F$102+parametros_manuales!$F$44*(datos_base!$C$4+IF(parametros_manuales!$H$44="Todos",datos_base!$C$11,0))*parametros_manuales!$F$107+parametros_manuales!$G$44*(datos_base!$C$5+IF(parametros_manuales!$H$44="Todos",datos_base!$C$12,0))*parametros_manuales!$F$112)*parametros_manuales!$I$44*parametros_manuales!$J$44</f>
        <v>806.58516863</v>
      </c>
      <c r="G55" s="14" t="n">
        <f aca="false">(parametros_manuales!$D$44*(datos_base!$C$2+IF(parametros_manuales!$H$44="Todos",datos_base!$C$9,0))*parametros_manuales!$G$97+parametros_manuales!$E$44*(datos_base!$C$3+IF(parametros_manuales!$H$44="Todos",datos_base!$C$10,0))*parametros_manuales!$G$102+parametros_manuales!$F$44*(datos_base!$C$4+IF(parametros_manuales!$H$44="Todos",datos_base!$C$11,0))*parametros_manuales!$G$107+parametros_manuales!$G$44*(datos_base!$C$5+IF(parametros_manuales!$H$44="Todos",datos_base!$C$12,0))*parametros_manuales!$G$112)*parametros_manuales!$I$44*parametros_manuales!$J$44</f>
        <v>782.41180049</v>
      </c>
      <c r="H55" s="14" t="n">
        <f aca="false">(parametros_manuales!$D$44*(datos_base!$C$2+IF(parametros_manuales!$H$44="Todos",datos_base!$C$9,0))*parametros_manuales!$H$97+parametros_manuales!$E$44*(datos_base!$C$3+IF(parametros_manuales!$H$44="Todos",datos_base!$C$10,0))*parametros_manuales!$H$102+parametros_manuales!$F$44*(datos_base!$C$4+IF(parametros_manuales!$H$44="Todos",datos_base!$C$11,0))*parametros_manuales!$H$107+parametros_manuales!$G$44*(datos_base!$C$5+IF(parametros_manuales!$H$44="Todos",datos_base!$C$12,0))*parametros_manuales!$H$112)*parametros_manuales!$I$44*parametros_manuales!$J$44</f>
        <v>836.571688515</v>
      </c>
      <c r="I55" s="14" t="n">
        <f aca="false">(parametros_manuales!$D$44*(datos_base!$C$2+IF(parametros_manuales!$H$44="Todos",datos_base!$C$9,0))*parametros_manuales!$I$97+parametros_manuales!$E$44*(datos_base!$C$3+IF(parametros_manuales!$H$44="Todos",datos_base!$C$10,0))*parametros_manuales!$I$102+parametros_manuales!$F$44*(datos_base!$C$4+IF(parametros_manuales!$H$44="Todos",datos_base!$C$11,0))*parametros_manuales!$I$107+parametros_manuales!$G$44*(datos_base!$C$5+IF(parametros_manuales!$H$44="Todos",datos_base!$C$12,0))*parametros_manuales!$I$112)*parametros_manuales!$I$44*parametros_manuales!$J$44</f>
        <v>926.53124817</v>
      </c>
      <c r="J55" s="14" t="n">
        <f aca="false">(parametros_manuales!$D$44*(datos_base!$C$2+IF(parametros_manuales!$H$44="Todos",datos_base!$C$9,0))*parametros_manuales!$J$97+parametros_manuales!$E$44*(datos_base!$C$3+IF(parametros_manuales!$H$44="Todos",datos_base!$C$10,0))*parametros_manuales!$J$102+parametros_manuales!$F$44*(datos_base!$C$4+IF(parametros_manuales!$H$44="Todos",datos_base!$C$11,0))*parametros_manuales!$J$107+parametros_manuales!$G$44*(datos_base!$C$5+IF(parametros_manuales!$H$44="Todos",datos_base!$C$12,0))*parametros_manuales!$J$112)*parametros_manuales!$I$44*parametros_manuales!$J$44</f>
        <v>926.53124817</v>
      </c>
      <c r="K55" s="14" t="n">
        <f aca="false">(parametros_manuales!$D$44*(datos_base!$C$2+IF(parametros_manuales!$H$44="Todos",datos_base!$C$9,0))*parametros_manuales!$K$97+parametros_manuales!$E$44*(datos_base!$C$3+IF(parametros_manuales!$H$44="Todos",datos_base!$C$10,0))*parametros_manuales!$K$102+parametros_manuales!$F$44*(datos_base!$C$4+IF(parametros_manuales!$H$44="Todos",datos_base!$C$11,0))*parametros_manuales!$K$107+parametros_manuales!$G$44*(datos_base!$C$5+IF(parametros_manuales!$H$44="Todos",datos_base!$C$12,0))*parametros_manuales!$K$112)*parametros_manuales!$I$44*parametros_manuales!$J$44</f>
        <v>950.70461631</v>
      </c>
      <c r="L55" s="14" t="n">
        <f aca="false">(parametros_manuales!$D$44*(datos_base!$C$2+IF(parametros_manuales!$H$44="Todos",datos_base!$C$9,0))*parametros_manuales!$L$97+parametros_manuales!$E$44*(datos_base!$C$3+IF(parametros_manuales!$H$44="Todos",datos_base!$C$10,0))*parametros_manuales!$L$102+parametros_manuales!$F$44*(datos_base!$C$4+IF(parametros_manuales!$H$44="Todos",datos_base!$C$11,0))*parametros_manuales!$L$107+parametros_manuales!$G$44*(datos_base!$C$5+IF(parametros_manuales!$H$44="Todos",datos_base!$C$12,0))*parametros_manuales!$L$112)*parametros_manuales!$I$44*parametros_manuales!$J$44</f>
        <v>974.87798445</v>
      </c>
      <c r="M55" s="14" t="n">
        <f aca="false">(parametros_manuales!$D$44*(datos_base!$C$2+IF(parametros_manuales!$H$44="Todos",datos_base!$C$9,0))*parametros_manuales!$M$97+parametros_manuales!$E$44*(datos_base!$C$3+IF(parametros_manuales!$H$44="Todos",datos_base!$C$10,0))*parametros_manuales!$M$102+parametros_manuales!$F$44*(datos_base!$C$4+IF(parametros_manuales!$H$44="Todos",datos_base!$C$11,0))*parametros_manuales!$M$107+parametros_manuales!$G$44*(datos_base!$C$5+IF(parametros_manuales!$H$44="Todos",datos_base!$C$12,0))*parametros_manuales!$M$112)*parametros_manuales!$I$44*parametros_manuales!$J$44</f>
        <v>974.87798445</v>
      </c>
      <c r="N55" s="14" t="n">
        <f aca="false">SUM(B55:M55)</f>
        <v>10831.977605</v>
      </c>
      <c r="O55" s="14" t="n">
        <f aca="false">MAX(B55:M55)</f>
        <v>974.87798445</v>
      </c>
      <c r="P55" s="57" t="n">
        <f aca="false">O55/(parametros_manuales!$B$7)</f>
        <v>6.499186563</v>
      </c>
      <c r="Q55" s="13" t="str">
        <f aca="false">IF(O55=0,"-",INDEX($B$29:$M$29,MATCH(O55,B55:M55,0)))</f>
        <v>Ene</v>
      </c>
    </row>
    <row r="56" customFormat="false" ht="14.25" hidden="false" customHeight="true" outlineLevel="0" collapsed="false"/>
    <row r="57" customFormat="false" ht="14.25" hidden="false" customHeight="true" outlineLevel="0" collapsed="false">
      <c r="A57" s="12" t="s">
        <v>270</v>
      </c>
      <c r="B57" s="12" t="s">
        <v>37</v>
      </c>
      <c r="C57" s="12" t="s">
        <v>38</v>
      </c>
      <c r="D57" s="12" t="s">
        <v>39</v>
      </c>
      <c r="E57" s="12" t="s">
        <v>40</v>
      </c>
      <c r="F57" s="12" t="s">
        <v>41</v>
      </c>
      <c r="G57" s="12" t="s">
        <v>42</v>
      </c>
      <c r="H57" s="12" t="s">
        <v>43</v>
      </c>
      <c r="I57" s="12" t="s">
        <v>44</v>
      </c>
      <c r="J57" s="12" t="s">
        <v>45</v>
      </c>
      <c r="K57" s="12" t="s">
        <v>46</v>
      </c>
      <c r="L57" s="12" t="s">
        <v>47</v>
      </c>
      <c r="M57" s="12" t="s">
        <v>48</v>
      </c>
      <c r="N57" s="12" t="s">
        <v>261</v>
      </c>
      <c r="O57" s="12" t="s">
        <v>266</v>
      </c>
      <c r="P57" s="12" t="s">
        <v>267</v>
      </c>
      <c r="Q57" s="12" t="s">
        <v>268</v>
      </c>
    </row>
    <row r="58" customFormat="false" ht="14.25" hidden="false" customHeight="true" outlineLevel="0" collapsed="false">
      <c r="A58" s="13" t="str">
        <f aca="false">parametros_manuales!$B$19</f>
        <v>Recepción de materia prima</v>
      </c>
      <c r="B58" s="14" t="n">
        <f aca="false">(parametros_manuales!$D$19*(datos_base!$D$2+IF(parametros_manuales!$H$19="Todos",datos_base!$D$9,0))*parametros_manuales!$B$97+parametros_manuales!$E$19*(datos_base!$D$3+IF(parametros_manuales!$H$19="Todos",datos_base!$D$10,0))*parametros_manuales!$B$102+parametros_manuales!$F$19*(datos_base!$D$4+IF(parametros_manuales!$H$19="Todos",datos_base!$D$11,0))*parametros_manuales!$B$107+parametros_manuales!$G$19*(datos_base!$D$5+IF(parametros_manuales!$H$19="Todos",datos_base!$D$12,0))*parametros_manuales!$B$112)*parametros_manuales!$I$19*parametros_manuales!$J$19</f>
        <v>2059.910296776</v>
      </c>
      <c r="C58" s="14" t="n">
        <f aca="false">(parametros_manuales!$D$19*(datos_base!$D$2+IF(parametros_manuales!$H$19="Todos",datos_base!$D$9,0))*parametros_manuales!$C$97+parametros_manuales!$E$19*(datos_base!$D$3+IF(parametros_manuales!$H$19="Todos",datos_base!$D$10,0))*parametros_manuales!$C$102+parametros_manuales!$F$19*(datos_base!$D$4+IF(parametros_manuales!$H$19="Todos",datos_base!$D$11,0))*parametros_manuales!$C$107+parametros_manuales!$G$19*(datos_base!$D$5+IF(parametros_manuales!$H$19="Todos",datos_base!$D$12,0))*parametros_manuales!$C$112)*parametros_manuales!$I$19*parametros_manuales!$J$19</f>
        <v>1976.172852492</v>
      </c>
      <c r="D58" s="14" t="n">
        <f aca="false">(parametros_manuales!$D$19*(datos_base!$D$2+IF(parametros_manuales!$H$19="Todos",datos_base!$D$9,0))*parametros_manuales!$D$97+parametros_manuales!$E$19*(datos_base!$D$3+IF(parametros_manuales!$H$19="Todos",datos_base!$D$10,0))*parametros_manuales!$D$102+parametros_manuales!$F$19*(datos_base!$D$4+IF(parametros_manuales!$H$19="Todos",datos_base!$D$11,0))*parametros_manuales!$D$107+parametros_manuales!$G$19*(datos_base!$D$5+IF(parametros_manuales!$H$19="Todos",datos_base!$D$12,0))*parametros_manuales!$D$112)*parametros_manuales!$I$19*parametros_manuales!$J$19</f>
        <v>1872.900097054</v>
      </c>
      <c r="E58" s="14" t="n">
        <f aca="false">(parametros_manuales!$D$19*(datos_base!$D$2+IF(parametros_manuales!$H$19="Todos",datos_base!$D$9,0))*parametros_manuales!$E$97+parametros_manuales!$E$19*(datos_base!$D$3+IF(parametros_manuales!$H$19="Todos",datos_base!$D$10,0))*parametros_manuales!$E$102+parametros_manuales!$F$19*(datos_base!$D$4+IF(parametros_manuales!$H$19="Todos",datos_base!$D$11,0))*parametros_manuales!$E$107+parametros_manuales!$G$19*(datos_base!$D$5+IF(parametros_manuales!$H$19="Todos",datos_base!$D$12,0))*parametros_manuales!$E$112)*parametros_manuales!$I$19*parametros_manuales!$J$19</f>
        <v>1800.329358264</v>
      </c>
      <c r="F58" s="14" t="n">
        <f aca="false">(parametros_manuales!$D$19*(datos_base!$D$2+IF(parametros_manuales!$H$19="Todos",datos_base!$D$9,0))*parametros_manuales!$F$97+parametros_manuales!$E$19*(datos_base!$D$3+IF(parametros_manuales!$H$19="Todos",datos_base!$D$10,0))*parametros_manuales!$F$102+parametros_manuales!$F$19*(datos_base!$D$4+IF(parametros_manuales!$H$19="Todos",datos_base!$D$11,0))*parametros_manuales!$F$107+parametros_manuales!$G$19*(datos_base!$D$5+IF(parametros_manuales!$H$19="Todos",datos_base!$D$12,0))*parametros_manuales!$F$112)*parametros_manuales!$I$19*parametros_manuales!$J$19</f>
        <v>1685.889897332</v>
      </c>
      <c r="G58" s="14" t="n">
        <f aca="false">(parametros_manuales!$D$19*(datos_base!$D$2+IF(parametros_manuales!$H$19="Todos",datos_base!$D$9,0))*parametros_manuales!$G$97+parametros_manuales!$E$19*(datos_base!$D$3+IF(parametros_manuales!$H$19="Todos",datos_base!$D$10,0))*parametros_manuales!$G$102+parametros_manuales!$F$19*(datos_base!$D$4+IF(parametros_manuales!$H$19="Todos",datos_base!$D$11,0))*parametros_manuales!$G$107+parametros_manuales!$G$19*(datos_base!$D$5+IF(parametros_manuales!$H$19="Todos",datos_base!$D$12,0))*parametros_manuales!$G$112)*parametros_manuales!$I$19*parametros_manuales!$J$19</f>
        <v>1644.02117519</v>
      </c>
      <c r="H58" s="14" t="n">
        <f aca="false">(parametros_manuales!$D$19*(datos_base!$D$2+IF(parametros_manuales!$H$19="Todos",datos_base!$D$9,0))*parametros_manuales!$H$97+parametros_manuales!$E$19*(datos_base!$D$3+IF(parametros_manuales!$H$19="Todos",datos_base!$D$10,0))*parametros_manuales!$H$102+parametros_manuales!$F$19*(datos_base!$D$4+IF(parametros_manuales!$H$19="Todos",datos_base!$D$11,0))*parametros_manuales!$H$107+parametros_manuales!$G$19*(datos_base!$D$5+IF(parametros_manuales!$H$19="Todos",datos_base!$D$12,0))*parametros_manuales!$H$112)*parametros_manuales!$I$19*parametros_manuales!$J$19</f>
        <v>1758.460636122</v>
      </c>
      <c r="I58" s="14" t="n">
        <f aca="false">(parametros_manuales!$D$19*(datos_base!$D$2+IF(parametros_manuales!$H$19="Todos",datos_base!$D$9,0))*parametros_manuales!$I$97+parametros_manuales!$E$19*(datos_base!$D$3+IF(parametros_manuales!$H$19="Todos",datos_base!$D$10,0))*parametros_manuales!$I$102+parametros_manuales!$F$19*(datos_base!$D$4+IF(parametros_manuales!$H$19="Todos",datos_base!$D$11,0))*parametros_manuales!$I$107+parametros_manuales!$G$19*(datos_base!$D$5+IF(parametros_manuales!$H$19="Todos",datos_base!$D$12,0))*parametros_manuales!$I$112)*parametros_manuales!$I$19*parametros_manuales!$J$19</f>
        <v>1976.172852492</v>
      </c>
      <c r="J58" s="14" t="n">
        <f aca="false">(parametros_manuales!$D$19*(datos_base!$D$2+IF(parametros_manuales!$H$19="Todos",datos_base!$D$9,0))*parametros_manuales!$J$97+parametros_manuales!$E$19*(datos_base!$D$3+IF(parametros_manuales!$H$19="Todos",datos_base!$D$10,0))*parametros_manuales!$J$102+parametros_manuales!$F$19*(datos_base!$D$4+IF(parametros_manuales!$H$19="Todos",datos_base!$D$11,0))*parametros_manuales!$J$107+parametros_manuales!$G$19*(datos_base!$D$5+IF(parametros_manuales!$H$19="Todos",datos_base!$D$12,0))*parametros_manuales!$J$112)*parametros_manuales!$I$19*parametros_manuales!$J$19</f>
        <v>1976.172852492</v>
      </c>
      <c r="K58" s="14" t="n">
        <f aca="false">(parametros_manuales!$D$19*(datos_base!$D$2+IF(parametros_manuales!$H$19="Todos",datos_base!$D$9,0))*parametros_manuales!$K$97+parametros_manuales!$E$19*(datos_base!$D$3+IF(parametros_manuales!$H$19="Todos",datos_base!$D$10,0))*parametros_manuales!$K$102+parametros_manuales!$F$19*(datos_base!$D$4+IF(parametros_manuales!$H$19="Todos",datos_base!$D$11,0))*parametros_manuales!$K$107+parametros_manuales!$G$19*(datos_base!$D$5+IF(parametros_manuales!$H$19="Todos",datos_base!$D$12,0))*parametros_manuales!$K$112)*parametros_manuales!$I$19*parametros_manuales!$J$19</f>
        <v>2018.041574634</v>
      </c>
      <c r="L58" s="14" t="n">
        <f aca="false">(parametros_manuales!$D$19*(datos_base!$D$2+IF(parametros_manuales!$H$19="Todos",datos_base!$D$9,0))*parametros_manuales!$L$97+parametros_manuales!$E$19*(datos_base!$D$3+IF(parametros_manuales!$H$19="Todos",datos_base!$D$10,0))*parametros_manuales!$L$102+parametros_manuales!$F$19*(datos_base!$D$4+IF(parametros_manuales!$H$19="Todos",datos_base!$D$11,0))*parametros_manuales!$L$107+parametros_manuales!$G$19*(datos_base!$D$5+IF(parametros_manuales!$H$19="Todos",datos_base!$D$12,0))*parametros_manuales!$L$112)*parametros_manuales!$I$19*parametros_manuales!$J$19</f>
        <v>2059.910296776</v>
      </c>
      <c r="M58" s="14" t="n">
        <f aca="false">(parametros_manuales!$D$19*(datos_base!$D$2+IF(parametros_manuales!$H$19="Todos",datos_base!$D$9,0))*parametros_manuales!$M$97+parametros_manuales!$E$19*(datos_base!$D$3+IF(parametros_manuales!$H$19="Todos",datos_base!$D$10,0))*parametros_manuales!$M$102+parametros_manuales!$F$19*(datos_base!$D$4+IF(parametros_manuales!$H$19="Todos",datos_base!$D$11,0))*parametros_manuales!$M$107+parametros_manuales!$G$19*(datos_base!$D$5+IF(parametros_manuales!$H$19="Todos",datos_base!$D$12,0))*parametros_manuales!$M$112)*parametros_manuales!$I$19*parametros_manuales!$J$19</f>
        <v>2059.910296776</v>
      </c>
      <c r="N58" s="14" t="n">
        <f aca="false">SUM(B58:M58)</f>
        <v>22887.8921864</v>
      </c>
      <c r="O58" s="14" t="n">
        <f aca="false">MAX(B58:M58)</f>
        <v>2059.910296776</v>
      </c>
      <c r="P58" s="57" t="n">
        <f aca="false">O58/(parametros_manuales!$B$7)</f>
        <v>13.73273531184</v>
      </c>
      <c r="Q58" s="13" t="str">
        <f aca="false">IF(O58=0,"-",INDEX($B$57:$M$57,MATCH(O58,B58:M58,0)))</f>
        <v>Ene</v>
      </c>
    </row>
    <row r="59" customFormat="false" ht="14.25" hidden="false" customHeight="true" outlineLevel="0" collapsed="false">
      <c r="A59" s="13" t="str">
        <f aca="false">parametros_manuales!$B$20</f>
        <v>Corte de chapa — 1.er corte en franjas (guillotina 1, manuales + carros)</v>
      </c>
      <c r="B59" s="14" t="n">
        <f aca="false">(parametros_manuales!$D$20*(datos_base!$D$2+IF(parametros_manuales!$H$20="Todos",datos_base!$D$9,0))*parametros_manuales!$B$97+parametros_manuales!$E$20*(datos_base!$D$3+IF(parametros_manuales!$H$20="Todos",datos_base!$D$10,0))*parametros_manuales!$B$102+parametros_manuales!$F$20*(datos_base!$D$4+IF(parametros_manuales!$H$20="Todos",datos_base!$D$11,0))*parametros_manuales!$B$107+parametros_manuales!$G$20*(datos_base!$D$5+IF(parametros_manuales!$H$20="Todos",datos_base!$D$12,0))*parametros_manuales!$B$112)*parametros_manuales!$I$20*parametros_manuales!$J$20+parametros_manuales!$B$150</f>
        <v>2284.71693911985</v>
      </c>
      <c r="C59" s="14" t="n">
        <f aca="false">(parametros_manuales!$D$20*(datos_base!$D$2+IF(parametros_manuales!$H$20="Todos",datos_base!$D$9,0))*parametros_manuales!$C$97+parametros_manuales!$E$20*(datos_base!$D$3+IF(parametros_manuales!$H$20="Todos",datos_base!$D$10,0))*parametros_manuales!$C$102+parametros_manuales!$F$20*(datos_base!$D$4+IF(parametros_manuales!$H$20="Todos",datos_base!$D$11,0))*parametros_manuales!$C$107+parametros_manuales!$G$20*(datos_base!$D$5+IF(parametros_manuales!$H$20="Todos",datos_base!$D$12,0))*parametros_manuales!$C$112)*parametros_manuales!$I$20*parametros_manuales!$J$20+parametros_manuales!$C$150</f>
        <v>2174.5316545601</v>
      </c>
      <c r="D59" s="14" t="n">
        <f aca="false">(parametros_manuales!$D$20*(datos_base!$D$2+IF(parametros_manuales!$H$20="Todos",datos_base!$D$9,0))*parametros_manuales!$D$97+parametros_manuales!$E$20*(datos_base!$D$3+IF(parametros_manuales!$H$20="Todos",datos_base!$D$10,0))*parametros_manuales!$D$102+parametros_manuales!$F$20*(datos_base!$D$4+IF(parametros_manuales!$H$20="Todos",datos_base!$D$11,0))*parametros_manuales!$D$107+parametros_manuales!$G$20*(datos_base!$D$5+IF(parametros_manuales!$H$20="Todos",datos_base!$D$12,0))*parametros_manuales!$D$112)*parametros_manuales!$I$20*parametros_manuales!$J$20+parametros_manuales!$D$150</f>
        <v>2110.93065953572</v>
      </c>
      <c r="E59" s="14" t="n">
        <f aca="false">(parametros_manuales!$D$20*(datos_base!$D$2+IF(parametros_manuales!$H$20="Todos",datos_base!$D$9,0))*parametros_manuales!$E$97+parametros_manuales!$E$20*(datos_base!$D$3+IF(parametros_manuales!$H$20="Todos",datos_base!$D$10,0))*parametros_manuales!$E$102+parametros_manuales!$F$20*(datos_base!$D$4+IF(parametros_manuales!$H$20="Todos",datos_base!$D$11,0))*parametros_manuales!$E$107+parametros_manuales!$G$20*(datos_base!$D$5+IF(parametros_manuales!$H$20="Todos",datos_base!$D$12,0))*parametros_manuales!$E$112)*parametros_manuales!$I$20*parametros_manuales!$J$20+parametros_manuales!$E$150</f>
        <v>2038.35992074572</v>
      </c>
      <c r="F59" s="14" t="n">
        <f aca="false">(parametros_manuales!$D$20*(datos_base!$D$2+IF(parametros_manuales!$H$20="Todos",datos_base!$D$9,0))*parametros_manuales!$F$97+parametros_manuales!$E$20*(datos_base!$D$3+IF(parametros_manuales!$H$20="Todos",datos_base!$D$10,0))*parametros_manuales!$F$102+parametros_manuales!$F$20*(datos_base!$D$4+IF(parametros_manuales!$H$20="Todos",datos_base!$D$11,0))*parametros_manuales!$F$107+parametros_manuales!$G$20*(datos_base!$D$5+IF(parametros_manuales!$H$20="Todos",datos_base!$D$12,0))*parametros_manuales!$F$112)*parametros_manuales!$I$20*parametros_manuales!$J$20+parametros_manuales!$F$150</f>
        <v>1923.92045981372</v>
      </c>
      <c r="G59" s="14" t="n">
        <f aca="false">(parametros_manuales!$D$20*(datos_base!$D$2+IF(parametros_manuales!$H$20="Todos",datos_base!$D$9,0))*parametros_manuales!$G$97+parametros_manuales!$E$20*(datos_base!$D$3+IF(parametros_manuales!$H$20="Todos",datos_base!$D$10,0))*parametros_manuales!$G$102+parametros_manuales!$F$20*(datos_base!$D$4+IF(parametros_manuales!$H$20="Todos",datos_base!$D$11,0))*parametros_manuales!$G$107+parametros_manuales!$G$20*(datos_base!$D$5+IF(parametros_manuales!$H$20="Todos",datos_base!$D$12,0))*parametros_manuales!$G$112)*parametros_manuales!$I$20*parametros_manuales!$J$20+parametros_manuales!$G$150</f>
        <v>1855.60389739597</v>
      </c>
      <c r="H59" s="14" t="n">
        <f aca="false">(parametros_manuales!$D$20*(datos_base!$D$2+IF(parametros_manuales!$H$20="Todos",datos_base!$D$9,0))*parametros_manuales!$H$97+parametros_manuales!$E$20*(datos_base!$D$3+IF(parametros_manuales!$H$20="Todos",datos_base!$D$10,0))*parametros_manuales!$H$102+parametros_manuales!$F$20*(datos_base!$D$4+IF(parametros_manuales!$H$20="Todos",datos_base!$D$11,0))*parametros_manuales!$H$107+parametros_manuales!$G$20*(datos_base!$D$5+IF(parametros_manuales!$H$20="Todos",datos_base!$D$12,0))*parametros_manuales!$H$112)*parametros_manuales!$I$20*parametros_manuales!$J$20+parametros_manuales!$H$150</f>
        <v>1996.49119860372</v>
      </c>
      <c r="I59" s="14" t="n">
        <f aca="false">(parametros_manuales!$D$20*(datos_base!$D$2+IF(parametros_manuales!$H$20="Todos",datos_base!$D$9,0))*parametros_manuales!$I$97+parametros_manuales!$E$20*(datos_base!$D$3+IF(parametros_manuales!$H$20="Todos",datos_base!$D$10,0))*parametros_manuales!$I$102+parametros_manuales!$F$20*(datos_base!$D$4+IF(parametros_manuales!$H$20="Todos",datos_base!$D$11,0))*parametros_manuales!$I$107+parametros_manuales!$G$20*(datos_base!$D$5+IF(parametros_manuales!$H$20="Todos",datos_base!$D$12,0))*parametros_manuales!$I$112)*parametros_manuales!$I$20*parametros_manuales!$J$20+parametros_manuales!$I$150</f>
        <v>2214.20341497372</v>
      </c>
      <c r="J59" s="14" t="n">
        <f aca="false">(parametros_manuales!$D$20*(datos_base!$D$2+IF(parametros_manuales!$H$20="Todos",datos_base!$D$9,0))*parametros_manuales!$J$97+parametros_manuales!$E$20*(datos_base!$D$3+IF(parametros_manuales!$H$20="Todos",datos_base!$D$10,0))*parametros_manuales!$J$102+parametros_manuales!$F$20*(datos_base!$D$4+IF(parametros_manuales!$H$20="Todos",datos_base!$D$11,0))*parametros_manuales!$J$107+parametros_manuales!$G$20*(datos_base!$D$5+IF(parametros_manuales!$H$20="Todos",datos_base!$D$12,0))*parametros_manuales!$J$112)*parametros_manuales!$I$20*parametros_manuales!$J$20+parametros_manuales!$J$150</f>
        <v>2200.97949483585</v>
      </c>
      <c r="K59" s="14" t="n">
        <f aca="false">(parametros_manuales!$D$20*(datos_base!$D$2+IF(parametros_manuales!$H$20="Todos",datos_base!$D$9,0))*parametros_manuales!$K$97+parametros_manuales!$E$20*(datos_base!$D$3+IF(parametros_manuales!$H$20="Todos",datos_base!$D$10,0))*parametros_manuales!$K$102+parametros_manuales!$F$20*(datos_base!$D$4+IF(parametros_manuales!$H$20="Todos",datos_base!$D$11,0))*parametros_manuales!$K$107+parametros_manuales!$G$20*(datos_base!$D$5+IF(parametros_manuales!$H$20="Todos",datos_base!$D$12,0))*parametros_manuales!$K$112)*parametros_manuales!$I$20*parametros_manuales!$J$20+parametros_manuales!$K$150</f>
        <v>2216.4003767021</v>
      </c>
      <c r="L59" s="14" t="n">
        <f aca="false">(parametros_manuales!$D$20*(datos_base!$D$2+IF(parametros_manuales!$H$20="Todos",datos_base!$D$9,0))*parametros_manuales!$L$97+parametros_manuales!$E$20*(datos_base!$D$3+IF(parametros_manuales!$H$20="Todos",datos_base!$D$10,0))*parametros_manuales!$L$102+parametros_manuales!$F$20*(datos_base!$D$4+IF(parametros_manuales!$H$20="Todos",datos_base!$D$11,0))*parametros_manuales!$L$107+parametros_manuales!$G$20*(datos_base!$D$5+IF(parametros_manuales!$H$20="Todos",datos_base!$D$12,0))*parametros_manuales!$L$112)*parametros_manuales!$I$20*parametros_manuales!$J$20+parametros_manuales!$L$150</f>
        <v>2245.04517870623</v>
      </c>
      <c r="M59" s="14" t="n">
        <f aca="false">(parametros_manuales!$D$20*(datos_base!$D$2+IF(parametros_manuales!$H$20="Todos",datos_base!$D$9,0))*parametros_manuales!$M$97+parametros_manuales!$E$20*(datos_base!$D$3+IF(parametros_manuales!$H$20="Todos",datos_base!$D$10,0))*parametros_manuales!$M$102+parametros_manuales!$F$20*(datos_base!$D$4+IF(parametros_manuales!$H$20="Todos",datos_base!$D$11,0))*parametros_manuales!$M$107+parametros_manuales!$G$20*(datos_base!$D$5+IF(parametros_manuales!$H$20="Todos",datos_base!$D$12,0))*parametros_manuales!$M$112)*parametros_manuales!$I$20*parametros_manuales!$J$20+parametros_manuales!$M$150</f>
        <v>2271.49301898197</v>
      </c>
      <c r="N59" s="14" t="n">
        <f aca="false">SUM(B59:M59)</f>
        <v>25532.6762139747</v>
      </c>
      <c r="O59" s="14" t="n">
        <f aca="false">MAX(B59:M59)</f>
        <v>2284.71693911985</v>
      </c>
      <c r="P59" s="57" t="n">
        <f aca="false">O59/(parametros_manuales!$B$7)</f>
        <v>15.231446260799</v>
      </c>
      <c r="Q59" s="13" t="str">
        <f aca="false">IF(O59=0,"-",INDEX($B$57:$M$57,MATCH(O59,B59:M59,0)))</f>
        <v>Ene</v>
      </c>
    </row>
    <row r="60" customFormat="false" ht="14.25" hidden="false" customHeight="true" outlineLevel="0" collapsed="false">
      <c r="A60" s="13" t="str">
        <f aca="false">parametros_manuales!$B$21</f>
        <v>Corte de chapa — 2.º corte en piezas (guillotina 2, manuales + carros)</v>
      </c>
      <c r="B60" s="14" t="n">
        <f aca="false">(parametros_manuales!$D$21*(datos_base!$D$2+IF(parametros_manuales!$H$21="Todos",datos_base!$D$9,0))*parametros_manuales!$B$97+parametros_manuales!$E$21*(datos_base!$D$3+IF(parametros_manuales!$H$21="Todos",datos_base!$D$10,0))*parametros_manuales!$B$102+parametros_manuales!$F$21*(datos_base!$D$4+IF(parametros_manuales!$H$21="Todos",datos_base!$D$11,0))*parametros_manuales!$B$107+parametros_manuales!$G$21*(datos_base!$D$5+IF(parametros_manuales!$H$21="Todos",datos_base!$D$12,0))*parametros_manuales!$B$112)*parametros_manuales!$I$21*parametros_manuales!$J$21+parametros_manuales!$B$162</f>
        <v>2352.04196800531</v>
      </c>
      <c r="C60" s="14" t="n">
        <f aca="false">(parametros_manuales!$D$21*(datos_base!$D$2+IF(parametros_manuales!$H$21="Todos",datos_base!$D$9,0))*parametros_manuales!$C$97+parametros_manuales!$E$21*(datos_base!$D$3+IF(parametros_manuales!$H$21="Todos",datos_base!$D$10,0))*parametros_manuales!$C$102+parametros_manuales!$F$21*(datos_base!$D$4+IF(parametros_manuales!$H$21="Todos",datos_base!$D$11,0))*parametros_manuales!$C$107+parametros_manuales!$G$21*(datos_base!$D$5+IF(parametros_manuales!$H$21="Todos",datos_base!$D$12,0))*parametros_manuales!$C$112)*parametros_manuales!$I$21*parametros_manuales!$J$21+parametros_manuales!$C$162</f>
        <v>2233.93609181198</v>
      </c>
      <c r="D60" s="14" t="n">
        <f aca="false">(parametros_manuales!$D$21*(datos_base!$D$2+IF(parametros_manuales!$H$21="Todos",datos_base!$D$9,0))*parametros_manuales!$D$97+parametros_manuales!$E$21*(datos_base!$D$3+IF(parametros_manuales!$H$21="Todos",datos_base!$D$10,0))*parametros_manuales!$D$102+parametros_manuales!$F$21*(datos_base!$D$4+IF(parametros_manuales!$H$21="Todos",datos_base!$D$11,0))*parametros_manuales!$D$107+parametros_manuales!$G$21*(datos_base!$D$5+IF(parametros_manuales!$H$21="Todos",datos_base!$D$12,0))*parametros_manuales!$D$112)*parametros_manuales!$I$21*parametros_manuales!$J$21+parametros_manuales!$D$162</f>
        <v>2182.21598423797</v>
      </c>
      <c r="E60" s="14" t="n">
        <f aca="false">(parametros_manuales!$D$21*(datos_base!$D$2+IF(parametros_manuales!$H$21="Todos",datos_base!$D$9,0))*parametros_manuales!$E$97+parametros_manuales!$E$21*(datos_base!$D$3+IF(parametros_manuales!$H$21="Todos",datos_base!$D$10,0))*parametros_manuales!$E$102+parametros_manuales!$F$21*(datos_base!$D$4+IF(parametros_manuales!$H$21="Todos",datos_base!$D$11,0))*parametros_manuales!$E$107+parametros_manuales!$G$21*(datos_base!$D$5+IF(parametros_manuales!$H$21="Todos",datos_base!$D$12,0))*parametros_manuales!$E$112)*parametros_manuales!$I$21*parametros_manuales!$J$21+parametros_manuales!$E$162</f>
        <v>2109.64524544797</v>
      </c>
      <c r="F60" s="14" t="n">
        <f aca="false">(parametros_manuales!$D$21*(datos_base!$D$2+IF(parametros_manuales!$H$21="Todos",datos_base!$D$9,0))*parametros_manuales!$F$97+parametros_manuales!$E$21*(datos_base!$D$3+IF(parametros_manuales!$H$21="Todos",datos_base!$D$10,0))*parametros_manuales!$F$102+parametros_manuales!$F$21*(datos_base!$D$4+IF(parametros_manuales!$H$21="Todos",datos_base!$D$11,0))*parametros_manuales!$F$107+parametros_manuales!$G$21*(datos_base!$D$5+IF(parametros_manuales!$H$21="Todos",datos_base!$D$12,0))*parametros_manuales!$F$112)*parametros_manuales!$I$21*parametros_manuales!$J$21+parametros_manuales!$F$162</f>
        <v>1995.20578451597</v>
      </c>
      <c r="G60" s="14" t="n">
        <f aca="false">(parametros_manuales!$D$21*(datos_base!$D$2+IF(parametros_manuales!$H$21="Todos",datos_base!$D$9,0))*parametros_manuales!$G$97+parametros_manuales!$E$21*(datos_base!$D$3+IF(parametros_manuales!$H$21="Todos",datos_base!$D$10,0))*parametros_manuales!$G$102+parametros_manuales!$F$21*(datos_base!$D$4+IF(parametros_manuales!$H$21="Todos",datos_base!$D$11,0))*parametros_manuales!$G$107+parametros_manuales!$G$21*(datos_base!$D$5+IF(parametros_manuales!$H$21="Todos",datos_base!$D$12,0))*parametros_manuales!$G$112)*parametros_manuales!$I$21*parametros_manuales!$J$21+parametros_manuales!$G$162</f>
        <v>1918.96863046464</v>
      </c>
      <c r="H60" s="14" t="n">
        <f aca="false">(parametros_manuales!$D$21*(datos_base!$D$2+IF(parametros_manuales!$H$21="Todos",datos_base!$D$9,0))*parametros_manuales!$H$97+parametros_manuales!$E$21*(datos_base!$D$3+IF(parametros_manuales!$H$21="Todos",datos_base!$D$10,0))*parametros_manuales!$H$102+parametros_manuales!$F$21*(datos_base!$D$4+IF(parametros_manuales!$H$21="Todos",datos_base!$D$11,0))*parametros_manuales!$H$107+parametros_manuales!$G$21*(datos_base!$D$5+IF(parametros_manuales!$H$21="Todos",datos_base!$D$12,0))*parametros_manuales!$H$112)*parametros_manuales!$I$21*parametros_manuales!$J$21+parametros_manuales!$H$162</f>
        <v>2067.77652330597</v>
      </c>
      <c r="I60" s="14" t="n">
        <f aca="false">(parametros_manuales!$D$21*(datos_base!$D$2+IF(parametros_manuales!$H$21="Todos",datos_base!$D$9,0))*parametros_manuales!$I$97+parametros_manuales!$E$21*(datos_base!$D$3+IF(parametros_manuales!$H$21="Todos",datos_base!$D$10,0))*parametros_manuales!$I$102+parametros_manuales!$F$21*(datos_base!$D$4+IF(parametros_manuales!$H$21="Todos",datos_base!$D$11,0))*parametros_manuales!$I$107+parametros_manuales!$G$21*(datos_base!$D$5+IF(parametros_manuales!$H$21="Todos",datos_base!$D$12,0))*parametros_manuales!$I$112)*parametros_manuales!$I$21*parametros_manuales!$J$21+parametros_manuales!$I$162</f>
        <v>2285.48873967597</v>
      </c>
      <c r="J60" s="14" t="n">
        <f aca="false">(parametros_manuales!$D$21*(datos_base!$D$2+IF(parametros_manuales!$H$21="Todos",datos_base!$D$9,0))*parametros_manuales!$J$97+parametros_manuales!$E$21*(datos_base!$D$3+IF(parametros_manuales!$H$21="Todos",datos_base!$D$10,0))*parametros_manuales!$J$102+parametros_manuales!$F$21*(datos_base!$D$4+IF(parametros_manuales!$H$21="Todos",datos_base!$D$11,0))*parametros_manuales!$J$107+parametros_manuales!$G$21*(datos_base!$D$5+IF(parametros_manuales!$H$21="Todos",datos_base!$D$12,0))*parametros_manuales!$J$112)*parametros_manuales!$I$21*parametros_manuales!$J$21+parametros_manuales!$J$162</f>
        <v>2268.30452372131</v>
      </c>
      <c r="K60" s="14" t="n">
        <f aca="false">(parametros_manuales!$D$21*(datos_base!$D$2+IF(parametros_manuales!$H$21="Todos",datos_base!$D$9,0))*parametros_manuales!$K$97+parametros_manuales!$E$21*(datos_base!$D$3+IF(parametros_manuales!$H$21="Todos",datos_base!$D$10,0))*parametros_manuales!$K$102+parametros_manuales!$F$21*(datos_base!$D$4+IF(parametros_manuales!$H$21="Todos",datos_base!$D$11,0))*parametros_manuales!$K$107+parametros_manuales!$G$21*(datos_base!$D$5+IF(parametros_manuales!$H$21="Todos",datos_base!$D$12,0))*parametros_manuales!$K$112)*parametros_manuales!$I$21*parametros_manuales!$J$21+parametros_manuales!$K$162</f>
        <v>2275.80481395398</v>
      </c>
      <c r="L60" s="14" t="n">
        <f aca="false">(parametros_manuales!$D$21*(datos_base!$D$2+IF(parametros_manuales!$H$21="Todos",datos_base!$D$9,0))*parametros_manuales!$L$97+parametros_manuales!$E$21*(datos_base!$D$3+IF(parametros_manuales!$H$21="Todos",datos_base!$D$10,0))*parametros_manuales!$L$102+parametros_manuales!$F$21*(datos_base!$D$4+IF(parametros_manuales!$H$21="Todos",datos_base!$D$11,0))*parametros_manuales!$L$107+parametros_manuales!$G$21*(datos_base!$D$5+IF(parametros_manuales!$H$21="Todos",datos_base!$D$12,0))*parametros_manuales!$L$112)*parametros_manuales!$I$21*parametros_manuales!$J$21+parametros_manuales!$L$162</f>
        <v>2300.48932014131</v>
      </c>
      <c r="M60" s="14" t="n">
        <f aca="false">(parametros_manuales!$D$21*(datos_base!$D$2+IF(parametros_manuales!$H$21="Todos",datos_base!$D$9,0))*parametros_manuales!$M$97+parametros_manuales!$E$21*(datos_base!$D$3+IF(parametros_manuales!$H$21="Todos",datos_base!$D$10,0))*parametros_manuales!$M$102+parametros_manuales!$F$21*(datos_base!$D$4+IF(parametros_manuales!$H$21="Todos",datos_base!$D$11,0))*parametros_manuales!$M$107+parametros_manuales!$G$21*(datos_base!$D$5+IF(parametros_manuales!$H$21="Todos",datos_base!$D$12,0))*parametros_manuales!$M$112)*parametros_manuales!$I$21*parametros_manuales!$J$21+parametros_manuales!$M$162</f>
        <v>2334.85775205064</v>
      </c>
      <c r="N60" s="14" t="n">
        <f aca="false">SUM(B60:M60)</f>
        <v>26324.7353773331</v>
      </c>
      <c r="O60" s="14" t="n">
        <f aca="false">MAX(B60:M60)</f>
        <v>2352.04196800531</v>
      </c>
      <c r="P60" s="57" t="n">
        <f aca="false">O60/(parametros_manuales!$B$7)</f>
        <v>15.6802797867021</v>
      </c>
      <c r="Q60" s="13" t="str">
        <f aca="false">IF(O60=0,"-",INDEX($B$57:$M$57,MATCH(O60,B60:M60,0)))</f>
        <v>Ene</v>
      </c>
    </row>
    <row r="61" customFormat="false" ht="14.25" hidden="false" customHeight="true" outlineLevel="0" collapsed="false">
      <c r="A61" s="13" t="str">
        <f aca="false">parametros_manuales!$B$22</f>
        <v>Corte de disco y embutido (cúpula y fondo)</v>
      </c>
      <c r="B61" s="14" t="n">
        <f aca="false">(parametros_manuales!$D$22*(datos_base!$D$2+IF(parametros_manuales!$H$22="Todos",datos_base!$D$9,0))*parametros_manuales!$B$97+parametros_manuales!$E$22*(datos_base!$D$3+IF(parametros_manuales!$H$22="Todos",datos_base!$D$10,0))*parametros_manuales!$B$102+parametros_manuales!$F$22*(datos_base!$D$4+IF(parametros_manuales!$H$22="Todos",datos_base!$D$11,0))*parametros_manuales!$B$107+parametros_manuales!$G$22*(datos_base!$D$5+IF(parametros_manuales!$H$22="Todos",datos_base!$D$12,0))*parametros_manuales!$B$112)*parametros_manuales!$I$22*parametros_manuales!$J$22</f>
        <v>4119.820593552</v>
      </c>
      <c r="C61" s="14" t="n">
        <f aca="false">(parametros_manuales!$D$22*(datos_base!$D$2+IF(parametros_manuales!$H$22="Todos",datos_base!$D$9,0))*parametros_manuales!$C$97+parametros_manuales!$E$22*(datos_base!$D$3+IF(parametros_manuales!$H$22="Todos",datos_base!$D$10,0))*parametros_manuales!$C$102+parametros_manuales!$F$22*(datos_base!$D$4+IF(parametros_manuales!$H$22="Todos",datos_base!$D$11,0))*parametros_manuales!$C$107+parametros_manuales!$G$22*(datos_base!$D$5+IF(parametros_manuales!$H$22="Todos",datos_base!$D$12,0))*parametros_manuales!$C$112)*parametros_manuales!$I$22*parametros_manuales!$J$22</f>
        <v>3952.345704984</v>
      </c>
      <c r="D61" s="14" t="n">
        <f aca="false">(parametros_manuales!$D$22*(datos_base!$D$2+IF(parametros_manuales!$H$22="Todos",datos_base!$D$9,0))*parametros_manuales!$D$97+parametros_manuales!$E$22*(datos_base!$D$3+IF(parametros_manuales!$H$22="Todos",datos_base!$D$10,0))*parametros_manuales!$D$102+parametros_manuales!$F$22*(datos_base!$D$4+IF(parametros_manuales!$H$22="Todos",datos_base!$D$11,0))*parametros_manuales!$D$107+parametros_manuales!$G$22*(datos_base!$D$5+IF(parametros_manuales!$H$22="Todos",datos_base!$D$12,0))*parametros_manuales!$D$112)*parametros_manuales!$I$22*parametros_manuales!$J$22</f>
        <v>3745.800194108</v>
      </c>
      <c r="E61" s="14" t="n">
        <f aca="false">(parametros_manuales!$D$22*(datos_base!$D$2+IF(parametros_manuales!$H$22="Todos",datos_base!$D$9,0))*parametros_manuales!$E$97+parametros_manuales!$E$22*(datos_base!$D$3+IF(parametros_manuales!$H$22="Todos",datos_base!$D$10,0))*parametros_manuales!$E$102+parametros_manuales!$F$22*(datos_base!$D$4+IF(parametros_manuales!$H$22="Todos",datos_base!$D$11,0))*parametros_manuales!$E$107+parametros_manuales!$G$22*(datos_base!$D$5+IF(parametros_manuales!$H$22="Todos",datos_base!$D$12,0))*parametros_manuales!$E$112)*parametros_manuales!$I$22*parametros_manuales!$J$22</f>
        <v>3600.658716528</v>
      </c>
      <c r="F61" s="14" t="n">
        <f aca="false">(parametros_manuales!$D$22*(datos_base!$D$2+IF(parametros_manuales!$H$22="Todos",datos_base!$D$9,0))*parametros_manuales!$F$97+parametros_manuales!$E$22*(datos_base!$D$3+IF(parametros_manuales!$H$22="Todos",datos_base!$D$10,0))*parametros_manuales!$F$102+parametros_manuales!$F$22*(datos_base!$D$4+IF(parametros_manuales!$H$22="Todos",datos_base!$D$11,0))*parametros_manuales!$F$107+parametros_manuales!$G$22*(datos_base!$D$5+IF(parametros_manuales!$H$22="Todos",datos_base!$D$12,0))*parametros_manuales!$F$112)*parametros_manuales!$I$22*parametros_manuales!$J$22</f>
        <v>3371.779794664</v>
      </c>
      <c r="G61" s="14" t="n">
        <f aca="false">(parametros_manuales!$D$22*(datos_base!$D$2+IF(parametros_manuales!$H$22="Todos",datos_base!$D$9,0))*parametros_manuales!$G$97+parametros_manuales!$E$22*(datos_base!$D$3+IF(parametros_manuales!$H$22="Todos",datos_base!$D$10,0))*parametros_manuales!$G$102+parametros_manuales!$F$22*(datos_base!$D$4+IF(parametros_manuales!$H$22="Todos",datos_base!$D$11,0))*parametros_manuales!$G$107+parametros_manuales!$G$22*(datos_base!$D$5+IF(parametros_manuales!$H$22="Todos",datos_base!$D$12,0))*parametros_manuales!$G$112)*parametros_manuales!$I$22*parametros_manuales!$J$22</f>
        <v>3288.04235038</v>
      </c>
      <c r="H61" s="14" t="n">
        <f aca="false">(parametros_manuales!$D$22*(datos_base!$D$2+IF(parametros_manuales!$H$22="Todos",datos_base!$D$9,0))*parametros_manuales!$H$97+parametros_manuales!$E$22*(datos_base!$D$3+IF(parametros_manuales!$H$22="Todos",datos_base!$D$10,0))*parametros_manuales!$H$102+parametros_manuales!$F$22*(datos_base!$D$4+IF(parametros_manuales!$H$22="Todos",datos_base!$D$11,0))*parametros_manuales!$H$107+parametros_manuales!$G$22*(datos_base!$D$5+IF(parametros_manuales!$H$22="Todos",datos_base!$D$12,0))*parametros_manuales!$H$112)*parametros_manuales!$I$22*parametros_manuales!$J$22</f>
        <v>3516.921272244</v>
      </c>
      <c r="I61" s="14" t="n">
        <f aca="false">(parametros_manuales!$D$22*(datos_base!$D$2+IF(parametros_manuales!$H$22="Todos",datos_base!$D$9,0))*parametros_manuales!$I$97+parametros_manuales!$E$22*(datos_base!$D$3+IF(parametros_manuales!$H$22="Todos",datos_base!$D$10,0))*parametros_manuales!$I$102+parametros_manuales!$F$22*(datos_base!$D$4+IF(parametros_manuales!$H$22="Todos",datos_base!$D$11,0))*parametros_manuales!$I$107+parametros_manuales!$G$22*(datos_base!$D$5+IF(parametros_manuales!$H$22="Todos",datos_base!$D$12,0))*parametros_manuales!$I$112)*parametros_manuales!$I$22*parametros_manuales!$J$22</f>
        <v>3952.345704984</v>
      </c>
      <c r="J61" s="14" t="n">
        <f aca="false">(parametros_manuales!$D$22*(datos_base!$D$2+IF(parametros_manuales!$H$22="Todos",datos_base!$D$9,0))*parametros_manuales!$J$97+parametros_manuales!$E$22*(datos_base!$D$3+IF(parametros_manuales!$H$22="Todos",datos_base!$D$10,0))*parametros_manuales!$J$102+parametros_manuales!$F$22*(datos_base!$D$4+IF(parametros_manuales!$H$22="Todos",datos_base!$D$11,0))*parametros_manuales!$J$107+parametros_manuales!$G$22*(datos_base!$D$5+IF(parametros_manuales!$H$22="Todos",datos_base!$D$12,0))*parametros_manuales!$J$112)*parametros_manuales!$I$22*parametros_manuales!$J$22</f>
        <v>3952.345704984</v>
      </c>
      <c r="K61" s="14" t="n">
        <f aca="false">(parametros_manuales!$D$22*(datos_base!$D$2+IF(parametros_manuales!$H$22="Todos",datos_base!$D$9,0))*parametros_manuales!$K$97+parametros_manuales!$E$22*(datos_base!$D$3+IF(parametros_manuales!$H$22="Todos",datos_base!$D$10,0))*parametros_manuales!$K$102+parametros_manuales!$F$22*(datos_base!$D$4+IF(parametros_manuales!$H$22="Todos",datos_base!$D$11,0))*parametros_manuales!$K$107+parametros_manuales!$G$22*(datos_base!$D$5+IF(parametros_manuales!$H$22="Todos",datos_base!$D$12,0))*parametros_manuales!$K$112)*parametros_manuales!$I$22*parametros_manuales!$J$22</f>
        <v>4036.083149268</v>
      </c>
      <c r="L61" s="14" t="n">
        <f aca="false">(parametros_manuales!$D$22*(datos_base!$D$2+IF(parametros_manuales!$H$22="Todos",datos_base!$D$9,0))*parametros_manuales!$L$97+parametros_manuales!$E$22*(datos_base!$D$3+IF(parametros_manuales!$H$22="Todos",datos_base!$D$10,0))*parametros_manuales!$L$102+parametros_manuales!$F$22*(datos_base!$D$4+IF(parametros_manuales!$H$22="Todos",datos_base!$D$11,0))*parametros_manuales!$L$107+parametros_manuales!$G$22*(datos_base!$D$5+IF(parametros_manuales!$H$22="Todos",datos_base!$D$12,0))*parametros_manuales!$L$112)*parametros_manuales!$I$22*parametros_manuales!$J$22</f>
        <v>4119.820593552</v>
      </c>
      <c r="M61" s="14" t="n">
        <f aca="false">(parametros_manuales!$D$22*(datos_base!$D$2+IF(parametros_manuales!$H$22="Todos",datos_base!$D$9,0))*parametros_manuales!$M$97+parametros_manuales!$E$22*(datos_base!$D$3+IF(parametros_manuales!$H$22="Todos",datos_base!$D$10,0))*parametros_manuales!$M$102+parametros_manuales!$F$22*(datos_base!$D$4+IF(parametros_manuales!$H$22="Todos",datos_base!$D$11,0))*parametros_manuales!$M$107+parametros_manuales!$G$22*(datos_base!$D$5+IF(parametros_manuales!$H$22="Todos",datos_base!$D$12,0))*parametros_manuales!$M$112)*parametros_manuales!$I$22*parametros_manuales!$J$22</f>
        <v>4119.820593552</v>
      </c>
      <c r="N61" s="14" t="n">
        <f aca="false">SUM(B61:M61)</f>
        <v>45775.7843728</v>
      </c>
      <c r="O61" s="14" t="n">
        <f aca="false">MAX(B61:M61)</f>
        <v>4119.820593552</v>
      </c>
      <c r="P61" s="57" t="n">
        <f aca="false">O61/(parametros_manuales!$B$7)</f>
        <v>27.46547062368</v>
      </c>
      <c r="Q61" s="13" t="str">
        <f aca="false">IF(O61=0,"-",INDEX($B$57:$M$57,MATCH(O61,B61:M61,0)))</f>
        <v>Ene</v>
      </c>
    </row>
    <row r="62" customFormat="false" ht="14.25" hidden="false" customHeight="true" outlineLevel="0" collapsed="false">
      <c r="A62" s="13" t="str">
        <f aca="false">parametros_manuales!$B$23</f>
        <v>Preparación de cuello</v>
      </c>
      <c r="B62" s="14" t="n">
        <f aca="false">(parametros_manuales!$D$23*(datos_base!$D$2+IF(parametros_manuales!$H$23="Todos",datos_base!$D$9,0))*parametros_manuales!$B$97+parametros_manuales!$E$23*(datos_base!$D$3+IF(parametros_manuales!$H$23="Todos",datos_base!$D$10,0))*parametros_manuales!$B$102+parametros_manuales!$F$23*(datos_base!$D$4+IF(parametros_manuales!$H$23="Todos",datos_base!$D$11,0))*parametros_manuales!$B$107+parametros_manuales!$G$23*(datos_base!$D$5+IF(parametros_manuales!$H$23="Todos",datos_base!$D$12,0))*parametros_manuales!$B$112)*parametros_manuales!$I$23*parametros_manuales!$J$23</f>
        <v>2059.910296776</v>
      </c>
      <c r="C62" s="14" t="n">
        <f aca="false">(parametros_manuales!$D$23*(datos_base!$D$2+IF(parametros_manuales!$H$23="Todos",datos_base!$D$9,0))*parametros_manuales!$C$97+parametros_manuales!$E$23*(datos_base!$D$3+IF(parametros_manuales!$H$23="Todos",datos_base!$D$10,0))*parametros_manuales!$C$102+parametros_manuales!$F$23*(datos_base!$D$4+IF(parametros_manuales!$H$23="Todos",datos_base!$D$11,0))*parametros_manuales!$C$107+parametros_manuales!$G$23*(datos_base!$D$5+IF(parametros_manuales!$H$23="Todos",datos_base!$D$12,0))*parametros_manuales!$C$112)*parametros_manuales!$I$23*parametros_manuales!$J$23</f>
        <v>1976.172852492</v>
      </c>
      <c r="D62" s="14" t="n">
        <f aca="false">(parametros_manuales!$D$23*(datos_base!$D$2+IF(parametros_manuales!$H$23="Todos",datos_base!$D$9,0))*parametros_manuales!$D$97+parametros_manuales!$E$23*(datos_base!$D$3+IF(parametros_manuales!$H$23="Todos",datos_base!$D$10,0))*parametros_manuales!$D$102+parametros_manuales!$F$23*(datos_base!$D$4+IF(parametros_manuales!$H$23="Todos",datos_base!$D$11,0))*parametros_manuales!$D$107+parametros_manuales!$G$23*(datos_base!$D$5+IF(parametros_manuales!$H$23="Todos",datos_base!$D$12,0))*parametros_manuales!$D$112)*parametros_manuales!$I$23*parametros_manuales!$J$23</f>
        <v>1872.900097054</v>
      </c>
      <c r="E62" s="14" t="n">
        <f aca="false">(parametros_manuales!$D$23*(datos_base!$D$2+IF(parametros_manuales!$H$23="Todos",datos_base!$D$9,0))*parametros_manuales!$E$97+parametros_manuales!$E$23*(datos_base!$D$3+IF(parametros_manuales!$H$23="Todos",datos_base!$D$10,0))*parametros_manuales!$E$102+parametros_manuales!$F$23*(datos_base!$D$4+IF(parametros_manuales!$H$23="Todos",datos_base!$D$11,0))*parametros_manuales!$E$107+parametros_manuales!$G$23*(datos_base!$D$5+IF(parametros_manuales!$H$23="Todos",datos_base!$D$12,0))*parametros_manuales!$E$112)*parametros_manuales!$I$23*parametros_manuales!$J$23</f>
        <v>1800.329358264</v>
      </c>
      <c r="F62" s="14" t="n">
        <f aca="false">(parametros_manuales!$D$23*(datos_base!$D$2+IF(parametros_manuales!$H$23="Todos",datos_base!$D$9,0))*parametros_manuales!$F$97+parametros_manuales!$E$23*(datos_base!$D$3+IF(parametros_manuales!$H$23="Todos",datos_base!$D$10,0))*parametros_manuales!$F$102+parametros_manuales!$F$23*(datos_base!$D$4+IF(parametros_manuales!$H$23="Todos",datos_base!$D$11,0))*parametros_manuales!$F$107+parametros_manuales!$G$23*(datos_base!$D$5+IF(parametros_manuales!$H$23="Todos",datos_base!$D$12,0))*parametros_manuales!$F$112)*parametros_manuales!$I$23*parametros_manuales!$J$23</f>
        <v>1685.889897332</v>
      </c>
      <c r="G62" s="14" t="n">
        <f aca="false">(parametros_manuales!$D$23*(datos_base!$D$2+IF(parametros_manuales!$H$23="Todos",datos_base!$D$9,0))*parametros_manuales!$G$97+parametros_manuales!$E$23*(datos_base!$D$3+IF(parametros_manuales!$H$23="Todos",datos_base!$D$10,0))*parametros_manuales!$G$102+parametros_manuales!$F$23*(datos_base!$D$4+IF(parametros_manuales!$H$23="Todos",datos_base!$D$11,0))*parametros_manuales!$G$107+parametros_manuales!$G$23*(datos_base!$D$5+IF(parametros_manuales!$H$23="Todos",datos_base!$D$12,0))*parametros_manuales!$G$112)*parametros_manuales!$I$23*parametros_manuales!$J$23</f>
        <v>1644.02117519</v>
      </c>
      <c r="H62" s="14" t="n">
        <f aca="false">(parametros_manuales!$D$23*(datos_base!$D$2+IF(parametros_manuales!$H$23="Todos",datos_base!$D$9,0))*parametros_manuales!$H$97+parametros_manuales!$E$23*(datos_base!$D$3+IF(parametros_manuales!$H$23="Todos",datos_base!$D$10,0))*parametros_manuales!$H$102+parametros_manuales!$F$23*(datos_base!$D$4+IF(parametros_manuales!$H$23="Todos",datos_base!$D$11,0))*parametros_manuales!$H$107+parametros_manuales!$G$23*(datos_base!$D$5+IF(parametros_manuales!$H$23="Todos",datos_base!$D$12,0))*parametros_manuales!$H$112)*parametros_manuales!$I$23*parametros_manuales!$J$23</f>
        <v>1758.460636122</v>
      </c>
      <c r="I62" s="14" t="n">
        <f aca="false">(parametros_manuales!$D$23*(datos_base!$D$2+IF(parametros_manuales!$H$23="Todos",datos_base!$D$9,0))*parametros_manuales!$I$97+parametros_manuales!$E$23*(datos_base!$D$3+IF(parametros_manuales!$H$23="Todos",datos_base!$D$10,0))*parametros_manuales!$I$102+parametros_manuales!$F$23*(datos_base!$D$4+IF(parametros_manuales!$H$23="Todos",datos_base!$D$11,0))*parametros_manuales!$I$107+parametros_manuales!$G$23*(datos_base!$D$5+IF(parametros_manuales!$H$23="Todos",datos_base!$D$12,0))*parametros_manuales!$I$112)*parametros_manuales!$I$23*parametros_manuales!$J$23</f>
        <v>1976.172852492</v>
      </c>
      <c r="J62" s="14" t="n">
        <f aca="false">(parametros_manuales!$D$23*(datos_base!$D$2+IF(parametros_manuales!$H$23="Todos",datos_base!$D$9,0))*parametros_manuales!$J$97+parametros_manuales!$E$23*(datos_base!$D$3+IF(parametros_manuales!$H$23="Todos",datos_base!$D$10,0))*parametros_manuales!$J$102+parametros_manuales!$F$23*(datos_base!$D$4+IF(parametros_manuales!$H$23="Todos",datos_base!$D$11,0))*parametros_manuales!$J$107+parametros_manuales!$G$23*(datos_base!$D$5+IF(parametros_manuales!$H$23="Todos",datos_base!$D$12,0))*parametros_manuales!$J$112)*parametros_manuales!$I$23*parametros_manuales!$J$23</f>
        <v>1976.172852492</v>
      </c>
      <c r="K62" s="14" t="n">
        <f aca="false">(parametros_manuales!$D$23*(datos_base!$D$2+IF(parametros_manuales!$H$23="Todos",datos_base!$D$9,0))*parametros_manuales!$K$97+parametros_manuales!$E$23*(datos_base!$D$3+IF(parametros_manuales!$H$23="Todos",datos_base!$D$10,0))*parametros_manuales!$K$102+parametros_manuales!$F$23*(datos_base!$D$4+IF(parametros_manuales!$H$23="Todos",datos_base!$D$11,0))*parametros_manuales!$K$107+parametros_manuales!$G$23*(datos_base!$D$5+IF(parametros_manuales!$H$23="Todos",datos_base!$D$12,0))*parametros_manuales!$K$112)*parametros_manuales!$I$23*parametros_manuales!$J$23</f>
        <v>2018.041574634</v>
      </c>
      <c r="L62" s="14" t="n">
        <f aca="false">(parametros_manuales!$D$23*(datos_base!$D$2+IF(parametros_manuales!$H$23="Todos",datos_base!$D$9,0))*parametros_manuales!$L$97+parametros_manuales!$E$23*(datos_base!$D$3+IF(parametros_manuales!$H$23="Todos",datos_base!$D$10,0))*parametros_manuales!$L$102+parametros_manuales!$F$23*(datos_base!$D$4+IF(parametros_manuales!$H$23="Todos",datos_base!$D$11,0))*parametros_manuales!$L$107+parametros_manuales!$G$23*(datos_base!$D$5+IF(parametros_manuales!$H$23="Todos",datos_base!$D$12,0))*parametros_manuales!$L$112)*parametros_manuales!$I$23*parametros_manuales!$J$23</f>
        <v>2059.910296776</v>
      </c>
      <c r="M62" s="14" t="n">
        <f aca="false">(parametros_manuales!$D$23*(datos_base!$D$2+IF(parametros_manuales!$H$23="Todos",datos_base!$D$9,0))*parametros_manuales!$M$97+parametros_manuales!$E$23*(datos_base!$D$3+IF(parametros_manuales!$H$23="Todos",datos_base!$D$10,0))*parametros_manuales!$M$102+parametros_manuales!$F$23*(datos_base!$D$4+IF(parametros_manuales!$H$23="Todos",datos_base!$D$11,0))*parametros_manuales!$M$107+parametros_manuales!$G$23*(datos_base!$D$5+IF(parametros_manuales!$H$23="Todos",datos_base!$D$12,0))*parametros_manuales!$M$112)*parametros_manuales!$I$23*parametros_manuales!$J$23</f>
        <v>2059.910296776</v>
      </c>
      <c r="N62" s="14" t="n">
        <f aca="false">SUM(B62:M62)</f>
        <v>22887.8921864</v>
      </c>
      <c r="O62" s="14" t="n">
        <f aca="false">MAX(B62:M62)</f>
        <v>2059.910296776</v>
      </c>
      <c r="P62" s="57" t="n">
        <f aca="false">O62/(parametros_manuales!$B$7)</f>
        <v>13.73273531184</v>
      </c>
      <c r="Q62" s="13" t="str">
        <f aca="false">IF(O62=0,"-",INDEX($B$57:$M$57,MATCH(O62,B62:M62,0)))</f>
        <v>Ene</v>
      </c>
    </row>
    <row r="63" customFormat="false" ht="14.25" hidden="false" customHeight="true" outlineLevel="0" collapsed="false">
      <c r="A63" s="13" t="str">
        <f aca="false">parametros_manuales!$B$24</f>
        <v>Numerado de cúpula</v>
      </c>
      <c r="B63" s="14" t="n">
        <f aca="false">(parametros_manuales!$D$24*(datos_base!$D$2+IF(parametros_manuales!$H$24="Todos",datos_base!$D$9,0))*parametros_manuales!$B$97+parametros_manuales!$E$24*(datos_base!$D$3+IF(parametros_manuales!$H$24="Todos",datos_base!$D$10,0))*parametros_manuales!$B$102+parametros_manuales!$F$24*(datos_base!$D$4+IF(parametros_manuales!$H$24="Todos",datos_base!$D$11,0))*parametros_manuales!$B$107+parametros_manuales!$G$24*(datos_base!$D$5+IF(parametros_manuales!$H$24="Todos",datos_base!$D$12,0))*parametros_manuales!$B$112)*parametros_manuales!$I$24*parametros_manuales!$J$24</f>
        <v>2059.910296776</v>
      </c>
      <c r="C63" s="14" t="n">
        <f aca="false">(parametros_manuales!$D$24*(datos_base!$D$2+IF(parametros_manuales!$H$24="Todos",datos_base!$D$9,0))*parametros_manuales!$C$97+parametros_manuales!$E$24*(datos_base!$D$3+IF(parametros_manuales!$H$24="Todos",datos_base!$D$10,0))*parametros_manuales!$C$102+parametros_manuales!$F$24*(datos_base!$D$4+IF(parametros_manuales!$H$24="Todos",datos_base!$D$11,0))*parametros_manuales!$C$107+parametros_manuales!$G$24*(datos_base!$D$5+IF(parametros_manuales!$H$24="Todos",datos_base!$D$12,0))*parametros_manuales!$C$112)*parametros_manuales!$I$24*parametros_manuales!$J$24</f>
        <v>1976.172852492</v>
      </c>
      <c r="D63" s="14" t="n">
        <f aca="false">(parametros_manuales!$D$24*(datos_base!$D$2+IF(parametros_manuales!$H$24="Todos",datos_base!$D$9,0))*parametros_manuales!$D$97+parametros_manuales!$E$24*(datos_base!$D$3+IF(parametros_manuales!$H$24="Todos",datos_base!$D$10,0))*parametros_manuales!$D$102+parametros_manuales!$F$24*(datos_base!$D$4+IF(parametros_manuales!$H$24="Todos",datos_base!$D$11,0))*parametros_manuales!$D$107+parametros_manuales!$G$24*(datos_base!$D$5+IF(parametros_manuales!$H$24="Todos",datos_base!$D$12,0))*parametros_manuales!$D$112)*parametros_manuales!$I$24*parametros_manuales!$J$24</f>
        <v>1872.900097054</v>
      </c>
      <c r="E63" s="14" t="n">
        <f aca="false">(parametros_manuales!$D$24*(datos_base!$D$2+IF(parametros_manuales!$H$24="Todos",datos_base!$D$9,0))*parametros_manuales!$E$97+parametros_manuales!$E$24*(datos_base!$D$3+IF(parametros_manuales!$H$24="Todos",datos_base!$D$10,0))*parametros_manuales!$E$102+parametros_manuales!$F$24*(datos_base!$D$4+IF(parametros_manuales!$H$24="Todos",datos_base!$D$11,0))*parametros_manuales!$E$107+parametros_manuales!$G$24*(datos_base!$D$5+IF(parametros_manuales!$H$24="Todos",datos_base!$D$12,0))*parametros_manuales!$E$112)*parametros_manuales!$I$24*parametros_manuales!$J$24</f>
        <v>1800.329358264</v>
      </c>
      <c r="F63" s="14" t="n">
        <f aca="false">(parametros_manuales!$D$24*(datos_base!$D$2+IF(parametros_manuales!$H$24="Todos",datos_base!$D$9,0))*parametros_manuales!$F$97+parametros_manuales!$E$24*(datos_base!$D$3+IF(parametros_manuales!$H$24="Todos",datos_base!$D$10,0))*parametros_manuales!$F$102+parametros_manuales!$F$24*(datos_base!$D$4+IF(parametros_manuales!$H$24="Todos",datos_base!$D$11,0))*parametros_manuales!$F$107+parametros_manuales!$G$24*(datos_base!$D$5+IF(parametros_manuales!$H$24="Todos",datos_base!$D$12,0))*parametros_manuales!$F$112)*parametros_manuales!$I$24*parametros_manuales!$J$24</f>
        <v>1685.889897332</v>
      </c>
      <c r="G63" s="14" t="n">
        <f aca="false">(parametros_manuales!$D$24*(datos_base!$D$2+IF(parametros_manuales!$H$24="Todos",datos_base!$D$9,0))*parametros_manuales!$G$97+parametros_manuales!$E$24*(datos_base!$D$3+IF(parametros_manuales!$H$24="Todos",datos_base!$D$10,0))*parametros_manuales!$G$102+parametros_manuales!$F$24*(datos_base!$D$4+IF(parametros_manuales!$H$24="Todos",datos_base!$D$11,0))*parametros_manuales!$G$107+parametros_manuales!$G$24*(datos_base!$D$5+IF(parametros_manuales!$H$24="Todos",datos_base!$D$12,0))*parametros_manuales!$G$112)*parametros_manuales!$I$24*parametros_manuales!$J$24</f>
        <v>1644.02117519</v>
      </c>
      <c r="H63" s="14" t="n">
        <f aca="false">(parametros_manuales!$D$24*(datos_base!$D$2+IF(parametros_manuales!$H$24="Todos",datos_base!$D$9,0))*parametros_manuales!$H$97+parametros_manuales!$E$24*(datos_base!$D$3+IF(parametros_manuales!$H$24="Todos",datos_base!$D$10,0))*parametros_manuales!$H$102+parametros_manuales!$F$24*(datos_base!$D$4+IF(parametros_manuales!$H$24="Todos",datos_base!$D$11,0))*parametros_manuales!$H$107+parametros_manuales!$G$24*(datos_base!$D$5+IF(parametros_manuales!$H$24="Todos",datos_base!$D$12,0))*parametros_manuales!$H$112)*parametros_manuales!$I$24*parametros_manuales!$J$24</f>
        <v>1758.460636122</v>
      </c>
      <c r="I63" s="14" t="n">
        <f aca="false">(parametros_manuales!$D$24*(datos_base!$D$2+IF(parametros_manuales!$H$24="Todos",datos_base!$D$9,0))*parametros_manuales!$I$97+parametros_manuales!$E$24*(datos_base!$D$3+IF(parametros_manuales!$H$24="Todos",datos_base!$D$10,0))*parametros_manuales!$I$102+parametros_manuales!$F$24*(datos_base!$D$4+IF(parametros_manuales!$H$24="Todos",datos_base!$D$11,0))*parametros_manuales!$I$107+parametros_manuales!$G$24*(datos_base!$D$5+IF(parametros_manuales!$H$24="Todos",datos_base!$D$12,0))*parametros_manuales!$I$112)*parametros_manuales!$I$24*parametros_manuales!$J$24</f>
        <v>1976.172852492</v>
      </c>
      <c r="J63" s="14" t="n">
        <f aca="false">(parametros_manuales!$D$24*(datos_base!$D$2+IF(parametros_manuales!$H$24="Todos",datos_base!$D$9,0))*parametros_manuales!$J$97+parametros_manuales!$E$24*(datos_base!$D$3+IF(parametros_manuales!$H$24="Todos",datos_base!$D$10,0))*parametros_manuales!$J$102+parametros_manuales!$F$24*(datos_base!$D$4+IF(parametros_manuales!$H$24="Todos",datos_base!$D$11,0))*parametros_manuales!$J$107+parametros_manuales!$G$24*(datos_base!$D$5+IF(parametros_manuales!$H$24="Todos",datos_base!$D$12,0))*parametros_manuales!$J$112)*parametros_manuales!$I$24*parametros_manuales!$J$24</f>
        <v>1976.172852492</v>
      </c>
      <c r="K63" s="14" t="n">
        <f aca="false">(parametros_manuales!$D$24*(datos_base!$D$2+IF(parametros_manuales!$H$24="Todos",datos_base!$D$9,0))*parametros_manuales!$K$97+parametros_manuales!$E$24*(datos_base!$D$3+IF(parametros_manuales!$H$24="Todos",datos_base!$D$10,0))*parametros_manuales!$K$102+parametros_manuales!$F$24*(datos_base!$D$4+IF(parametros_manuales!$H$24="Todos",datos_base!$D$11,0))*parametros_manuales!$K$107+parametros_manuales!$G$24*(datos_base!$D$5+IF(parametros_manuales!$H$24="Todos",datos_base!$D$12,0))*parametros_manuales!$K$112)*parametros_manuales!$I$24*parametros_manuales!$J$24</f>
        <v>2018.041574634</v>
      </c>
      <c r="L63" s="14" t="n">
        <f aca="false">(parametros_manuales!$D$24*(datos_base!$D$2+IF(parametros_manuales!$H$24="Todos",datos_base!$D$9,0))*parametros_manuales!$L$97+parametros_manuales!$E$24*(datos_base!$D$3+IF(parametros_manuales!$H$24="Todos",datos_base!$D$10,0))*parametros_manuales!$L$102+parametros_manuales!$F$24*(datos_base!$D$4+IF(parametros_manuales!$H$24="Todos",datos_base!$D$11,0))*parametros_manuales!$L$107+parametros_manuales!$G$24*(datos_base!$D$5+IF(parametros_manuales!$H$24="Todos",datos_base!$D$12,0))*parametros_manuales!$L$112)*parametros_manuales!$I$24*parametros_manuales!$J$24</f>
        <v>2059.910296776</v>
      </c>
      <c r="M63" s="14" t="n">
        <f aca="false">(parametros_manuales!$D$24*(datos_base!$D$2+IF(parametros_manuales!$H$24="Todos",datos_base!$D$9,0))*parametros_manuales!$M$97+parametros_manuales!$E$24*(datos_base!$D$3+IF(parametros_manuales!$H$24="Todos",datos_base!$D$10,0))*parametros_manuales!$M$102+parametros_manuales!$F$24*(datos_base!$D$4+IF(parametros_manuales!$H$24="Todos",datos_base!$D$11,0))*parametros_manuales!$M$107+parametros_manuales!$G$24*(datos_base!$D$5+IF(parametros_manuales!$H$24="Todos",datos_base!$D$12,0))*parametros_manuales!$M$112)*parametros_manuales!$I$24*parametros_manuales!$J$24</f>
        <v>2059.910296776</v>
      </c>
      <c r="N63" s="14" t="n">
        <f aca="false">SUM(B63:M63)</f>
        <v>22887.8921864</v>
      </c>
      <c r="O63" s="14" t="n">
        <f aca="false">MAX(B63:M63)</f>
        <v>2059.910296776</v>
      </c>
      <c r="P63" s="57" t="n">
        <f aca="false">O63/(parametros_manuales!$B$7)</f>
        <v>13.73273531184</v>
      </c>
      <c r="Q63" s="13" t="str">
        <f aca="false">IF(O63=0,"-",INDEX($B$57:$M$57,MATCH(O63,B63:M63,0)))</f>
        <v>Ene</v>
      </c>
    </row>
    <row r="64" customFormat="false" ht="14.25" hidden="false" customHeight="true" outlineLevel="0" collapsed="false">
      <c r="A64" s="13" t="str">
        <f aca="false">parametros_manuales!$B$25</f>
        <v>Soldadura del cuello a la cúpula</v>
      </c>
      <c r="B64" s="14" t="n">
        <f aca="false">(parametros_manuales!$D$25*(datos_base!$D$2+IF(parametros_manuales!$H$25="Todos",datos_base!$D$9,0))*parametros_manuales!$B$97+parametros_manuales!$E$25*(datos_base!$D$3+IF(parametros_manuales!$H$25="Todos",datos_base!$D$10,0))*parametros_manuales!$B$102+parametros_manuales!$F$25*(datos_base!$D$4+IF(parametros_manuales!$H$25="Todos",datos_base!$D$11,0))*parametros_manuales!$B$107+parametros_manuales!$G$25*(datos_base!$D$5+IF(parametros_manuales!$H$25="Todos",datos_base!$D$12,0))*parametros_manuales!$B$112)*parametros_manuales!$I$25*parametros_manuales!$J$25</f>
        <v>2059.910296776</v>
      </c>
      <c r="C64" s="14" t="n">
        <f aca="false">(parametros_manuales!$D$25*(datos_base!$D$2+IF(parametros_manuales!$H$25="Todos",datos_base!$D$9,0))*parametros_manuales!$C$97+parametros_manuales!$E$25*(datos_base!$D$3+IF(parametros_manuales!$H$25="Todos",datos_base!$D$10,0))*parametros_manuales!$C$102+parametros_manuales!$F$25*(datos_base!$D$4+IF(parametros_manuales!$H$25="Todos",datos_base!$D$11,0))*parametros_manuales!$C$107+parametros_manuales!$G$25*(datos_base!$D$5+IF(parametros_manuales!$H$25="Todos",datos_base!$D$12,0))*parametros_manuales!$C$112)*parametros_manuales!$I$25*parametros_manuales!$J$25</f>
        <v>1976.172852492</v>
      </c>
      <c r="D64" s="14" t="n">
        <f aca="false">(parametros_manuales!$D$25*(datos_base!$D$2+IF(parametros_manuales!$H$25="Todos",datos_base!$D$9,0))*parametros_manuales!$D$97+parametros_manuales!$E$25*(datos_base!$D$3+IF(parametros_manuales!$H$25="Todos",datos_base!$D$10,0))*parametros_manuales!$D$102+parametros_manuales!$F$25*(datos_base!$D$4+IF(parametros_manuales!$H$25="Todos",datos_base!$D$11,0))*parametros_manuales!$D$107+parametros_manuales!$G$25*(datos_base!$D$5+IF(parametros_manuales!$H$25="Todos",datos_base!$D$12,0))*parametros_manuales!$D$112)*parametros_manuales!$I$25*parametros_manuales!$J$25</f>
        <v>1872.900097054</v>
      </c>
      <c r="E64" s="14" t="n">
        <f aca="false">(parametros_manuales!$D$25*(datos_base!$D$2+IF(parametros_manuales!$H$25="Todos",datos_base!$D$9,0))*parametros_manuales!$E$97+parametros_manuales!$E$25*(datos_base!$D$3+IF(parametros_manuales!$H$25="Todos",datos_base!$D$10,0))*parametros_manuales!$E$102+parametros_manuales!$F$25*(datos_base!$D$4+IF(parametros_manuales!$H$25="Todos",datos_base!$D$11,0))*parametros_manuales!$E$107+parametros_manuales!$G$25*(datos_base!$D$5+IF(parametros_manuales!$H$25="Todos",datos_base!$D$12,0))*parametros_manuales!$E$112)*parametros_manuales!$I$25*parametros_manuales!$J$25</f>
        <v>1800.329358264</v>
      </c>
      <c r="F64" s="14" t="n">
        <f aca="false">(parametros_manuales!$D$25*(datos_base!$D$2+IF(parametros_manuales!$H$25="Todos",datos_base!$D$9,0))*parametros_manuales!$F$97+parametros_manuales!$E$25*(datos_base!$D$3+IF(parametros_manuales!$H$25="Todos",datos_base!$D$10,0))*parametros_manuales!$F$102+parametros_manuales!$F$25*(datos_base!$D$4+IF(parametros_manuales!$H$25="Todos",datos_base!$D$11,0))*parametros_manuales!$F$107+parametros_manuales!$G$25*(datos_base!$D$5+IF(parametros_manuales!$H$25="Todos",datos_base!$D$12,0))*parametros_manuales!$F$112)*parametros_manuales!$I$25*parametros_manuales!$J$25</f>
        <v>1685.889897332</v>
      </c>
      <c r="G64" s="14" t="n">
        <f aca="false">(parametros_manuales!$D$25*(datos_base!$D$2+IF(parametros_manuales!$H$25="Todos",datos_base!$D$9,0))*parametros_manuales!$G$97+parametros_manuales!$E$25*(datos_base!$D$3+IF(parametros_manuales!$H$25="Todos",datos_base!$D$10,0))*parametros_manuales!$G$102+parametros_manuales!$F$25*(datos_base!$D$4+IF(parametros_manuales!$H$25="Todos",datos_base!$D$11,0))*parametros_manuales!$G$107+parametros_manuales!$G$25*(datos_base!$D$5+IF(parametros_manuales!$H$25="Todos",datos_base!$D$12,0))*parametros_manuales!$G$112)*parametros_manuales!$I$25*parametros_manuales!$J$25</f>
        <v>1644.02117519</v>
      </c>
      <c r="H64" s="14" t="n">
        <f aca="false">(parametros_manuales!$D$25*(datos_base!$D$2+IF(parametros_manuales!$H$25="Todos",datos_base!$D$9,0))*parametros_manuales!$H$97+parametros_manuales!$E$25*(datos_base!$D$3+IF(parametros_manuales!$H$25="Todos",datos_base!$D$10,0))*parametros_manuales!$H$102+parametros_manuales!$F$25*(datos_base!$D$4+IF(parametros_manuales!$H$25="Todos",datos_base!$D$11,0))*parametros_manuales!$H$107+parametros_manuales!$G$25*(datos_base!$D$5+IF(parametros_manuales!$H$25="Todos",datos_base!$D$12,0))*parametros_manuales!$H$112)*parametros_manuales!$I$25*parametros_manuales!$J$25</f>
        <v>1758.460636122</v>
      </c>
      <c r="I64" s="14" t="n">
        <f aca="false">(parametros_manuales!$D$25*(datos_base!$D$2+IF(parametros_manuales!$H$25="Todos",datos_base!$D$9,0))*parametros_manuales!$I$97+parametros_manuales!$E$25*(datos_base!$D$3+IF(parametros_manuales!$H$25="Todos",datos_base!$D$10,0))*parametros_manuales!$I$102+parametros_manuales!$F$25*(datos_base!$D$4+IF(parametros_manuales!$H$25="Todos",datos_base!$D$11,0))*parametros_manuales!$I$107+parametros_manuales!$G$25*(datos_base!$D$5+IF(parametros_manuales!$H$25="Todos",datos_base!$D$12,0))*parametros_manuales!$I$112)*parametros_manuales!$I$25*parametros_manuales!$J$25</f>
        <v>1976.172852492</v>
      </c>
      <c r="J64" s="14" t="n">
        <f aca="false">(parametros_manuales!$D$25*(datos_base!$D$2+IF(parametros_manuales!$H$25="Todos",datos_base!$D$9,0))*parametros_manuales!$J$97+parametros_manuales!$E$25*(datos_base!$D$3+IF(parametros_manuales!$H$25="Todos",datos_base!$D$10,0))*parametros_manuales!$J$102+parametros_manuales!$F$25*(datos_base!$D$4+IF(parametros_manuales!$H$25="Todos",datos_base!$D$11,0))*parametros_manuales!$J$107+parametros_manuales!$G$25*(datos_base!$D$5+IF(parametros_manuales!$H$25="Todos",datos_base!$D$12,0))*parametros_manuales!$J$112)*parametros_manuales!$I$25*parametros_manuales!$J$25</f>
        <v>1976.172852492</v>
      </c>
      <c r="K64" s="14" t="n">
        <f aca="false">(parametros_manuales!$D$25*(datos_base!$D$2+IF(parametros_manuales!$H$25="Todos",datos_base!$D$9,0))*parametros_manuales!$K$97+parametros_manuales!$E$25*(datos_base!$D$3+IF(parametros_manuales!$H$25="Todos",datos_base!$D$10,0))*parametros_manuales!$K$102+parametros_manuales!$F$25*(datos_base!$D$4+IF(parametros_manuales!$H$25="Todos",datos_base!$D$11,0))*parametros_manuales!$K$107+parametros_manuales!$G$25*(datos_base!$D$5+IF(parametros_manuales!$H$25="Todos",datos_base!$D$12,0))*parametros_manuales!$K$112)*parametros_manuales!$I$25*parametros_manuales!$J$25</f>
        <v>2018.041574634</v>
      </c>
      <c r="L64" s="14" t="n">
        <f aca="false">(parametros_manuales!$D$25*(datos_base!$D$2+IF(parametros_manuales!$H$25="Todos",datos_base!$D$9,0))*parametros_manuales!$L$97+parametros_manuales!$E$25*(datos_base!$D$3+IF(parametros_manuales!$H$25="Todos",datos_base!$D$10,0))*parametros_manuales!$L$102+parametros_manuales!$F$25*(datos_base!$D$4+IF(parametros_manuales!$H$25="Todos",datos_base!$D$11,0))*parametros_manuales!$L$107+parametros_manuales!$G$25*(datos_base!$D$5+IF(parametros_manuales!$H$25="Todos",datos_base!$D$12,0))*parametros_manuales!$L$112)*parametros_manuales!$I$25*parametros_manuales!$J$25</f>
        <v>2059.910296776</v>
      </c>
      <c r="M64" s="14" t="n">
        <f aca="false">(parametros_manuales!$D$25*(datos_base!$D$2+IF(parametros_manuales!$H$25="Todos",datos_base!$D$9,0))*parametros_manuales!$M$97+parametros_manuales!$E$25*(datos_base!$D$3+IF(parametros_manuales!$H$25="Todos",datos_base!$D$10,0))*parametros_manuales!$M$102+parametros_manuales!$F$25*(datos_base!$D$4+IF(parametros_manuales!$H$25="Todos",datos_base!$D$11,0))*parametros_manuales!$M$107+parametros_manuales!$G$25*(datos_base!$D$5+IF(parametros_manuales!$H$25="Todos",datos_base!$D$12,0))*parametros_manuales!$M$112)*parametros_manuales!$I$25*parametros_manuales!$J$25</f>
        <v>2059.910296776</v>
      </c>
      <c r="N64" s="14" t="n">
        <f aca="false">SUM(B64:M64)</f>
        <v>22887.8921864</v>
      </c>
      <c r="O64" s="14" t="n">
        <f aca="false">MAX(B64:M64)</f>
        <v>2059.910296776</v>
      </c>
      <c r="P64" s="57" t="n">
        <f aca="false">O64/(parametros_manuales!$B$7)</f>
        <v>13.73273531184</v>
      </c>
      <c r="Q64" s="13" t="str">
        <f aca="false">IF(O64=0,"-",INDEX($B$57:$M$57,MATCH(O64,B64:M64,0)))</f>
        <v>Ene</v>
      </c>
    </row>
    <row r="65" customFormat="false" ht="14.25" hidden="false" customHeight="true" outlineLevel="0" collapsed="false">
      <c r="A65" s="13" t="str">
        <f aca="false">parametros_manuales!$B$26</f>
        <v>Cilindrado</v>
      </c>
      <c r="B65" s="14" t="n">
        <f aca="false">(parametros_manuales!$D$26*(datos_base!$D$2+IF(parametros_manuales!$H$26="Todos",datos_base!$D$9,0))*parametros_manuales!$B$97+parametros_manuales!$E$26*(datos_base!$D$3+IF(parametros_manuales!$H$26="Todos",datos_base!$D$10,0))*parametros_manuales!$B$102+parametros_manuales!$F$26*(datos_base!$D$4+IF(parametros_manuales!$H$26="Todos",datos_base!$D$11,0))*parametros_manuales!$B$107+parametros_manuales!$G$26*(datos_base!$D$5+IF(parametros_manuales!$H$26="Todos",datos_base!$D$12,0))*parametros_manuales!$B$112)*parametros_manuales!$I$26*parametros_manuales!$J$26</f>
        <v>2059.910296776</v>
      </c>
      <c r="C65" s="14" t="n">
        <f aca="false">(parametros_manuales!$D$26*(datos_base!$D$2+IF(parametros_manuales!$H$26="Todos",datos_base!$D$9,0))*parametros_manuales!$C$97+parametros_manuales!$E$26*(datos_base!$D$3+IF(parametros_manuales!$H$26="Todos",datos_base!$D$10,0))*parametros_manuales!$C$102+parametros_manuales!$F$26*(datos_base!$D$4+IF(parametros_manuales!$H$26="Todos",datos_base!$D$11,0))*parametros_manuales!$C$107+parametros_manuales!$G$26*(datos_base!$D$5+IF(parametros_manuales!$H$26="Todos",datos_base!$D$12,0))*parametros_manuales!$C$112)*parametros_manuales!$I$26*parametros_manuales!$J$26</f>
        <v>1976.172852492</v>
      </c>
      <c r="D65" s="14" t="n">
        <f aca="false">(parametros_manuales!$D$26*(datos_base!$D$2+IF(parametros_manuales!$H$26="Todos",datos_base!$D$9,0))*parametros_manuales!$D$97+parametros_manuales!$E$26*(datos_base!$D$3+IF(parametros_manuales!$H$26="Todos",datos_base!$D$10,0))*parametros_manuales!$D$102+parametros_manuales!$F$26*(datos_base!$D$4+IF(parametros_manuales!$H$26="Todos",datos_base!$D$11,0))*parametros_manuales!$D$107+parametros_manuales!$G$26*(datos_base!$D$5+IF(parametros_manuales!$H$26="Todos",datos_base!$D$12,0))*parametros_manuales!$D$112)*parametros_manuales!$I$26*parametros_manuales!$J$26</f>
        <v>1872.900097054</v>
      </c>
      <c r="E65" s="14" t="n">
        <f aca="false">(parametros_manuales!$D$26*(datos_base!$D$2+IF(parametros_manuales!$H$26="Todos",datos_base!$D$9,0))*parametros_manuales!$E$97+parametros_manuales!$E$26*(datos_base!$D$3+IF(parametros_manuales!$H$26="Todos",datos_base!$D$10,0))*parametros_manuales!$E$102+parametros_manuales!$F$26*(datos_base!$D$4+IF(parametros_manuales!$H$26="Todos",datos_base!$D$11,0))*parametros_manuales!$E$107+parametros_manuales!$G$26*(datos_base!$D$5+IF(parametros_manuales!$H$26="Todos",datos_base!$D$12,0))*parametros_manuales!$E$112)*parametros_manuales!$I$26*parametros_manuales!$J$26</f>
        <v>1800.329358264</v>
      </c>
      <c r="F65" s="14" t="n">
        <f aca="false">(parametros_manuales!$D$26*(datos_base!$D$2+IF(parametros_manuales!$H$26="Todos",datos_base!$D$9,0))*parametros_manuales!$F$97+parametros_manuales!$E$26*(datos_base!$D$3+IF(parametros_manuales!$H$26="Todos",datos_base!$D$10,0))*parametros_manuales!$F$102+parametros_manuales!$F$26*(datos_base!$D$4+IF(parametros_manuales!$H$26="Todos",datos_base!$D$11,0))*parametros_manuales!$F$107+parametros_manuales!$G$26*(datos_base!$D$5+IF(parametros_manuales!$H$26="Todos",datos_base!$D$12,0))*parametros_manuales!$F$112)*parametros_manuales!$I$26*parametros_manuales!$J$26</f>
        <v>1685.889897332</v>
      </c>
      <c r="G65" s="14" t="n">
        <f aca="false">(parametros_manuales!$D$26*(datos_base!$D$2+IF(parametros_manuales!$H$26="Todos",datos_base!$D$9,0))*parametros_manuales!$G$97+parametros_manuales!$E$26*(datos_base!$D$3+IF(parametros_manuales!$H$26="Todos",datos_base!$D$10,0))*parametros_manuales!$G$102+parametros_manuales!$F$26*(datos_base!$D$4+IF(parametros_manuales!$H$26="Todos",datos_base!$D$11,0))*parametros_manuales!$G$107+parametros_manuales!$G$26*(datos_base!$D$5+IF(parametros_manuales!$H$26="Todos",datos_base!$D$12,0))*parametros_manuales!$G$112)*parametros_manuales!$I$26*parametros_manuales!$J$26</f>
        <v>1644.02117519</v>
      </c>
      <c r="H65" s="14" t="n">
        <f aca="false">(parametros_manuales!$D$26*(datos_base!$D$2+IF(parametros_manuales!$H$26="Todos",datos_base!$D$9,0))*parametros_manuales!$H$97+parametros_manuales!$E$26*(datos_base!$D$3+IF(parametros_manuales!$H$26="Todos",datos_base!$D$10,0))*parametros_manuales!$H$102+parametros_manuales!$F$26*(datos_base!$D$4+IF(parametros_manuales!$H$26="Todos",datos_base!$D$11,0))*parametros_manuales!$H$107+parametros_manuales!$G$26*(datos_base!$D$5+IF(parametros_manuales!$H$26="Todos",datos_base!$D$12,0))*parametros_manuales!$H$112)*parametros_manuales!$I$26*parametros_manuales!$J$26</f>
        <v>1758.460636122</v>
      </c>
      <c r="I65" s="14" t="n">
        <f aca="false">(parametros_manuales!$D$26*(datos_base!$D$2+IF(parametros_manuales!$H$26="Todos",datos_base!$D$9,0))*parametros_manuales!$I$97+parametros_manuales!$E$26*(datos_base!$D$3+IF(parametros_manuales!$H$26="Todos",datos_base!$D$10,0))*parametros_manuales!$I$102+parametros_manuales!$F$26*(datos_base!$D$4+IF(parametros_manuales!$H$26="Todos",datos_base!$D$11,0))*parametros_manuales!$I$107+parametros_manuales!$G$26*(datos_base!$D$5+IF(parametros_manuales!$H$26="Todos",datos_base!$D$12,0))*parametros_manuales!$I$112)*parametros_manuales!$I$26*parametros_manuales!$J$26</f>
        <v>1976.172852492</v>
      </c>
      <c r="J65" s="14" t="n">
        <f aca="false">(parametros_manuales!$D$26*(datos_base!$D$2+IF(parametros_manuales!$H$26="Todos",datos_base!$D$9,0))*parametros_manuales!$J$97+parametros_manuales!$E$26*(datos_base!$D$3+IF(parametros_manuales!$H$26="Todos",datos_base!$D$10,0))*parametros_manuales!$J$102+parametros_manuales!$F$26*(datos_base!$D$4+IF(parametros_manuales!$H$26="Todos",datos_base!$D$11,0))*parametros_manuales!$J$107+parametros_manuales!$G$26*(datos_base!$D$5+IF(parametros_manuales!$H$26="Todos",datos_base!$D$12,0))*parametros_manuales!$J$112)*parametros_manuales!$I$26*parametros_manuales!$J$26</f>
        <v>1976.172852492</v>
      </c>
      <c r="K65" s="14" t="n">
        <f aca="false">(parametros_manuales!$D$26*(datos_base!$D$2+IF(parametros_manuales!$H$26="Todos",datos_base!$D$9,0))*parametros_manuales!$K$97+parametros_manuales!$E$26*(datos_base!$D$3+IF(parametros_manuales!$H$26="Todos",datos_base!$D$10,0))*parametros_manuales!$K$102+parametros_manuales!$F$26*(datos_base!$D$4+IF(parametros_manuales!$H$26="Todos",datos_base!$D$11,0))*parametros_manuales!$K$107+parametros_manuales!$G$26*(datos_base!$D$5+IF(parametros_manuales!$H$26="Todos",datos_base!$D$12,0))*parametros_manuales!$K$112)*parametros_manuales!$I$26*parametros_manuales!$J$26</f>
        <v>2018.041574634</v>
      </c>
      <c r="L65" s="14" t="n">
        <f aca="false">(parametros_manuales!$D$26*(datos_base!$D$2+IF(parametros_manuales!$H$26="Todos",datos_base!$D$9,0))*parametros_manuales!$L$97+parametros_manuales!$E$26*(datos_base!$D$3+IF(parametros_manuales!$H$26="Todos",datos_base!$D$10,0))*parametros_manuales!$L$102+parametros_manuales!$F$26*(datos_base!$D$4+IF(parametros_manuales!$H$26="Todos",datos_base!$D$11,0))*parametros_manuales!$L$107+parametros_manuales!$G$26*(datos_base!$D$5+IF(parametros_manuales!$H$26="Todos",datos_base!$D$12,0))*parametros_manuales!$L$112)*parametros_manuales!$I$26*parametros_manuales!$J$26</f>
        <v>2059.910296776</v>
      </c>
      <c r="M65" s="14" t="n">
        <f aca="false">(parametros_manuales!$D$26*(datos_base!$D$2+IF(parametros_manuales!$H$26="Todos",datos_base!$D$9,0))*parametros_manuales!$M$97+parametros_manuales!$E$26*(datos_base!$D$3+IF(parametros_manuales!$H$26="Todos",datos_base!$D$10,0))*parametros_manuales!$M$102+parametros_manuales!$F$26*(datos_base!$D$4+IF(parametros_manuales!$H$26="Todos",datos_base!$D$11,0))*parametros_manuales!$M$107+parametros_manuales!$G$26*(datos_base!$D$5+IF(parametros_manuales!$H$26="Todos",datos_base!$D$12,0))*parametros_manuales!$M$112)*parametros_manuales!$I$26*parametros_manuales!$J$26</f>
        <v>2059.910296776</v>
      </c>
      <c r="N65" s="14" t="n">
        <f aca="false">SUM(B65:M65)</f>
        <v>22887.8921864</v>
      </c>
      <c r="O65" s="14" t="n">
        <f aca="false">MAX(B65:M65)</f>
        <v>2059.910296776</v>
      </c>
      <c r="P65" s="57" t="n">
        <f aca="false">O65/(parametros_manuales!$B$7)</f>
        <v>13.73273531184</v>
      </c>
      <c r="Q65" s="13" t="str">
        <f aca="false">IF(O65=0,"-",INDEX($B$57:$M$57,MATCH(O65,B65:M65,0)))</f>
        <v>Ene</v>
      </c>
    </row>
    <row r="66" customFormat="false" ht="14.25" hidden="false" customHeight="true" outlineLevel="0" collapsed="false">
      <c r="A66" s="13" t="str">
        <f aca="false">parametros_manuales!$B$27</f>
        <v>Soldadura longitudinal — 2,5 a 10 kg</v>
      </c>
      <c r="B66" s="14" t="n">
        <f aca="false">(parametros_manuales!$D$27*(datos_base!$D$2+IF(parametros_manuales!$H$27="Todos",datos_base!$D$9,0))*parametros_manuales!$B$97+parametros_manuales!$E$27*(datos_base!$D$3+IF(parametros_manuales!$H$27="Todos",datos_base!$D$10,0))*parametros_manuales!$B$102+parametros_manuales!$F$27*(datos_base!$D$4+IF(parametros_manuales!$H$27="Todos",datos_base!$D$11,0))*parametros_manuales!$B$107+parametros_manuales!$G$27*(datos_base!$D$5+IF(parametros_manuales!$H$27="Todos",datos_base!$D$12,0))*parametros_manuales!$B$112)*parametros_manuales!$I$27*parametros_manuales!$J$27</f>
        <v>753.636998556</v>
      </c>
      <c r="C66" s="14" t="n">
        <f aca="false">(parametros_manuales!$D$27*(datos_base!$D$2+IF(parametros_manuales!$H$27="Todos",datos_base!$D$9,0))*parametros_manuales!$C$97+parametros_manuales!$E$27*(datos_base!$D$3+IF(parametros_manuales!$H$27="Todos",datos_base!$D$10,0))*parametros_manuales!$C$102+parametros_manuales!$F$27*(datos_base!$D$4+IF(parametros_manuales!$H$27="Todos",datos_base!$D$11,0))*parametros_manuales!$C$107+parametros_manuales!$G$27*(datos_base!$D$5+IF(parametros_manuales!$H$27="Todos",datos_base!$D$12,0))*parametros_manuales!$C$112)*parametros_manuales!$I$27*parametros_manuales!$J$27</f>
        <v>669.899554272</v>
      </c>
      <c r="D66" s="14" t="n">
        <f aca="false">(parametros_manuales!$D$27*(datos_base!$D$2+IF(parametros_manuales!$H$27="Todos",datos_base!$D$9,0))*parametros_manuales!$D$97+parametros_manuales!$E$27*(datos_base!$D$3+IF(parametros_manuales!$H$27="Todos",datos_base!$D$10,0))*parametros_manuales!$D$102+parametros_manuales!$F$27*(datos_base!$D$4+IF(parametros_manuales!$H$27="Todos",datos_base!$D$11,0))*parametros_manuales!$D$107+parametros_manuales!$G$27*(datos_base!$D$5+IF(parametros_manuales!$H$27="Todos",datos_base!$D$12,0))*parametros_manuales!$D$112)*parametros_manuales!$I$27*parametros_manuales!$J$27</f>
        <v>711.768276414</v>
      </c>
      <c r="E66" s="14" t="n">
        <f aca="false">(parametros_manuales!$D$27*(datos_base!$D$2+IF(parametros_manuales!$H$27="Todos",datos_base!$D$9,0))*parametros_manuales!$E$97+parametros_manuales!$E$27*(datos_base!$D$3+IF(parametros_manuales!$H$27="Todos",datos_base!$D$10,0))*parametros_manuales!$E$102+parametros_manuales!$F$27*(datos_base!$D$4+IF(parametros_manuales!$H$27="Todos",datos_base!$D$11,0))*parametros_manuales!$E$107+parametros_manuales!$G$27*(datos_base!$D$5+IF(parametros_manuales!$H$27="Todos",datos_base!$D$12,0))*parametros_manuales!$E$112)*parametros_manuales!$I$27*parametros_manuales!$J$27</f>
        <v>711.768276414</v>
      </c>
      <c r="F66" s="14" t="n">
        <f aca="false">(parametros_manuales!$D$27*(datos_base!$D$2+IF(parametros_manuales!$H$27="Todos",datos_base!$D$9,0))*parametros_manuales!$F$97+parametros_manuales!$E$27*(datos_base!$D$3+IF(parametros_manuales!$H$27="Todos",datos_base!$D$10,0))*parametros_manuales!$F$102+parametros_manuales!$F$27*(datos_base!$D$4+IF(parametros_manuales!$H$27="Todos",datos_base!$D$11,0))*parametros_manuales!$F$107+parametros_manuales!$G$27*(datos_base!$D$5+IF(parametros_manuales!$H$27="Todos",datos_base!$D$12,0))*parametros_manuales!$F$112)*parametros_manuales!$I$27*parametros_manuales!$J$27</f>
        <v>669.899554272</v>
      </c>
      <c r="G66" s="14" t="n">
        <f aca="false">(parametros_manuales!$D$27*(datos_base!$D$2+IF(parametros_manuales!$H$27="Todos",datos_base!$D$9,0))*parametros_manuales!$G$97+parametros_manuales!$E$27*(datos_base!$D$3+IF(parametros_manuales!$H$27="Todos",datos_base!$D$10,0))*parametros_manuales!$G$102+parametros_manuales!$F$27*(datos_base!$D$4+IF(parametros_manuales!$H$27="Todos",datos_base!$D$11,0))*parametros_manuales!$G$107+parametros_manuales!$G$27*(datos_base!$D$5+IF(parametros_manuales!$H$27="Todos",datos_base!$D$12,0))*parametros_manuales!$G$112)*parametros_manuales!$I$27*parametros_manuales!$J$27</f>
        <v>628.03083213</v>
      </c>
      <c r="H66" s="14" t="n">
        <f aca="false">(parametros_manuales!$D$27*(datos_base!$D$2+IF(parametros_manuales!$H$27="Todos",datos_base!$D$9,0))*parametros_manuales!$H$97+parametros_manuales!$E$27*(datos_base!$D$3+IF(parametros_manuales!$H$27="Todos",datos_base!$D$10,0))*parametros_manuales!$H$102+parametros_manuales!$F$27*(datos_base!$D$4+IF(parametros_manuales!$H$27="Todos",datos_base!$D$11,0))*parametros_manuales!$H$107+parametros_manuales!$G$27*(datos_base!$D$5+IF(parametros_manuales!$H$27="Todos",datos_base!$D$12,0))*parametros_manuales!$H$112)*parametros_manuales!$I$27*parametros_manuales!$J$27</f>
        <v>669.899554272</v>
      </c>
      <c r="I66" s="14" t="n">
        <f aca="false">(parametros_manuales!$D$27*(datos_base!$D$2+IF(parametros_manuales!$H$27="Todos",datos_base!$D$9,0))*parametros_manuales!$I$97+parametros_manuales!$E$27*(datos_base!$D$3+IF(parametros_manuales!$H$27="Todos",datos_base!$D$10,0))*parametros_manuales!$I$102+parametros_manuales!$F$27*(datos_base!$D$4+IF(parametros_manuales!$H$27="Todos",datos_base!$D$11,0))*parametros_manuales!$I$107+parametros_manuales!$G$27*(datos_base!$D$5+IF(parametros_manuales!$H$27="Todos",datos_base!$D$12,0))*parametros_manuales!$I$112)*parametros_manuales!$I$27*parametros_manuales!$J$27</f>
        <v>669.899554272</v>
      </c>
      <c r="J66" s="14" t="n">
        <f aca="false">(parametros_manuales!$D$27*(datos_base!$D$2+IF(parametros_manuales!$H$27="Todos",datos_base!$D$9,0))*parametros_manuales!$J$97+parametros_manuales!$E$27*(datos_base!$D$3+IF(parametros_manuales!$H$27="Todos",datos_base!$D$10,0))*parametros_manuales!$J$102+parametros_manuales!$F$27*(datos_base!$D$4+IF(parametros_manuales!$H$27="Todos",datos_base!$D$11,0))*parametros_manuales!$J$107+parametros_manuales!$G$27*(datos_base!$D$5+IF(parametros_manuales!$H$27="Todos",datos_base!$D$12,0))*parametros_manuales!$J$112)*parametros_manuales!$I$27*parametros_manuales!$J$27</f>
        <v>669.899554272</v>
      </c>
      <c r="K66" s="14" t="n">
        <f aca="false">(parametros_manuales!$D$27*(datos_base!$D$2+IF(parametros_manuales!$H$27="Todos",datos_base!$D$9,0))*parametros_manuales!$K$97+parametros_manuales!$E$27*(datos_base!$D$3+IF(parametros_manuales!$H$27="Todos",datos_base!$D$10,0))*parametros_manuales!$K$102+parametros_manuales!$F$27*(datos_base!$D$4+IF(parametros_manuales!$H$27="Todos",datos_base!$D$11,0))*parametros_manuales!$K$107+parametros_manuales!$G$27*(datos_base!$D$5+IF(parametros_manuales!$H$27="Todos",datos_base!$D$12,0))*parametros_manuales!$K$112)*parametros_manuales!$I$27*parametros_manuales!$J$27</f>
        <v>711.768276414</v>
      </c>
      <c r="L66" s="14" t="n">
        <f aca="false">(parametros_manuales!$D$27*(datos_base!$D$2+IF(parametros_manuales!$H$27="Todos",datos_base!$D$9,0))*parametros_manuales!$L$97+parametros_manuales!$E$27*(datos_base!$D$3+IF(parametros_manuales!$H$27="Todos",datos_base!$D$10,0))*parametros_manuales!$L$102+parametros_manuales!$F$27*(datos_base!$D$4+IF(parametros_manuales!$H$27="Todos",datos_base!$D$11,0))*parametros_manuales!$L$107+parametros_manuales!$G$27*(datos_base!$D$5+IF(parametros_manuales!$H$27="Todos",datos_base!$D$12,0))*parametros_manuales!$L$112)*parametros_manuales!$I$27*parametros_manuales!$J$27</f>
        <v>753.636998556</v>
      </c>
      <c r="M66" s="14" t="n">
        <f aca="false">(parametros_manuales!$D$27*(datos_base!$D$2+IF(parametros_manuales!$H$27="Todos",datos_base!$D$9,0))*parametros_manuales!$M$97+parametros_manuales!$E$27*(datos_base!$D$3+IF(parametros_manuales!$H$27="Todos",datos_base!$D$10,0))*parametros_manuales!$M$102+parametros_manuales!$F$27*(datos_base!$D$4+IF(parametros_manuales!$H$27="Todos",datos_base!$D$11,0))*parametros_manuales!$M$107+parametros_manuales!$G$27*(datos_base!$D$5+IF(parametros_manuales!$H$27="Todos",datos_base!$D$12,0))*parametros_manuales!$M$112)*parametros_manuales!$I$27*parametros_manuales!$J$27</f>
        <v>753.636998556</v>
      </c>
      <c r="N66" s="14" t="n">
        <f aca="false">SUM(B66:M66)</f>
        <v>8373.7444284</v>
      </c>
      <c r="O66" s="14" t="n">
        <f aca="false">MAX(B66:M66)</f>
        <v>753.636998556</v>
      </c>
      <c r="P66" s="57" t="n">
        <f aca="false">O66/(parametros_manuales!$B$7)</f>
        <v>5.02424665704</v>
      </c>
      <c r="Q66" s="13" t="str">
        <f aca="false">IF(O66=0,"-",INDEX($B$57:$M$57,MATCH(O66,B66:M66,0)))</f>
        <v>Ene</v>
      </c>
    </row>
    <row r="67" customFormat="false" ht="14.25" hidden="false" customHeight="true" outlineLevel="0" collapsed="false">
      <c r="A67" s="13" t="str">
        <f aca="false">parametros_manuales!$B$28</f>
        <v>Soldadura longitudinal TIG — 1 kg</v>
      </c>
      <c r="B67" s="14" t="n">
        <f aca="false">(parametros_manuales!$D$28*(datos_base!$D$2+IF(parametros_manuales!$H$28="Todos",datos_base!$D$9,0))*parametros_manuales!$B$97+parametros_manuales!$E$28*(datos_base!$D$3+IF(parametros_manuales!$H$28="Todos",datos_base!$D$10,0))*parametros_manuales!$B$102+parametros_manuales!$F$28*(datos_base!$D$4+IF(parametros_manuales!$H$28="Todos",datos_base!$D$11,0))*parametros_manuales!$B$107+parametros_manuales!$G$28*(datos_base!$D$5+IF(parametros_manuales!$H$28="Todos",datos_base!$D$12,0))*parametros_manuales!$B$112)*parametros_manuales!$I$28*parametros_manuales!$J$28</f>
        <v>1306.27329822</v>
      </c>
      <c r="C67" s="14" t="n">
        <f aca="false">(parametros_manuales!$D$28*(datos_base!$D$2+IF(parametros_manuales!$H$28="Todos",datos_base!$D$9,0))*parametros_manuales!$C$97+parametros_manuales!$E$28*(datos_base!$D$3+IF(parametros_manuales!$H$28="Todos",datos_base!$D$10,0))*parametros_manuales!$C$102+parametros_manuales!$F$28*(datos_base!$D$4+IF(parametros_manuales!$H$28="Todos",datos_base!$D$11,0))*parametros_manuales!$C$107+parametros_manuales!$G$28*(datos_base!$D$5+IF(parametros_manuales!$H$28="Todos",datos_base!$D$12,0))*parametros_manuales!$C$112)*parametros_manuales!$I$28*parametros_manuales!$J$28</f>
        <v>1306.27329822</v>
      </c>
      <c r="D67" s="14" t="n">
        <f aca="false">(parametros_manuales!$D$28*(datos_base!$D$2+IF(parametros_manuales!$H$28="Todos",datos_base!$D$9,0))*parametros_manuales!$D$97+parametros_manuales!$E$28*(datos_base!$D$3+IF(parametros_manuales!$H$28="Todos",datos_base!$D$10,0))*parametros_manuales!$D$102+parametros_manuales!$F$28*(datos_base!$D$4+IF(parametros_manuales!$H$28="Todos",datos_base!$D$11,0))*parametros_manuales!$D$107+parametros_manuales!$G$28*(datos_base!$D$5+IF(parametros_manuales!$H$28="Todos",datos_base!$D$12,0))*parametros_manuales!$D$112)*parametros_manuales!$I$28*parametros_manuales!$J$28</f>
        <v>1161.13182064</v>
      </c>
      <c r="E67" s="14" t="n">
        <f aca="false">(parametros_manuales!$D$28*(datos_base!$D$2+IF(parametros_manuales!$H$28="Todos",datos_base!$D$9,0))*parametros_manuales!$E$97+parametros_manuales!$E$28*(datos_base!$D$3+IF(parametros_manuales!$H$28="Todos",datos_base!$D$10,0))*parametros_manuales!$E$102+parametros_manuales!$F$28*(datos_base!$D$4+IF(parametros_manuales!$H$28="Todos",datos_base!$D$11,0))*parametros_manuales!$E$107+parametros_manuales!$G$28*(datos_base!$D$5+IF(parametros_manuales!$H$28="Todos",datos_base!$D$12,0))*parametros_manuales!$E$112)*parametros_manuales!$I$28*parametros_manuales!$J$28</f>
        <v>1088.56108185</v>
      </c>
      <c r="F67" s="14" t="n">
        <f aca="false">(parametros_manuales!$D$28*(datos_base!$D$2+IF(parametros_manuales!$H$28="Todos",datos_base!$D$9,0))*parametros_manuales!$F$97+parametros_manuales!$E$28*(datos_base!$D$3+IF(parametros_manuales!$H$28="Todos",datos_base!$D$10,0))*parametros_manuales!$F$102+parametros_manuales!$F$28*(datos_base!$D$4+IF(parametros_manuales!$H$28="Todos",datos_base!$D$11,0))*parametros_manuales!$F$107+parametros_manuales!$G$28*(datos_base!$D$5+IF(parametros_manuales!$H$28="Todos",datos_base!$D$12,0))*parametros_manuales!$F$112)*parametros_manuales!$I$28*parametros_manuales!$J$28</f>
        <v>1015.99034306</v>
      </c>
      <c r="G67" s="14" t="n">
        <f aca="false">(parametros_manuales!$D$28*(datos_base!$D$2+IF(parametros_manuales!$H$28="Todos",datos_base!$D$9,0))*parametros_manuales!$G$97+parametros_manuales!$E$28*(datos_base!$D$3+IF(parametros_manuales!$H$28="Todos",datos_base!$D$10,0))*parametros_manuales!$G$102+parametros_manuales!$F$28*(datos_base!$D$4+IF(parametros_manuales!$H$28="Todos",datos_base!$D$11,0))*parametros_manuales!$G$107+parametros_manuales!$G$28*(datos_base!$D$5+IF(parametros_manuales!$H$28="Todos",datos_base!$D$12,0))*parametros_manuales!$G$112)*parametros_manuales!$I$28*parametros_manuales!$J$28</f>
        <v>1015.99034306</v>
      </c>
      <c r="H67" s="14" t="n">
        <f aca="false">(parametros_manuales!$D$28*(datos_base!$D$2+IF(parametros_manuales!$H$28="Todos",datos_base!$D$9,0))*parametros_manuales!$H$97+parametros_manuales!$E$28*(datos_base!$D$3+IF(parametros_manuales!$H$28="Todos",datos_base!$D$10,0))*parametros_manuales!$H$102+parametros_manuales!$F$28*(datos_base!$D$4+IF(parametros_manuales!$H$28="Todos",datos_base!$D$11,0))*parametros_manuales!$H$107+parametros_manuales!$G$28*(datos_base!$D$5+IF(parametros_manuales!$H$28="Todos",datos_base!$D$12,0))*parametros_manuales!$H$112)*parametros_manuales!$I$28*parametros_manuales!$J$28</f>
        <v>1088.56108185</v>
      </c>
      <c r="I67" s="14" t="n">
        <f aca="false">(parametros_manuales!$D$28*(datos_base!$D$2+IF(parametros_manuales!$H$28="Todos",datos_base!$D$9,0))*parametros_manuales!$I$97+parametros_manuales!$E$28*(datos_base!$D$3+IF(parametros_manuales!$H$28="Todos",datos_base!$D$10,0))*parametros_manuales!$I$102+parametros_manuales!$F$28*(datos_base!$D$4+IF(parametros_manuales!$H$28="Todos",datos_base!$D$11,0))*parametros_manuales!$I$107+parametros_manuales!$G$28*(datos_base!$D$5+IF(parametros_manuales!$H$28="Todos",datos_base!$D$12,0))*parametros_manuales!$I$112)*parametros_manuales!$I$28*parametros_manuales!$J$28</f>
        <v>1306.27329822</v>
      </c>
      <c r="J67" s="14" t="n">
        <f aca="false">(parametros_manuales!$D$28*(datos_base!$D$2+IF(parametros_manuales!$H$28="Todos",datos_base!$D$9,0))*parametros_manuales!$J$97+parametros_manuales!$E$28*(datos_base!$D$3+IF(parametros_manuales!$H$28="Todos",datos_base!$D$10,0))*parametros_manuales!$J$102+parametros_manuales!$F$28*(datos_base!$D$4+IF(parametros_manuales!$H$28="Todos",datos_base!$D$11,0))*parametros_manuales!$J$107+parametros_manuales!$G$28*(datos_base!$D$5+IF(parametros_manuales!$H$28="Todos",datos_base!$D$12,0))*parametros_manuales!$J$112)*parametros_manuales!$I$28*parametros_manuales!$J$28</f>
        <v>1306.27329822</v>
      </c>
      <c r="K67" s="14" t="n">
        <f aca="false">(parametros_manuales!$D$28*(datos_base!$D$2+IF(parametros_manuales!$H$28="Todos",datos_base!$D$9,0))*parametros_manuales!$K$97+parametros_manuales!$E$28*(datos_base!$D$3+IF(parametros_manuales!$H$28="Todos",datos_base!$D$10,0))*parametros_manuales!$K$102+parametros_manuales!$F$28*(datos_base!$D$4+IF(parametros_manuales!$H$28="Todos",datos_base!$D$11,0))*parametros_manuales!$K$107+parametros_manuales!$G$28*(datos_base!$D$5+IF(parametros_manuales!$H$28="Todos",datos_base!$D$12,0))*parametros_manuales!$K$112)*parametros_manuales!$I$28*parametros_manuales!$J$28</f>
        <v>1306.27329822</v>
      </c>
      <c r="L67" s="14" t="n">
        <f aca="false">(parametros_manuales!$D$28*(datos_base!$D$2+IF(parametros_manuales!$H$28="Todos",datos_base!$D$9,0))*parametros_manuales!$L$97+parametros_manuales!$E$28*(datos_base!$D$3+IF(parametros_manuales!$H$28="Todos",datos_base!$D$10,0))*parametros_manuales!$L$102+parametros_manuales!$F$28*(datos_base!$D$4+IF(parametros_manuales!$H$28="Todos",datos_base!$D$11,0))*parametros_manuales!$L$107+parametros_manuales!$G$28*(datos_base!$D$5+IF(parametros_manuales!$H$28="Todos",datos_base!$D$12,0))*parametros_manuales!$L$112)*parametros_manuales!$I$28*parametros_manuales!$J$28</f>
        <v>1306.27329822</v>
      </c>
      <c r="M67" s="14" t="n">
        <f aca="false">(parametros_manuales!$D$28*(datos_base!$D$2+IF(parametros_manuales!$H$28="Todos",datos_base!$D$9,0))*parametros_manuales!$M$97+parametros_manuales!$E$28*(datos_base!$D$3+IF(parametros_manuales!$H$28="Todos",datos_base!$D$10,0))*parametros_manuales!$M$102+parametros_manuales!$F$28*(datos_base!$D$4+IF(parametros_manuales!$H$28="Todos",datos_base!$D$11,0))*parametros_manuales!$M$107+parametros_manuales!$G$28*(datos_base!$D$5+IF(parametros_manuales!$H$28="Todos",datos_base!$D$12,0))*parametros_manuales!$M$112)*parametros_manuales!$I$28*parametros_manuales!$J$28</f>
        <v>1306.27329822</v>
      </c>
      <c r="N67" s="14" t="n">
        <f aca="false">SUM(B67:M67)</f>
        <v>14514.147758</v>
      </c>
      <c r="O67" s="14" t="n">
        <f aca="false">MAX(B67:M67)</f>
        <v>1306.27329822</v>
      </c>
      <c r="P67" s="57" t="n">
        <f aca="false">O67/(parametros_manuales!$B$7)</f>
        <v>8.7084886548</v>
      </c>
      <c r="Q67" s="13" t="str">
        <f aca="false">IF(O67=0,"-",INDEX($B$57:$M$57,MATCH(O67,B67:M67,0)))</f>
        <v>Ene</v>
      </c>
    </row>
    <row r="68" customFormat="false" ht="14.25" hidden="false" customHeight="true" outlineLevel="0" collapsed="false">
      <c r="A68" s="13" t="str">
        <f aca="false">parametros_manuales!$B$29</f>
        <v>Encastre de fondo</v>
      </c>
      <c r="B68" s="14" t="n">
        <f aca="false">(parametros_manuales!$D$29*(datos_base!$D$2+IF(parametros_manuales!$H$29="Todos",datos_base!$D$9,0))*parametros_manuales!$B$97+parametros_manuales!$E$29*(datos_base!$D$3+IF(parametros_manuales!$H$29="Todos",datos_base!$D$10,0))*parametros_manuales!$B$102+parametros_manuales!$F$29*(datos_base!$D$4+IF(parametros_manuales!$H$29="Todos",datos_base!$D$11,0))*parametros_manuales!$B$107+parametros_manuales!$G$29*(datos_base!$D$5+IF(parametros_manuales!$H$29="Todos",datos_base!$D$12,0))*parametros_manuales!$B$112)*parametros_manuales!$I$29*parametros_manuales!$J$29</f>
        <v>2059.910296776</v>
      </c>
      <c r="C68" s="14" t="n">
        <f aca="false">(parametros_manuales!$D$29*(datos_base!$D$2+IF(parametros_manuales!$H$29="Todos",datos_base!$D$9,0))*parametros_manuales!$C$97+parametros_manuales!$E$29*(datos_base!$D$3+IF(parametros_manuales!$H$29="Todos",datos_base!$D$10,0))*parametros_manuales!$C$102+parametros_manuales!$F$29*(datos_base!$D$4+IF(parametros_manuales!$H$29="Todos",datos_base!$D$11,0))*parametros_manuales!$C$107+parametros_manuales!$G$29*(datos_base!$D$5+IF(parametros_manuales!$H$29="Todos",datos_base!$D$12,0))*parametros_manuales!$C$112)*parametros_manuales!$I$29*parametros_manuales!$J$29</f>
        <v>1976.172852492</v>
      </c>
      <c r="D68" s="14" t="n">
        <f aca="false">(parametros_manuales!$D$29*(datos_base!$D$2+IF(parametros_manuales!$H$29="Todos",datos_base!$D$9,0))*parametros_manuales!$D$97+parametros_manuales!$E$29*(datos_base!$D$3+IF(parametros_manuales!$H$29="Todos",datos_base!$D$10,0))*parametros_manuales!$D$102+parametros_manuales!$F$29*(datos_base!$D$4+IF(parametros_manuales!$H$29="Todos",datos_base!$D$11,0))*parametros_manuales!$D$107+parametros_manuales!$G$29*(datos_base!$D$5+IF(parametros_manuales!$H$29="Todos",datos_base!$D$12,0))*parametros_manuales!$D$112)*parametros_manuales!$I$29*parametros_manuales!$J$29</f>
        <v>1872.900097054</v>
      </c>
      <c r="E68" s="14" t="n">
        <f aca="false">(parametros_manuales!$D$29*(datos_base!$D$2+IF(parametros_manuales!$H$29="Todos",datos_base!$D$9,0))*parametros_manuales!$E$97+parametros_manuales!$E$29*(datos_base!$D$3+IF(parametros_manuales!$H$29="Todos",datos_base!$D$10,0))*parametros_manuales!$E$102+parametros_manuales!$F$29*(datos_base!$D$4+IF(parametros_manuales!$H$29="Todos",datos_base!$D$11,0))*parametros_manuales!$E$107+parametros_manuales!$G$29*(datos_base!$D$5+IF(parametros_manuales!$H$29="Todos",datos_base!$D$12,0))*parametros_manuales!$E$112)*parametros_manuales!$I$29*parametros_manuales!$J$29</f>
        <v>1800.329358264</v>
      </c>
      <c r="F68" s="14" t="n">
        <f aca="false">(parametros_manuales!$D$29*(datos_base!$D$2+IF(parametros_manuales!$H$29="Todos",datos_base!$D$9,0))*parametros_manuales!$F$97+parametros_manuales!$E$29*(datos_base!$D$3+IF(parametros_manuales!$H$29="Todos",datos_base!$D$10,0))*parametros_manuales!$F$102+parametros_manuales!$F$29*(datos_base!$D$4+IF(parametros_manuales!$H$29="Todos",datos_base!$D$11,0))*parametros_manuales!$F$107+parametros_manuales!$G$29*(datos_base!$D$5+IF(parametros_manuales!$H$29="Todos",datos_base!$D$12,0))*parametros_manuales!$F$112)*parametros_manuales!$I$29*parametros_manuales!$J$29</f>
        <v>1685.889897332</v>
      </c>
      <c r="G68" s="14" t="n">
        <f aca="false">(parametros_manuales!$D$29*(datos_base!$D$2+IF(parametros_manuales!$H$29="Todos",datos_base!$D$9,0))*parametros_manuales!$G$97+parametros_manuales!$E$29*(datos_base!$D$3+IF(parametros_manuales!$H$29="Todos",datos_base!$D$10,0))*parametros_manuales!$G$102+parametros_manuales!$F$29*(datos_base!$D$4+IF(parametros_manuales!$H$29="Todos",datos_base!$D$11,0))*parametros_manuales!$G$107+parametros_manuales!$G$29*(datos_base!$D$5+IF(parametros_manuales!$H$29="Todos",datos_base!$D$12,0))*parametros_manuales!$G$112)*parametros_manuales!$I$29*parametros_manuales!$J$29</f>
        <v>1644.02117519</v>
      </c>
      <c r="H68" s="14" t="n">
        <f aca="false">(parametros_manuales!$D$29*(datos_base!$D$2+IF(parametros_manuales!$H$29="Todos",datos_base!$D$9,0))*parametros_manuales!$H$97+parametros_manuales!$E$29*(datos_base!$D$3+IF(parametros_manuales!$H$29="Todos",datos_base!$D$10,0))*parametros_manuales!$H$102+parametros_manuales!$F$29*(datos_base!$D$4+IF(parametros_manuales!$H$29="Todos",datos_base!$D$11,0))*parametros_manuales!$H$107+parametros_manuales!$G$29*(datos_base!$D$5+IF(parametros_manuales!$H$29="Todos",datos_base!$D$12,0))*parametros_manuales!$H$112)*parametros_manuales!$I$29*parametros_manuales!$J$29</f>
        <v>1758.460636122</v>
      </c>
      <c r="I68" s="14" t="n">
        <f aca="false">(parametros_manuales!$D$29*(datos_base!$D$2+IF(parametros_manuales!$H$29="Todos",datos_base!$D$9,0))*parametros_manuales!$I$97+parametros_manuales!$E$29*(datos_base!$D$3+IF(parametros_manuales!$H$29="Todos",datos_base!$D$10,0))*parametros_manuales!$I$102+parametros_manuales!$F$29*(datos_base!$D$4+IF(parametros_manuales!$H$29="Todos",datos_base!$D$11,0))*parametros_manuales!$I$107+parametros_manuales!$G$29*(datos_base!$D$5+IF(parametros_manuales!$H$29="Todos",datos_base!$D$12,0))*parametros_manuales!$I$112)*parametros_manuales!$I$29*parametros_manuales!$J$29</f>
        <v>1976.172852492</v>
      </c>
      <c r="J68" s="14" t="n">
        <f aca="false">(parametros_manuales!$D$29*(datos_base!$D$2+IF(parametros_manuales!$H$29="Todos",datos_base!$D$9,0))*parametros_manuales!$J$97+parametros_manuales!$E$29*(datos_base!$D$3+IF(parametros_manuales!$H$29="Todos",datos_base!$D$10,0))*parametros_manuales!$J$102+parametros_manuales!$F$29*(datos_base!$D$4+IF(parametros_manuales!$H$29="Todos",datos_base!$D$11,0))*parametros_manuales!$J$107+parametros_manuales!$G$29*(datos_base!$D$5+IF(parametros_manuales!$H$29="Todos",datos_base!$D$12,0))*parametros_manuales!$J$112)*parametros_manuales!$I$29*parametros_manuales!$J$29</f>
        <v>1976.172852492</v>
      </c>
      <c r="K68" s="14" t="n">
        <f aca="false">(parametros_manuales!$D$29*(datos_base!$D$2+IF(parametros_manuales!$H$29="Todos",datos_base!$D$9,0))*parametros_manuales!$K$97+parametros_manuales!$E$29*(datos_base!$D$3+IF(parametros_manuales!$H$29="Todos",datos_base!$D$10,0))*parametros_manuales!$K$102+parametros_manuales!$F$29*(datos_base!$D$4+IF(parametros_manuales!$H$29="Todos",datos_base!$D$11,0))*parametros_manuales!$K$107+parametros_manuales!$G$29*(datos_base!$D$5+IF(parametros_manuales!$H$29="Todos",datos_base!$D$12,0))*parametros_manuales!$K$112)*parametros_manuales!$I$29*parametros_manuales!$J$29</f>
        <v>2018.041574634</v>
      </c>
      <c r="L68" s="14" t="n">
        <f aca="false">(parametros_manuales!$D$29*(datos_base!$D$2+IF(parametros_manuales!$H$29="Todos",datos_base!$D$9,0))*parametros_manuales!$L$97+parametros_manuales!$E$29*(datos_base!$D$3+IF(parametros_manuales!$H$29="Todos",datos_base!$D$10,0))*parametros_manuales!$L$102+parametros_manuales!$F$29*(datos_base!$D$4+IF(parametros_manuales!$H$29="Todos",datos_base!$D$11,0))*parametros_manuales!$L$107+parametros_manuales!$G$29*(datos_base!$D$5+IF(parametros_manuales!$H$29="Todos",datos_base!$D$12,0))*parametros_manuales!$L$112)*parametros_manuales!$I$29*parametros_manuales!$J$29</f>
        <v>2059.910296776</v>
      </c>
      <c r="M68" s="14" t="n">
        <f aca="false">(parametros_manuales!$D$29*(datos_base!$D$2+IF(parametros_manuales!$H$29="Todos",datos_base!$D$9,0))*parametros_manuales!$M$97+parametros_manuales!$E$29*(datos_base!$D$3+IF(parametros_manuales!$H$29="Todos",datos_base!$D$10,0))*parametros_manuales!$M$102+parametros_manuales!$F$29*(datos_base!$D$4+IF(parametros_manuales!$H$29="Todos",datos_base!$D$11,0))*parametros_manuales!$M$107+parametros_manuales!$G$29*(datos_base!$D$5+IF(parametros_manuales!$H$29="Todos",datos_base!$D$12,0))*parametros_manuales!$M$112)*parametros_manuales!$I$29*parametros_manuales!$J$29</f>
        <v>2059.910296776</v>
      </c>
      <c r="N68" s="14" t="n">
        <f aca="false">SUM(B68:M68)</f>
        <v>22887.8921864</v>
      </c>
      <c r="O68" s="14" t="n">
        <f aca="false">MAX(B68:M68)</f>
        <v>2059.910296776</v>
      </c>
      <c r="P68" s="57" t="n">
        <f aca="false">O68/(parametros_manuales!$B$7)</f>
        <v>13.73273531184</v>
      </c>
      <c r="Q68" s="13" t="str">
        <f aca="false">IF(O68=0,"-",INDEX($B$57:$M$57,MATCH(O68,B68:M68,0)))</f>
        <v>Ene</v>
      </c>
    </row>
    <row r="69" customFormat="false" ht="14.25" hidden="false" customHeight="true" outlineLevel="0" collapsed="false">
      <c r="A69" s="13" t="str">
        <f aca="false">parametros_manuales!$B$30</f>
        <v>Bordoneado</v>
      </c>
      <c r="B69" s="14" t="n">
        <f aca="false">(parametros_manuales!$D$30*(datos_base!$D$2+IF(parametros_manuales!$H$30="Todos",datos_base!$D$9,0))*parametros_manuales!$B$97+parametros_manuales!$E$30*(datos_base!$D$3+IF(parametros_manuales!$H$30="Todos",datos_base!$D$10,0))*parametros_manuales!$B$102+parametros_manuales!$F$30*(datos_base!$D$4+IF(parametros_manuales!$H$30="Todos",datos_base!$D$11,0))*parametros_manuales!$B$107+parametros_manuales!$G$30*(datos_base!$D$5+IF(parametros_manuales!$H$30="Todos",datos_base!$D$12,0))*parametros_manuales!$B$112)*parametros_manuales!$I$30*parametros_manuales!$J$30</f>
        <v>2059.910296776</v>
      </c>
      <c r="C69" s="14" t="n">
        <f aca="false">(parametros_manuales!$D$30*(datos_base!$D$2+IF(parametros_manuales!$H$30="Todos",datos_base!$D$9,0))*parametros_manuales!$C$97+parametros_manuales!$E$30*(datos_base!$D$3+IF(parametros_manuales!$H$30="Todos",datos_base!$D$10,0))*parametros_manuales!$C$102+parametros_manuales!$F$30*(datos_base!$D$4+IF(parametros_manuales!$H$30="Todos",datos_base!$D$11,0))*parametros_manuales!$C$107+parametros_manuales!$G$30*(datos_base!$D$5+IF(parametros_manuales!$H$30="Todos",datos_base!$D$12,0))*parametros_manuales!$C$112)*parametros_manuales!$I$30*parametros_manuales!$J$30</f>
        <v>1976.172852492</v>
      </c>
      <c r="D69" s="14" t="n">
        <f aca="false">(parametros_manuales!$D$30*(datos_base!$D$2+IF(parametros_manuales!$H$30="Todos",datos_base!$D$9,0))*parametros_manuales!$D$97+parametros_manuales!$E$30*(datos_base!$D$3+IF(parametros_manuales!$H$30="Todos",datos_base!$D$10,0))*parametros_manuales!$D$102+parametros_manuales!$F$30*(datos_base!$D$4+IF(parametros_manuales!$H$30="Todos",datos_base!$D$11,0))*parametros_manuales!$D$107+parametros_manuales!$G$30*(datos_base!$D$5+IF(parametros_manuales!$H$30="Todos",datos_base!$D$12,0))*parametros_manuales!$D$112)*parametros_manuales!$I$30*parametros_manuales!$J$30</f>
        <v>1872.900097054</v>
      </c>
      <c r="E69" s="14" t="n">
        <f aca="false">(parametros_manuales!$D$30*(datos_base!$D$2+IF(parametros_manuales!$H$30="Todos",datos_base!$D$9,0))*parametros_manuales!$E$97+parametros_manuales!$E$30*(datos_base!$D$3+IF(parametros_manuales!$H$30="Todos",datos_base!$D$10,0))*parametros_manuales!$E$102+parametros_manuales!$F$30*(datos_base!$D$4+IF(parametros_manuales!$H$30="Todos",datos_base!$D$11,0))*parametros_manuales!$E$107+parametros_manuales!$G$30*(datos_base!$D$5+IF(parametros_manuales!$H$30="Todos",datos_base!$D$12,0))*parametros_manuales!$E$112)*parametros_manuales!$I$30*parametros_manuales!$J$30</f>
        <v>1800.329358264</v>
      </c>
      <c r="F69" s="14" t="n">
        <f aca="false">(parametros_manuales!$D$30*(datos_base!$D$2+IF(parametros_manuales!$H$30="Todos",datos_base!$D$9,0))*parametros_manuales!$F$97+parametros_manuales!$E$30*(datos_base!$D$3+IF(parametros_manuales!$H$30="Todos",datos_base!$D$10,0))*parametros_manuales!$F$102+parametros_manuales!$F$30*(datos_base!$D$4+IF(parametros_manuales!$H$30="Todos",datos_base!$D$11,0))*parametros_manuales!$F$107+parametros_manuales!$G$30*(datos_base!$D$5+IF(parametros_manuales!$H$30="Todos",datos_base!$D$12,0))*parametros_manuales!$F$112)*parametros_manuales!$I$30*parametros_manuales!$J$30</f>
        <v>1685.889897332</v>
      </c>
      <c r="G69" s="14" t="n">
        <f aca="false">(parametros_manuales!$D$30*(datos_base!$D$2+IF(parametros_manuales!$H$30="Todos",datos_base!$D$9,0))*parametros_manuales!$G$97+parametros_manuales!$E$30*(datos_base!$D$3+IF(parametros_manuales!$H$30="Todos",datos_base!$D$10,0))*parametros_manuales!$G$102+parametros_manuales!$F$30*(datos_base!$D$4+IF(parametros_manuales!$H$30="Todos",datos_base!$D$11,0))*parametros_manuales!$G$107+parametros_manuales!$G$30*(datos_base!$D$5+IF(parametros_manuales!$H$30="Todos",datos_base!$D$12,0))*parametros_manuales!$G$112)*parametros_manuales!$I$30*parametros_manuales!$J$30</f>
        <v>1644.02117519</v>
      </c>
      <c r="H69" s="14" t="n">
        <f aca="false">(parametros_manuales!$D$30*(datos_base!$D$2+IF(parametros_manuales!$H$30="Todos",datos_base!$D$9,0))*parametros_manuales!$H$97+parametros_manuales!$E$30*(datos_base!$D$3+IF(parametros_manuales!$H$30="Todos",datos_base!$D$10,0))*parametros_manuales!$H$102+parametros_manuales!$F$30*(datos_base!$D$4+IF(parametros_manuales!$H$30="Todos",datos_base!$D$11,0))*parametros_manuales!$H$107+parametros_manuales!$G$30*(datos_base!$D$5+IF(parametros_manuales!$H$30="Todos",datos_base!$D$12,0))*parametros_manuales!$H$112)*parametros_manuales!$I$30*parametros_manuales!$J$30</f>
        <v>1758.460636122</v>
      </c>
      <c r="I69" s="14" t="n">
        <f aca="false">(parametros_manuales!$D$30*(datos_base!$D$2+IF(parametros_manuales!$H$30="Todos",datos_base!$D$9,0))*parametros_manuales!$I$97+parametros_manuales!$E$30*(datos_base!$D$3+IF(parametros_manuales!$H$30="Todos",datos_base!$D$10,0))*parametros_manuales!$I$102+parametros_manuales!$F$30*(datos_base!$D$4+IF(parametros_manuales!$H$30="Todos",datos_base!$D$11,0))*parametros_manuales!$I$107+parametros_manuales!$G$30*(datos_base!$D$5+IF(parametros_manuales!$H$30="Todos",datos_base!$D$12,0))*parametros_manuales!$I$112)*parametros_manuales!$I$30*parametros_manuales!$J$30</f>
        <v>1976.172852492</v>
      </c>
      <c r="J69" s="14" t="n">
        <f aca="false">(parametros_manuales!$D$30*(datos_base!$D$2+IF(parametros_manuales!$H$30="Todos",datos_base!$D$9,0))*parametros_manuales!$J$97+parametros_manuales!$E$30*(datos_base!$D$3+IF(parametros_manuales!$H$30="Todos",datos_base!$D$10,0))*parametros_manuales!$J$102+parametros_manuales!$F$30*(datos_base!$D$4+IF(parametros_manuales!$H$30="Todos",datos_base!$D$11,0))*parametros_manuales!$J$107+parametros_manuales!$G$30*(datos_base!$D$5+IF(parametros_manuales!$H$30="Todos",datos_base!$D$12,0))*parametros_manuales!$J$112)*parametros_manuales!$I$30*parametros_manuales!$J$30</f>
        <v>1976.172852492</v>
      </c>
      <c r="K69" s="14" t="n">
        <f aca="false">(parametros_manuales!$D$30*(datos_base!$D$2+IF(parametros_manuales!$H$30="Todos",datos_base!$D$9,0))*parametros_manuales!$K$97+parametros_manuales!$E$30*(datos_base!$D$3+IF(parametros_manuales!$H$30="Todos",datos_base!$D$10,0))*parametros_manuales!$K$102+parametros_manuales!$F$30*(datos_base!$D$4+IF(parametros_manuales!$H$30="Todos",datos_base!$D$11,0))*parametros_manuales!$K$107+parametros_manuales!$G$30*(datos_base!$D$5+IF(parametros_manuales!$H$30="Todos",datos_base!$D$12,0))*parametros_manuales!$K$112)*parametros_manuales!$I$30*parametros_manuales!$J$30</f>
        <v>2018.041574634</v>
      </c>
      <c r="L69" s="14" t="n">
        <f aca="false">(parametros_manuales!$D$30*(datos_base!$D$2+IF(parametros_manuales!$H$30="Todos",datos_base!$D$9,0))*parametros_manuales!$L$97+parametros_manuales!$E$30*(datos_base!$D$3+IF(parametros_manuales!$H$30="Todos",datos_base!$D$10,0))*parametros_manuales!$L$102+parametros_manuales!$F$30*(datos_base!$D$4+IF(parametros_manuales!$H$30="Todos",datos_base!$D$11,0))*parametros_manuales!$L$107+parametros_manuales!$G$30*(datos_base!$D$5+IF(parametros_manuales!$H$30="Todos",datos_base!$D$12,0))*parametros_manuales!$L$112)*parametros_manuales!$I$30*parametros_manuales!$J$30</f>
        <v>2059.910296776</v>
      </c>
      <c r="M69" s="14" t="n">
        <f aca="false">(parametros_manuales!$D$30*(datos_base!$D$2+IF(parametros_manuales!$H$30="Todos",datos_base!$D$9,0))*parametros_manuales!$M$97+parametros_manuales!$E$30*(datos_base!$D$3+IF(parametros_manuales!$H$30="Todos",datos_base!$D$10,0))*parametros_manuales!$M$102+parametros_manuales!$F$30*(datos_base!$D$4+IF(parametros_manuales!$H$30="Todos",datos_base!$D$11,0))*parametros_manuales!$M$107+parametros_manuales!$G$30*(datos_base!$D$5+IF(parametros_manuales!$H$30="Todos",datos_base!$D$12,0))*parametros_manuales!$M$112)*parametros_manuales!$I$30*parametros_manuales!$J$30</f>
        <v>2059.910296776</v>
      </c>
      <c r="N69" s="14" t="n">
        <f aca="false">SUM(B69:M69)</f>
        <v>22887.8921864</v>
      </c>
      <c r="O69" s="14" t="n">
        <f aca="false">MAX(B69:M69)</f>
        <v>2059.910296776</v>
      </c>
      <c r="P69" s="57" t="n">
        <f aca="false">O69/(parametros_manuales!$B$7)</f>
        <v>13.73273531184</v>
      </c>
      <c r="Q69" s="13" t="str">
        <f aca="false">IF(O69=0,"-",INDEX($B$57:$M$57,MATCH(O69,B69:M69,0)))</f>
        <v>Ene</v>
      </c>
    </row>
    <row r="70" customFormat="false" ht="14.25" hidden="false" customHeight="true" outlineLevel="0" collapsed="false">
      <c r="A70" s="13" t="str">
        <f aca="false">parametros_manuales!$B$31</f>
        <v>Soldadura circunferencial de cúpula y fondo</v>
      </c>
      <c r="B70" s="14" t="n">
        <f aca="false">(parametros_manuales!$D$31*(datos_base!$D$2+IF(parametros_manuales!$H$31="Todos",datos_base!$D$9,0))*parametros_manuales!$B$97+parametros_manuales!$E$31*(datos_base!$D$3+IF(parametros_manuales!$H$31="Todos",datos_base!$D$10,0))*parametros_manuales!$B$102+parametros_manuales!$F$31*(datos_base!$D$4+IF(parametros_manuales!$H$31="Todos",datos_base!$D$11,0))*parametros_manuales!$B$107+parametros_manuales!$G$31*(datos_base!$D$5+IF(parametros_manuales!$H$31="Todos",datos_base!$D$12,0))*parametros_manuales!$B$112)*parametros_manuales!$I$31*parametros_manuales!$J$31</f>
        <v>2059.910296776</v>
      </c>
      <c r="C70" s="14" t="n">
        <f aca="false">(parametros_manuales!$D$31*(datos_base!$D$2+IF(parametros_manuales!$H$31="Todos",datos_base!$D$9,0))*parametros_manuales!$C$97+parametros_manuales!$E$31*(datos_base!$D$3+IF(parametros_manuales!$H$31="Todos",datos_base!$D$10,0))*parametros_manuales!$C$102+parametros_manuales!$F$31*(datos_base!$D$4+IF(parametros_manuales!$H$31="Todos",datos_base!$D$11,0))*parametros_manuales!$C$107+parametros_manuales!$G$31*(datos_base!$D$5+IF(parametros_manuales!$H$31="Todos",datos_base!$D$12,0))*parametros_manuales!$C$112)*parametros_manuales!$I$31*parametros_manuales!$J$31</f>
        <v>1976.172852492</v>
      </c>
      <c r="D70" s="14" t="n">
        <f aca="false">(parametros_manuales!$D$31*(datos_base!$D$2+IF(parametros_manuales!$H$31="Todos",datos_base!$D$9,0))*parametros_manuales!$D$97+parametros_manuales!$E$31*(datos_base!$D$3+IF(parametros_manuales!$H$31="Todos",datos_base!$D$10,0))*parametros_manuales!$D$102+parametros_manuales!$F$31*(datos_base!$D$4+IF(parametros_manuales!$H$31="Todos",datos_base!$D$11,0))*parametros_manuales!$D$107+parametros_manuales!$G$31*(datos_base!$D$5+IF(parametros_manuales!$H$31="Todos",datos_base!$D$12,0))*parametros_manuales!$D$112)*parametros_manuales!$I$31*parametros_manuales!$J$31</f>
        <v>1872.900097054</v>
      </c>
      <c r="E70" s="14" t="n">
        <f aca="false">(parametros_manuales!$D$31*(datos_base!$D$2+IF(parametros_manuales!$H$31="Todos",datos_base!$D$9,0))*parametros_manuales!$E$97+parametros_manuales!$E$31*(datos_base!$D$3+IF(parametros_manuales!$H$31="Todos",datos_base!$D$10,0))*parametros_manuales!$E$102+parametros_manuales!$F$31*(datos_base!$D$4+IF(parametros_manuales!$H$31="Todos",datos_base!$D$11,0))*parametros_manuales!$E$107+parametros_manuales!$G$31*(datos_base!$D$5+IF(parametros_manuales!$H$31="Todos",datos_base!$D$12,0))*parametros_manuales!$E$112)*parametros_manuales!$I$31*parametros_manuales!$J$31</f>
        <v>1800.329358264</v>
      </c>
      <c r="F70" s="14" t="n">
        <f aca="false">(parametros_manuales!$D$31*(datos_base!$D$2+IF(parametros_manuales!$H$31="Todos",datos_base!$D$9,0))*parametros_manuales!$F$97+parametros_manuales!$E$31*(datos_base!$D$3+IF(parametros_manuales!$H$31="Todos",datos_base!$D$10,0))*parametros_manuales!$F$102+parametros_manuales!$F$31*(datos_base!$D$4+IF(parametros_manuales!$H$31="Todos",datos_base!$D$11,0))*parametros_manuales!$F$107+parametros_manuales!$G$31*(datos_base!$D$5+IF(parametros_manuales!$H$31="Todos",datos_base!$D$12,0))*parametros_manuales!$F$112)*parametros_manuales!$I$31*parametros_manuales!$J$31</f>
        <v>1685.889897332</v>
      </c>
      <c r="G70" s="14" t="n">
        <f aca="false">(parametros_manuales!$D$31*(datos_base!$D$2+IF(parametros_manuales!$H$31="Todos",datos_base!$D$9,0))*parametros_manuales!$G$97+parametros_manuales!$E$31*(datos_base!$D$3+IF(parametros_manuales!$H$31="Todos",datos_base!$D$10,0))*parametros_manuales!$G$102+parametros_manuales!$F$31*(datos_base!$D$4+IF(parametros_manuales!$H$31="Todos",datos_base!$D$11,0))*parametros_manuales!$G$107+parametros_manuales!$G$31*(datos_base!$D$5+IF(parametros_manuales!$H$31="Todos",datos_base!$D$12,0))*parametros_manuales!$G$112)*parametros_manuales!$I$31*parametros_manuales!$J$31</f>
        <v>1644.02117519</v>
      </c>
      <c r="H70" s="14" t="n">
        <f aca="false">(parametros_manuales!$D$31*(datos_base!$D$2+IF(parametros_manuales!$H$31="Todos",datos_base!$D$9,0))*parametros_manuales!$H$97+parametros_manuales!$E$31*(datos_base!$D$3+IF(parametros_manuales!$H$31="Todos",datos_base!$D$10,0))*parametros_manuales!$H$102+parametros_manuales!$F$31*(datos_base!$D$4+IF(parametros_manuales!$H$31="Todos",datos_base!$D$11,0))*parametros_manuales!$H$107+parametros_manuales!$G$31*(datos_base!$D$5+IF(parametros_manuales!$H$31="Todos",datos_base!$D$12,0))*parametros_manuales!$H$112)*parametros_manuales!$I$31*parametros_manuales!$J$31</f>
        <v>1758.460636122</v>
      </c>
      <c r="I70" s="14" t="n">
        <f aca="false">(parametros_manuales!$D$31*(datos_base!$D$2+IF(parametros_manuales!$H$31="Todos",datos_base!$D$9,0))*parametros_manuales!$I$97+parametros_manuales!$E$31*(datos_base!$D$3+IF(parametros_manuales!$H$31="Todos",datos_base!$D$10,0))*parametros_manuales!$I$102+parametros_manuales!$F$31*(datos_base!$D$4+IF(parametros_manuales!$H$31="Todos",datos_base!$D$11,0))*parametros_manuales!$I$107+parametros_manuales!$G$31*(datos_base!$D$5+IF(parametros_manuales!$H$31="Todos",datos_base!$D$12,0))*parametros_manuales!$I$112)*parametros_manuales!$I$31*parametros_manuales!$J$31</f>
        <v>1976.172852492</v>
      </c>
      <c r="J70" s="14" t="n">
        <f aca="false">(parametros_manuales!$D$31*(datos_base!$D$2+IF(parametros_manuales!$H$31="Todos",datos_base!$D$9,0))*parametros_manuales!$J$97+parametros_manuales!$E$31*(datos_base!$D$3+IF(parametros_manuales!$H$31="Todos",datos_base!$D$10,0))*parametros_manuales!$J$102+parametros_manuales!$F$31*(datos_base!$D$4+IF(parametros_manuales!$H$31="Todos",datos_base!$D$11,0))*parametros_manuales!$J$107+parametros_manuales!$G$31*(datos_base!$D$5+IF(parametros_manuales!$H$31="Todos",datos_base!$D$12,0))*parametros_manuales!$J$112)*parametros_manuales!$I$31*parametros_manuales!$J$31</f>
        <v>1976.172852492</v>
      </c>
      <c r="K70" s="14" t="n">
        <f aca="false">(parametros_manuales!$D$31*(datos_base!$D$2+IF(parametros_manuales!$H$31="Todos",datos_base!$D$9,0))*parametros_manuales!$K$97+parametros_manuales!$E$31*(datos_base!$D$3+IF(parametros_manuales!$H$31="Todos",datos_base!$D$10,0))*parametros_manuales!$K$102+parametros_manuales!$F$31*(datos_base!$D$4+IF(parametros_manuales!$H$31="Todos",datos_base!$D$11,0))*parametros_manuales!$K$107+parametros_manuales!$G$31*(datos_base!$D$5+IF(parametros_manuales!$H$31="Todos",datos_base!$D$12,0))*parametros_manuales!$K$112)*parametros_manuales!$I$31*parametros_manuales!$J$31</f>
        <v>2018.041574634</v>
      </c>
      <c r="L70" s="14" t="n">
        <f aca="false">(parametros_manuales!$D$31*(datos_base!$D$2+IF(parametros_manuales!$H$31="Todos",datos_base!$D$9,0))*parametros_manuales!$L$97+parametros_manuales!$E$31*(datos_base!$D$3+IF(parametros_manuales!$H$31="Todos",datos_base!$D$10,0))*parametros_manuales!$L$102+parametros_manuales!$F$31*(datos_base!$D$4+IF(parametros_manuales!$H$31="Todos",datos_base!$D$11,0))*parametros_manuales!$L$107+parametros_manuales!$G$31*(datos_base!$D$5+IF(parametros_manuales!$H$31="Todos",datos_base!$D$12,0))*parametros_manuales!$L$112)*parametros_manuales!$I$31*parametros_manuales!$J$31</f>
        <v>2059.910296776</v>
      </c>
      <c r="M70" s="14" t="n">
        <f aca="false">(parametros_manuales!$D$31*(datos_base!$D$2+IF(parametros_manuales!$H$31="Todos",datos_base!$D$9,0))*parametros_manuales!$M$97+parametros_manuales!$E$31*(datos_base!$D$3+IF(parametros_manuales!$H$31="Todos",datos_base!$D$10,0))*parametros_manuales!$M$102+parametros_manuales!$F$31*(datos_base!$D$4+IF(parametros_manuales!$H$31="Todos",datos_base!$D$11,0))*parametros_manuales!$M$107+parametros_manuales!$G$31*(datos_base!$D$5+IF(parametros_manuales!$H$31="Todos",datos_base!$D$12,0))*parametros_manuales!$M$112)*parametros_manuales!$I$31*parametros_manuales!$J$31</f>
        <v>2059.910296776</v>
      </c>
      <c r="N70" s="14" t="n">
        <f aca="false">SUM(B70:M70)</f>
        <v>22887.8921864</v>
      </c>
      <c r="O70" s="14" t="n">
        <f aca="false">MAX(B70:M70)</f>
        <v>2059.910296776</v>
      </c>
      <c r="P70" s="57" t="n">
        <f aca="false">O70/(parametros_manuales!$B$7)</f>
        <v>13.73273531184</v>
      </c>
      <c r="Q70" s="13" t="str">
        <f aca="false">IF(O70=0,"-",INDEX($B$57:$M$57,MATCH(O70,B70:M70,0)))</f>
        <v>Ene</v>
      </c>
    </row>
    <row r="71" customFormat="false" ht="14.25" hidden="false" customHeight="true" outlineLevel="0" collapsed="false">
      <c r="A71" s="13" t="str">
        <f aca="false">parametros_manuales!$B$32</f>
        <v>Control de calidad — Espesor</v>
      </c>
      <c r="B71" s="14" t="n">
        <f aca="false">(parametros_manuales!$D$32*(datos_base!$D$2+IF(parametros_manuales!$H$32="Todos",datos_base!$D$9,0))*parametros_manuales!$B$97+parametros_manuales!$E$32*(datos_base!$D$3+IF(parametros_manuales!$H$32="Todos",datos_base!$D$10,0))*parametros_manuales!$B$102+parametros_manuales!$F$32*(datos_base!$D$4+IF(parametros_manuales!$H$32="Todos",datos_base!$D$11,0))*parametros_manuales!$B$107+parametros_manuales!$G$32*(datos_base!$D$5+IF(parametros_manuales!$H$32="Todos",datos_base!$D$12,0))*parametros_manuales!$B$112)*parametros_manuales!$I$32*parametros_manuales!$J$32</f>
        <v>41.19820593552</v>
      </c>
      <c r="C71" s="14" t="n">
        <f aca="false">(parametros_manuales!$D$32*(datos_base!$D$2+IF(parametros_manuales!$H$32="Todos",datos_base!$D$9,0))*parametros_manuales!$C$97+parametros_manuales!$E$32*(datos_base!$D$3+IF(parametros_manuales!$H$32="Todos",datos_base!$D$10,0))*parametros_manuales!$C$102+parametros_manuales!$F$32*(datos_base!$D$4+IF(parametros_manuales!$H$32="Todos",datos_base!$D$11,0))*parametros_manuales!$C$107+parametros_manuales!$G$32*(datos_base!$D$5+IF(parametros_manuales!$H$32="Todos",datos_base!$D$12,0))*parametros_manuales!$C$112)*parametros_manuales!$I$32*parametros_manuales!$J$32</f>
        <v>39.52345704984</v>
      </c>
      <c r="D71" s="14" t="n">
        <f aca="false">(parametros_manuales!$D$32*(datos_base!$D$2+IF(parametros_manuales!$H$32="Todos",datos_base!$D$9,0))*parametros_manuales!$D$97+parametros_manuales!$E$32*(datos_base!$D$3+IF(parametros_manuales!$H$32="Todos",datos_base!$D$10,0))*parametros_manuales!$D$102+parametros_manuales!$F$32*(datos_base!$D$4+IF(parametros_manuales!$H$32="Todos",datos_base!$D$11,0))*parametros_manuales!$D$107+parametros_manuales!$G$32*(datos_base!$D$5+IF(parametros_manuales!$H$32="Todos",datos_base!$D$12,0))*parametros_manuales!$D$112)*parametros_manuales!$I$32*parametros_manuales!$J$32</f>
        <v>37.45800194108</v>
      </c>
      <c r="E71" s="14" t="n">
        <f aca="false">(parametros_manuales!$D$32*(datos_base!$D$2+IF(parametros_manuales!$H$32="Todos",datos_base!$D$9,0))*parametros_manuales!$E$97+parametros_manuales!$E$32*(datos_base!$D$3+IF(parametros_manuales!$H$32="Todos",datos_base!$D$10,0))*parametros_manuales!$E$102+parametros_manuales!$F$32*(datos_base!$D$4+IF(parametros_manuales!$H$32="Todos",datos_base!$D$11,0))*parametros_manuales!$E$107+parametros_manuales!$G$32*(datos_base!$D$5+IF(parametros_manuales!$H$32="Todos",datos_base!$D$12,0))*parametros_manuales!$E$112)*parametros_manuales!$I$32*parametros_manuales!$J$32</f>
        <v>36.00658716528</v>
      </c>
      <c r="F71" s="14" t="n">
        <f aca="false">(parametros_manuales!$D$32*(datos_base!$D$2+IF(parametros_manuales!$H$32="Todos",datos_base!$D$9,0))*parametros_manuales!$F$97+parametros_manuales!$E$32*(datos_base!$D$3+IF(parametros_manuales!$H$32="Todos",datos_base!$D$10,0))*parametros_manuales!$F$102+parametros_manuales!$F$32*(datos_base!$D$4+IF(parametros_manuales!$H$32="Todos",datos_base!$D$11,0))*parametros_manuales!$F$107+parametros_manuales!$G$32*(datos_base!$D$5+IF(parametros_manuales!$H$32="Todos",datos_base!$D$12,0))*parametros_manuales!$F$112)*parametros_manuales!$I$32*parametros_manuales!$J$32</f>
        <v>33.71779794664</v>
      </c>
      <c r="G71" s="14" t="n">
        <f aca="false">(parametros_manuales!$D$32*(datos_base!$D$2+IF(parametros_manuales!$H$32="Todos",datos_base!$D$9,0))*parametros_manuales!$G$97+parametros_manuales!$E$32*(datos_base!$D$3+IF(parametros_manuales!$H$32="Todos",datos_base!$D$10,0))*parametros_manuales!$G$102+parametros_manuales!$F$32*(datos_base!$D$4+IF(parametros_manuales!$H$32="Todos",datos_base!$D$11,0))*parametros_manuales!$G$107+parametros_manuales!$G$32*(datos_base!$D$5+IF(parametros_manuales!$H$32="Todos",datos_base!$D$12,0))*parametros_manuales!$G$112)*parametros_manuales!$I$32*parametros_manuales!$J$32</f>
        <v>32.8804235038</v>
      </c>
      <c r="H71" s="14" t="n">
        <f aca="false">(parametros_manuales!$D$32*(datos_base!$D$2+IF(parametros_manuales!$H$32="Todos",datos_base!$D$9,0))*parametros_manuales!$H$97+parametros_manuales!$E$32*(datos_base!$D$3+IF(parametros_manuales!$H$32="Todos",datos_base!$D$10,0))*parametros_manuales!$H$102+parametros_manuales!$F$32*(datos_base!$D$4+IF(parametros_manuales!$H$32="Todos",datos_base!$D$11,0))*parametros_manuales!$H$107+parametros_manuales!$G$32*(datos_base!$D$5+IF(parametros_manuales!$H$32="Todos",datos_base!$D$12,0))*parametros_manuales!$H$112)*parametros_manuales!$I$32*parametros_manuales!$J$32</f>
        <v>35.16921272244</v>
      </c>
      <c r="I71" s="14" t="n">
        <f aca="false">(parametros_manuales!$D$32*(datos_base!$D$2+IF(parametros_manuales!$H$32="Todos",datos_base!$D$9,0))*parametros_manuales!$I$97+parametros_manuales!$E$32*(datos_base!$D$3+IF(parametros_manuales!$H$32="Todos",datos_base!$D$10,0))*parametros_manuales!$I$102+parametros_manuales!$F$32*(datos_base!$D$4+IF(parametros_manuales!$H$32="Todos",datos_base!$D$11,0))*parametros_manuales!$I$107+parametros_manuales!$G$32*(datos_base!$D$5+IF(parametros_manuales!$H$32="Todos",datos_base!$D$12,0))*parametros_manuales!$I$112)*parametros_manuales!$I$32*parametros_manuales!$J$32</f>
        <v>39.52345704984</v>
      </c>
      <c r="J71" s="14" t="n">
        <f aca="false">(parametros_manuales!$D$32*(datos_base!$D$2+IF(parametros_manuales!$H$32="Todos",datos_base!$D$9,0))*parametros_manuales!$J$97+parametros_manuales!$E$32*(datos_base!$D$3+IF(parametros_manuales!$H$32="Todos",datos_base!$D$10,0))*parametros_manuales!$J$102+parametros_manuales!$F$32*(datos_base!$D$4+IF(parametros_manuales!$H$32="Todos",datos_base!$D$11,0))*parametros_manuales!$J$107+parametros_manuales!$G$32*(datos_base!$D$5+IF(parametros_manuales!$H$32="Todos",datos_base!$D$12,0))*parametros_manuales!$J$112)*parametros_manuales!$I$32*parametros_manuales!$J$32</f>
        <v>39.52345704984</v>
      </c>
      <c r="K71" s="14" t="n">
        <f aca="false">(parametros_manuales!$D$32*(datos_base!$D$2+IF(parametros_manuales!$H$32="Todos",datos_base!$D$9,0))*parametros_manuales!$K$97+parametros_manuales!$E$32*(datos_base!$D$3+IF(parametros_manuales!$H$32="Todos",datos_base!$D$10,0))*parametros_manuales!$K$102+parametros_manuales!$F$32*(datos_base!$D$4+IF(parametros_manuales!$H$32="Todos",datos_base!$D$11,0))*parametros_manuales!$K$107+parametros_manuales!$G$32*(datos_base!$D$5+IF(parametros_manuales!$H$32="Todos",datos_base!$D$12,0))*parametros_manuales!$K$112)*parametros_manuales!$I$32*parametros_manuales!$J$32</f>
        <v>40.36083149268</v>
      </c>
      <c r="L71" s="14" t="n">
        <f aca="false">(parametros_manuales!$D$32*(datos_base!$D$2+IF(parametros_manuales!$H$32="Todos",datos_base!$D$9,0))*parametros_manuales!$L$97+parametros_manuales!$E$32*(datos_base!$D$3+IF(parametros_manuales!$H$32="Todos",datos_base!$D$10,0))*parametros_manuales!$L$102+parametros_manuales!$F$32*(datos_base!$D$4+IF(parametros_manuales!$H$32="Todos",datos_base!$D$11,0))*parametros_manuales!$L$107+parametros_manuales!$G$32*(datos_base!$D$5+IF(parametros_manuales!$H$32="Todos",datos_base!$D$12,0))*parametros_manuales!$L$112)*parametros_manuales!$I$32*parametros_manuales!$J$32</f>
        <v>41.19820593552</v>
      </c>
      <c r="M71" s="14" t="n">
        <f aca="false">(parametros_manuales!$D$32*(datos_base!$D$2+IF(parametros_manuales!$H$32="Todos",datos_base!$D$9,0))*parametros_manuales!$M$97+parametros_manuales!$E$32*(datos_base!$D$3+IF(parametros_manuales!$H$32="Todos",datos_base!$D$10,0))*parametros_manuales!$M$102+parametros_manuales!$F$32*(datos_base!$D$4+IF(parametros_manuales!$H$32="Todos",datos_base!$D$11,0))*parametros_manuales!$M$107+parametros_manuales!$G$32*(datos_base!$D$5+IF(parametros_manuales!$H$32="Todos",datos_base!$D$12,0))*parametros_manuales!$M$112)*parametros_manuales!$I$32*parametros_manuales!$J$32</f>
        <v>41.19820593552</v>
      </c>
      <c r="N71" s="14" t="n">
        <f aca="false">SUM(B71:M71)</f>
        <v>457.757843728</v>
      </c>
      <c r="O71" s="14" t="n">
        <f aca="false">MAX(B71:M71)</f>
        <v>41.19820593552</v>
      </c>
      <c r="P71" s="57" t="n">
        <f aca="false">O71/(parametros_manuales!$B$7)</f>
        <v>0.2746547062368</v>
      </c>
      <c r="Q71" s="13" t="str">
        <f aca="false">IF(O71=0,"-",INDEX($B$57:$M$57,MATCH(O71,B71:M71,0)))</f>
        <v>Ene</v>
      </c>
    </row>
    <row r="72" customFormat="false" ht="14.25" hidden="false" customHeight="true" outlineLevel="0" collapsed="false">
      <c r="A72" s="13" t="str">
        <f aca="false">parametros_manuales!$B$33</f>
        <v>Prueba hidráulica</v>
      </c>
      <c r="B72" s="14" t="n">
        <f aca="false">(parametros_manuales!$D$33*(datos_base!$D$2+IF(parametros_manuales!$H$33="Todos",datos_base!$D$9,0))*parametros_manuales!$B$97+parametros_manuales!$E$33*(datos_base!$D$3+IF(parametros_manuales!$H$33="Todos",datos_base!$D$10,0))*parametros_manuales!$B$102+parametros_manuales!$F$33*(datos_base!$D$4+IF(parametros_manuales!$H$33="Todos",datos_base!$D$11,0))*parametros_manuales!$B$107+parametros_manuales!$G$33*(datos_base!$D$5+IF(parametros_manuales!$H$33="Todos",datos_base!$D$12,0))*parametros_manuales!$B$112)*parametros_manuales!$I$33*parametros_manuales!$J$33</f>
        <v>2059.910296776</v>
      </c>
      <c r="C72" s="14" t="n">
        <f aca="false">(parametros_manuales!$D$33*(datos_base!$D$2+IF(parametros_manuales!$H$33="Todos",datos_base!$D$9,0))*parametros_manuales!$C$97+parametros_manuales!$E$33*(datos_base!$D$3+IF(parametros_manuales!$H$33="Todos",datos_base!$D$10,0))*parametros_manuales!$C$102+parametros_manuales!$F$33*(datos_base!$D$4+IF(parametros_manuales!$H$33="Todos",datos_base!$D$11,0))*parametros_manuales!$C$107+parametros_manuales!$G$33*(datos_base!$D$5+IF(parametros_manuales!$H$33="Todos",datos_base!$D$12,0))*parametros_manuales!$C$112)*parametros_manuales!$I$33*parametros_manuales!$J$33</f>
        <v>1976.172852492</v>
      </c>
      <c r="D72" s="14" t="n">
        <f aca="false">(parametros_manuales!$D$33*(datos_base!$D$2+IF(parametros_manuales!$H$33="Todos",datos_base!$D$9,0))*parametros_manuales!$D$97+parametros_manuales!$E$33*(datos_base!$D$3+IF(parametros_manuales!$H$33="Todos",datos_base!$D$10,0))*parametros_manuales!$D$102+parametros_manuales!$F$33*(datos_base!$D$4+IF(parametros_manuales!$H$33="Todos",datos_base!$D$11,0))*parametros_manuales!$D$107+parametros_manuales!$G$33*(datos_base!$D$5+IF(parametros_manuales!$H$33="Todos",datos_base!$D$12,0))*parametros_manuales!$D$112)*parametros_manuales!$I$33*parametros_manuales!$J$33</f>
        <v>1872.900097054</v>
      </c>
      <c r="E72" s="14" t="n">
        <f aca="false">(parametros_manuales!$D$33*(datos_base!$D$2+IF(parametros_manuales!$H$33="Todos",datos_base!$D$9,0))*parametros_manuales!$E$97+parametros_manuales!$E$33*(datos_base!$D$3+IF(parametros_manuales!$H$33="Todos",datos_base!$D$10,0))*parametros_manuales!$E$102+parametros_manuales!$F$33*(datos_base!$D$4+IF(parametros_manuales!$H$33="Todos",datos_base!$D$11,0))*parametros_manuales!$E$107+parametros_manuales!$G$33*(datos_base!$D$5+IF(parametros_manuales!$H$33="Todos",datos_base!$D$12,0))*parametros_manuales!$E$112)*parametros_manuales!$I$33*parametros_manuales!$J$33</f>
        <v>1800.329358264</v>
      </c>
      <c r="F72" s="14" t="n">
        <f aca="false">(parametros_manuales!$D$33*(datos_base!$D$2+IF(parametros_manuales!$H$33="Todos",datos_base!$D$9,0))*parametros_manuales!$F$97+parametros_manuales!$E$33*(datos_base!$D$3+IF(parametros_manuales!$H$33="Todos",datos_base!$D$10,0))*parametros_manuales!$F$102+parametros_manuales!$F$33*(datos_base!$D$4+IF(parametros_manuales!$H$33="Todos",datos_base!$D$11,0))*parametros_manuales!$F$107+parametros_manuales!$G$33*(datos_base!$D$5+IF(parametros_manuales!$H$33="Todos",datos_base!$D$12,0))*parametros_manuales!$F$112)*parametros_manuales!$I$33*parametros_manuales!$J$33</f>
        <v>1685.889897332</v>
      </c>
      <c r="G72" s="14" t="n">
        <f aca="false">(parametros_manuales!$D$33*(datos_base!$D$2+IF(parametros_manuales!$H$33="Todos",datos_base!$D$9,0))*parametros_manuales!$G$97+parametros_manuales!$E$33*(datos_base!$D$3+IF(parametros_manuales!$H$33="Todos",datos_base!$D$10,0))*parametros_manuales!$G$102+parametros_manuales!$F$33*(datos_base!$D$4+IF(parametros_manuales!$H$33="Todos",datos_base!$D$11,0))*parametros_manuales!$G$107+parametros_manuales!$G$33*(datos_base!$D$5+IF(parametros_manuales!$H$33="Todos",datos_base!$D$12,0))*parametros_manuales!$G$112)*parametros_manuales!$I$33*parametros_manuales!$J$33</f>
        <v>1644.02117519</v>
      </c>
      <c r="H72" s="14" t="n">
        <f aca="false">(parametros_manuales!$D$33*(datos_base!$D$2+IF(parametros_manuales!$H$33="Todos",datos_base!$D$9,0))*parametros_manuales!$H$97+parametros_manuales!$E$33*(datos_base!$D$3+IF(parametros_manuales!$H$33="Todos",datos_base!$D$10,0))*parametros_manuales!$H$102+parametros_manuales!$F$33*(datos_base!$D$4+IF(parametros_manuales!$H$33="Todos",datos_base!$D$11,0))*parametros_manuales!$H$107+parametros_manuales!$G$33*(datos_base!$D$5+IF(parametros_manuales!$H$33="Todos",datos_base!$D$12,0))*parametros_manuales!$H$112)*parametros_manuales!$I$33*parametros_manuales!$J$33</f>
        <v>1758.460636122</v>
      </c>
      <c r="I72" s="14" t="n">
        <f aca="false">(parametros_manuales!$D$33*(datos_base!$D$2+IF(parametros_manuales!$H$33="Todos",datos_base!$D$9,0))*parametros_manuales!$I$97+parametros_manuales!$E$33*(datos_base!$D$3+IF(parametros_manuales!$H$33="Todos",datos_base!$D$10,0))*parametros_manuales!$I$102+parametros_manuales!$F$33*(datos_base!$D$4+IF(parametros_manuales!$H$33="Todos",datos_base!$D$11,0))*parametros_manuales!$I$107+parametros_manuales!$G$33*(datos_base!$D$5+IF(parametros_manuales!$H$33="Todos",datos_base!$D$12,0))*parametros_manuales!$I$112)*parametros_manuales!$I$33*parametros_manuales!$J$33</f>
        <v>1976.172852492</v>
      </c>
      <c r="J72" s="14" t="n">
        <f aca="false">(parametros_manuales!$D$33*(datos_base!$D$2+IF(parametros_manuales!$H$33="Todos",datos_base!$D$9,0))*parametros_manuales!$J$97+parametros_manuales!$E$33*(datos_base!$D$3+IF(parametros_manuales!$H$33="Todos",datos_base!$D$10,0))*parametros_manuales!$J$102+parametros_manuales!$F$33*(datos_base!$D$4+IF(parametros_manuales!$H$33="Todos",datos_base!$D$11,0))*parametros_manuales!$J$107+parametros_manuales!$G$33*(datos_base!$D$5+IF(parametros_manuales!$H$33="Todos",datos_base!$D$12,0))*parametros_manuales!$J$112)*parametros_manuales!$I$33*parametros_manuales!$J$33</f>
        <v>1976.172852492</v>
      </c>
      <c r="K72" s="14" t="n">
        <f aca="false">(parametros_manuales!$D$33*(datos_base!$D$2+IF(parametros_manuales!$H$33="Todos",datos_base!$D$9,0))*parametros_manuales!$K$97+parametros_manuales!$E$33*(datos_base!$D$3+IF(parametros_manuales!$H$33="Todos",datos_base!$D$10,0))*parametros_manuales!$K$102+parametros_manuales!$F$33*(datos_base!$D$4+IF(parametros_manuales!$H$33="Todos",datos_base!$D$11,0))*parametros_manuales!$K$107+parametros_manuales!$G$33*(datos_base!$D$5+IF(parametros_manuales!$H$33="Todos",datos_base!$D$12,0))*parametros_manuales!$K$112)*parametros_manuales!$I$33*parametros_manuales!$J$33</f>
        <v>2018.041574634</v>
      </c>
      <c r="L72" s="14" t="n">
        <f aca="false">(parametros_manuales!$D$33*(datos_base!$D$2+IF(parametros_manuales!$H$33="Todos",datos_base!$D$9,0))*parametros_manuales!$L$97+parametros_manuales!$E$33*(datos_base!$D$3+IF(parametros_manuales!$H$33="Todos",datos_base!$D$10,0))*parametros_manuales!$L$102+parametros_manuales!$F$33*(datos_base!$D$4+IF(parametros_manuales!$H$33="Todos",datos_base!$D$11,0))*parametros_manuales!$L$107+parametros_manuales!$G$33*(datos_base!$D$5+IF(parametros_manuales!$H$33="Todos",datos_base!$D$12,0))*parametros_manuales!$L$112)*parametros_manuales!$I$33*parametros_manuales!$J$33</f>
        <v>2059.910296776</v>
      </c>
      <c r="M72" s="14" t="n">
        <f aca="false">(parametros_manuales!$D$33*(datos_base!$D$2+IF(parametros_manuales!$H$33="Todos",datos_base!$D$9,0))*parametros_manuales!$M$97+parametros_manuales!$E$33*(datos_base!$D$3+IF(parametros_manuales!$H$33="Todos",datos_base!$D$10,0))*parametros_manuales!$M$102+parametros_manuales!$F$33*(datos_base!$D$4+IF(parametros_manuales!$H$33="Todos",datos_base!$D$11,0))*parametros_manuales!$M$107+parametros_manuales!$G$33*(datos_base!$D$5+IF(parametros_manuales!$H$33="Todos",datos_base!$D$12,0))*parametros_manuales!$M$112)*parametros_manuales!$I$33*parametros_manuales!$J$33</f>
        <v>2059.910296776</v>
      </c>
      <c r="N72" s="14" t="n">
        <f aca="false">SUM(B72:M72)</f>
        <v>22887.8921864</v>
      </c>
      <c r="O72" s="14" t="n">
        <f aca="false">MAX(B72:M72)</f>
        <v>2059.910296776</v>
      </c>
      <c r="P72" s="57" t="n">
        <f aca="false">O72/(parametros_manuales!$B$7)</f>
        <v>13.73273531184</v>
      </c>
      <c r="Q72" s="13" t="str">
        <f aca="false">IF(O72=0,"-",INDEX($B$57:$M$57,MATCH(O72,B72:M72,0)))</f>
        <v>Ene</v>
      </c>
    </row>
    <row r="73" customFormat="false" ht="14.25" hidden="false" customHeight="true" outlineLevel="0" collapsed="false">
      <c r="A73" s="13" t="str">
        <f aca="false">parametros_manuales!$B$34</f>
        <v>Secado</v>
      </c>
      <c r="B73" s="14" t="n">
        <f aca="false">(parametros_manuales!$D$34*(datos_base!$D$2+IF(parametros_manuales!$H$34="Todos",datos_base!$D$9,0))*parametros_manuales!$B$97+parametros_manuales!$E$34*(datos_base!$D$3+IF(parametros_manuales!$H$34="Todos",datos_base!$D$10,0))*parametros_manuales!$B$102+parametros_manuales!$F$34*(datos_base!$D$4+IF(parametros_manuales!$H$34="Todos",datos_base!$D$11,0))*parametros_manuales!$B$107+parametros_manuales!$G$34*(datos_base!$D$5+IF(parametros_manuales!$H$34="Todos",datos_base!$D$12,0))*parametros_manuales!$B$112)*parametros_manuales!$I$34*parametros_manuales!$J$34</f>
        <v>2059.910296776</v>
      </c>
      <c r="C73" s="14" t="n">
        <f aca="false">(parametros_manuales!$D$34*(datos_base!$D$2+IF(parametros_manuales!$H$34="Todos",datos_base!$D$9,0))*parametros_manuales!$C$97+parametros_manuales!$E$34*(datos_base!$D$3+IF(parametros_manuales!$H$34="Todos",datos_base!$D$10,0))*parametros_manuales!$C$102+parametros_manuales!$F$34*(datos_base!$D$4+IF(parametros_manuales!$H$34="Todos",datos_base!$D$11,0))*parametros_manuales!$C$107+parametros_manuales!$G$34*(datos_base!$D$5+IF(parametros_manuales!$H$34="Todos",datos_base!$D$12,0))*parametros_manuales!$C$112)*parametros_manuales!$I$34*parametros_manuales!$J$34</f>
        <v>1976.172852492</v>
      </c>
      <c r="D73" s="14" t="n">
        <f aca="false">(parametros_manuales!$D$34*(datos_base!$D$2+IF(parametros_manuales!$H$34="Todos",datos_base!$D$9,0))*parametros_manuales!$D$97+parametros_manuales!$E$34*(datos_base!$D$3+IF(parametros_manuales!$H$34="Todos",datos_base!$D$10,0))*parametros_manuales!$D$102+parametros_manuales!$F$34*(datos_base!$D$4+IF(parametros_manuales!$H$34="Todos",datos_base!$D$11,0))*parametros_manuales!$D$107+parametros_manuales!$G$34*(datos_base!$D$5+IF(parametros_manuales!$H$34="Todos",datos_base!$D$12,0))*parametros_manuales!$D$112)*parametros_manuales!$I$34*parametros_manuales!$J$34</f>
        <v>1872.900097054</v>
      </c>
      <c r="E73" s="14" t="n">
        <f aca="false">(parametros_manuales!$D$34*(datos_base!$D$2+IF(parametros_manuales!$H$34="Todos",datos_base!$D$9,0))*parametros_manuales!$E$97+parametros_manuales!$E$34*(datos_base!$D$3+IF(parametros_manuales!$H$34="Todos",datos_base!$D$10,0))*parametros_manuales!$E$102+parametros_manuales!$F$34*(datos_base!$D$4+IF(parametros_manuales!$H$34="Todos",datos_base!$D$11,0))*parametros_manuales!$E$107+parametros_manuales!$G$34*(datos_base!$D$5+IF(parametros_manuales!$H$34="Todos",datos_base!$D$12,0))*parametros_manuales!$E$112)*parametros_manuales!$I$34*parametros_manuales!$J$34</f>
        <v>1800.329358264</v>
      </c>
      <c r="F73" s="14" t="n">
        <f aca="false">(parametros_manuales!$D$34*(datos_base!$D$2+IF(parametros_manuales!$H$34="Todos",datos_base!$D$9,0))*parametros_manuales!$F$97+parametros_manuales!$E$34*(datos_base!$D$3+IF(parametros_manuales!$H$34="Todos",datos_base!$D$10,0))*parametros_manuales!$F$102+parametros_manuales!$F$34*(datos_base!$D$4+IF(parametros_manuales!$H$34="Todos",datos_base!$D$11,0))*parametros_manuales!$F$107+parametros_manuales!$G$34*(datos_base!$D$5+IF(parametros_manuales!$H$34="Todos",datos_base!$D$12,0))*parametros_manuales!$F$112)*parametros_manuales!$I$34*parametros_manuales!$J$34</f>
        <v>1685.889897332</v>
      </c>
      <c r="G73" s="14" t="n">
        <f aca="false">(parametros_manuales!$D$34*(datos_base!$D$2+IF(parametros_manuales!$H$34="Todos",datos_base!$D$9,0))*parametros_manuales!$G$97+parametros_manuales!$E$34*(datos_base!$D$3+IF(parametros_manuales!$H$34="Todos",datos_base!$D$10,0))*parametros_manuales!$G$102+parametros_manuales!$F$34*(datos_base!$D$4+IF(parametros_manuales!$H$34="Todos",datos_base!$D$11,0))*parametros_manuales!$G$107+parametros_manuales!$G$34*(datos_base!$D$5+IF(parametros_manuales!$H$34="Todos",datos_base!$D$12,0))*parametros_manuales!$G$112)*parametros_manuales!$I$34*parametros_manuales!$J$34</f>
        <v>1644.02117519</v>
      </c>
      <c r="H73" s="14" t="n">
        <f aca="false">(parametros_manuales!$D$34*(datos_base!$D$2+IF(parametros_manuales!$H$34="Todos",datos_base!$D$9,0))*parametros_manuales!$H$97+parametros_manuales!$E$34*(datos_base!$D$3+IF(parametros_manuales!$H$34="Todos",datos_base!$D$10,0))*parametros_manuales!$H$102+parametros_manuales!$F$34*(datos_base!$D$4+IF(parametros_manuales!$H$34="Todos",datos_base!$D$11,0))*parametros_manuales!$H$107+parametros_manuales!$G$34*(datos_base!$D$5+IF(parametros_manuales!$H$34="Todos",datos_base!$D$12,0))*parametros_manuales!$H$112)*parametros_manuales!$I$34*parametros_manuales!$J$34</f>
        <v>1758.460636122</v>
      </c>
      <c r="I73" s="14" t="n">
        <f aca="false">(parametros_manuales!$D$34*(datos_base!$D$2+IF(parametros_manuales!$H$34="Todos",datos_base!$D$9,0))*parametros_manuales!$I$97+parametros_manuales!$E$34*(datos_base!$D$3+IF(parametros_manuales!$H$34="Todos",datos_base!$D$10,0))*parametros_manuales!$I$102+parametros_manuales!$F$34*(datos_base!$D$4+IF(parametros_manuales!$H$34="Todos",datos_base!$D$11,0))*parametros_manuales!$I$107+parametros_manuales!$G$34*(datos_base!$D$5+IF(parametros_manuales!$H$34="Todos",datos_base!$D$12,0))*parametros_manuales!$I$112)*parametros_manuales!$I$34*parametros_manuales!$J$34</f>
        <v>1976.172852492</v>
      </c>
      <c r="J73" s="14" t="n">
        <f aca="false">(parametros_manuales!$D$34*(datos_base!$D$2+IF(parametros_manuales!$H$34="Todos",datos_base!$D$9,0))*parametros_manuales!$J$97+parametros_manuales!$E$34*(datos_base!$D$3+IF(parametros_manuales!$H$34="Todos",datos_base!$D$10,0))*parametros_manuales!$J$102+parametros_manuales!$F$34*(datos_base!$D$4+IF(parametros_manuales!$H$34="Todos",datos_base!$D$11,0))*parametros_manuales!$J$107+parametros_manuales!$G$34*(datos_base!$D$5+IF(parametros_manuales!$H$34="Todos",datos_base!$D$12,0))*parametros_manuales!$J$112)*parametros_manuales!$I$34*parametros_manuales!$J$34</f>
        <v>1976.172852492</v>
      </c>
      <c r="K73" s="14" t="n">
        <f aca="false">(parametros_manuales!$D$34*(datos_base!$D$2+IF(parametros_manuales!$H$34="Todos",datos_base!$D$9,0))*parametros_manuales!$K$97+parametros_manuales!$E$34*(datos_base!$D$3+IF(parametros_manuales!$H$34="Todos",datos_base!$D$10,0))*parametros_manuales!$K$102+parametros_manuales!$F$34*(datos_base!$D$4+IF(parametros_manuales!$H$34="Todos",datos_base!$D$11,0))*parametros_manuales!$K$107+parametros_manuales!$G$34*(datos_base!$D$5+IF(parametros_manuales!$H$34="Todos",datos_base!$D$12,0))*parametros_manuales!$K$112)*parametros_manuales!$I$34*parametros_manuales!$J$34</f>
        <v>2018.041574634</v>
      </c>
      <c r="L73" s="14" t="n">
        <f aca="false">(parametros_manuales!$D$34*(datos_base!$D$2+IF(parametros_manuales!$H$34="Todos",datos_base!$D$9,0))*parametros_manuales!$L$97+parametros_manuales!$E$34*(datos_base!$D$3+IF(parametros_manuales!$H$34="Todos",datos_base!$D$10,0))*parametros_manuales!$L$102+parametros_manuales!$F$34*(datos_base!$D$4+IF(parametros_manuales!$H$34="Todos",datos_base!$D$11,0))*parametros_manuales!$L$107+parametros_manuales!$G$34*(datos_base!$D$5+IF(parametros_manuales!$H$34="Todos",datos_base!$D$12,0))*parametros_manuales!$L$112)*parametros_manuales!$I$34*parametros_manuales!$J$34</f>
        <v>2059.910296776</v>
      </c>
      <c r="M73" s="14" t="n">
        <f aca="false">(parametros_manuales!$D$34*(datos_base!$D$2+IF(parametros_manuales!$H$34="Todos",datos_base!$D$9,0))*parametros_manuales!$M$97+parametros_manuales!$E$34*(datos_base!$D$3+IF(parametros_manuales!$H$34="Todos",datos_base!$D$10,0))*parametros_manuales!$M$102+parametros_manuales!$F$34*(datos_base!$D$4+IF(parametros_manuales!$H$34="Todos",datos_base!$D$11,0))*parametros_manuales!$M$107+parametros_manuales!$G$34*(datos_base!$D$5+IF(parametros_manuales!$H$34="Todos",datos_base!$D$12,0))*parametros_manuales!$M$112)*parametros_manuales!$I$34*parametros_manuales!$J$34</f>
        <v>2059.910296776</v>
      </c>
      <c r="N73" s="14" t="n">
        <f aca="false">SUM(B73:M73)</f>
        <v>22887.8921864</v>
      </c>
      <c r="O73" s="14" t="n">
        <f aca="false">MAX(B73:M73)</f>
        <v>2059.910296776</v>
      </c>
      <c r="P73" s="57" t="n">
        <f aca="false">O73/(parametros_manuales!$B$7)</f>
        <v>13.73273531184</v>
      </c>
      <c r="Q73" s="13" t="str">
        <f aca="false">IF(O73=0,"-",INDEX($B$57:$M$57,MATCH(O73,B73:M73,0)))</f>
        <v>Ene</v>
      </c>
    </row>
    <row r="74" customFormat="false" ht="14.25" hidden="false" customHeight="true" outlineLevel="0" collapsed="false">
      <c r="A74" s="13" t="str">
        <f aca="false">parametros_manuales!$B$35</f>
        <v>Granallado</v>
      </c>
      <c r="B74" s="14" t="n">
        <f aca="false">(parametros_manuales!$D$35*(datos_base!$D$2+IF(parametros_manuales!$H$35="Todos",datos_base!$D$9,0))*parametros_manuales!$B$97+parametros_manuales!$E$35*(datos_base!$D$3+IF(parametros_manuales!$H$35="Todos",datos_base!$D$10,0))*parametros_manuales!$B$102+parametros_manuales!$F$35*(datos_base!$D$4+IF(parametros_manuales!$H$35="Todos",datos_base!$D$11,0))*parametros_manuales!$B$107+parametros_manuales!$G$35*(datos_base!$D$5+IF(parametros_manuales!$H$35="Todos",datos_base!$D$12,0))*parametros_manuales!$B$112)*parametros_manuales!$I$35*parametros_manuales!$J$35</f>
        <v>2059.910296776</v>
      </c>
      <c r="C74" s="14" t="n">
        <f aca="false">(parametros_manuales!$D$35*(datos_base!$D$2+IF(parametros_manuales!$H$35="Todos",datos_base!$D$9,0))*parametros_manuales!$C$97+parametros_manuales!$E$35*(datos_base!$D$3+IF(parametros_manuales!$H$35="Todos",datos_base!$D$10,0))*parametros_manuales!$C$102+parametros_manuales!$F$35*(datos_base!$D$4+IF(parametros_manuales!$H$35="Todos",datos_base!$D$11,0))*parametros_manuales!$C$107+parametros_manuales!$G$35*(datos_base!$D$5+IF(parametros_manuales!$H$35="Todos",datos_base!$D$12,0))*parametros_manuales!$C$112)*parametros_manuales!$I$35*parametros_manuales!$J$35</f>
        <v>1976.172852492</v>
      </c>
      <c r="D74" s="14" t="n">
        <f aca="false">(parametros_manuales!$D$35*(datos_base!$D$2+IF(parametros_manuales!$H$35="Todos",datos_base!$D$9,0))*parametros_manuales!$D$97+parametros_manuales!$E$35*(datos_base!$D$3+IF(parametros_manuales!$H$35="Todos",datos_base!$D$10,0))*parametros_manuales!$D$102+parametros_manuales!$F$35*(datos_base!$D$4+IF(parametros_manuales!$H$35="Todos",datos_base!$D$11,0))*parametros_manuales!$D$107+parametros_manuales!$G$35*(datos_base!$D$5+IF(parametros_manuales!$H$35="Todos",datos_base!$D$12,0))*parametros_manuales!$D$112)*parametros_manuales!$I$35*parametros_manuales!$J$35</f>
        <v>1872.900097054</v>
      </c>
      <c r="E74" s="14" t="n">
        <f aca="false">(parametros_manuales!$D$35*(datos_base!$D$2+IF(parametros_manuales!$H$35="Todos",datos_base!$D$9,0))*parametros_manuales!$E$97+parametros_manuales!$E$35*(datos_base!$D$3+IF(parametros_manuales!$H$35="Todos",datos_base!$D$10,0))*parametros_manuales!$E$102+parametros_manuales!$F$35*(datos_base!$D$4+IF(parametros_manuales!$H$35="Todos",datos_base!$D$11,0))*parametros_manuales!$E$107+parametros_manuales!$G$35*(datos_base!$D$5+IF(parametros_manuales!$H$35="Todos",datos_base!$D$12,0))*parametros_manuales!$E$112)*parametros_manuales!$I$35*parametros_manuales!$J$35</f>
        <v>1800.329358264</v>
      </c>
      <c r="F74" s="14" t="n">
        <f aca="false">(parametros_manuales!$D$35*(datos_base!$D$2+IF(parametros_manuales!$H$35="Todos",datos_base!$D$9,0))*parametros_manuales!$F$97+parametros_manuales!$E$35*(datos_base!$D$3+IF(parametros_manuales!$H$35="Todos",datos_base!$D$10,0))*parametros_manuales!$F$102+parametros_manuales!$F$35*(datos_base!$D$4+IF(parametros_manuales!$H$35="Todos",datos_base!$D$11,0))*parametros_manuales!$F$107+parametros_manuales!$G$35*(datos_base!$D$5+IF(parametros_manuales!$H$35="Todos",datos_base!$D$12,0))*parametros_manuales!$F$112)*parametros_manuales!$I$35*parametros_manuales!$J$35</f>
        <v>1685.889897332</v>
      </c>
      <c r="G74" s="14" t="n">
        <f aca="false">(parametros_manuales!$D$35*(datos_base!$D$2+IF(parametros_manuales!$H$35="Todos",datos_base!$D$9,0))*parametros_manuales!$G$97+parametros_manuales!$E$35*(datos_base!$D$3+IF(parametros_manuales!$H$35="Todos",datos_base!$D$10,0))*parametros_manuales!$G$102+parametros_manuales!$F$35*(datos_base!$D$4+IF(parametros_manuales!$H$35="Todos",datos_base!$D$11,0))*parametros_manuales!$G$107+parametros_manuales!$G$35*(datos_base!$D$5+IF(parametros_manuales!$H$35="Todos",datos_base!$D$12,0))*parametros_manuales!$G$112)*parametros_manuales!$I$35*parametros_manuales!$J$35</f>
        <v>1644.02117519</v>
      </c>
      <c r="H74" s="14" t="n">
        <f aca="false">(parametros_manuales!$D$35*(datos_base!$D$2+IF(parametros_manuales!$H$35="Todos",datos_base!$D$9,0))*parametros_manuales!$H$97+parametros_manuales!$E$35*(datos_base!$D$3+IF(parametros_manuales!$H$35="Todos",datos_base!$D$10,0))*parametros_manuales!$H$102+parametros_manuales!$F$35*(datos_base!$D$4+IF(parametros_manuales!$H$35="Todos",datos_base!$D$11,0))*parametros_manuales!$H$107+parametros_manuales!$G$35*(datos_base!$D$5+IF(parametros_manuales!$H$35="Todos",datos_base!$D$12,0))*parametros_manuales!$H$112)*parametros_manuales!$I$35*parametros_manuales!$J$35</f>
        <v>1758.460636122</v>
      </c>
      <c r="I74" s="14" t="n">
        <f aca="false">(parametros_manuales!$D$35*(datos_base!$D$2+IF(parametros_manuales!$H$35="Todos",datos_base!$D$9,0))*parametros_manuales!$I$97+parametros_manuales!$E$35*(datos_base!$D$3+IF(parametros_manuales!$H$35="Todos",datos_base!$D$10,0))*parametros_manuales!$I$102+parametros_manuales!$F$35*(datos_base!$D$4+IF(parametros_manuales!$H$35="Todos",datos_base!$D$11,0))*parametros_manuales!$I$107+parametros_manuales!$G$35*(datos_base!$D$5+IF(parametros_manuales!$H$35="Todos",datos_base!$D$12,0))*parametros_manuales!$I$112)*parametros_manuales!$I$35*parametros_manuales!$J$35</f>
        <v>1976.172852492</v>
      </c>
      <c r="J74" s="14" t="n">
        <f aca="false">(parametros_manuales!$D$35*(datos_base!$D$2+IF(parametros_manuales!$H$35="Todos",datos_base!$D$9,0))*parametros_manuales!$J$97+parametros_manuales!$E$35*(datos_base!$D$3+IF(parametros_manuales!$H$35="Todos",datos_base!$D$10,0))*parametros_manuales!$J$102+parametros_manuales!$F$35*(datos_base!$D$4+IF(parametros_manuales!$H$35="Todos",datos_base!$D$11,0))*parametros_manuales!$J$107+parametros_manuales!$G$35*(datos_base!$D$5+IF(parametros_manuales!$H$35="Todos",datos_base!$D$12,0))*parametros_manuales!$J$112)*parametros_manuales!$I$35*parametros_manuales!$J$35</f>
        <v>1976.172852492</v>
      </c>
      <c r="K74" s="14" t="n">
        <f aca="false">(parametros_manuales!$D$35*(datos_base!$D$2+IF(parametros_manuales!$H$35="Todos",datos_base!$D$9,0))*parametros_manuales!$K$97+parametros_manuales!$E$35*(datos_base!$D$3+IF(parametros_manuales!$H$35="Todos",datos_base!$D$10,0))*parametros_manuales!$K$102+parametros_manuales!$F$35*(datos_base!$D$4+IF(parametros_manuales!$H$35="Todos",datos_base!$D$11,0))*parametros_manuales!$K$107+parametros_manuales!$G$35*(datos_base!$D$5+IF(parametros_manuales!$H$35="Todos",datos_base!$D$12,0))*parametros_manuales!$K$112)*parametros_manuales!$I$35*parametros_manuales!$J$35</f>
        <v>2018.041574634</v>
      </c>
      <c r="L74" s="14" t="n">
        <f aca="false">(parametros_manuales!$D$35*(datos_base!$D$2+IF(parametros_manuales!$H$35="Todos",datos_base!$D$9,0))*parametros_manuales!$L$97+parametros_manuales!$E$35*(datos_base!$D$3+IF(parametros_manuales!$H$35="Todos",datos_base!$D$10,0))*parametros_manuales!$L$102+parametros_manuales!$F$35*(datos_base!$D$4+IF(parametros_manuales!$H$35="Todos",datos_base!$D$11,0))*parametros_manuales!$L$107+parametros_manuales!$G$35*(datos_base!$D$5+IF(parametros_manuales!$H$35="Todos",datos_base!$D$12,0))*parametros_manuales!$L$112)*parametros_manuales!$I$35*parametros_manuales!$J$35</f>
        <v>2059.910296776</v>
      </c>
      <c r="M74" s="14" t="n">
        <f aca="false">(parametros_manuales!$D$35*(datos_base!$D$2+IF(parametros_manuales!$H$35="Todos",datos_base!$D$9,0))*parametros_manuales!$M$97+parametros_manuales!$E$35*(datos_base!$D$3+IF(parametros_manuales!$H$35="Todos",datos_base!$D$10,0))*parametros_manuales!$M$102+parametros_manuales!$F$35*(datos_base!$D$4+IF(parametros_manuales!$H$35="Todos",datos_base!$D$11,0))*parametros_manuales!$M$107+parametros_manuales!$G$35*(datos_base!$D$5+IF(parametros_manuales!$H$35="Todos",datos_base!$D$12,0))*parametros_manuales!$M$112)*parametros_manuales!$I$35*parametros_manuales!$J$35</f>
        <v>2059.910296776</v>
      </c>
      <c r="N74" s="14" t="n">
        <f aca="false">SUM(B74:M74)</f>
        <v>22887.8921864</v>
      </c>
      <c r="O74" s="14" t="n">
        <f aca="false">MAX(B74:M74)</f>
        <v>2059.910296776</v>
      </c>
      <c r="P74" s="57" t="n">
        <f aca="false">O74/(parametros_manuales!$B$7)</f>
        <v>13.73273531184</v>
      </c>
      <c r="Q74" s="13" t="str">
        <f aca="false">IF(O74=0,"-",INDEX($B$57:$M$57,MATCH(O74,B74:M74,0)))</f>
        <v>Ene</v>
      </c>
    </row>
    <row r="75" customFormat="false" ht="14.25" hidden="false" customHeight="true" outlineLevel="0" collapsed="false">
      <c r="A75" s="13" t="str">
        <f aca="false">parametros_manuales!$B$36</f>
        <v>Detección de defectos</v>
      </c>
      <c r="B75" s="14" t="n">
        <f aca="false">(parametros_manuales!$D$36*(datos_base!$D$2+IF(parametros_manuales!$H$36="Todos",datos_base!$D$9,0))*parametros_manuales!$B$97+parametros_manuales!$E$36*(datos_base!$D$3+IF(parametros_manuales!$H$36="Todos",datos_base!$D$10,0))*parametros_manuales!$B$102+parametros_manuales!$F$36*(datos_base!$D$4+IF(parametros_manuales!$H$36="Todos",datos_base!$D$11,0))*parametros_manuales!$B$107+parametros_manuales!$G$36*(datos_base!$D$5+IF(parametros_manuales!$H$36="Todos",datos_base!$D$12,0))*parametros_manuales!$B$112)*parametros_manuales!$I$36*parametros_manuales!$J$36</f>
        <v>2059.910296776</v>
      </c>
      <c r="C75" s="14" t="n">
        <f aca="false">(parametros_manuales!$D$36*(datos_base!$D$2+IF(parametros_manuales!$H$36="Todos",datos_base!$D$9,0))*parametros_manuales!$C$97+parametros_manuales!$E$36*(datos_base!$D$3+IF(parametros_manuales!$H$36="Todos",datos_base!$D$10,0))*parametros_manuales!$C$102+parametros_manuales!$F$36*(datos_base!$D$4+IF(parametros_manuales!$H$36="Todos",datos_base!$D$11,0))*parametros_manuales!$C$107+parametros_manuales!$G$36*(datos_base!$D$5+IF(parametros_manuales!$H$36="Todos",datos_base!$D$12,0))*parametros_manuales!$C$112)*parametros_manuales!$I$36*parametros_manuales!$J$36</f>
        <v>1976.172852492</v>
      </c>
      <c r="D75" s="14" t="n">
        <f aca="false">(parametros_manuales!$D$36*(datos_base!$D$2+IF(parametros_manuales!$H$36="Todos",datos_base!$D$9,0))*parametros_manuales!$D$97+parametros_manuales!$E$36*(datos_base!$D$3+IF(parametros_manuales!$H$36="Todos",datos_base!$D$10,0))*parametros_manuales!$D$102+parametros_manuales!$F$36*(datos_base!$D$4+IF(parametros_manuales!$H$36="Todos",datos_base!$D$11,0))*parametros_manuales!$D$107+parametros_manuales!$G$36*(datos_base!$D$5+IF(parametros_manuales!$H$36="Todos",datos_base!$D$12,0))*parametros_manuales!$D$112)*parametros_manuales!$I$36*parametros_manuales!$J$36</f>
        <v>1872.900097054</v>
      </c>
      <c r="E75" s="14" t="n">
        <f aca="false">(parametros_manuales!$D$36*(datos_base!$D$2+IF(parametros_manuales!$H$36="Todos",datos_base!$D$9,0))*parametros_manuales!$E$97+parametros_manuales!$E$36*(datos_base!$D$3+IF(parametros_manuales!$H$36="Todos",datos_base!$D$10,0))*parametros_manuales!$E$102+parametros_manuales!$F$36*(datos_base!$D$4+IF(parametros_manuales!$H$36="Todos",datos_base!$D$11,0))*parametros_manuales!$E$107+parametros_manuales!$G$36*(datos_base!$D$5+IF(parametros_manuales!$H$36="Todos",datos_base!$D$12,0))*parametros_manuales!$E$112)*parametros_manuales!$I$36*parametros_manuales!$J$36</f>
        <v>1800.329358264</v>
      </c>
      <c r="F75" s="14" t="n">
        <f aca="false">(parametros_manuales!$D$36*(datos_base!$D$2+IF(parametros_manuales!$H$36="Todos",datos_base!$D$9,0))*parametros_manuales!$F$97+parametros_manuales!$E$36*(datos_base!$D$3+IF(parametros_manuales!$H$36="Todos",datos_base!$D$10,0))*parametros_manuales!$F$102+parametros_manuales!$F$36*(datos_base!$D$4+IF(parametros_manuales!$H$36="Todos",datos_base!$D$11,0))*parametros_manuales!$F$107+parametros_manuales!$G$36*(datos_base!$D$5+IF(parametros_manuales!$H$36="Todos",datos_base!$D$12,0))*parametros_manuales!$F$112)*parametros_manuales!$I$36*parametros_manuales!$J$36</f>
        <v>1685.889897332</v>
      </c>
      <c r="G75" s="14" t="n">
        <f aca="false">(parametros_manuales!$D$36*(datos_base!$D$2+IF(parametros_manuales!$H$36="Todos",datos_base!$D$9,0))*parametros_manuales!$G$97+parametros_manuales!$E$36*(datos_base!$D$3+IF(parametros_manuales!$H$36="Todos",datos_base!$D$10,0))*parametros_manuales!$G$102+parametros_manuales!$F$36*(datos_base!$D$4+IF(parametros_manuales!$H$36="Todos",datos_base!$D$11,0))*parametros_manuales!$G$107+parametros_manuales!$G$36*(datos_base!$D$5+IF(parametros_manuales!$H$36="Todos",datos_base!$D$12,0))*parametros_manuales!$G$112)*parametros_manuales!$I$36*parametros_manuales!$J$36</f>
        <v>1644.02117519</v>
      </c>
      <c r="H75" s="14" t="n">
        <f aca="false">(parametros_manuales!$D$36*(datos_base!$D$2+IF(parametros_manuales!$H$36="Todos",datos_base!$D$9,0))*parametros_manuales!$H$97+parametros_manuales!$E$36*(datos_base!$D$3+IF(parametros_manuales!$H$36="Todos",datos_base!$D$10,0))*parametros_manuales!$H$102+parametros_manuales!$F$36*(datos_base!$D$4+IF(parametros_manuales!$H$36="Todos",datos_base!$D$11,0))*parametros_manuales!$H$107+parametros_manuales!$G$36*(datos_base!$D$5+IF(parametros_manuales!$H$36="Todos",datos_base!$D$12,0))*parametros_manuales!$H$112)*parametros_manuales!$I$36*parametros_manuales!$J$36</f>
        <v>1758.460636122</v>
      </c>
      <c r="I75" s="14" t="n">
        <f aca="false">(parametros_manuales!$D$36*(datos_base!$D$2+IF(parametros_manuales!$H$36="Todos",datos_base!$D$9,0))*parametros_manuales!$I$97+parametros_manuales!$E$36*(datos_base!$D$3+IF(parametros_manuales!$H$36="Todos",datos_base!$D$10,0))*parametros_manuales!$I$102+parametros_manuales!$F$36*(datos_base!$D$4+IF(parametros_manuales!$H$36="Todos",datos_base!$D$11,0))*parametros_manuales!$I$107+parametros_manuales!$G$36*(datos_base!$D$5+IF(parametros_manuales!$H$36="Todos",datos_base!$D$12,0))*parametros_manuales!$I$112)*parametros_manuales!$I$36*parametros_manuales!$J$36</f>
        <v>1976.172852492</v>
      </c>
      <c r="J75" s="14" t="n">
        <f aca="false">(parametros_manuales!$D$36*(datos_base!$D$2+IF(parametros_manuales!$H$36="Todos",datos_base!$D$9,0))*parametros_manuales!$J$97+parametros_manuales!$E$36*(datos_base!$D$3+IF(parametros_manuales!$H$36="Todos",datos_base!$D$10,0))*parametros_manuales!$J$102+parametros_manuales!$F$36*(datos_base!$D$4+IF(parametros_manuales!$H$36="Todos",datos_base!$D$11,0))*parametros_manuales!$J$107+parametros_manuales!$G$36*(datos_base!$D$5+IF(parametros_manuales!$H$36="Todos",datos_base!$D$12,0))*parametros_manuales!$J$112)*parametros_manuales!$I$36*parametros_manuales!$J$36</f>
        <v>1976.172852492</v>
      </c>
      <c r="K75" s="14" t="n">
        <f aca="false">(parametros_manuales!$D$36*(datos_base!$D$2+IF(parametros_manuales!$H$36="Todos",datos_base!$D$9,0))*parametros_manuales!$K$97+parametros_manuales!$E$36*(datos_base!$D$3+IF(parametros_manuales!$H$36="Todos",datos_base!$D$10,0))*parametros_manuales!$K$102+parametros_manuales!$F$36*(datos_base!$D$4+IF(parametros_manuales!$H$36="Todos",datos_base!$D$11,0))*parametros_manuales!$K$107+parametros_manuales!$G$36*(datos_base!$D$5+IF(parametros_manuales!$H$36="Todos",datos_base!$D$12,0))*parametros_manuales!$K$112)*parametros_manuales!$I$36*parametros_manuales!$J$36</f>
        <v>2018.041574634</v>
      </c>
      <c r="L75" s="14" t="n">
        <f aca="false">(parametros_manuales!$D$36*(datos_base!$D$2+IF(parametros_manuales!$H$36="Todos",datos_base!$D$9,0))*parametros_manuales!$L$97+parametros_manuales!$E$36*(datos_base!$D$3+IF(parametros_manuales!$H$36="Todos",datos_base!$D$10,0))*parametros_manuales!$L$102+parametros_manuales!$F$36*(datos_base!$D$4+IF(parametros_manuales!$H$36="Todos",datos_base!$D$11,0))*parametros_manuales!$L$107+parametros_manuales!$G$36*(datos_base!$D$5+IF(parametros_manuales!$H$36="Todos",datos_base!$D$12,0))*parametros_manuales!$L$112)*parametros_manuales!$I$36*parametros_manuales!$J$36</f>
        <v>2059.910296776</v>
      </c>
      <c r="M75" s="14" t="n">
        <f aca="false">(parametros_manuales!$D$36*(datos_base!$D$2+IF(parametros_manuales!$H$36="Todos",datos_base!$D$9,0))*parametros_manuales!$M$97+parametros_manuales!$E$36*(datos_base!$D$3+IF(parametros_manuales!$H$36="Todos",datos_base!$D$10,0))*parametros_manuales!$M$102+parametros_manuales!$F$36*(datos_base!$D$4+IF(parametros_manuales!$H$36="Todos",datos_base!$D$11,0))*parametros_manuales!$M$107+parametros_manuales!$G$36*(datos_base!$D$5+IF(parametros_manuales!$H$36="Todos",datos_base!$D$12,0))*parametros_manuales!$M$112)*parametros_manuales!$I$36*parametros_manuales!$J$36</f>
        <v>2059.910296776</v>
      </c>
      <c r="N75" s="14" t="n">
        <f aca="false">SUM(B75:M75)</f>
        <v>22887.8921864</v>
      </c>
      <c r="O75" s="14" t="n">
        <f aca="false">MAX(B75:M75)</f>
        <v>2059.910296776</v>
      </c>
      <c r="P75" s="57" t="n">
        <f aca="false">O75/(parametros_manuales!$B$7)</f>
        <v>13.73273531184</v>
      </c>
      <c r="Q75" s="13" t="str">
        <f aca="false">IF(O75=0,"-",INDEX($B$57:$M$57,MATCH(O75,B75:M75,0)))</f>
        <v>Ene</v>
      </c>
    </row>
    <row r="76" customFormat="false" ht="14.25" hidden="false" customHeight="true" outlineLevel="0" collapsed="false">
      <c r="A76" s="13" t="str">
        <f aca="false">parametros_manuales!$B$37</f>
        <v>Corrección de defectos</v>
      </c>
      <c r="B76" s="14" t="n">
        <f aca="false">(parametros_manuales!$D$37*(datos_base!$D$2+IF(parametros_manuales!$H$37="Todos",datos_base!$D$9,0))*parametros_manuales!$B$97+parametros_manuales!$E$37*(datos_base!$D$3+IF(parametros_manuales!$H$37="Todos",datos_base!$D$10,0))*parametros_manuales!$B$102+parametros_manuales!$F$37*(datos_base!$D$4+IF(parametros_manuales!$H$37="Todos",datos_base!$D$11,0))*parametros_manuales!$B$107+parametros_manuales!$G$37*(datos_base!$D$5+IF(parametros_manuales!$H$37="Todos",datos_base!$D$12,0))*parametros_manuales!$B$112)*parametros_manuales!$I$37*parametros_manuales!$J$37</f>
        <v>102.9955148388</v>
      </c>
      <c r="C76" s="14" t="n">
        <f aca="false">(parametros_manuales!$D$37*(datos_base!$D$2+IF(parametros_manuales!$H$37="Todos",datos_base!$D$9,0))*parametros_manuales!$C$97+parametros_manuales!$E$37*(datos_base!$D$3+IF(parametros_manuales!$H$37="Todos",datos_base!$D$10,0))*parametros_manuales!$C$102+parametros_manuales!$F$37*(datos_base!$D$4+IF(parametros_manuales!$H$37="Todos",datos_base!$D$11,0))*parametros_manuales!$C$107+parametros_manuales!$G$37*(datos_base!$D$5+IF(parametros_manuales!$H$37="Todos",datos_base!$D$12,0))*parametros_manuales!$C$112)*parametros_manuales!$I$37*parametros_manuales!$J$37</f>
        <v>98.8086426246</v>
      </c>
      <c r="D76" s="14" t="n">
        <f aca="false">(parametros_manuales!$D$37*(datos_base!$D$2+IF(parametros_manuales!$H$37="Todos",datos_base!$D$9,0))*parametros_manuales!$D$97+parametros_manuales!$E$37*(datos_base!$D$3+IF(parametros_manuales!$H$37="Todos",datos_base!$D$10,0))*parametros_manuales!$D$102+parametros_manuales!$F$37*(datos_base!$D$4+IF(parametros_manuales!$H$37="Todos",datos_base!$D$11,0))*parametros_manuales!$D$107+parametros_manuales!$G$37*(datos_base!$D$5+IF(parametros_manuales!$H$37="Todos",datos_base!$D$12,0))*parametros_manuales!$D$112)*parametros_manuales!$I$37*parametros_manuales!$J$37</f>
        <v>93.6450048527</v>
      </c>
      <c r="E76" s="14" t="n">
        <f aca="false">(parametros_manuales!$D$37*(datos_base!$D$2+IF(parametros_manuales!$H$37="Todos",datos_base!$D$9,0))*parametros_manuales!$E$97+parametros_manuales!$E$37*(datos_base!$D$3+IF(parametros_manuales!$H$37="Todos",datos_base!$D$10,0))*parametros_manuales!$E$102+parametros_manuales!$F$37*(datos_base!$D$4+IF(parametros_manuales!$H$37="Todos",datos_base!$D$11,0))*parametros_manuales!$E$107+parametros_manuales!$G$37*(datos_base!$D$5+IF(parametros_manuales!$H$37="Todos",datos_base!$D$12,0))*parametros_manuales!$E$112)*parametros_manuales!$I$37*parametros_manuales!$J$37</f>
        <v>90.0164679132</v>
      </c>
      <c r="F76" s="14" t="n">
        <f aca="false">(parametros_manuales!$D$37*(datos_base!$D$2+IF(parametros_manuales!$H$37="Todos",datos_base!$D$9,0))*parametros_manuales!$F$97+parametros_manuales!$E$37*(datos_base!$D$3+IF(parametros_manuales!$H$37="Todos",datos_base!$D$10,0))*parametros_manuales!$F$102+parametros_manuales!$F$37*(datos_base!$D$4+IF(parametros_manuales!$H$37="Todos",datos_base!$D$11,0))*parametros_manuales!$F$107+parametros_manuales!$G$37*(datos_base!$D$5+IF(parametros_manuales!$H$37="Todos",datos_base!$D$12,0))*parametros_manuales!$F$112)*parametros_manuales!$I$37*parametros_manuales!$J$37</f>
        <v>84.2944948666</v>
      </c>
      <c r="G76" s="14" t="n">
        <f aca="false">(parametros_manuales!$D$37*(datos_base!$D$2+IF(parametros_manuales!$H$37="Todos",datos_base!$D$9,0))*parametros_manuales!$G$97+parametros_manuales!$E$37*(datos_base!$D$3+IF(parametros_manuales!$H$37="Todos",datos_base!$D$10,0))*parametros_manuales!$G$102+parametros_manuales!$F$37*(datos_base!$D$4+IF(parametros_manuales!$H$37="Todos",datos_base!$D$11,0))*parametros_manuales!$G$107+parametros_manuales!$G$37*(datos_base!$D$5+IF(parametros_manuales!$H$37="Todos",datos_base!$D$12,0))*parametros_manuales!$G$112)*parametros_manuales!$I$37*parametros_manuales!$J$37</f>
        <v>82.2010587595</v>
      </c>
      <c r="H76" s="14" t="n">
        <f aca="false">(parametros_manuales!$D$37*(datos_base!$D$2+IF(parametros_manuales!$H$37="Todos",datos_base!$D$9,0))*parametros_manuales!$H$97+parametros_manuales!$E$37*(datos_base!$D$3+IF(parametros_manuales!$H$37="Todos",datos_base!$D$10,0))*parametros_manuales!$H$102+parametros_manuales!$F$37*(datos_base!$D$4+IF(parametros_manuales!$H$37="Todos",datos_base!$D$11,0))*parametros_manuales!$H$107+parametros_manuales!$G$37*(datos_base!$D$5+IF(parametros_manuales!$H$37="Todos",datos_base!$D$12,0))*parametros_manuales!$H$112)*parametros_manuales!$I$37*parametros_manuales!$J$37</f>
        <v>87.9230318061</v>
      </c>
      <c r="I76" s="14" t="n">
        <f aca="false">(parametros_manuales!$D$37*(datos_base!$D$2+IF(parametros_manuales!$H$37="Todos",datos_base!$D$9,0))*parametros_manuales!$I$97+parametros_manuales!$E$37*(datos_base!$D$3+IF(parametros_manuales!$H$37="Todos",datos_base!$D$10,0))*parametros_manuales!$I$102+parametros_manuales!$F$37*(datos_base!$D$4+IF(parametros_manuales!$H$37="Todos",datos_base!$D$11,0))*parametros_manuales!$I$107+parametros_manuales!$G$37*(datos_base!$D$5+IF(parametros_manuales!$H$37="Todos",datos_base!$D$12,0))*parametros_manuales!$I$112)*parametros_manuales!$I$37*parametros_manuales!$J$37</f>
        <v>98.8086426246</v>
      </c>
      <c r="J76" s="14" t="n">
        <f aca="false">(parametros_manuales!$D$37*(datos_base!$D$2+IF(parametros_manuales!$H$37="Todos",datos_base!$D$9,0))*parametros_manuales!$J$97+parametros_manuales!$E$37*(datos_base!$D$3+IF(parametros_manuales!$H$37="Todos",datos_base!$D$10,0))*parametros_manuales!$J$102+parametros_manuales!$F$37*(datos_base!$D$4+IF(parametros_manuales!$H$37="Todos",datos_base!$D$11,0))*parametros_manuales!$J$107+parametros_manuales!$G$37*(datos_base!$D$5+IF(parametros_manuales!$H$37="Todos",datos_base!$D$12,0))*parametros_manuales!$J$112)*parametros_manuales!$I$37*parametros_manuales!$J$37</f>
        <v>98.8086426246</v>
      </c>
      <c r="K76" s="14" t="n">
        <f aca="false">(parametros_manuales!$D$37*(datos_base!$D$2+IF(parametros_manuales!$H$37="Todos",datos_base!$D$9,0))*parametros_manuales!$K$97+parametros_manuales!$E$37*(datos_base!$D$3+IF(parametros_manuales!$H$37="Todos",datos_base!$D$10,0))*parametros_manuales!$K$102+parametros_manuales!$F$37*(datos_base!$D$4+IF(parametros_manuales!$H$37="Todos",datos_base!$D$11,0))*parametros_manuales!$K$107+parametros_manuales!$G$37*(datos_base!$D$5+IF(parametros_manuales!$H$37="Todos",datos_base!$D$12,0))*parametros_manuales!$K$112)*parametros_manuales!$I$37*parametros_manuales!$J$37</f>
        <v>100.9020787317</v>
      </c>
      <c r="L76" s="14" t="n">
        <f aca="false">(parametros_manuales!$D$37*(datos_base!$D$2+IF(parametros_manuales!$H$37="Todos",datos_base!$D$9,0))*parametros_manuales!$L$97+parametros_manuales!$E$37*(datos_base!$D$3+IF(parametros_manuales!$H$37="Todos",datos_base!$D$10,0))*parametros_manuales!$L$102+parametros_manuales!$F$37*(datos_base!$D$4+IF(parametros_manuales!$H$37="Todos",datos_base!$D$11,0))*parametros_manuales!$L$107+parametros_manuales!$G$37*(datos_base!$D$5+IF(parametros_manuales!$H$37="Todos",datos_base!$D$12,0))*parametros_manuales!$L$112)*parametros_manuales!$I$37*parametros_manuales!$J$37</f>
        <v>102.9955148388</v>
      </c>
      <c r="M76" s="14" t="n">
        <f aca="false">(parametros_manuales!$D$37*(datos_base!$D$2+IF(parametros_manuales!$H$37="Todos",datos_base!$D$9,0))*parametros_manuales!$M$97+parametros_manuales!$E$37*(datos_base!$D$3+IF(parametros_manuales!$H$37="Todos",datos_base!$D$10,0))*parametros_manuales!$M$102+parametros_manuales!$F$37*(datos_base!$D$4+IF(parametros_manuales!$H$37="Todos",datos_base!$D$11,0))*parametros_manuales!$M$107+parametros_manuales!$G$37*(datos_base!$D$5+IF(parametros_manuales!$H$37="Todos",datos_base!$D$12,0))*parametros_manuales!$M$112)*parametros_manuales!$I$37*parametros_manuales!$J$37</f>
        <v>102.9955148388</v>
      </c>
      <c r="N76" s="14" t="n">
        <f aca="false">SUM(B76:M76)</f>
        <v>1144.39460932</v>
      </c>
      <c r="O76" s="14" t="n">
        <f aca="false">MAX(B76:M76)</f>
        <v>102.9955148388</v>
      </c>
      <c r="P76" s="57" t="n">
        <f aca="false">O76/(parametros_manuales!$B$7)</f>
        <v>0.686636765592</v>
      </c>
      <c r="Q76" s="13" t="str">
        <f aca="false">IF(O76=0,"-",INDEX($B$57:$M$57,MATCH(O76,B76:M76,0)))</f>
        <v>Ene</v>
      </c>
    </row>
    <row r="77" customFormat="false" ht="14.25" hidden="false" customHeight="true" outlineLevel="0" collapsed="false">
      <c r="A77" s="13" t="str">
        <f aca="false">parametros_manuales!$B$38</f>
        <v>Pintura en polvo + horno</v>
      </c>
      <c r="B77" s="14" t="n">
        <f aca="false">(parametros_manuales!$D$38*(datos_base!$D$2+IF(parametros_manuales!$H$38="Todos",datos_base!$D$9,0))*parametros_manuales!$B$97+parametros_manuales!$E$38*(datos_base!$D$3+IF(parametros_manuales!$H$38="Todos",datos_base!$D$10,0))*parametros_manuales!$B$102+parametros_manuales!$F$38*(datos_base!$D$4+IF(parametros_manuales!$H$38="Todos",datos_base!$D$11,0))*parametros_manuales!$B$107+parametros_manuales!$G$38*(datos_base!$D$5+IF(parametros_manuales!$H$38="Todos",datos_base!$D$12,0))*parametros_manuales!$B$112)*parametros_manuales!$I$38*parametros_manuales!$J$38</f>
        <v>2059.910296776</v>
      </c>
      <c r="C77" s="14" t="n">
        <f aca="false">(parametros_manuales!$D$38*(datos_base!$D$2+IF(parametros_manuales!$H$38="Todos",datos_base!$D$9,0))*parametros_manuales!$C$97+parametros_manuales!$E$38*(datos_base!$D$3+IF(parametros_manuales!$H$38="Todos",datos_base!$D$10,0))*parametros_manuales!$C$102+parametros_manuales!$F$38*(datos_base!$D$4+IF(parametros_manuales!$H$38="Todos",datos_base!$D$11,0))*parametros_manuales!$C$107+parametros_manuales!$G$38*(datos_base!$D$5+IF(parametros_manuales!$H$38="Todos",datos_base!$D$12,0))*parametros_manuales!$C$112)*parametros_manuales!$I$38*parametros_manuales!$J$38</f>
        <v>1976.172852492</v>
      </c>
      <c r="D77" s="14" t="n">
        <f aca="false">(parametros_manuales!$D$38*(datos_base!$D$2+IF(parametros_manuales!$H$38="Todos",datos_base!$D$9,0))*parametros_manuales!$D$97+parametros_manuales!$E$38*(datos_base!$D$3+IF(parametros_manuales!$H$38="Todos",datos_base!$D$10,0))*parametros_manuales!$D$102+parametros_manuales!$F$38*(datos_base!$D$4+IF(parametros_manuales!$H$38="Todos",datos_base!$D$11,0))*parametros_manuales!$D$107+parametros_manuales!$G$38*(datos_base!$D$5+IF(parametros_manuales!$H$38="Todos",datos_base!$D$12,0))*parametros_manuales!$D$112)*parametros_manuales!$I$38*parametros_manuales!$J$38</f>
        <v>1872.900097054</v>
      </c>
      <c r="E77" s="14" t="n">
        <f aca="false">(parametros_manuales!$D$38*(datos_base!$D$2+IF(parametros_manuales!$H$38="Todos",datos_base!$D$9,0))*parametros_manuales!$E$97+parametros_manuales!$E$38*(datos_base!$D$3+IF(parametros_manuales!$H$38="Todos",datos_base!$D$10,0))*parametros_manuales!$E$102+parametros_manuales!$F$38*(datos_base!$D$4+IF(parametros_manuales!$H$38="Todos",datos_base!$D$11,0))*parametros_manuales!$E$107+parametros_manuales!$G$38*(datos_base!$D$5+IF(parametros_manuales!$H$38="Todos",datos_base!$D$12,0))*parametros_manuales!$E$112)*parametros_manuales!$I$38*parametros_manuales!$J$38</f>
        <v>1800.329358264</v>
      </c>
      <c r="F77" s="14" t="n">
        <f aca="false">(parametros_manuales!$D$38*(datos_base!$D$2+IF(parametros_manuales!$H$38="Todos",datos_base!$D$9,0))*parametros_manuales!$F$97+parametros_manuales!$E$38*(datos_base!$D$3+IF(parametros_manuales!$H$38="Todos",datos_base!$D$10,0))*parametros_manuales!$F$102+parametros_manuales!$F$38*(datos_base!$D$4+IF(parametros_manuales!$H$38="Todos",datos_base!$D$11,0))*parametros_manuales!$F$107+parametros_manuales!$G$38*(datos_base!$D$5+IF(parametros_manuales!$H$38="Todos",datos_base!$D$12,0))*parametros_manuales!$F$112)*parametros_manuales!$I$38*parametros_manuales!$J$38</f>
        <v>1685.889897332</v>
      </c>
      <c r="G77" s="14" t="n">
        <f aca="false">(parametros_manuales!$D$38*(datos_base!$D$2+IF(parametros_manuales!$H$38="Todos",datos_base!$D$9,0))*parametros_manuales!$G$97+parametros_manuales!$E$38*(datos_base!$D$3+IF(parametros_manuales!$H$38="Todos",datos_base!$D$10,0))*parametros_manuales!$G$102+parametros_manuales!$F$38*(datos_base!$D$4+IF(parametros_manuales!$H$38="Todos",datos_base!$D$11,0))*parametros_manuales!$G$107+parametros_manuales!$G$38*(datos_base!$D$5+IF(parametros_manuales!$H$38="Todos",datos_base!$D$12,0))*parametros_manuales!$G$112)*parametros_manuales!$I$38*parametros_manuales!$J$38</f>
        <v>1644.02117519</v>
      </c>
      <c r="H77" s="14" t="n">
        <f aca="false">(parametros_manuales!$D$38*(datos_base!$D$2+IF(parametros_manuales!$H$38="Todos",datos_base!$D$9,0))*parametros_manuales!$H$97+parametros_manuales!$E$38*(datos_base!$D$3+IF(parametros_manuales!$H$38="Todos",datos_base!$D$10,0))*parametros_manuales!$H$102+parametros_manuales!$F$38*(datos_base!$D$4+IF(parametros_manuales!$H$38="Todos",datos_base!$D$11,0))*parametros_manuales!$H$107+parametros_manuales!$G$38*(datos_base!$D$5+IF(parametros_manuales!$H$38="Todos",datos_base!$D$12,0))*parametros_manuales!$H$112)*parametros_manuales!$I$38*parametros_manuales!$J$38</f>
        <v>1758.460636122</v>
      </c>
      <c r="I77" s="14" t="n">
        <f aca="false">(parametros_manuales!$D$38*(datos_base!$D$2+IF(parametros_manuales!$H$38="Todos",datos_base!$D$9,0))*parametros_manuales!$I$97+parametros_manuales!$E$38*(datos_base!$D$3+IF(parametros_manuales!$H$38="Todos",datos_base!$D$10,0))*parametros_manuales!$I$102+parametros_manuales!$F$38*(datos_base!$D$4+IF(parametros_manuales!$H$38="Todos",datos_base!$D$11,0))*parametros_manuales!$I$107+parametros_manuales!$G$38*(datos_base!$D$5+IF(parametros_manuales!$H$38="Todos",datos_base!$D$12,0))*parametros_manuales!$I$112)*parametros_manuales!$I$38*parametros_manuales!$J$38</f>
        <v>1976.172852492</v>
      </c>
      <c r="J77" s="14" t="n">
        <f aca="false">(parametros_manuales!$D$38*(datos_base!$D$2+IF(parametros_manuales!$H$38="Todos",datos_base!$D$9,0))*parametros_manuales!$J$97+parametros_manuales!$E$38*(datos_base!$D$3+IF(parametros_manuales!$H$38="Todos",datos_base!$D$10,0))*parametros_manuales!$J$102+parametros_manuales!$F$38*(datos_base!$D$4+IF(parametros_manuales!$H$38="Todos",datos_base!$D$11,0))*parametros_manuales!$J$107+parametros_manuales!$G$38*(datos_base!$D$5+IF(parametros_manuales!$H$38="Todos",datos_base!$D$12,0))*parametros_manuales!$J$112)*parametros_manuales!$I$38*parametros_manuales!$J$38</f>
        <v>1976.172852492</v>
      </c>
      <c r="K77" s="14" t="n">
        <f aca="false">(parametros_manuales!$D$38*(datos_base!$D$2+IF(parametros_manuales!$H$38="Todos",datos_base!$D$9,0))*parametros_manuales!$K$97+parametros_manuales!$E$38*(datos_base!$D$3+IF(parametros_manuales!$H$38="Todos",datos_base!$D$10,0))*parametros_manuales!$K$102+parametros_manuales!$F$38*(datos_base!$D$4+IF(parametros_manuales!$H$38="Todos",datos_base!$D$11,0))*parametros_manuales!$K$107+parametros_manuales!$G$38*(datos_base!$D$5+IF(parametros_manuales!$H$38="Todos",datos_base!$D$12,0))*parametros_manuales!$K$112)*parametros_manuales!$I$38*parametros_manuales!$J$38</f>
        <v>2018.041574634</v>
      </c>
      <c r="L77" s="14" t="n">
        <f aca="false">(parametros_manuales!$D$38*(datos_base!$D$2+IF(parametros_manuales!$H$38="Todos",datos_base!$D$9,0))*parametros_manuales!$L$97+parametros_manuales!$E$38*(datos_base!$D$3+IF(parametros_manuales!$H$38="Todos",datos_base!$D$10,0))*parametros_manuales!$L$102+parametros_manuales!$F$38*(datos_base!$D$4+IF(parametros_manuales!$H$38="Todos",datos_base!$D$11,0))*parametros_manuales!$L$107+parametros_manuales!$G$38*(datos_base!$D$5+IF(parametros_manuales!$H$38="Todos",datos_base!$D$12,0))*parametros_manuales!$L$112)*parametros_manuales!$I$38*parametros_manuales!$J$38</f>
        <v>2059.910296776</v>
      </c>
      <c r="M77" s="14" t="n">
        <f aca="false">(parametros_manuales!$D$38*(datos_base!$D$2+IF(parametros_manuales!$H$38="Todos",datos_base!$D$9,0))*parametros_manuales!$M$97+parametros_manuales!$E$38*(datos_base!$D$3+IF(parametros_manuales!$H$38="Todos",datos_base!$D$10,0))*parametros_manuales!$M$102+parametros_manuales!$F$38*(datos_base!$D$4+IF(parametros_manuales!$H$38="Todos",datos_base!$D$11,0))*parametros_manuales!$M$107+parametros_manuales!$G$38*(datos_base!$D$5+IF(parametros_manuales!$H$38="Todos",datos_base!$D$12,0))*parametros_manuales!$M$112)*parametros_manuales!$I$38*parametros_manuales!$J$38</f>
        <v>2059.910296776</v>
      </c>
      <c r="N77" s="14" t="n">
        <f aca="false">SUM(B77:M77)</f>
        <v>22887.8921864</v>
      </c>
      <c r="O77" s="14" t="n">
        <f aca="false">MAX(B77:M77)</f>
        <v>2059.910296776</v>
      </c>
      <c r="P77" s="57" t="n">
        <f aca="false">O77/(parametros_manuales!$B$7)</f>
        <v>13.73273531184</v>
      </c>
      <c r="Q77" s="13" t="str">
        <f aca="false">IF(O77=0,"-",INDEX($B$57:$M$57,MATCH(O77,B77:M77,0)))</f>
        <v>Ene</v>
      </c>
    </row>
    <row r="78" customFormat="false" ht="14.25" hidden="false" customHeight="true" outlineLevel="0" collapsed="false">
      <c r="A78" s="13" t="str">
        <f aca="false">parametros_manuales!$B$39</f>
        <v>Carga de polvo</v>
      </c>
      <c r="B78" s="14" t="n">
        <f aca="false">(parametros_manuales!$D$39*(datos_base!$D$2+IF(parametros_manuales!$H$39="Todos",datos_base!$D$9,0))*parametros_manuales!$B$97+parametros_manuales!$E$39*(datos_base!$D$3+IF(parametros_manuales!$H$39="Todos",datos_base!$D$10,0))*parametros_manuales!$B$102+parametros_manuales!$F$39*(datos_base!$D$4+IF(parametros_manuales!$H$39="Todos",datos_base!$D$11,0))*parametros_manuales!$B$107+parametros_manuales!$G$39*(datos_base!$D$5+IF(parametros_manuales!$H$39="Todos",datos_base!$D$12,0))*parametros_manuales!$B$112)*parametros_manuales!$I$39*parametros_manuales!$J$39</f>
        <v>1191.943096776</v>
      </c>
      <c r="C78" s="14" t="n">
        <f aca="false">(parametros_manuales!$D$39*(datos_base!$D$2+IF(parametros_manuales!$H$39="Todos",datos_base!$D$9,0))*parametros_manuales!$C$97+parametros_manuales!$E$39*(datos_base!$D$3+IF(parametros_manuales!$H$39="Todos",datos_base!$D$10,0))*parametros_manuales!$C$102+parametros_manuales!$F$39*(datos_base!$D$4+IF(parametros_manuales!$H$39="Todos",datos_base!$D$11,0))*parametros_manuales!$C$107+parametros_manuales!$G$39*(datos_base!$D$5+IF(parametros_manuales!$H$39="Todos",datos_base!$D$12,0))*parametros_manuales!$C$112)*parametros_manuales!$I$39*parametros_manuales!$J$39</f>
        <v>1128.022452492</v>
      </c>
      <c r="D78" s="14" t="n">
        <f aca="false">(parametros_manuales!$D$39*(datos_base!$D$2+IF(parametros_manuales!$H$39="Todos",datos_base!$D$9,0))*parametros_manuales!$D$97+parametros_manuales!$E$39*(datos_base!$D$3+IF(parametros_manuales!$H$39="Todos",datos_base!$D$10,0))*parametros_manuales!$D$102+parametros_manuales!$F$39*(datos_base!$D$4+IF(parametros_manuales!$H$39="Todos",datos_base!$D$11,0))*parametros_manuales!$D$107+parametros_manuales!$G$39*(datos_base!$D$5+IF(parametros_manuales!$H$39="Todos",datos_base!$D$12,0))*parametros_manuales!$D$112)*parametros_manuales!$I$39*parametros_manuales!$J$39</f>
        <v>1091.465297054</v>
      </c>
      <c r="E78" s="14" t="n">
        <f aca="false">(parametros_manuales!$D$39*(datos_base!$D$2+IF(parametros_manuales!$H$39="Todos",datos_base!$D$9,0))*parametros_manuales!$E$97+parametros_manuales!$E$39*(datos_base!$D$3+IF(parametros_manuales!$H$39="Todos",datos_base!$D$10,0))*parametros_manuales!$E$102+parametros_manuales!$F$39*(datos_base!$D$4+IF(parametros_manuales!$H$39="Todos",datos_base!$D$11,0))*parametros_manuales!$E$107+parametros_manuales!$G$39*(datos_base!$D$5+IF(parametros_manuales!$H$39="Todos",datos_base!$D$12,0))*parametros_manuales!$E$112)*parametros_manuales!$I$39*parametros_manuales!$J$39</f>
        <v>1057.206558264</v>
      </c>
      <c r="F78" s="14" t="n">
        <f aca="false">(parametros_manuales!$D$39*(datos_base!$D$2+IF(parametros_manuales!$H$39="Todos",datos_base!$D$9,0))*parametros_manuales!$F$97+parametros_manuales!$E$39*(datos_base!$D$3+IF(parametros_manuales!$H$39="Todos",datos_base!$D$10,0))*parametros_manuales!$F$102+parametros_manuales!$F$39*(datos_base!$D$4+IF(parametros_manuales!$H$39="Todos",datos_base!$D$11,0))*parametros_manuales!$F$107+parametros_manuales!$G$39*(datos_base!$D$5+IF(parametros_manuales!$H$39="Todos",datos_base!$D$12,0))*parametros_manuales!$F$112)*parametros_manuales!$I$39*parametros_manuales!$J$39</f>
        <v>990.987497332</v>
      </c>
      <c r="G78" s="14" t="n">
        <f aca="false">(parametros_manuales!$D$39*(datos_base!$D$2+IF(parametros_manuales!$H$39="Todos",datos_base!$D$9,0))*parametros_manuales!$G$97+parametros_manuales!$E$39*(datos_base!$D$3+IF(parametros_manuales!$H$39="Todos",datos_base!$D$10,0))*parametros_manuales!$G$102+parametros_manuales!$F$39*(datos_base!$D$4+IF(parametros_manuales!$H$39="Todos",datos_base!$D$11,0))*parametros_manuales!$G$107+parametros_manuales!$G$39*(datos_base!$D$5+IF(parametros_manuales!$H$39="Todos",datos_base!$D$12,0))*parametros_manuales!$G$112)*parametros_manuales!$I$39*parametros_manuales!$J$39</f>
        <v>959.02717519</v>
      </c>
      <c r="H78" s="14" t="n">
        <f aca="false">(parametros_manuales!$D$39*(datos_base!$D$2+IF(parametros_manuales!$H$39="Todos",datos_base!$D$9,0))*parametros_manuales!$H$97+parametros_manuales!$E$39*(datos_base!$D$3+IF(parametros_manuales!$H$39="Todos",datos_base!$D$10,0))*parametros_manuales!$H$102+parametros_manuales!$F$39*(datos_base!$D$4+IF(parametros_manuales!$H$39="Todos",datos_base!$D$11,0))*parametros_manuales!$H$107+parametros_manuales!$G$39*(datos_base!$D$5+IF(parametros_manuales!$H$39="Todos",datos_base!$D$12,0))*parametros_manuales!$H$112)*parametros_manuales!$I$39*parametros_manuales!$J$39</f>
        <v>1025.246236122</v>
      </c>
      <c r="I78" s="14" t="n">
        <f aca="false">(parametros_manuales!$D$39*(datos_base!$D$2+IF(parametros_manuales!$H$39="Todos",datos_base!$D$9,0))*parametros_manuales!$I$97+parametros_manuales!$E$39*(datos_base!$D$3+IF(parametros_manuales!$H$39="Todos",datos_base!$D$10,0))*parametros_manuales!$I$102+parametros_manuales!$F$39*(datos_base!$D$4+IF(parametros_manuales!$H$39="Todos",datos_base!$D$11,0))*parametros_manuales!$I$107+parametros_manuales!$G$39*(datos_base!$D$5+IF(parametros_manuales!$H$39="Todos",datos_base!$D$12,0))*parametros_manuales!$I$112)*parametros_manuales!$I$39*parametros_manuales!$J$39</f>
        <v>1128.022452492</v>
      </c>
      <c r="J78" s="14" t="n">
        <f aca="false">(parametros_manuales!$D$39*(datos_base!$D$2+IF(parametros_manuales!$H$39="Todos",datos_base!$D$9,0))*parametros_manuales!$J$97+parametros_manuales!$E$39*(datos_base!$D$3+IF(parametros_manuales!$H$39="Todos",datos_base!$D$10,0))*parametros_manuales!$J$102+parametros_manuales!$F$39*(datos_base!$D$4+IF(parametros_manuales!$H$39="Todos",datos_base!$D$11,0))*parametros_manuales!$J$107+parametros_manuales!$G$39*(datos_base!$D$5+IF(parametros_manuales!$H$39="Todos",datos_base!$D$12,0))*parametros_manuales!$J$112)*parametros_manuales!$I$39*parametros_manuales!$J$39</f>
        <v>1128.022452492</v>
      </c>
      <c r="K78" s="14" t="n">
        <f aca="false">(parametros_manuales!$D$39*(datos_base!$D$2+IF(parametros_manuales!$H$39="Todos",datos_base!$D$9,0))*parametros_manuales!$K$97+parametros_manuales!$E$39*(datos_base!$D$3+IF(parametros_manuales!$H$39="Todos",datos_base!$D$10,0))*parametros_manuales!$K$102+parametros_manuales!$F$39*(datos_base!$D$4+IF(parametros_manuales!$H$39="Todos",datos_base!$D$11,0))*parametros_manuales!$K$107+parametros_manuales!$G$39*(datos_base!$D$5+IF(parametros_manuales!$H$39="Todos",datos_base!$D$12,0))*parametros_manuales!$K$112)*parametros_manuales!$I$39*parametros_manuales!$J$39</f>
        <v>1159.982774634</v>
      </c>
      <c r="L78" s="14" t="n">
        <f aca="false">(parametros_manuales!$D$39*(datos_base!$D$2+IF(parametros_manuales!$H$39="Todos",datos_base!$D$9,0))*parametros_manuales!$L$97+parametros_manuales!$E$39*(datos_base!$D$3+IF(parametros_manuales!$H$39="Todos",datos_base!$D$10,0))*parametros_manuales!$L$102+parametros_manuales!$F$39*(datos_base!$D$4+IF(parametros_manuales!$H$39="Todos",datos_base!$D$11,0))*parametros_manuales!$L$107+parametros_manuales!$G$39*(datos_base!$D$5+IF(parametros_manuales!$H$39="Todos",datos_base!$D$12,0))*parametros_manuales!$L$112)*parametros_manuales!$I$39*parametros_manuales!$J$39</f>
        <v>1191.943096776</v>
      </c>
      <c r="M78" s="14" t="n">
        <f aca="false">(parametros_manuales!$D$39*(datos_base!$D$2+IF(parametros_manuales!$H$39="Todos",datos_base!$D$9,0))*parametros_manuales!$M$97+parametros_manuales!$E$39*(datos_base!$D$3+IF(parametros_manuales!$H$39="Todos",datos_base!$D$10,0))*parametros_manuales!$M$102+parametros_manuales!$F$39*(datos_base!$D$4+IF(parametros_manuales!$H$39="Todos",datos_base!$D$11,0))*parametros_manuales!$M$107+parametros_manuales!$G$39*(datos_base!$D$5+IF(parametros_manuales!$H$39="Todos",datos_base!$D$12,0))*parametros_manuales!$M$112)*parametros_manuales!$I$39*parametros_manuales!$J$39</f>
        <v>1191.943096776</v>
      </c>
      <c r="N78" s="14" t="n">
        <f aca="false">SUM(B78:M78)</f>
        <v>13243.8121864</v>
      </c>
      <c r="O78" s="14" t="n">
        <f aca="false">MAX(B78:M78)</f>
        <v>1191.943096776</v>
      </c>
      <c r="P78" s="57" t="n">
        <f aca="false">O78/(parametros_manuales!$B$7)</f>
        <v>7.94628731184</v>
      </c>
      <c r="Q78" s="13" t="str">
        <f aca="false">IF(O78=0,"-",INDEX($B$57:$M$57,MATCH(O78,B78:M78,0)))</f>
        <v>Ene</v>
      </c>
    </row>
    <row r="79" customFormat="false" ht="14.25" hidden="false" customHeight="true" outlineLevel="0" collapsed="false">
      <c r="A79" s="13" t="str">
        <f aca="false">parametros_manuales!$B$40</f>
        <v>Ensamblaje</v>
      </c>
      <c r="B79" s="14" t="n">
        <f aca="false">(parametros_manuales!$D$40*(datos_base!$D$2+IF(parametros_manuales!$H$40="Todos",datos_base!$D$9,0))*parametros_manuales!$B$97+parametros_manuales!$E$40*(datos_base!$D$3+IF(parametros_manuales!$H$40="Todos",datos_base!$D$10,0))*parametros_manuales!$B$102+parametros_manuales!$F$40*(datos_base!$D$4+IF(parametros_manuales!$H$40="Todos",datos_base!$D$11,0))*parametros_manuales!$B$107+parametros_manuales!$G$40*(datos_base!$D$5+IF(parametros_manuales!$H$40="Todos",datos_base!$D$12,0))*parametros_manuales!$B$112)*parametros_manuales!$I$40*parametros_manuales!$J$40</f>
        <v>1191.943096776</v>
      </c>
      <c r="C79" s="14" t="n">
        <f aca="false">(parametros_manuales!$D$40*(datos_base!$D$2+IF(parametros_manuales!$H$40="Todos",datos_base!$D$9,0))*parametros_manuales!$C$97+parametros_manuales!$E$40*(datos_base!$D$3+IF(parametros_manuales!$H$40="Todos",datos_base!$D$10,0))*parametros_manuales!$C$102+parametros_manuales!$F$40*(datos_base!$D$4+IF(parametros_manuales!$H$40="Todos",datos_base!$D$11,0))*parametros_manuales!$C$107+parametros_manuales!$G$40*(datos_base!$D$5+IF(parametros_manuales!$H$40="Todos",datos_base!$D$12,0))*parametros_manuales!$C$112)*parametros_manuales!$I$40*parametros_manuales!$J$40</f>
        <v>1128.022452492</v>
      </c>
      <c r="D79" s="14" t="n">
        <f aca="false">(parametros_manuales!$D$40*(datos_base!$D$2+IF(parametros_manuales!$H$40="Todos",datos_base!$D$9,0))*parametros_manuales!$D$97+parametros_manuales!$E$40*(datos_base!$D$3+IF(parametros_manuales!$H$40="Todos",datos_base!$D$10,0))*parametros_manuales!$D$102+parametros_manuales!$F$40*(datos_base!$D$4+IF(parametros_manuales!$H$40="Todos",datos_base!$D$11,0))*parametros_manuales!$D$107+parametros_manuales!$G$40*(datos_base!$D$5+IF(parametros_manuales!$H$40="Todos",datos_base!$D$12,0))*parametros_manuales!$D$112)*parametros_manuales!$I$40*parametros_manuales!$J$40</f>
        <v>1091.465297054</v>
      </c>
      <c r="E79" s="14" t="n">
        <f aca="false">(parametros_manuales!$D$40*(datos_base!$D$2+IF(parametros_manuales!$H$40="Todos",datos_base!$D$9,0))*parametros_manuales!$E$97+parametros_manuales!$E$40*(datos_base!$D$3+IF(parametros_manuales!$H$40="Todos",datos_base!$D$10,0))*parametros_manuales!$E$102+parametros_manuales!$F$40*(datos_base!$D$4+IF(parametros_manuales!$H$40="Todos",datos_base!$D$11,0))*parametros_manuales!$E$107+parametros_manuales!$G$40*(datos_base!$D$5+IF(parametros_manuales!$H$40="Todos",datos_base!$D$12,0))*parametros_manuales!$E$112)*parametros_manuales!$I$40*parametros_manuales!$J$40</f>
        <v>1057.206558264</v>
      </c>
      <c r="F79" s="14" t="n">
        <f aca="false">(parametros_manuales!$D$40*(datos_base!$D$2+IF(parametros_manuales!$H$40="Todos",datos_base!$D$9,0))*parametros_manuales!$F$97+parametros_manuales!$E$40*(datos_base!$D$3+IF(parametros_manuales!$H$40="Todos",datos_base!$D$10,0))*parametros_manuales!$F$102+parametros_manuales!$F$40*(datos_base!$D$4+IF(parametros_manuales!$H$40="Todos",datos_base!$D$11,0))*parametros_manuales!$F$107+parametros_manuales!$G$40*(datos_base!$D$5+IF(parametros_manuales!$H$40="Todos",datos_base!$D$12,0))*parametros_manuales!$F$112)*parametros_manuales!$I$40*parametros_manuales!$J$40</f>
        <v>990.987497332</v>
      </c>
      <c r="G79" s="14" t="n">
        <f aca="false">(parametros_manuales!$D$40*(datos_base!$D$2+IF(parametros_manuales!$H$40="Todos",datos_base!$D$9,0))*parametros_manuales!$G$97+parametros_manuales!$E$40*(datos_base!$D$3+IF(parametros_manuales!$H$40="Todos",datos_base!$D$10,0))*parametros_manuales!$G$102+parametros_manuales!$F$40*(datos_base!$D$4+IF(parametros_manuales!$H$40="Todos",datos_base!$D$11,0))*parametros_manuales!$G$107+parametros_manuales!$G$40*(datos_base!$D$5+IF(parametros_manuales!$H$40="Todos",datos_base!$D$12,0))*parametros_manuales!$G$112)*parametros_manuales!$I$40*parametros_manuales!$J$40</f>
        <v>959.02717519</v>
      </c>
      <c r="H79" s="14" t="n">
        <f aca="false">(parametros_manuales!$D$40*(datos_base!$D$2+IF(parametros_manuales!$H$40="Todos",datos_base!$D$9,0))*parametros_manuales!$H$97+parametros_manuales!$E$40*(datos_base!$D$3+IF(parametros_manuales!$H$40="Todos",datos_base!$D$10,0))*parametros_manuales!$H$102+parametros_manuales!$F$40*(datos_base!$D$4+IF(parametros_manuales!$H$40="Todos",datos_base!$D$11,0))*parametros_manuales!$H$107+parametros_manuales!$G$40*(datos_base!$D$5+IF(parametros_manuales!$H$40="Todos",datos_base!$D$12,0))*parametros_manuales!$H$112)*parametros_manuales!$I$40*parametros_manuales!$J$40</f>
        <v>1025.246236122</v>
      </c>
      <c r="I79" s="14" t="n">
        <f aca="false">(parametros_manuales!$D$40*(datos_base!$D$2+IF(parametros_manuales!$H$40="Todos",datos_base!$D$9,0))*parametros_manuales!$I$97+parametros_manuales!$E$40*(datos_base!$D$3+IF(parametros_manuales!$H$40="Todos",datos_base!$D$10,0))*parametros_manuales!$I$102+parametros_manuales!$F$40*(datos_base!$D$4+IF(parametros_manuales!$H$40="Todos",datos_base!$D$11,0))*parametros_manuales!$I$107+parametros_manuales!$G$40*(datos_base!$D$5+IF(parametros_manuales!$H$40="Todos",datos_base!$D$12,0))*parametros_manuales!$I$112)*parametros_manuales!$I$40*parametros_manuales!$J$40</f>
        <v>1128.022452492</v>
      </c>
      <c r="J79" s="14" t="n">
        <f aca="false">(parametros_manuales!$D$40*(datos_base!$D$2+IF(parametros_manuales!$H$40="Todos",datos_base!$D$9,0))*parametros_manuales!$J$97+parametros_manuales!$E$40*(datos_base!$D$3+IF(parametros_manuales!$H$40="Todos",datos_base!$D$10,0))*parametros_manuales!$J$102+parametros_manuales!$F$40*(datos_base!$D$4+IF(parametros_manuales!$H$40="Todos",datos_base!$D$11,0))*parametros_manuales!$J$107+parametros_manuales!$G$40*(datos_base!$D$5+IF(parametros_manuales!$H$40="Todos",datos_base!$D$12,0))*parametros_manuales!$J$112)*parametros_manuales!$I$40*parametros_manuales!$J$40</f>
        <v>1128.022452492</v>
      </c>
      <c r="K79" s="14" t="n">
        <f aca="false">(parametros_manuales!$D$40*(datos_base!$D$2+IF(parametros_manuales!$H$40="Todos",datos_base!$D$9,0))*parametros_manuales!$K$97+parametros_manuales!$E$40*(datos_base!$D$3+IF(parametros_manuales!$H$40="Todos",datos_base!$D$10,0))*parametros_manuales!$K$102+parametros_manuales!$F$40*(datos_base!$D$4+IF(parametros_manuales!$H$40="Todos",datos_base!$D$11,0))*parametros_manuales!$K$107+parametros_manuales!$G$40*(datos_base!$D$5+IF(parametros_manuales!$H$40="Todos",datos_base!$D$12,0))*parametros_manuales!$K$112)*parametros_manuales!$I$40*parametros_manuales!$J$40</f>
        <v>1159.982774634</v>
      </c>
      <c r="L79" s="14" t="n">
        <f aca="false">(parametros_manuales!$D$40*(datos_base!$D$2+IF(parametros_manuales!$H$40="Todos",datos_base!$D$9,0))*parametros_manuales!$L$97+parametros_manuales!$E$40*(datos_base!$D$3+IF(parametros_manuales!$H$40="Todos",datos_base!$D$10,0))*parametros_manuales!$L$102+parametros_manuales!$F$40*(datos_base!$D$4+IF(parametros_manuales!$H$40="Todos",datos_base!$D$11,0))*parametros_manuales!$L$107+parametros_manuales!$G$40*(datos_base!$D$5+IF(parametros_manuales!$H$40="Todos",datos_base!$D$12,0))*parametros_manuales!$L$112)*parametros_manuales!$I$40*parametros_manuales!$J$40</f>
        <v>1191.943096776</v>
      </c>
      <c r="M79" s="14" t="n">
        <f aca="false">(parametros_manuales!$D$40*(datos_base!$D$2+IF(parametros_manuales!$H$40="Todos",datos_base!$D$9,0))*parametros_manuales!$M$97+parametros_manuales!$E$40*(datos_base!$D$3+IF(parametros_manuales!$H$40="Todos",datos_base!$D$10,0))*parametros_manuales!$M$102+parametros_manuales!$F$40*(datos_base!$D$4+IF(parametros_manuales!$H$40="Todos",datos_base!$D$11,0))*parametros_manuales!$M$107+parametros_manuales!$G$40*(datos_base!$D$5+IF(parametros_manuales!$H$40="Todos",datos_base!$D$12,0))*parametros_manuales!$M$112)*parametros_manuales!$I$40*parametros_manuales!$J$40</f>
        <v>1191.943096776</v>
      </c>
      <c r="N79" s="14" t="n">
        <f aca="false">SUM(B79:M79)</f>
        <v>13243.8121864</v>
      </c>
      <c r="O79" s="14" t="n">
        <f aca="false">MAX(B79:M79)</f>
        <v>1191.943096776</v>
      </c>
      <c r="P79" s="57" t="n">
        <f aca="false">O79/(parametros_manuales!$B$7)</f>
        <v>7.94628731184</v>
      </c>
      <c r="Q79" s="13" t="str">
        <f aca="false">IF(O79=0,"-",INDEX($B$57:$M$57,MATCH(O79,B79:M79,0)))</f>
        <v>Ene</v>
      </c>
    </row>
    <row r="80" customFormat="false" ht="14.25" hidden="false" customHeight="true" outlineLevel="0" collapsed="false">
      <c r="A80" s="13" t="str">
        <f aca="false">parametros_manuales!$B$41</f>
        <v>Presurización</v>
      </c>
      <c r="B80" s="14" t="n">
        <f aca="false">(parametros_manuales!$D$41*(datos_base!$D$2+IF(parametros_manuales!$H$41="Todos",datos_base!$D$9,0))*parametros_manuales!$B$97+parametros_manuales!$E$41*(datos_base!$D$3+IF(parametros_manuales!$H$41="Todos",datos_base!$D$10,0))*parametros_manuales!$B$102+parametros_manuales!$F$41*(datos_base!$D$4+IF(parametros_manuales!$H$41="Todos",datos_base!$D$11,0))*parametros_manuales!$B$107+parametros_manuales!$G$41*(datos_base!$D$5+IF(parametros_manuales!$H$41="Todos",datos_base!$D$12,0))*parametros_manuales!$B$112)*parametros_manuales!$I$41*parametros_manuales!$J$41</f>
        <v>1191.943096776</v>
      </c>
      <c r="C80" s="14" t="n">
        <f aca="false">(parametros_manuales!$D$41*(datos_base!$D$2+IF(parametros_manuales!$H$41="Todos",datos_base!$D$9,0))*parametros_manuales!$C$97+parametros_manuales!$E$41*(datos_base!$D$3+IF(parametros_manuales!$H$41="Todos",datos_base!$D$10,0))*parametros_manuales!$C$102+parametros_manuales!$F$41*(datos_base!$D$4+IF(parametros_manuales!$H$41="Todos",datos_base!$D$11,0))*parametros_manuales!$C$107+parametros_manuales!$G$41*(datos_base!$D$5+IF(parametros_manuales!$H$41="Todos",datos_base!$D$12,0))*parametros_manuales!$C$112)*parametros_manuales!$I$41*parametros_manuales!$J$41</f>
        <v>1128.022452492</v>
      </c>
      <c r="D80" s="14" t="n">
        <f aca="false">(parametros_manuales!$D$41*(datos_base!$D$2+IF(parametros_manuales!$H$41="Todos",datos_base!$D$9,0))*parametros_manuales!$D$97+parametros_manuales!$E$41*(datos_base!$D$3+IF(parametros_manuales!$H$41="Todos",datos_base!$D$10,0))*parametros_manuales!$D$102+parametros_manuales!$F$41*(datos_base!$D$4+IF(parametros_manuales!$H$41="Todos",datos_base!$D$11,0))*parametros_manuales!$D$107+parametros_manuales!$G$41*(datos_base!$D$5+IF(parametros_manuales!$H$41="Todos",datos_base!$D$12,0))*parametros_manuales!$D$112)*parametros_manuales!$I$41*parametros_manuales!$J$41</f>
        <v>1091.465297054</v>
      </c>
      <c r="E80" s="14" t="n">
        <f aca="false">(parametros_manuales!$D$41*(datos_base!$D$2+IF(parametros_manuales!$H$41="Todos",datos_base!$D$9,0))*parametros_manuales!$E$97+parametros_manuales!$E$41*(datos_base!$D$3+IF(parametros_manuales!$H$41="Todos",datos_base!$D$10,0))*parametros_manuales!$E$102+parametros_manuales!$F$41*(datos_base!$D$4+IF(parametros_manuales!$H$41="Todos",datos_base!$D$11,0))*parametros_manuales!$E$107+parametros_manuales!$G$41*(datos_base!$D$5+IF(parametros_manuales!$H$41="Todos",datos_base!$D$12,0))*parametros_manuales!$E$112)*parametros_manuales!$I$41*parametros_manuales!$J$41</f>
        <v>1057.206558264</v>
      </c>
      <c r="F80" s="14" t="n">
        <f aca="false">(parametros_manuales!$D$41*(datos_base!$D$2+IF(parametros_manuales!$H$41="Todos",datos_base!$D$9,0))*parametros_manuales!$F$97+parametros_manuales!$E$41*(datos_base!$D$3+IF(parametros_manuales!$H$41="Todos",datos_base!$D$10,0))*parametros_manuales!$F$102+parametros_manuales!$F$41*(datos_base!$D$4+IF(parametros_manuales!$H$41="Todos",datos_base!$D$11,0))*parametros_manuales!$F$107+parametros_manuales!$G$41*(datos_base!$D$5+IF(parametros_manuales!$H$41="Todos",datos_base!$D$12,0))*parametros_manuales!$F$112)*parametros_manuales!$I$41*parametros_manuales!$J$41</f>
        <v>990.987497332</v>
      </c>
      <c r="G80" s="14" t="n">
        <f aca="false">(parametros_manuales!$D$41*(datos_base!$D$2+IF(parametros_manuales!$H$41="Todos",datos_base!$D$9,0))*parametros_manuales!$G$97+parametros_manuales!$E$41*(datos_base!$D$3+IF(parametros_manuales!$H$41="Todos",datos_base!$D$10,0))*parametros_manuales!$G$102+parametros_manuales!$F$41*(datos_base!$D$4+IF(parametros_manuales!$H$41="Todos",datos_base!$D$11,0))*parametros_manuales!$G$107+parametros_manuales!$G$41*(datos_base!$D$5+IF(parametros_manuales!$H$41="Todos",datos_base!$D$12,0))*parametros_manuales!$G$112)*parametros_manuales!$I$41*parametros_manuales!$J$41</f>
        <v>959.02717519</v>
      </c>
      <c r="H80" s="14" t="n">
        <f aca="false">(parametros_manuales!$D$41*(datos_base!$D$2+IF(parametros_manuales!$H$41="Todos",datos_base!$D$9,0))*parametros_manuales!$H$97+parametros_manuales!$E$41*(datos_base!$D$3+IF(parametros_manuales!$H$41="Todos",datos_base!$D$10,0))*parametros_manuales!$H$102+parametros_manuales!$F$41*(datos_base!$D$4+IF(parametros_manuales!$H$41="Todos",datos_base!$D$11,0))*parametros_manuales!$H$107+parametros_manuales!$G$41*(datos_base!$D$5+IF(parametros_manuales!$H$41="Todos",datos_base!$D$12,0))*parametros_manuales!$H$112)*parametros_manuales!$I$41*parametros_manuales!$J$41</f>
        <v>1025.246236122</v>
      </c>
      <c r="I80" s="14" t="n">
        <f aca="false">(parametros_manuales!$D$41*(datos_base!$D$2+IF(parametros_manuales!$H$41="Todos",datos_base!$D$9,0))*parametros_manuales!$I$97+parametros_manuales!$E$41*(datos_base!$D$3+IF(parametros_manuales!$H$41="Todos",datos_base!$D$10,0))*parametros_manuales!$I$102+parametros_manuales!$F$41*(datos_base!$D$4+IF(parametros_manuales!$H$41="Todos",datos_base!$D$11,0))*parametros_manuales!$I$107+parametros_manuales!$G$41*(datos_base!$D$5+IF(parametros_manuales!$H$41="Todos",datos_base!$D$12,0))*parametros_manuales!$I$112)*parametros_manuales!$I$41*parametros_manuales!$J$41</f>
        <v>1128.022452492</v>
      </c>
      <c r="J80" s="14" t="n">
        <f aca="false">(parametros_manuales!$D$41*(datos_base!$D$2+IF(parametros_manuales!$H$41="Todos",datos_base!$D$9,0))*parametros_manuales!$J$97+parametros_manuales!$E$41*(datos_base!$D$3+IF(parametros_manuales!$H$41="Todos",datos_base!$D$10,0))*parametros_manuales!$J$102+parametros_manuales!$F$41*(datos_base!$D$4+IF(parametros_manuales!$H$41="Todos",datos_base!$D$11,0))*parametros_manuales!$J$107+parametros_manuales!$G$41*(datos_base!$D$5+IF(parametros_manuales!$H$41="Todos",datos_base!$D$12,0))*parametros_manuales!$J$112)*parametros_manuales!$I$41*parametros_manuales!$J$41</f>
        <v>1128.022452492</v>
      </c>
      <c r="K80" s="14" t="n">
        <f aca="false">(parametros_manuales!$D$41*(datos_base!$D$2+IF(parametros_manuales!$H$41="Todos",datos_base!$D$9,0))*parametros_manuales!$K$97+parametros_manuales!$E$41*(datos_base!$D$3+IF(parametros_manuales!$H$41="Todos",datos_base!$D$10,0))*parametros_manuales!$K$102+parametros_manuales!$F$41*(datos_base!$D$4+IF(parametros_manuales!$H$41="Todos",datos_base!$D$11,0))*parametros_manuales!$K$107+parametros_manuales!$G$41*(datos_base!$D$5+IF(parametros_manuales!$H$41="Todos",datos_base!$D$12,0))*parametros_manuales!$K$112)*parametros_manuales!$I$41*parametros_manuales!$J$41</f>
        <v>1159.982774634</v>
      </c>
      <c r="L80" s="14" t="n">
        <f aca="false">(parametros_manuales!$D$41*(datos_base!$D$2+IF(parametros_manuales!$H$41="Todos",datos_base!$D$9,0))*parametros_manuales!$L$97+parametros_manuales!$E$41*(datos_base!$D$3+IF(parametros_manuales!$H$41="Todos",datos_base!$D$10,0))*parametros_manuales!$L$102+parametros_manuales!$F$41*(datos_base!$D$4+IF(parametros_manuales!$H$41="Todos",datos_base!$D$11,0))*parametros_manuales!$L$107+parametros_manuales!$G$41*(datos_base!$D$5+IF(parametros_manuales!$H$41="Todos",datos_base!$D$12,0))*parametros_manuales!$L$112)*parametros_manuales!$I$41*parametros_manuales!$J$41</f>
        <v>1191.943096776</v>
      </c>
      <c r="M80" s="14" t="n">
        <f aca="false">(parametros_manuales!$D$41*(datos_base!$D$2+IF(parametros_manuales!$H$41="Todos",datos_base!$D$9,0))*parametros_manuales!$M$97+parametros_manuales!$E$41*(datos_base!$D$3+IF(parametros_manuales!$H$41="Todos",datos_base!$D$10,0))*parametros_manuales!$M$102+parametros_manuales!$F$41*(datos_base!$D$4+IF(parametros_manuales!$H$41="Todos",datos_base!$D$11,0))*parametros_manuales!$M$107+parametros_manuales!$G$41*(datos_base!$D$5+IF(parametros_manuales!$H$41="Todos",datos_base!$D$12,0))*parametros_manuales!$M$112)*parametros_manuales!$I$41*parametros_manuales!$J$41</f>
        <v>1191.943096776</v>
      </c>
      <c r="N80" s="14" t="n">
        <f aca="false">SUM(B80:M80)</f>
        <v>13243.8121864</v>
      </c>
      <c r="O80" s="14" t="n">
        <f aca="false">MAX(B80:M80)</f>
        <v>1191.943096776</v>
      </c>
      <c r="P80" s="57" t="n">
        <f aca="false">O80/(parametros_manuales!$B$7)</f>
        <v>7.94628731184</v>
      </c>
      <c r="Q80" s="13" t="str">
        <f aca="false">IF(O80=0,"-",INDEX($B$57:$M$57,MATCH(O80,B80:M80,0)))</f>
        <v>Ene</v>
      </c>
    </row>
    <row r="81" customFormat="false" ht="14.25" hidden="false" customHeight="true" outlineLevel="0" collapsed="false">
      <c r="A81" s="13" t="str">
        <f aca="false">parametros_manuales!$B$42</f>
        <v>Control de calidad — Ensayo de pérdidas</v>
      </c>
      <c r="B81" s="14" t="n">
        <f aca="false">(parametros_manuales!$D$42*(datos_base!$D$2+IF(parametros_manuales!$H$42="Todos",datos_base!$D$9,0))*parametros_manuales!$B$97+parametros_manuales!$E$42*(datos_base!$D$3+IF(parametros_manuales!$H$42="Todos",datos_base!$D$10,0))*parametros_manuales!$B$102+parametros_manuales!$F$42*(datos_base!$D$4+IF(parametros_manuales!$H$42="Todos",datos_base!$D$11,0))*parametros_manuales!$B$107+parametros_manuales!$G$42*(datos_base!$D$5+IF(parametros_manuales!$H$42="Todos",datos_base!$D$12,0))*parametros_manuales!$B$112)*parametros_manuales!$I$42*parametros_manuales!$J$42</f>
        <v>1191.943096776</v>
      </c>
      <c r="C81" s="14" t="n">
        <f aca="false">(parametros_manuales!$D$42*(datos_base!$D$2+IF(parametros_manuales!$H$42="Todos",datos_base!$D$9,0))*parametros_manuales!$C$97+parametros_manuales!$E$42*(datos_base!$D$3+IF(parametros_manuales!$H$42="Todos",datos_base!$D$10,0))*parametros_manuales!$C$102+parametros_manuales!$F$42*(datos_base!$D$4+IF(parametros_manuales!$H$42="Todos",datos_base!$D$11,0))*parametros_manuales!$C$107+parametros_manuales!$G$42*(datos_base!$D$5+IF(parametros_manuales!$H$42="Todos",datos_base!$D$12,0))*parametros_manuales!$C$112)*parametros_manuales!$I$42*parametros_manuales!$J$42</f>
        <v>1128.022452492</v>
      </c>
      <c r="D81" s="14" t="n">
        <f aca="false">(parametros_manuales!$D$42*(datos_base!$D$2+IF(parametros_manuales!$H$42="Todos",datos_base!$D$9,0))*parametros_manuales!$D$97+parametros_manuales!$E$42*(datos_base!$D$3+IF(parametros_manuales!$H$42="Todos",datos_base!$D$10,0))*parametros_manuales!$D$102+parametros_manuales!$F$42*(datos_base!$D$4+IF(parametros_manuales!$H$42="Todos",datos_base!$D$11,0))*parametros_manuales!$D$107+parametros_manuales!$G$42*(datos_base!$D$5+IF(parametros_manuales!$H$42="Todos",datos_base!$D$12,0))*parametros_manuales!$D$112)*parametros_manuales!$I$42*parametros_manuales!$J$42</f>
        <v>1091.465297054</v>
      </c>
      <c r="E81" s="14" t="n">
        <f aca="false">(parametros_manuales!$D$42*(datos_base!$D$2+IF(parametros_manuales!$H$42="Todos",datos_base!$D$9,0))*parametros_manuales!$E$97+parametros_manuales!$E$42*(datos_base!$D$3+IF(parametros_manuales!$H$42="Todos",datos_base!$D$10,0))*parametros_manuales!$E$102+parametros_manuales!$F$42*(datos_base!$D$4+IF(parametros_manuales!$H$42="Todos",datos_base!$D$11,0))*parametros_manuales!$E$107+parametros_manuales!$G$42*(datos_base!$D$5+IF(parametros_manuales!$H$42="Todos",datos_base!$D$12,0))*parametros_manuales!$E$112)*parametros_manuales!$I$42*parametros_manuales!$J$42</f>
        <v>1057.206558264</v>
      </c>
      <c r="F81" s="14" t="n">
        <f aca="false">(parametros_manuales!$D$42*(datos_base!$D$2+IF(parametros_manuales!$H$42="Todos",datos_base!$D$9,0))*parametros_manuales!$F$97+parametros_manuales!$E$42*(datos_base!$D$3+IF(parametros_manuales!$H$42="Todos",datos_base!$D$10,0))*parametros_manuales!$F$102+parametros_manuales!$F$42*(datos_base!$D$4+IF(parametros_manuales!$H$42="Todos",datos_base!$D$11,0))*parametros_manuales!$F$107+parametros_manuales!$G$42*(datos_base!$D$5+IF(parametros_manuales!$H$42="Todos",datos_base!$D$12,0))*parametros_manuales!$F$112)*parametros_manuales!$I$42*parametros_manuales!$J$42</f>
        <v>990.987497332</v>
      </c>
      <c r="G81" s="14" t="n">
        <f aca="false">(parametros_manuales!$D$42*(datos_base!$D$2+IF(parametros_manuales!$H$42="Todos",datos_base!$D$9,0))*parametros_manuales!$G$97+parametros_manuales!$E$42*(datos_base!$D$3+IF(parametros_manuales!$H$42="Todos",datos_base!$D$10,0))*parametros_manuales!$G$102+parametros_manuales!$F$42*(datos_base!$D$4+IF(parametros_manuales!$H$42="Todos",datos_base!$D$11,0))*parametros_manuales!$G$107+parametros_manuales!$G$42*(datos_base!$D$5+IF(parametros_manuales!$H$42="Todos",datos_base!$D$12,0))*parametros_manuales!$G$112)*parametros_manuales!$I$42*parametros_manuales!$J$42</f>
        <v>959.02717519</v>
      </c>
      <c r="H81" s="14" t="n">
        <f aca="false">(parametros_manuales!$D$42*(datos_base!$D$2+IF(parametros_manuales!$H$42="Todos",datos_base!$D$9,0))*parametros_manuales!$H$97+parametros_manuales!$E$42*(datos_base!$D$3+IF(parametros_manuales!$H$42="Todos",datos_base!$D$10,0))*parametros_manuales!$H$102+parametros_manuales!$F$42*(datos_base!$D$4+IF(parametros_manuales!$H$42="Todos",datos_base!$D$11,0))*parametros_manuales!$H$107+parametros_manuales!$G$42*(datos_base!$D$5+IF(parametros_manuales!$H$42="Todos",datos_base!$D$12,0))*parametros_manuales!$H$112)*parametros_manuales!$I$42*parametros_manuales!$J$42</f>
        <v>1025.246236122</v>
      </c>
      <c r="I81" s="14" t="n">
        <f aca="false">(parametros_manuales!$D$42*(datos_base!$D$2+IF(parametros_manuales!$H$42="Todos",datos_base!$D$9,0))*parametros_manuales!$I$97+parametros_manuales!$E$42*(datos_base!$D$3+IF(parametros_manuales!$H$42="Todos",datos_base!$D$10,0))*parametros_manuales!$I$102+parametros_manuales!$F$42*(datos_base!$D$4+IF(parametros_manuales!$H$42="Todos",datos_base!$D$11,0))*parametros_manuales!$I$107+parametros_manuales!$G$42*(datos_base!$D$5+IF(parametros_manuales!$H$42="Todos",datos_base!$D$12,0))*parametros_manuales!$I$112)*parametros_manuales!$I$42*parametros_manuales!$J$42</f>
        <v>1128.022452492</v>
      </c>
      <c r="J81" s="14" t="n">
        <f aca="false">(parametros_manuales!$D$42*(datos_base!$D$2+IF(parametros_manuales!$H$42="Todos",datos_base!$D$9,0))*parametros_manuales!$J$97+parametros_manuales!$E$42*(datos_base!$D$3+IF(parametros_manuales!$H$42="Todos",datos_base!$D$10,0))*parametros_manuales!$J$102+parametros_manuales!$F$42*(datos_base!$D$4+IF(parametros_manuales!$H$42="Todos",datos_base!$D$11,0))*parametros_manuales!$J$107+parametros_manuales!$G$42*(datos_base!$D$5+IF(parametros_manuales!$H$42="Todos",datos_base!$D$12,0))*parametros_manuales!$J$112)*parametros_manuales!$I$42*parametros_manuales!$J$42</f>
        <v>1128.022452492</v>
      </c>
      <c r="K81" s="14" t="n">
        <f aca="false">(parametros_manuales!$D$42*(datos_base!$D$2+IF(parametros_manuales!$H$42="Todos",datos_base!$D$9,0))*parametros_manuales!$K$97+parametros_manuales!$E$42*(datos_base!$D$3+IF(parametros_manuales!$H$42="Todos",datos_base!$D$10,0))*parametros_manuales!$K$102+parametros_manuales!$F$42*(datos_base!$D$4+IF(parametros_manuales!$H$42="Todos",datos_base!$D$11,0))*parametros_manuales!$K$107+parametros_manuales!$G$42*(datos_base!$D$5+IF(parametros_manuales!$H$42="Todos",datos_base!$D$12,0))*parametros_manuales!$K$112)*parametros_manuales!$I$42*parametros_manuales!$J$42</f>
        <v>1159.982774634</v>
      </c>
      <c r="L81" s="14" t="n">
        <f aca="false">(parametros_manuales!$D$42*(datos_base!$D$2+IF(parametros_manuales!$H$42="Todos",datos_base!$D$9,0))*parametros_manuales!$L$97+parametros_manuales!$E$42*(datos_base!$D$3+IF(parametros_manuales!$H$42="Todos",datos_base!$D$10,0))*parametros_manuales!$L$102+parametros_manuales!$F$42*(datos_base!$D$4+IF(parametros_manuales!$H$42="Todos",datos_base!$D$11,0))*parametros_manuales!$L$107+parametros_manuales!$G$42*(datos_base!$D$5+IF(parametros_manuales!$H$42="Todos",datos_base!$D$12,0))*parametros_manuales!$L$112)*parametros_manuales!$I$42*parametros_manuales!$J$42</f>
        <v>1191.943096776</v>
      </c>
      <c r="M81" s="14" t="n">
        <f aca="false">(parametros_manuales!$D$42*(datos_base!$D$2+IF(parametros_manuales!$H$42="Todos",datos_base!$D$9,0))*parametros_manuales!$M$97+parametros_manuales!$E$42*(datos_base!$D$3+IF(parametros_manuales!$H$42="Todos",datos_base!$D$10,0))*parametros_manuales!$M$102+parametros_manuales!$F$42*(datos_base!$D$4+IF(parametros_manuales!$H$42="Todos",datos_base!$D$11,0))*parametros_manuales!$M$107+parametros_manuales!$G$42*(datos_base!$D$5+IF(parametros_manuales!$H$42="Todos",datos_base!$D$12,0))*parametros_manuales!$M$112)*parametros_manuales!$I$42*parametros_manuales!$J$42</f>
        <v>1191.943096776</v>
      </c>
      <c r="N81" s="14" t="n">
        <f aca="false">SUM(B81:M81)</f>
        <v>13243.8121864</v>
      </c>
      <c r="O81" s="14" t="n">
        <f aca="false">MAX(B81:M81)</f>
        <v>1191.943096776</v>
      </c>
      <c r="P81" s="57" t="n">
        <f aca="false">O81/(parametros_manuales!$B$7)</f>
        <v>7.94628731184</v>
      </c>
      <c r="Q81" s="13" t="str">
        <f aca="false">IF(O81=0,"-",INDEX($B$57:$M$57,MATCH(O81,B81:M81,0)))</f>
        <v>Ene</v>
      </c>
    </row>
    <row r="82" customFormat="false" ht="14.25" hidden="false" customHeight="true" outlineLevel="0" collapsed="false">
      <c r="A82" s="13" t="str">
        <f aca="false">parametros_manuales!$B$43</f>
        <v>Etiquetado</v>
      </c>
      <c r="B82" s="14" t="n">
        <f aca="false">(parametros_manuales!$D$43*(datos_base!$D$2+IF(parametros_manuales!$H$43="Todos",datos_base!$D$9,0))*parametros_manuales!$B$97+parametros_manuales!$E$43*(datos_base!$D$3+IF(parametros_manuales!$H$43="Todos",datos_base!$D$10,0))*parametros_manuales!$B$102+parametros_manuales!$F$43*(datos_base!$D$4+IF(parametros_manuales!$H$43="Todos",datos_base!$D$11,0))*parametros_manuales!$B$107+parametros_manuales!$G$43*(datos_base!$D$5+IF(parametros_manuales!$H$43="Todos",datos_base!$D$12,0))*parametros_manuales!$B$112)*parametros_manuales!$I$43*parametros_manuales!$J$43</f>
        <v>1191.943096776</v>
      </c>
      <c r="C82" s="14" t="n">
        <f aca="false">(parametros_manuales!$D$43*(datos_base!$D$2+IF(parametros_manuales!$H$43="Todos",datos_base!$D$9,0))*parametros_manuales!$C$97+parametros_manuales!$E$43*(datos_base!$D$3+IF(parametros_manuales!$H$43="Todos",datos_base!$D$10,0))*parametros_manuales!$C$102+parametros_manuales!$F$43*(datos_base!$D$4+IF(parametros_manuales!$H$43="Todos",datos_base!$D$11,0))*parametros_manuales!$C$107+parametros_manuales!$G$43*(datos_base!$D$5+IF(parametros_manuales!$H$43="Todos",datos_base!$D$12,0))*parametros_manuales!$C$112)*parametros_manuales!$I$43*parametros_manuales!$J$43</f>
        <v>1128.022452492</v>
      </c>
      <c r="D82" s="14" t="n">
        <f aca="false">(parametros_manuales!$D$43*(datos_base!$D$2+IF(parametros_manuales!$H$43="Todos",datos_base!$D$9,0))*parametros_manuales!$D$97+parametros_manuales!$E$43*(datos_base!$D$3+IF(parametros_manuales!$H$43="Todos",datos_base!$D$10,0))*parametros_manuales!$D$102+parametros_manuales!$F$43*(datos_base!$D$4+IF(parametros_manuales!$H$43="Todos",datos_base!$D$11,0))*parametros_manuales!$D$107+parametros_manuales!$G$43*(datos_base!$D$5+IF(parametros_manuales!$H$43="Todos",datos_base!$D$12,0))*parametros_manuales!$D$112)*parametros_manuales!$I$43*parametros_manuales!$J$43</f>
        <v>1091.465297054</v>
      </c>
      <c r="E82" s="14" t="n">
        <f aca="false">(parametros_manuales!$D$43*(datos_base!$D$2+IF(parametros_manuales!$H$43="Todos",datos_base!$D$9,0))*parametros_manuales!$E$97+parametros_manuales!$E$43*(datos_base!$D$3+IF(parametros_manuales!$H$43="Todos",datos_base!$D$10,0))*parametros_manuales!$E$102+parametros_manuales!$F$43*(datos_base!$D$4+IF(parametros_manuales!$H$43="Todos",datos_base!$D$11,0))*parametros_manuales!$E$107+parametros_manuales!$G$43*(datos_base!$D$5+IF(parametros_manuales!$H$43="Todos",datos_base!$D$12,0))*parametros_manuales!$E$112)*parametros_manuales!$I$43*parametros_manuales!$J$43</f>
        <v>1057.206558264</v>
      </c>
      <c r="F82" s="14" t="n">
        <f aca="false">(parametros_manuales!$D$43*(datos_base!$D$2+IF(parametros_manuales!$H$43="Todos",datos_base!$D$9,0))*parametros_manuales!$F$97+parametros_manuales!$E$43*(datos_base!$D$3+IF(parametros_manuales!$H$43="Todos",datos_base!$D$10,0))*parametros_manuales!$F$102+parametros_manuales!$F$43*(datos_base!$D$4+IF(parametros_manuales!$H$43="Todos",datos_base!$D$11,0))*parametros_manuales!$F$107+parametros_manuales!$G$43*(datos_base!$D$5+IF(parametros_manuales!$H$43="Todos",datos_base!$D$12,0))*parametros_manuales!$F$112)*parametros_manuales!$I$43*parametros_manuales!$J$43</f>
        <v>990.987497332</v>
      </c>
      <c r="G82" s="14" t="n">
        <f aca="false">(parametros_manuales!$D$43*(datos_base!$D$2+IF(parametros_manuales!$H$43="Todos",datos_base!$D$9,0))*parametros_manuales!$G$97+parametros_manuales!$E$43*(datos_base!$D$3+IF(parametros_manuales!$H$43="Todos",datos_base!$D$10,0))*parametros_manuales!$G$102+parametros_manuales!$F$43*(datos_base!$D$4+IF(parametros_manuales!$H$43="Todos",datos_base!$D$11,0))*parametros_manuales!$G$107+parametros_manuales!$G$43*(datos_base!$D$5+IF(parametros_manuales!$H$43="Todos",datos_base!$D$12,0))*parametros_manuales!$G$112)*parametros_manuales!$I$43*parametros_manuales!$J$43</f>
        <v>959.02717519</v>
      </c>
      <c r="H82" s="14" t="n">
        <f aca="false">(parametros_manuales!$D$43*(datos_base!$D$2+IF(parametros_manuales!$H$43="Todos",datos_base!$D$9,0))*parametros_manuales!$H$97+parametros_manuales!$E$43*(datos_base!$D$3+IF(parametros_manuales!$H$43="Todos",datos_base!$D$10,0))*parametros_manuales!$H$102+parametros_manuales!$F$43*(datos_base!$D$4+IF(parametros_manuales!$H$43="Todos",datos_base!$D$11,0))*parametros_manuales!$H$107+parametros_manuales!$G$43*(datos_base!$D$5+IF(parametros_manuales!$H$43="Todos",datos_base!$D$12,0))*parametros_manuales!$H$112)*parametros_manuales!$I$43*parametros_manuales!$J$43</f>
        <v>1025.246236122</v>
      </c>
      <c r="I82" s="14" t="n">
        <f aca="false">(parametros_manuales!$D$43*(datos_base!$D$2+IF(parametros_manuales!$H$43="Todos",datos_base!$D$9,0))*parametros_manuales!$I$97+parametros_manuales!$E$43*(datos_base!$D$3+IF(parametros_manuales!$H$43="Todos",datos_base!$D$10,0))*parametros_manuales!$I$102+parametros_manuales!$F$43*(datos_base!$D$4+IF(parametros_manuales!$H$43="Todos",datos_base!$D$11,0))*parametros_manuales!$I$107+parametros_manuales!$G$43*(datos_base!$D$5+IF(parametros_manuales!$H$43="Todos",datos_base!$D$12,0))*parametros_manuales!$I$112)*parametros_manuales!$I$43*parametros_manuales!$J$43</f>
        <v>1128.022452492</v>
      </c>
      <c r="J82" s="14" t="n">
        <f aca="false">(parametros_manuales!$D$43*(datos_base!$D$2+IF(parametros_manuales!$H$43="Todos",datos_base!$D$9,0))*parametros_manuales!$J$97+parametros_manuales!$E$43*(datos_base!$D$3+IF(parametros_manuales!$H$43="Todos",datos_base!$D$10,0))*parametros_manuales!$J$102+parametros_manuales!$F$43*(datos_base!$D$4+IF(parametros_manuales!$H$43="Todos",datos_base!$D$11,0))*parametros_manuales!$J$107+parametros_manuales!$G$43*(datos_base!$D$5+IF(parametros_manuales!$H$43="Todos",datos_base!$D$12,0))*parametros_manuales!$J$112)*parametros_manuales!$I$43*parametros_manuales!$J$43</f>
        <v>1128.022452492</v>
      </c>
      <c r="K82" s="14" t="n">
        <f aca="false">(parametros_manuales!$D$43*(datos_base!$D$2+IF(parametros_manuales!$H$43="Todos",datos_base!$D$9,0))*parametros_manuales!$K$97+parametros_manuales!$E$43*(datos_base!$D$3+IF(parametros_manuales!$H$43="Todos",datos_base!$D$10,0))*parametros_manuales!$K$102+parametros_manuales!$F$43*(datos_base!$D$4+IF(parametros_manuales!$H$43="Todos",datos_base!$D$11,0))*parametros_manuales!$K$107+parametros_manuales!$G$43*(datos_base!$D$5+IF(parametros_manuales!$H$43="Todos",datos_base!$D$12,0))*parametros_manuales!$K$112)*parametros_manuales!$I$43*parametros_manuales!$J$43</f>
        <v>1159.982774634</v>
      </c>
      <c r="L82" s="14" t="n">
        <f aca="false">(parametros_manuales!$D$43*(datos_base!$D$2+IF(parametros_manuales!$H$43="Todos",datos_base!$D$9,0))*parametros_manuales!$L$97+parametros_manuales!$E$43*(datos_base!$D$3+IF(parametros_manuales!$H$43="Todos",datos_base!$D$10,0))*parametros_manuales!$L$102+parametros_manuales!$F$43*(datos_base!$D$4+IF(parametros_manuales!$H$43="Todos",datos_base!$D$11,0))*parametros_manuales!$L$107+parametros_manuales!$G$43*(datos_base!$D$5+IF(parametros_manuales!$H$43="Todos",datos_base!$D$12,0))*parametros_manuales!$L$112)*parametros_manuales!$I$43*parametros_manuales!$J$43</f>
        <v>1191.943096776</v>
      </c>
      <c r="M82" s="14" t="n">
        <f aca="false">(parametros_manuales!$D$43*(datos_base!$D$2+IF(parametros_manuales!$H$43="Todos",datos_base!$D$9,0))*parametros_manuales!$M$97+parametros_manuales!$E$43*(datos_base!$D$3+IF(parametros_manuales!$H$43="Todos",datos_base!$D$10,0))*parametros_manuales!$M$102+parametros_manuales!$F$43*(datos_base!$D$4+IF(parametros_manuales!$H$43="Todos",datos_base!$D$11,0))*parametros_manuales!$M$107+parametros_manuales!$G$43*(datos_base!$D$5+IF(parametros_manuales!$H$43="Todos",datos_base!$D$12,0))*parametros_manuales!$M$112)*parametros_manuales!$I$43*parametros_manuales!$J$43</f>
        <v>1191.943096776</v>
      </c>
      <c r="N82" s="14" t="n">
        <f aca="false">SUM(B82:M82)</f>
        <v>13243.8121864</v>
      </c>
      <c r="O82" s="14" t="n">
        <f aca="false">MAX(B82:M82)</f>
        <v>1191.943096776</v>
      </c>
      <c r="P82" s="57" t="n">
        <f aca="false">O82/(parametros_manuales!$B$7)</f>
        <v>7.94628731184</v>
      </c>
      <c r="Q82" s="13" t="str">
        <f aca="false">IF(O82=0,"-",INDEX($B$57:$M$57,MATCH(O82,B82:M82,0)))</f>
        <v>Ene</v>
      </c>
    </row>
    <row r="83" customFormat="false" ht="14.25" hidden="false" customHeight="true" outlineLevel="0" collapsed="false">
      <c r="A83" s="13" t="str">
        <f aca="false">parametros_manuales!$B$44</f>
        <v>Embalaje y paletizado</v>
      </c>
      <c r="B83" s="14" t="n">
        <f aca="false">(parametros_manuales!$D$44*(datos_base!$D$2+IF(parametros_manuales!$H$44="Todos",datos_base!$D$9,0))*parametros_manuales!$B$97+parametros_manuales!$E$44*(datos_base!$D$3+IF(parametros_manuales!$H$44="Todos",datos_base!$D$10,0))*parametros_manuales!$B$102+parametros_manuales!$F$44*(datos_base!$D$4+IF(parametros_manuales!$H$44="Todos",datos_base!$D$11,0))*parametros_manuales!$B$107+parametros_manuales!$G$44*(datos_base!$D$5+IF(parametros_manuales!$H$44="Todos",datos_base!$D$12,0))*parametros_manuales!$B$112)*parametros_manuales!$I$44*parametros_manuales!$J$44</f>
        <v>2059.910296776</v>
      </c>
      <c r="C83" s="14" t="n">
        <f aca="false">(parametros_manuales!$D$44*(datos_base!$D$2+IF(parametros_manuales!$H$44="Todos",datos_base!$D$9,0))*parametros_manuales!$C$97+parametros_manuales!$E$44*(datos_base!$D$3+IF(parametros_manuales!$H$44="Todos",datos_base!$D$10,0))*parametros_manuales!$C$102+parametros_manuales!$F$44*(datos_base!$D$4+IF(parametros_manuales!$H$44="Todos",datos_base!$D$11,0))*parametros_manuales!$C$107+parametros_manuales!$G$44*(datos_base!$D$5+IF(parametros_manuales!$H$44="Todos",datos_base!$D$12,0))*parametros_manuales!$C$112)*parametros_manuales!$I$44*parametros_manuales!$J$44</f>
        <v>1976.172852492</v>
      </c>
      <c r="D83" s="14" t="n">
        <f aca="false">(parametros_manuales!$D$44*(datos_base!$D$2+IF(parametros_manuales!$H$44="Todos",datos_base!$D$9,0))*parametros_manuales!$D$97+parametros_manuales!$E$44*(datos_base!$D$3+IF(parametros_manuales!$H$44="Todos",datos_base!$D$10,0))*parametros_manuales!$D$102+parametros_manuales!$F$44*(datos_base!$D$4+IF(parametros_manuales!$H$44="Todos",datos_base!$D$11,0))*parametros_manuales!$D$107+parametros_manuales!$G$44*(datos_base!$D$5+IF(parametros_manuales!$H$44="Todos",datos_base!$D$12,0))*parametros_manuales!$D$112)*parametros_manuales!$I$44*parametros_manuales!$J$44</f>
        <v>1872.900097054</v>
      </c>
      <c r="E83" s="14" t="n">
        <f aca="false">(parametros_manuales!$D$44*(datos_base!$D$2+IF(parametros_manuales!$H$44="Todos",datos_base!$D$9,0))*parametros_manuales!$E$97+parametros_manuales!$E$44*(datos_base!$D$3+IF(parametros_manuales!$H$44="Todos",datos_base!$D$10,0))*parametros_manuales!$E$102+parametros_manuales!$F$44*(datos_base!$D$4+IF(parametros_manuales!$H$44="Todos",datos_base!$D$11,0))*parametros_manuales!$E$107+parametros_manuales!$G$44*(datos_base!$D$5+IF(parametros_manuales!$H$44="Todos",datos_base!$D$12,0))*parametros_manuales!$E$112)*parametros_manuales!$I$44*parametros_manuales!$J$44</f>
        <v>1800.329358264</v>
      </c>
      <c r="F83" s="14" t="n">
        <f aca="false">(parametros_manuales!$D$44*(datos_base!$D$2+IF(parametros_manuales!$H$44="Todos",datos_base!$D$9,0))*parametros_manuales!$F$97+parametros_manuales!$E$44*(datos_base!$D$3+IF(parametros_manuales!$H$44="Todos",datos_base!$D$10,0))*parametros_manuales!$F$102+parametros_manuales!$F$44*(datos_base!$D$4+IF(parametros_manuales!$H$44="Todos",datos_base!$D$11,0))*parametros_manuales!$F$107+parametros_manuales!$G$44*(datos_base!$D$5+IF(parametros_manuales!$H$44="Todos",datos_base!$D$12,0))*parametros_manuales!$F$112)*parametros_manuales!$I$44*parametros_manuales!$J$44</f>
        <v>1685.889897332</v>
      </c>
      <c r="G83" s="14" t="n">
        <f aca="false">(parametros_manuales!$D$44*(datos_base!$D$2+IF(parametros_manuales!$H$44="Todos",datos_base!$D$9,0))*parametros_manuales!$G$97+parametros_manuales!$E$44*(datos_base!$D$3+IF(parametros_manuales!$H$44="Todos",datos_base!$D$10,0))*parametros_manuales!$G$102+parametros_manuales!$F$44*(datos_base!$D$4+IF(parametros_manuales!$H$44="Todos",datos_base!$D$11,0))*parametros_manuales!$G$107+parametros_manuales!$G$44*(datos_base!$D$5+IF(parametros_manuales!$H$44="Todos",datos_base!$D$12,0))*parametros_manuales!$G$112)*parametros_manuales!$I$44*parametros_manuales!$J$44</f>
        <v>1644.02117519</v>
      </c>
      <c r="H83" s="14" t="n">
        <f aca="false">(parametros_manuales!$D$44*(datos_base!$D$2+IF(parametros_manuales!$H$44="Todos",datos_base!$D$9,0))*parametros_manuales!$H$97+parametros_manuales!$E$44*(datos_base!$D$3+IF(parametros_manuales!$H$44="Todos",datos_base!$D$10,0))*parametros_manuales!$H$102+parametros_manuales!$F$44*(datos_base!$D$4+IF(parametros_manuales!$H$44="Todos",datos_base!$D$11,0))*parametros_manuales!$H$107+parametros_manuales!$G$44*(datos_base!$D$5+IF(parametros_manuales!$H$44="Todos",datos_base!$D$12,0))*parametros_manuales!$H$112)*parametros_manuales!$I$44*parametros_manuales!$J$44</f>
        <v>1758.460636122</v>
      </c>
      <c r="I83" s="14" t="n">
        <f aca="false">(parametros_manuales!$D$44*(datos_base!$D$2+IF(parametros_manuales!$H$44="Todos",datos_base!$D$9,0))*parametros_manuales!$I$97+parametros_manuales!$E$44*(datos_base!$D$3+IF(parametros_manuales!$H$44="Todos",datos_base!$D$10,0))*parametros_manuales!$I$102+parametros_manuales!$F$44*(datos_base!$D$4+IF(parametros_manuales!$H$44="Todos",datos_base!$D$11,0))*parametros_manuales!$I$107+parametros_manuales!$G$44*(datos_base!$D$5+IF(parametros_manuales!$H$44="Todos",datos_base!$D$12,0))*parametros_manuales!$I$112)*parametros_manuales!$I$44*parametros_manuales!$J$44</f>
        <v>1976.172852492</v>
      </c>
      <c r="J83" s="14" t="n">
        <f aca="false">(parametros_manuales!$D$44*(datos_base!$D$2+IF(parametros_manuales!$H$44="Todos",datos_base!$D$9,0))*parametros_manuales!$J$97+parametros_manuales!$E$44*(datos_base!$D$3+IF(parametros_manuales!$H$44="Todos",datos_base!$D$10,0))*parametros_manuales!$J$102+parametros_manuales!$F$44*(datos_base!$D$4+IF(parametros_manuales!$H$44="Todos",datos_base!$D$11,0))*parametros_manuales!$J$107+parametros_manuales!$G$44*(datos_base!$D$5+IF(parametros_manuales!$H$44="Todos",datos_base!$D$12,0))*parametros_manuales!$J$112)*parametros_manuales!$I$44*parametros_manuales!$J$44</f>
        <v>1976.172852492</v>
      </c>
      <c r="K83" s="14" t="n">
        <f aca="false">(parametros_manuales!$D$44*(datos_base!$D$2+IF(parametros_manuales!$H$44="Todos",datos_base!$D$9,0))*parametros_manuales!$K$97+parametros_manuales!$E$44*(datos_base!$D$3+IF(parametros_manuales!$H$44="Todos",datos_base!$D$10,0))*parametros_manuales!$K$102+parametros_manuales!$F$44*(datos_base!$D$4+IF(parametros_manuales!$H$44="Todos",datos_base!$D$11,0))*parametros_manuales!$K$107+parametros_manuales!$G$44*(datos_base!$D$5+IF(parametros_manuales!$H$44="Todos",datos_base!$D$12,0))*parametros_manuales!$K$112)*parametros_manuales!$I$44*parametros_manuales!$J$44</f>
        <v>2018.041574634</v>
      </c>
      <c r="L83" s="14" t="n">
        <f aca="false">(parametros_manuales!$D$44*(datos_base!$D$2+IF(parametros_manuales!$H$44="Todos",datos_base!$D$9,0))*parametros_manuales!$L$97+parametros_manuales!$E$44*(datos_base!$D$3+IF(parametros_manuales!$H$44="Todos",datos_base!$D$10,0))*parametros_manuales!$L$102+parametros_manuales!$F$44*(datos_base!$D$4+IF(parametros_manuales!$H$44="Todos",datos_base!$D$11,0))*parametros_manuales!$L$107+parametros_manuales!$G$44*(datos_base!$D$5+IF(parametros_manuales!$H$44="Todos",datos_base!$D$12,0))*parametros_manuales!$L$112)*parametros_manuales!$I$44*parametros_manuales!$J$44</f>
        <v>2059.910296776</v>
      </c>
      <c r="M83" s="14" t="n">
        <f aca="false">(parametros_manuales!$D$44*(datos_base!$D$2+IF(parametros_manuales!$H$44="Todos",datos_base!$D$9,0))*parametros_manuales!$M$97+parametros_manuales!$E$44*(datos_base!$D$3+IF(parametros_manuales!$H$44="Todos",datos_base!$D$10,0))*parametros_manuales!$M$102+parametros_manuales!$F$44*(datos_base!$D$4+IF(parametros_manuales!$H$44="Todos",datos_base!$D$11,0))*parametros_manuales!$M$107+parametros_manuales!$G$44*(datos_base!$D$5+IF(parametros_manuales!$H$44="Todos",datos_base!$D$12,0))*parametros_manuales!$M$112)*parametros_manuales!$I$44*parametros_manuales!$J$44</f>
        <v>2059.910296776</v>
      </c>
      <c r="N83" s="14" t="n">
        <f aca="false">SUM(B83:M83)</f>
        <v>22887.8921864</v>
      </c>
      <c r="O83" s="14" t="n">
        <f aca="false">MAX(B83:M83)</f>
        <v>2059.910296776</v>
      </c>
      <c r="P83" s="57" t="n">
        <f aca="false">O83/(parametros_manuales!$B$7)</f>
        <v>13.73273531184</v>
      </c>
      <c r="Q83" s="13" t="str">
        <f aca="false">IF(O83=0,"-",INDEX($B$57:$M$57,MATCH(O83,B83:M83,0)))</f>
        <v>Ene</v>
      </c>
    </row>
    <row r="84" customFormat="false" ht="14.25" hidden="false" customHeight="true" outlineLevel="0" collapsed="false"/>
    <row r="85" customFormat="false" ht="14.25" hidden="false" customHeight="true" outlineLevel="0" collapsed="false">
      <c r="A85" s="12" t="s">
        <v>271</v>
      </c>
      <c r="B85" s="12" t="s">
        <v>37</v>
      </c>
      <c r="C85" s="12" t="s">
        <v>38</v>
      </c>
      <c r="D85" s="12" t="s">
        <v>39</v>
      </c>
      <c r="E85" s="12" t="s">
        <v>40</v>
      </c>
      <c r="F85" s="12" t="s">
        <v>41</v>
      </c>
      <c r="G85" s="12" t="s">
        <v>42</v>
      </c>
      <c r="H85" s="12" t="s">
        <v>43</v>
      </c>
      <c r="I85" s="12" t="s">
        <v>44</v>
      </c>
      <c r="J85" s="12" t="s">
        <v>45</v>
      </c>
      <c r="K85" s="12" t="s">
        <v>46</v>
      </c>
      <c r="L85" s="12" t="s">
        <v>47</v>
      </c>
      <c r="M85" s="12" t="s">
        <v>48</v>
      </c>
      <c r="N85" s="12" t="s">
        <v>261</v>
      </c>
      <c r="O85" s="12" t="s">
        <v>266</v>
      </c>
      <c r="P85" s="12" t="s">
        <v>267</v>
      </c>
      <c r="Q85" s="12" t="s">
        <v>268</v>
      </c>
    </row>
    <row r="86" customFormat="false" ht="14.25" hidden="false" customHeight="true" outlineLevel="0" collapsed="false">
      <c r="A86" s="13" t="str">
        <f aca="false">parametros_manuales!$B$19</f>
        <v>Recepción de materia prima</v>
      </c>
      <c r="B86" s="14" t="n">
        <f aca="false">(parametros_manuales!$D$19*(datos_base!$E$2+IF(parametros_manuales!$H$19="Todos",datos_base!$E$9,0))*parametros_manuales!$B$97+parametros_manuales!$E$19*(datos_base!$E$3+IF(parametros_manuales!$H$19="Todos",datos_base!$E$10,0))*parametros_manuales!$B$102+parametros_manuales!$F$19*(datos_base!$E$4+IF(parametros_manuales!$H$19="Todos",datos_base!$E$11,0))*parametros_manuales!$B$107+parametros_manuales!$G$19*(datos_base!$E$5+IF(parametros_manuales!$H$19="Todos",datos_base!$E$12,0))*parametros_manuales!$B$112)*parametros_manuales!$I$19*parametros_manuales!$J$19</f>
        <v>4557.145457709</v>
      </c>
      <c r="C86" s="14" t="n">
        <f aca="false">(parametros_manuales!$D$19*(datos_base!$E$2+IF(parametros_manuales!$H$19="Todos",datos_base!$E$9,0))*parametros_manuales!$C$97+parametros_manuales!$E$19*(datos_base!$E$3+IF(parametros_manuales!$H$19="Todos",datos_base!$E$10,0))*parametros_manuales!$C$102+parametros_manuales!$F$19*(datos_base!$E$4+IF(parametros_manuales!$H$19="Todos",datos_base!$E$11,0))*parametros_manuales!$C$107+parametros_manuales!$G$19*(datos_base!$E$5+IF(parametros_manuales!$H$19="Todos",datos_base!$E$12,0))*parametros_manuales!$C$112)*parametros_manuales!$I$19*parametros_manuales!$J$19</f>
        <v>4402.415317898</v>
      </c>
      <c r="D86" s="14" t="n">
        <f aca="false">(parametros_manuales!$D$19*(datos_base!$E$2+IF(parametros_manuales!$H$19="Todos",datos_base!$E$9,0))*parametros_manuales!$D$97+parametros_manuales!$E$19*(datos_base!$E$3+IF(parametros_manuales!$H$19="Todos",datos_base!$E$10,0))*parametros_manuales!$D$102+parametros_manuales!$F$19*(datos_base!$E$4+IF(parametros_manuales!$H$19="Todos",datos_base!$E$11,0))*parametros_manuales!$D$107+parametros_manuales!$G$19*(datos_base!$E$5+IF(parametros_manuales!$H$19="Todos",datos_base!$E$12,0))*parametros_manuales!$D$112)*parametros_manuales!$I$19*parametros_manuales!$J$19</f>
        <v>4128.1610323135</v>
      </c>
      <c r="E86" s="14" t="n">
        <f aca="false">(parametros_manuales!$D$19*(datos_base!$E$2+IF(parametros_manuales!$H$19="Todos",datos_base!$E$9,0))*parametros_manuales!$E$97+parametros_manuales!$E$19*(datos_base!$E$3+IF(parametros_manuales!$H$19="Todos",datos_base!$E$10,0))*parametros_manuales!$E$102+parametros_manuales!$F$19*(datos_base!$E$4+IF(parametros_manuales!$H$19="Todos",datos_base!$E$11,0))*parametros_manuales!$E$107+parametros_manuales!$G$19*(datos_base!$E$5+IF(parametros_manuales!$H$19="Todos",datos_base!$E$12,0))*parametros_manuales!$E$112)*parametros_manuales!$I$19*parametros_manuales!$J$19</f>
        <v>3952.3513545685</v>
      </c>
      <c r="F86" s="14" t="n">
        <f aca="false">(parametros_manuales!$D$19*(datos_base!$E$2+IF(parametros_manuales!$H$19="Todos",datos_base!$E$9,0))*parametros_manuales!$F$97+parametros_manuales!$E$19*(datos_base!$E$3+IF(parametros_manuales!$H$19="Todos",datos_base!$E$10,0))*parametros_manuales!$F$102+parametros_manuales!$F$19*(datos_base!$E$4+IF(parametros_manuales!$H$19="Todos",datos_base!$E$11,0))*parametros_manuales!$F$107+parametros_manuales!$G$19*(datos_base!$E$5+IF(parametros_manuales!$H$19="Todos",datos_base!$E$12,0))*parametros_manuales!$F$112)*parametros_manuales!$I$19*parametros_manuales!$J$19</f>
        <v>3699.176606918</v>
      </c>
      <c r="G86" s="14" t="n">
        <f aca="false">(parametros_manuales!$D$19*(datos_base!$E$2+IF(parametros_manuales!$H$19="Todos",datos_base!$E$9,0))*parametros_manuales!$G$97+parametros_manuales!$E$19*(datos_base!$E$3+IF(parametros_manuales!$H$19="Todos",datos_base!$E$10,0))*parametros_manuales!$G$102+parametros_manuales!$F$19*(datos_base!$E$4+IF(parametros_manuales!$H$19="Todos",datos_base!$E$11,0))*parametros_manuales!$G$107+parametros_manuales!$G$19*(datos_base!$E$5+IF(parametros_manuales!$H$19="Todos",datos_base!$E$12,0))*parametros_manuales!$G$112)*parametros_manuales!$I$19*parametros_manuales!$J$19</f>
        <v>3621.8115370125</v>
      </c>
      <c r="H86" s="14" t="n">
        <f aca="false">(parametros_manuales!$D$19*(datos_base!$E$2+IF(parametros_manuales!$H$19="Todos",datos_base!$E$9,0))*parametros_manuales!$H$97+parametros_manuales!$E$19*(datos_base!$E$3+IF(parametros_manuales!$H$19="Todos",datos_base!$E$10,0))*parametros_manuales!$H$102+parametros_manuales!$F$19*(datos_base!$E$4+IF(parametros_manuales!$H$19="Todos",datos_base!$E$11,0))*parametros_manuales!$H$107+parametros_manuales!$G$19*(datos_base!$E$5+IF(parametros_manuales!$H$19="Todos",datos_base!$E$12,0))*parametros_manuales!$H$112)*parametros_manuales!$I$19*parametros_manuales!$J$19</f>
        <v>3874.986284663</v>
      </c>
      <c r="I86" s="14" t="n">
        <f aca="false">(parametros_manuales!$D$19*(datos_base!$E$2+IF(parametros_manuales!$H$19="Todos",datos_base!$E$9,0))*parametros_manuales!$I$97+parametros_manuales!$E$19*(datos_base!$E$3+IF(parametros_manuales!$H$19="Todos",datos_base!$E$10,0))*parametros_manuales!$I$102+parametros_manuales!$F$19*(datos_base!$E$4+IF(parametros_manuales!$H$19="Todos",datos_base!$E$11,0))*parametros_manuales!$I$107+parametros_manuales!$G$19*(datos_base!$E$5+IF(parametros_manuales!$H$19="Todos",datos_base!$E$12,0))*parametros_manuales!$I$112)*parametros_manuales!$I$19*parametros_manuales!$J$19</f>
        <v>4402.415317898</v>
      </c>
      <c r="J86" s="14" t="n">
        <f aca="false">(parametros_manuales!$D$19*(datos_base!$E$2+IF(parametros_manuales!$H$19="Todos",datos_base!$E$9,0))*parametros_manuales!$J$97+parametros_manuales!$E$19*(datos_base!$E$3+IF(parametros_manuales!$H$19="Todos",datos_base!$E$10,0))*parametros_manuales!$J$102+parametros_manuales!$F$19*(datos_base!$E$4+IF(parametros_manuales!$H$19="Todos",datos_base!$E$11,0))*parametros_manuales!$J$107+parametros_manuales!$G$19*(datos_base!$E$5+IF(parametros_manuales!$H$19="Todos",datos_base!$E$12,0))*parametros_manuales!$J$112)*parametros_manuales!$I$19*parametros_manuales!$J$19</f>
        <v>4402.415317898</v>
      </c>
      <c r="K86" s="14" t="n">
        <f aca="false">(parametros_manuales!$D$19*(datos_base!$E$2+IF(parametros_manuales!$H$19="Todos",datos_base!$E$9,0))*parametros_manuales!$K$97+parametros_manuales!$E$19*(datos_base!$E$3+IF(parametros_manuales!$H$19="Todos",datos_base!$E$10,0))*parametros_manuales!$K$102+parametros_manuales!$F$19*(datos_base!$E$4+IF(parametros_manuales!$H$19="Todos",datos_base!$E$11,0))*parametros_manuales!$K$107+parametros_manuales!$G$19*(datos_base!$E$5+IF(parametros_manuales!$H$19="Todos",datos_base!$E$12,0))*parametros_manuales!$K$112)*parametros_manuales!$I$19*parametros_manuales!$J$19</f>
        <v>4479.7803878035</v>
      </c>
      <c r="L86" s="14" t="n">
        <f aca="false">(parametros_manuales!$D$19*(datos_base!$E$2+IF(parametros_manuales!$H$19="Todos",datos_base!$E$9,0))*parametros_manuales!$L$97+parametros_manuales!$E$19*(datos_base!$E$3+IF(parametros_manuales!$H$19="Todos",datos_base!$E$10,0))*parametros_manuales!$L$102+parametros_manuales!$F$19*(datos_base!$E$4+IF(parametros_manuales!$H$19="Todos",datos_base!$E$11,0))*parametros_manuales!$L$107+parametros_manuales!$G$19*(datos_base!$E$5+IF(parametros_manuales!$H$19="Todos",datos_base!$E$12,0))*parametros_manuales!$L$112)*parametros_manuales!$I$19*parametros_manuales!$J$19</f>
        <v>4557.145457709</v>
      </c>
      <c r="M86" s="14" t="n">
        <f aca="false">(parametros_manuales!$D$19*(datos_base!$E$2+IF(parametros_manuales!$H$19="Todos",datos_base!$E$9,0))*parametros_manuales!$M$97+parametros_manuales!$E$19*(datos_base!$E$3+IF(parametros_manuales!$H$19="Todos",datos_base!$E$10,0))*parametros_manuales!$M$102+parametros_manuales!$F$19*(datos_base!$E$4+IF(parametros_manuales!$H$19="Todos",datos_base!$E$11,0))*parametros_manuales!$M$107+parametros_manuales!$G$19*(datos_base!$E$5+IF(parametros_manuales!$H$19="Todos",datos_base!$E$12,0))*parametros_manuales!$M$112)*parametros_manuales!$I$19*parametros_manuales!$J$19</f>
        <v>4557.145457709</v>
      </c>
      <c r="N86" s="14" t="n">
        <f aca="false">SUM(B86:M86)</f>
        <v>50634.9495301</v>
      </c>
      <c r="O86" s="14" t="n">
        <f aca="false">MAX(B86:M86)</f>
        <v>4557.145457709</v>
      </c>
      <c r="P86" s="57" t="n">
        <f aca="false">O86/(parametros_manuales!$B$7)</f>
        <v>30.38096971806</v>
      </c>
      <c r="Q86" s="13" t="str">
        <f aca="false">IF(O86=0,"-",INDEX($B$85:$M$85,MATCH(O86,B86:M86,0)))</f>
        <v>Ene</v>
      </c>
    </row>
    <row r="87" customFormat="false" ht="14.25" hidden="false" customHeight="true" outlineLevel="0" collapsed="false">
      <c r="A87" s="13" t="str">
        <f aca="false">parametros_manuales!$B$20</f>
        <v>Corte de chapa — 1.er corte en franjas (guillotina 1, manuales + carros)</v>
      </c>
      <c r="B87" s="14" t="n">
        <f aca="false">(parametros_manuales!$D$20*(datos_base!$E$2+IF(parametros_manuales!$H$20="Todos",datos_base!$E$9,0))*parametros_manuales!$B$97+parametros_manuales!$E$20*(datos_base!$E$3+IF(parametros_manuales!$H$20="Todos",datos_base!$E$10,0))*parametros_manuales!$B$102+parametros_manuales!$F$20*(datos_base!$E$4+IF(parametros_manuales!$H$20="Todos",datos_base!$E$11,0))*parametros_manuales!$B$107+parametros_manuales!$G$20*(datos_base!$E$5+IF(parametros_manuales!$H$20="Todos",datos_base!$E$12,0))*parametros_manuales!$B$112)*parametros_manuales!$I$20*parametros_manuales!$J$20+parametros_manuales!$B$151</f>
        <v>4936.74394805861</v>
      </c>
      <c r="C87" s="14" t="n">
        <f aca="false">(parametros_manuales!$D$20*(datos_base!$E$2+IF(parametros_manuales!$H$20="Todos",datos_base!$E$9,0))*parametros_manuales!$C$97+parametros_manuales!$E$20*(datos_base!$E$3+IF(parametros_manuales!$H$20="Todos",datos_base!$E$10,0))*parametros_manuales!$C$102+parametros_manuales!$F$20*(datos_base!$E$4+IF(parametros_manuales!$H$20="Todos",datos_base!$E$11,0))*parametros_manuales!$C$107+parametros_manuales!$G$20*(datos_base!$E$5+IF(parametros_manuales!$H$20="Todos",datos_base!$E$12,0))*parametros_manuales!$C$112)*parametros_manuales!$I$20*parametros_manuales!$J$20+parametros_manuales!$C$151</f>
        <v>4737.35516232413</v>
      </c>
      <c r="D87" s="14" t="n">
        <f aca="false">(parametros_manuales!$D$20*(datos_base!$E$2+IF(parametros_manuales!$H$20="Todos",datos_base!$E$9,0))*parametros_manuales!$D$97+parametros_manuales!$E$20*(datos_base!$E$3+IF(parametros_manuales!$H$20="Todos",datos_base!$E$10,0))*parametros_manuales!$D$102+parametros_manuales!$F$20*(datos_base!$E$4+IF(parametros_manuales!$H$20="Todos",datos_base!$E$11,0))*parametros_manuales!$D$107+parametros_manuales!$G$20*(datos_base!$E$5+IF(parametros_manuales!$H$20="Todos",datos_base!$E$12,0))*parametros_manuales!$D$112)*parametros_manuales!$I$20*parametros_manuales!$J$20+parametros_manuales!$D$151</f>
        <v>4530.08884562485</v>
      </c>
      <c r="E87" s="14" t="n">
        <f aca="false">(parametros_manuales!$D$20*(datos_base!$E$2+IF(parametros_manuales!$H$20="Todos",datos_base!$E$9,0))*parametros_manuales!$E$97+parametros_manuales!$E$20*(datos_base!$E$3+IF(parametros_manuales!$H$20="Todos",datos_base!$E$10,0))*parametros_manuales!$E$102+parametros_manuales!$F$20*(datos_base!$E$4+IF(parametros_manuales!$H$20="Todos",datos_base!$E$11,0))*parametros_manuales!$E$107+parametros_manuales!$G$20*(datos_base!$E$5+IF(parametros_manuales!$H$20="Todos",datos_base!$E$12,0))*parametros_manuales!$E$112)*parametros_manuales!$I$20*parametros_manuales!$J$20+parametros_manuales!$E$151</f>
        <v>4354.27916787985</v>
      </c>
      <c r="F87" s="14" t="n">
        <f aca="false">(parametros_manuales!$D$20*(datos_base!$E$2+IF(parametros_manuales!$H$20="Todos",datos_base!$E$9,0))*parametros_manuales!$F$97+parametros_manuales!$E$20*(datos_base!$E$3+IF(parametros_manuales!$H$20="Todos",datos_base!$E$10,0))*parametros_manuales!$F$102+parametros_manuales!$F$20*(datos_base!$E$4+IF(parametros_manuales!$H$20="Todos",datos_base!$E$11,0))*parametros_manuales!$F$107+parametros_manuales!$G$20*(datos_base!$E$5+IF(parametros_manuales!$H$20="Todos",datos_base!$E$12,0))*parametros_manuales!$F$112)*parametros_manuales!$I$20*parametros_manuales!$J$20+parametros_manuales!$F$151</f>
        <v>4101.10442022935</v>
      </c>
      <c r="G87" s="14" t="n">
        <f aca="false">(parametros_manuales!$D$20*(datos_base!$E$2+IF(parametros_manuales!$H$20="Todos",datos_base!$E$9,0))*parametros_manuales!$G$97+parametros_manuales!$E$20*(datos_base!$E$3+IF(parametros_manuales!$H$20="Todos",datos_base!$E$10,0))*parametros_manuales!$G$102+parametros_manuales!$F$20*(datos_base!$E$4+IF(parametros_manuales!$H$20="Todos",datos_base!$E$11,0))*parametros_manuales!$G$107+parametros_manuales!$G$20*(datos_base!$E$5+IF(parametros_manuales!$H$20="Todos",datos_base!$E$12,0))*parametros_manuales!$G$112)*parametros_manuales!$I$20*parametros_manuales!$J$20+parametros_manuales!$G$151</f>
        <v>3979.08070440037</v>
      </c>
      <c r="H87" s="14" t="n">
        <f aca="false">(parametros_manuales!$D$20*(datos_base!$E$2+IF(parametros_manuales!$H$20="Todos",datos_base!$E$9,0))*parametros_manuales!$H$97+parametros_manuales!$E$20*(datos_base!$E$3+IF(parametros_manuales!$H$20="Todos",datos_base!$E$10,0))*parametros_manuales!$H$102+parametros_manuales!$F$20*(datos_base!$E$4+IF(parametros_manuales!$H$20="Todos",datos_base!$E$11,0))*parametros_manuales!$H$107+parametros_manuales!$G$20*(datos_base!$E$5+IF(parametros_manuales!$H$20="Todos",datos_base!$E$12,0))*parametros_manuales!$H$112)*parametros_manuales!$I$20*parametros_manuales!$J$20+parametros_manuales!$H$151</f>
        <v>4276.91409797435</v>
      </c>
      <c r="I87" s="14" t="n">
        <f aca="false">(parametros_manuales!$D$20*(datos_base!$E$2+IF(parametros_manuales!$H$20="Todos",datos_base!$E$9,0))*parametros_manuales!$I$97+parametros_manuales!$E$20*(datos_base!$E$3+IF(parametros_manuales!$H$20="Todos",datos_base!$E$10,0))*parametros_manuales!$I$102+parametros_manuales!$F$20*(datos_base!$E$4+IF(parametros_manuales!$H$20="Todos",datos_base!$E$11,0))*parametros_manuales!$I$107+parametros_manuales!$G$20*(datos_base!$E$5+IF(parametros_manuales!$H$20="Todos",datos_base!$E$12,0))*parametros_manuales!$I$112)*parametros_manuales!$I$20*parametros_manuales!$J$20+parametros_manuales!$I$151</f>
        <v>4804.34313120935</v>
      </c>
      <c r="J87" s="14" t="n">
        <f aca="false">(parametros_manuales!$D$20*(datos_base!$E$2+IF(parametros_manuales!$H$20="Todos",datos_base!$E$9,0))*parametros_manuales!$J$97+parametros_manuales!$E$20*(datos_base!$E$3+IF(parametros_manuales!$H$20="Todos",datos_base!$E$10,0))*parametros_manuales!$J$102+parametros_manuales!$F$20*(datos_base!$E$4+IF(parametros_manuales!$H$20="Todos",datos_base!$E$11,0))*parametros_manuales!$J$107+parametros_manuales!$G$20*(datos_base!$E$5+IF(parametros_manuales!$H$20="Todos",datos_base!$E$12,0))*parametros_manuales!$J$112)*parametros_manuales!$I$20*parametros_manuales!$J$20+parametros_manuales!$J$151</f>
        <v>4782.01380824761</v>
      </c>
      <c r="K87" s="14" t="n">
        <f aca="false">(parametros_manuales!$D$20*(datos_base!$E$2+IF(parametros_manuales!$H$20="Todos",datos_base!$E$9,0))*parametros_manuales!$K$97+parametros_manuales!$E$20*(datos_base!$E$3+IF(parametros_manuales!$H$20="Todos",datos_base!$E$10,0))*parametros_manuales!$K$102+parametros_manuales!$F$20*(datos_base!$E$4+IF(parametros_manuales!$H$20="Todos",datos_base!$E$11,0))*parametros_manuales!$K$107+parametros_manuales!$G$20*(datos_base!$E$5+IF(parametros_manuales!$H$20="Todos",datos_base!$E$12,0))*parametros_manuales!$K$112)*parametros_manuales!$I$20*parametros_manuales!$J$20+parametros_manuales!$K$151</f>
        <v>4814.72023222963</v>
      </c>
      <c r="L87" s="14" t="n">
        <f aca="false">(parametros_manuales!$D$20*(datos_base!$E$2+IF(parametros_manuales!$H$20="Todos",datos_base!$E$9,0))*parametros_manuales!$L$97+parametros_manuales!$E$20*(datos_base!$E$3+IF(parametros_manuales!$H$20="Todos",datos_base!$E$10,0))*parametros_manuales!$L$102+parametros_manuales!$F$20*(datos_base!$E$4+IF(parametros_manuales!$H$20="Todos",datos_base!$E$11,0))*parametros_manuales!$L$107+parametros_manuales!$G$20*(datos_base!$E$5+IF(parametros_manuales!$H$20="Todos",datos_base!$E$12,0))*parametros_manuales!$L$112)*parametros_manuales!$I$20*parametros_manuales!$J$20+parametros_manuales!$L$151</f>
        <v>4869.75597917339</v>
      </c>
      <c r="M87" s="14" t="n">
        <f aca="false">(parametros_manuales!$D$20*(datos_base!$E$2+IF(parametros_manuales!$H$20="Todos",datos_base!$E$9,0))*parametros_manuales!$M$97+parametros_manuales!$E$20*(datos_base!$E$3+IF(parametros_manuales!$H$20="Todos",datos_base!$E$10,0))*parametros_manuales!$M$102+parametros_manuales!$F$20*(datos_base!$E$4+IF(parametros_manuales!$H$20="Todos",datos_base!$E$11,0))*parametros_manuales!$M$107+parametros_manuales!$G$20*(datos_base!$E$5+IF(parametros_manuales!$H$20="Todos",datos_base!$E$12,0))*parametros_manuales!$M$112)*parametros_manuales!$I$20*parametros_manuales!$J$20+parametros_manuales!$M$151</f>
        <v>4914.41462509687</v>
      </c>
      <c r="N87" s="14" t="n">
        <f aca="false">SUM(B87:M87)</f>
        <v>55100.8141224484</v>
      </c>
      <c r="O87" s="14" t="n">
        <f aca="false">MAX(B87:M87)</f>
        <v>4936.74394805861</v>
      </c>
      <c r="P87" s="57" t="n">
        <f aca="false">O87/(parametros_manuales!$B$7)</f>
        <v>32.9116263203907</v>
      </c>
      <c r="Q87" s="13" t="str">
        <f aca="false">IF(O87=0,"-",INDEX($B$85:$M$85,MATCH(O87,B87:M87,0)))</f>
        <v>Ene</v>
      </c>
    </row>
    <row r="88" customFormat="false" ht="14.25" hidden="false" customHeight="true" outlineLevel="0" collapsed="false">
      <c r="A88" s="13" t="str">
        <f aca="false">parametros_manuales!$B$21</f>
        <v>Corte de chapa — 2.º corte en piezas (guillotina 2, manuales + carros)</v>
      </c>
      <c r="B88" s="14" t="n">
        <f aca="false">(parametros_manuales!$D$21*(datos_base!$E$2+IF(parametros_manuales!$H$21="Todos",datos_base!$E$9,0))*parametros_manuales!$B$97+parametros_manuales!$E$21*(datos_base!$E$3+IF(parametros_manuales!$H$21="Todos",datos_base!$E$10,0))*parametros_manuales!$B$102+parametros_manuales!$F$21*(datos_base!$E$4+IF(parametros_manuales!$H$21="Todos",datos_base!$E$11,0))*parametros_manuales!$B$107+parametros_manuales!$G$21*(datos_base!$E$5+IF(parametros_manuales!$H$21="Todos",datos_base!$E$12,0))*parametros_manuales!$B$112)*parametros_manuales!$I$21*parametros_manuales!$J$21+parametros_manuales!$B$163</f>
        <v>5050.15799240523</v>
      </c>
      <c r="C88" s="14" t="n">
        <f aca="false">(parametros_manuales!$D$21*(datos_base!$E$2+IF(parametros_manuales!$H$21="Todos",datos_base!$E$9,0))*parametros_manuales!$C$97+parametros_manuales!$E$21*(datos_base!$E$3+IF(parametros_manuales!$H$21="Todos",datos_base!$E$10,0))*parametros_manuales!$C$102+parametros_manuales!$F$21*(datos_base!$E$4+IF(parametros_manuales!$H$21="Todos",datos_base!$E$11,0))*parametros_manuales!$C$107+parametros_manuales!$G$21*(datos_base!$E$5+IF(parametros_manuales!$H$21="Todos",datos_base!$E$12,0))*parametros_manuales!$C$112)*parametros_manuales!$I$21*parametros_manuales!$J$21+parametros_manuales!$C$163</f>
        <v>4837.42637792408</v>
      </c>
      <c r="D88" s="14" t="n">
        <f aca="false">(parametros_manuales!$D$21*(datos_base!$E$2+IF(parametros_manuales!$H$21="Todos",datos_base!$E$9,0))*parametros_manuales!$D$97+parametros_manuales!$E$21*(datos_base!$E$3+IF(parametros_manuales!$H$21="Todos",datos_base!$E$10,0))*parametros_manuales!$D$102+parametros_manuales!$F$21*(datos_base!$E$4+IF(parametros_manuales!$H$21="Todos",datos_base!$E$11,0))*parametros_manuales!$D$107+parametros_manuales!$G$21*(datos_base!$E$5+IF(parametros_manuales!$H$21="Todos",datos_base!$E$12,0))*parametros_manuales!$D$112)*parametros_manuales!$I$21*parametros_manuales!$J$21+parametros_manuales!$D$163</f>
        <v>4650.1743043448</v>
      </c>
      <c r="E88" s="14" t="n">
        <f aca="false">(parametros_manuales!$D$21*(datos_base!$E$2+IF(parametros_manuales!$H$21="Todos",datos_base!$E$9,0))*parametros_manuales!$E$97+parametros_manuales!$E$21*(datos_base!$E$3+IF(parametros_manuales!$H$21="Todos",datos_base!$E$10,0))*parametros_manuales!$E$102+parametros_manuales!$F$21*(datos_base!$E$4+IF(parametros_manuales!$H$21="Todos",datos_base!$E$11,0))*parametros_manuales!$E$107+parametros_manuales!$G$21*(datos_base!$E$5+IF(parametros_manuales!$H$21="Todos",datos_base!$E$12,0))*parametros_manuales!$E$112)*parametros_manuales!$I$21*parametros_manuales!$J$21+parametros_manuales!$E$163</f>
        <v>4474.3646265998</v>
      </c>
      <c r="F88" s="14" t="n">
        <f aca="false">(parametros_manuales!$D$21*(datos_base!$E$2+IF(parametros_manuales!$H$21="Todos",datos_base!$E$9,0))*parametros_manuales!$F$97+parametros_manuales!$E$21*(datos_base!$E$3+IF(parametros_manuales!$H$21="Todos",datos_base!$E$10,0))*parametros_manuales!$F$102+parametros_manuales!$F$21*(datos_base!$E$4+IF(parametros_manuales!$H$21="Todos",datos_base!$E$11,0))*parametros_manuales!$F$107+parametros_manuales!$G$21*(datos_base!$E$5+IF(parametros_manuales!$H$21="Todos",datos_base!$E$12,0))*parametros_manuales!$F$112)*parametros_manuales!$I$21*parametros_manuales!$J$21+parametros_manuales!$F$163</f>
        <v>4221.1898789493</v>
      </c>
      <c r="G88" s="14" t="n">
        <f aca="false">(parametros_manuales!$D$21*(datos_base!$E$2+IF(parametros_manuales!$H$21="Todos",datos_base!$E$9,0))*parametros_manuales!$G$97+parametros_manuales!$E$21*(datos_base!$E$3+IF(parametros_manuales!$H$21="Todos",datos_base!$E$10,0))*parametros_manuales!$G$102+parametros_manuales!$F$21*(datos_base!$E$4+IF(parametros_manuales!$H$21="Todos",datos_base!$E$11,0))*parametros_manuales!$G$107+parametros_manuales!$G$21*(datos_base!$E$5+IF(parametros_manuales!$H$21="Todos",datos_base!$E$12,0))*parametros_manuales!$G$112)*parametros_manuales!$I$21*parametros_manuales!$J$21+parametros_manuales!$G$163</f>
        <v>4085.82333437366</v>
      </c>
      <c r="H88" s="14" t="n">
        <f aca="false">(parametros_manuales!$D$21*(datos_base!$E$2+IF(parametros_manuales!$H$21="Todos",datos_base!$E$9,0))*parametros_manuales!$H$97+parametros_manuales!$E$21*(datos_base!$E$3+IF(parametros_manuales!$H$21="Todos",datos_base!$E$10,0))*parametros_manuales!$H$102+parametros_manuales!$F$21*(datos_base!$E$4+IF(parametros_manuales!$H$21="Todos",datos_base!$E$11,0))*parametros_manuales!$H$107+parametros_manuales!$G$21*(datos_base!$E$5+IF(parametros_manuales!$H$21="Todos",datos_base!$E$12,0))*parametros_manuales!$H$112)*parametros_manuales!$I$21*parametros_manuales!$J$21+parametros_manuales!$H$163</f>
        <v>4396.9995566943</v>
      </c>
      <c r="I88" s="14" t="n">
        <f aca="false">(parametros_manuales!$D$21*(datos_base!$E$2+IF(parametros_manuales!$H$21="Todos",datos_base!$E$9,0))*parametros_manuales!$I$97+parametros_manuales!$E$21*(datos_base!$E$3+IF(parametros_manuales!$H$21="Todos",datos_base!$E$10,0))*parametros_manuales!$I$102+parametros_manuales!$F$21*(datos_base!$E$4+IF(parametros_manuales!$H$21="Todos",datos_base!$E$11,0))*parametros_manuales!$I$107+parametros_manuales!$G$21*(datos_base!$E$5+IF(parametros_manuales!$H$21="Todos",datos_base!$E$12,0))*parametros_manuales!$I$112)*parametros_manuales!$I$21*parametros_manuales!$J$21+parametros_manuales!$I$163</f>
        <v>4924.4285899293</v>
      </c>
      <c r="J88" s="14" t="n">
        <f aca="false">(parametros_manuales!$D$21*(datos_base!$E$2+IF(parametros_manuales!$H$21="Todos",datos_base!$E$9,0))*parametros_manuales!$J$97+parametros_manuales!$E$21*(datos_base!$E$3+IF(parametros_manuales!$H$21="Todos",datos_base!$E$10,0))*parametros_manuales!$J$102+parametros_manuales!$F$21*(datos_base!$E$4+IF(parametros_manuales!$H$21="Todos",datos_base!$E$11,0))*parametros_manuales!$J$107+parametros_manuales!$G$21*(datos_base!$E$5+IF(parametros_manuales!$H$21="Todos",datos_base!$E$12,0))*parametros_manuales!$J$112)*parametros_manuales!$I$21*parametros_manuales!$J$21+parametros_manuales!$J$163</f>
        <v>4895.42785259423</v>
      </c>
      <c r="K88" s="14" t="n">
        <f aca="false">(parametros_manuales!$D$21*(datos_base!$E$2+IF(parametros_manuales!$H$21="Todos",datos_base!$E$9,0))*parametros_manuales!$K$97+parametros_manuales!$E$21*(datos_base!$E$3+IF(parametros_manuales!$H$21="Todos",datos_base!$E$10,0))*parametros_manuales!$K$102+parametros_manuales!$F$21*(datos_base!$E$4+IF(parametros_manuales!$H$21="Todos",datos_base!$E$11,0))*parametros_manuales!$K$107+parametros_manuales!$G$21*(datos_base!$E$5+IF(parametros_manuales!$H$21="Todos",datos_base!$E$12,0))*parametros_manuales!$K$112)*parametros_manuales!$I$21*parametros_manuales!$J$21+parametros_manuales!$K$163</f>
        <v>4914.79144782958</v>
      </c>
      <c r="L88" s="14" t="n">
        <f aca="false">(parametros_manuales!$D$21*(datos_base!$E$2+IF(parametros_manuales!$H$21="Todos",datos_base!$E$9,0))*parametros_manuales!$L$97+parametros_manuales!$E$21*(datos_base!$E$3+IF(parametros_manuales!$H$21="Todos",datos_base!$E$10,0))*parametros_manuales!$L$102+parametros_manuales!$F$21*(datos_base!$E$4+IF(parametros_manuales!$H$21="Todos",datos_base!$E$11,0))*parametros_manuales!$L$107+parametros_manuales!$G$21*(datos_base!$E$5+IF(parametros_manuales!$H$21="Todos",datos_base!$E$12,0))*parametros_manuales!$L$112)*parametros_manuales!$I$21*parametros_manuales!$J$21+parametros_manuales!$L$163</f>
        <v>4963.15578040001</v>
      </c>
      <c r="M88" s="14" t="n">
        <f aca="false">(parametros_manuales!$D$21*(datos_base!$E$2+IF(parametros_manuales!$H$21="Todos",datos_base!$E$9,0))*parametros_manuales!$M$97+parametros_manuales!$E$21*(datos_base!$E$3+IF(parametros_manuales!$H$21="Todos",datos_base!$E$10,0))*parametros_manuales!$M$102+parametros_manuales!$F$21*(datos_base!$E$4+IF(parametros_manuales!$H$21="Todos",datos_base!$E$11,0))*parametros_manuales!$M$107+parametros_manuales!$G$21*(datos_base!$E$5+IF(parametros_manuales!$H$21="Todos",datos_base!$E$12,0))*parametros_manuales!$M$112)*parametros_manuales!$I$21*parametros_manuales!$J$21+parametros_manuales!$M$163</f>
        <v>5021.15725507016</v>
      </c>
      <c r="N88" s="14" t="n">
        <f aca="false">SUM(B88:M88)</f>
        <v>56435.0969971144</v>
      </c>
      <c r="O88" s="14" t="n">
        <f aca="false">MAX(B88:M88)</f>
        <v>5050.15799240523</v>
      </c>
      <c r="P88" s="57" t="n">
        <f aca="false">O88/(parametros_manuales!$B$7)</f>
        <v>33.6677199493682</v>
      </c>
      <c r="Q88" s="13" t="str">
        <f aca="false">IF(O88=0,"-",INDEX($B$85:$M$85,MATCH(O88,B88:M88,0)))</f>
        <v>Ene</v>
      </c>
    </row>
    <row r="89" customFormat="false" ht="14.25" hidden="false" customHeight="true" outlineLevel="0" collapsed="false">
      <c r="A89" s="13" t="str">
        <f aca="false">parametros_manuales!$B$22</f>
        <v>Corte de disco y embutido (cúpula y fondo)</v>
      </c>
      <c r="B89" s="14" t="n">
        <f aca="false">(parametros_manuales!$D$22*(datos_base!$E$2+IF(parametros_manuales!$H$22="Todos",datos_base!$E$9,0))*parametros_manuales!$B$97+parametros_manuales!$E$22*(datos_base!$E$3+IF(parametros_manuales!$H$22="Todos",datos_base!$E$10,0))*parametros_manuales!$B$102+parametros_manuales!$F$22*(datos_base!$E$4+IF(parametros_manuales!$H$22="Todos",datos_base!$E$11,0))*parametros_manuales!$B$107+parametros_manuales!$G$22*(datos_base!$E$5+IF(parametros_manuales!$H$22="Todos",datos_base!$E$12,0))*parametros_manuales!$B$112)*parametros_manuales!$I$22*parametros_manuales!$J$22</f>
        <v>9114.290915418</v>
      </c>
      <c r="C89" s="14" t="n">
        <f aca="false">(parametros_manuales!$D$22*(datos_base!$E$2+IF(parametros_manuales!$H$22="Todos",datos_base!$E$9,0))*parametros_manuales!$C$97+parametros_manuales!$E$22*(datos_base!$E$3+IF(parametros_manuales!$H$22="Todos",datos_base!$E$10,0))*parametros_manuales!$C$102+parametros_manuales!$F$22*(datos_base!$E$4+IF(parametros_manuales!$H$22="Todos",datos_base!$E$11,0))*parametros_manuales!$C$107+parametros_manuales!$G$22*(datos_base!$E$5+IF(parametros_manuales!$H$22="Todos",datos_base!$E$12,0))*parametros_manuales!$C$112)*parametros_manuales!$I$22*parametros_manuales!$J$22</f>
        <v>8804.830635796</v>
      </c>
      <c r="D89" s="14" t="n">
        <f aca="false">(parametros_manuales!$D$22*(datos_base!$E$2+IF(parametros_manuales!$H$22="Todos",datos_base!$E$9,0))*parametros_manuales!$D$97+parametros_manuales!$E$22*(datos_base!$E$3+IF(parametros_manuales!$H$22="Todos",datos_base!$E$10,0))*parametros_manuales!$D$102+parametros_manuales!$F$22*(datos_base!$E$4+IF(parametros_manuales!$H$22="Todos",datos_base!$E$11,0))*parametros_manuales!$D$107+parametros_manuales!$G$22*(datos_base!$E$5+IF(parametros_manuales!$H$22="Todos",datos_base!$E$12,0))*parametros_manuales!$D$112)*parametros_manuales!$I$22*parametros_manuales!$J$22</f>
        <v>8256.322064627</v>
      </c>
      <c r="E89" s="14" t="n">
        <f aca="false">(parametros_manuales!$D$22*(datos_base!$E$2+IF(parametros_manuales!$H$22="Todos",datos_base!$E$9,0))*parametros_manuales!$E$97+parametros_manuales!$E$22*(datos_base!$E$3+IF(parametros_manuales!$H$22="Todos",datos_base!$E$10,0))*parametros_manuales!$E$102+parametros_manuales!$F$22*(datos_base!$E$4+IF(parametros_manuales!$H$22="Todos",datos_base!$E$11,0))*parametros_manuales!$E$107+parametros_manuales!$G$22*(datos_base!$E$5+IF(parametros_manuales!$H$22="Todos",datos_base!$E$12,0))*parametros_manuales!$E$112)*parametros_manuales!$I$22*parametros_manuales!$J$22</f>
        <v>7904.702709137</v>
      </c>
      <c r="F89" s="14" t="n">
        <f aca="false">(parametros_manuales!$D$22*(datos_base!$E$2+IF(parametros_manuales!$H$22="Todos",datos_base!$E$9,0))*parametros_manuales!$F$97+parametros_manuales!$E$22*(datos_base!$E$3+IF(parametros_manuales!$H$22="Todos",datos_base!$E$10,0))*parametros_manuales!$F$102+parametros_manuales!$F$22*(datos_base!$E$4+IF(parametros_manuales!$H$22="Todos",datos_base!$E$11,0))*parametros_manuales!$F$107+parametros_manuales!$G$22*(datos_base!$E$5+IF(parametros_manuales!$H$22="Todos",datos_base!$E$12,0))*parametros_manuales!$F$112)*parametros_manuales!$I$22*parametros_manuales!$J$22</f>
        <v>7398.353213836</v>
      </c>
      <c r="G89" s="14" t="n">
        <f aca="false">(parametros_manuales!$D$22*(datos_base!$E$2+IF(parametros_manuales!$H$22="Todos",datos_base!$E$9,0))*parametros_manuales!$G$97+parametros_manuales!$E$22*(datos_base!$E$3+IF(parametros_manuales!$H$22="Todos",datos_base!$E$10,0))*parametros_manuales!$G$102+parametros_manuales!$F$22*(datos_base!$E$4+IF(parametros_manuales!$H$22="Todos",datos_base!$E$11,0))*parametros_manuales!$G$107+parametros_manuales!$G$22*(datos_base!$E$5+IF(parametros_manuales!$H$22="Todos",datos_base!$E$12,0))*parametros_manuales!$G$112)*parametros_manuales!$I$22*parametros_manuales!$J$22</f>
        <v>7243.623074025</v>
      </c>
      <c r="H89" s="14" t="n">
        <f aca="false">(parametros_manuales!$D$22*(datos_base!$E$2+IF(parametros_manuales!$H$22="Todos",datos_base!$E$9,0))*parametros_manuales!$H$97+parametros_manuales!$E$22*(datos_base!$E$3+IF(parametros_manuales!$H$22="Todos",datos_base!$E$10,0))*parametros_manuales!$H$102+parametros_manuales!$F$22*(datos_base!$E$4+IF(parametros_manuales!$H$22="Todos",datos_base!$E$11,0))*parametros_manuales!$H$107+parametros_manuales!$G$22*(datos_base!$E$5+IF(parametros_manuales!$H$22="Todos",datos_base!$E$12,0))*parametros_manuales!$H$112)*parametros_manuales!$I$22*parametros_manuales!$J$22</f>
        <v>7749.972569326</v>
      </c>
      <c r="I89" s="14" t="n">
        <f aca="false">(parametros_manuales!$D$22*(datos_base!$E$2+IF(parametros_manuales!$H$22="Todos",datos_base!$E$9,0))*parametros_manuales!$I$97+parametros_manuales!$E$22*(datos_base!$E$3+IF(parametros_manuales!$H$22="Todos",datos_base!$E$10,0))*parametros_manuales!$I$102+parametros_manuales!$F$22*(datos_base!$E$4+IF(parametros_manuales!$H$22="Todos",datos_base!$E$11,0))*parametros_manuales!$I$107+parametros_manuales!$G$22*(datos_base!$E$5+IF(parametros_manuales!$H$22="Todos",datos_base!$E$12,0))*parametros_manuales!$I$112)*parametros_manuales!$I$22*parametros_manuales!$J$22</f>
        <v>8804.83063579599</v>
      </c>
      <c r="J89" s="14" t="n">
        <f aca="false">(parametros_manuales!$D$22*(datos_base!$E$2+IF(parametros_manuales!$H$22="Todos",datos_base!$E$9,0))*parametros_manuales!$J$97+parametros_manuales!$E$22*(datos_base!$E$3+IF(parametros_manuales!$H$22="Todos",datos_base!$E$10,0))*parametros_manuales!$J$102+parametros_manuales!$F$22*(datos_base!$E$4+IF(parametros_manuales!$H$22="Todos",datos_base!$E$11,0))*parametros_manuales!$J$107+parametros_manuales!$G$22*(datos_base!$E$5+IF(parametros_manuales!$H$22="Todos",datos_base!$E$12,0))*parametros_manuales!$J$112)*parametros_manuales!$I$22*parametros_manuales!$J$22</f>
        <v>8804.830635796</v>
      </c>
      <c r="K89" s="14" t="n">
        <f aca="false">(parametros_manuales!$D$22*(datos_base!$E$2+IF(parametros_manuales!$H$22="Todos",datos_base!$E$9,0))*parametros_manuales!$K$97+parametros_manuales!$E$22*(datos_base!$E$3+IF(parametros_manuales!$H$22="Todos",datos_base!$E$10,0))*parametros_manuales!$K$102+parametros_manuales!$F$22*(datos_base!$E$4+IF(parametros_manuales!$H$22="Todos",datos_base!$E$11,0))*parametros_manuales!$K$107+parametros_manuales!$G$22*(datos_base!$E$5+IF(parametros_manuales!$H$22="Todos",datos_base!$E$12,0))*parametros_manuales!$K$112)*parametros_manuales!$I$22*parametros_manuales!$J$22</f>
        <v>8959.560775607</v>
      </c>
      <c r="L89" s="14" t="n">
        <f aca="false">(parametros_manuales!$D$22*(datos_base!$E$2+IF(parametros_manuales!$H$22="Todos",datos_base!$E$9,0))*parametros_manuales!$L$97+parametros_manuales!$E$22*(datos_base!$E$3+IF(parametros_manuales!$H$22="Todos",datos_base!$E$10,0))*parametros_manuales!$L$102+parametros_manuales!$F$22*(datos_base!$E$4+IF(parametros_manuales!$H$22="Todos",datos_base!$E$11,0))*parametros_manuales!$L$107+parametros_manuales!$G$22*(datos_base!$E$5+IF(parametros_manuales!$H$22="Todos",datos_base!$E$12,0))*parametros_manuales!$L$112)*parametros_manuales!$I$22*parametros_manuales!$J$22</f>
        <v>9114.290915418</v>
      </c>
      <c r="M89" s="14" t="n">
        <f aca="false">(parametros_manuales!$D$22*(datos_base!$E$2+IF(parametros_manuales!$H$22="Todos",datos_base!$E$9,0))*parametros_manuales!$M$97+parametros_manuales!$E$22*(datos_base!$E$3+IF(parametros_manuales!$H$22="Todos",datos_base!$E$10,0))*parametros_manuales!$M$102+parametros_manuales!$F$22*(datos_base!$E$4+IF(parametros_manuales!$H$22="Todos",datos_base!$E$11,0))*parametros_manuales!$M$107+parametros_manuales!$G$22*(datos_base!$E$5+IF(parametros_manuales!$H$22="Todos",datos_base!$E$12,0))*parametros_manuales!$M$112)*parametros_manuales!$I$22*parametros_manuales!$J$22</f>
        <v>9114.290915418</v>
      </c>
      <c r="N89" s="14" t="n">
        <f aca="false">SUM(B89:M89)</f>
        <v>101269.8990602</v>
      </c>
      <c r="O89" s="14" t="n">
        <f aca="false">MAX(B89:M89)</f>
        <v>9114.290915418</v>
      </c>
      <c r="P89" s="57" t="n">
        <f aca="false">O89/(parametros_manuales!$B$7)</f>
        <v>60.76193943612</v>
      </c>
      <c r="Q89" s="13" t="str">
        <f aca="false">IF(O89=0,"-",INDEX($B$85:$M$85,MATCH(O89,B89:M89,0)))</f>
        <v>Ene</v>
      </c>
    </row>
    <row r="90" customFormat="false" ht="14.25" hidden="false" customHeight="true" outlineLevel="0" collapsed="false">
      <c r="A90" s="13" t="str">
        <f aca="false">parametros_manuales!$B$23</f>
        <v>Preparación de cuello</v>
      </c>
      <c r="B90" s="14" t="n">
        <f aca="false">(parametros_manuales!$D$23*(datos_base!$E$2+IF(parametros_manuales!$H$23="Todos",datos_base!$E$9,0))*parametros_manuales!$B$97+parametros_manuales!$E$23*(datos_base!$E$3+IF(parametros_manuales!$H$23="Todos",datos_base!$E$10,0))*parametros_manuales!$B$102+parametros_manuales!$F$23*(datos_base!$E$4+IF(parametros_manuales!$H$23="Todos",datos_base!$E$11,0))*parametros_manuales!$B$107+parametros_manuales!$G$23*(datos_base!$E$5+IF(parametros_manuales!$H$23="Todos",datos_base!$E$12,0))*parametros_manuales!$B$112)*parametros_manuales!$I$23*parametros_manuales!$J$23</f>
        <v>4557.145457709</v>
      </c>
      <c r="C90" s="14" t="n">
        <f aca="false">(parametros_manuales!$D$23*(datos_base!$E$2+IF(parametros_manuales!$H$23="Todos",datos_base!$E$9,0))*parametros_manuales!$C$97+parametros_manuales!$E$23*(datos_base!$E$3+IF(parametros_manuales!$H$23="Todos",datos_base!$E$10,0))*parametros_manuales!$C$102+parametros_manuales!$F$23*(datos_base!$E$4+IF(parametros_manuales!$H$23="Todos",datos_base!$E$11,0))*parametros_manuales!$C$107+parametros_manuales!$G$23*(datos_base!$E$5+IF(parametros_manuales!$H$23="Todos",datos_base!$E$12,0))*parametros_manuales!$C$112)*parametros_manuales!$I$23*parametros_manuales!$J$23</f>
        <v>4402.415317898</v>
      </c>
      <c r="D90" s="14" t="n">
        <f aca="false">(parametros_manuales!$D$23*(datos_base!$E$2+IF(parametros_manuales!$H$23="Todos",datos_base!$E$9,0))*parametros_manuales!$D$97+parametros_manuales!$E$23*(datos_base!$E$3+IF(parametros_manuales!$H$23="Todos",datos_base!$E$10,0))*parametros_manuales!$D$102+parametros_manuales!$F$23*(datos_base!$E$4+IF(parametros_manuales!$H$23="Todos",datos_base!$E$11,0))*parametros_manuales!$D$107+parametros_manuales!$G$23*(datos_base!$E$5+IF(parametros_manuales!$H$23="Todos",datos_base!$E$12,0))*parametros_manuales!$D$112)*parametros_manuales!$I$23*parametros_manuales!$J$23</f>
        <v>4128.1610323135</v>
      </c>
      <c r="E90" s="14" t="n">
        <f aca="false">(parametros_manuales!$D$23*(datos_base!$E$2+IF(parametros_manuales!$H$23="Todos",datos_base!$E$9,0))*parametros_manuales!$E$97+parametros_manuales!$E$23*(datos_base!$E$3+IF(parametros_manuales!$H$23="Todos",datos_base!$E$10,0))*parametros_manuales!$E$102+parametros_manuales!$F$23*(datos_base!$E$4+IF(parametros_manuales!$H$23="Todos",datos_base!$E$11,0))*parametros_manuales!$E$107+parametros_manuales!$G$23*(datos_base!$E$5+IF(parametros_manuales!$H$23="Todos",datos_base!$E$12,0))*parametros_manuales!$E$112)*parametros_manuales!$I$23*parametros_manuales!$J$23</f>
        <v>3952.3513545685</v>
      </c>
      <c r="F90" s="14" t="n">
        <f aca="false">(parametros_manuales!$D$23*(datos_base!$E$2+IF(parametros_manuales!$H$23="Todos",datos_base!$E$9,0))*parametros_manuales!$F$97+parametros_manuales!$E$23*(datos_base!$E$3+IF(parametros_manuales!$H$23="Todos",datos_base!$E$10,0))*parametros_manuales!$F$102+parametros_manuales!$F$23*(datos_base!$E$4+IF(parametros_manuales!$H$23="Todos",datos_base!$E$11,0))*parametros_manuales!$F$107+parametros_manuales!$G$23*(datos_base!$E$5+IF(parametros_manuales!$H$23="Todos",datos_base!$E$12,0))*parametros_manuales!$F$112)*parametros_manuales!$I$23*parametros_manuales!$J$23</f>
        <v>3699.176606918</v>
      </c>
      <c r="G90" s="14" t="n">
        <f aca="false">(parametros_manuales!$D$23*(datos_base!$E$2+IF(parametros_manuales!$H$23="Todos",datos_base!$E$9,0))*parametros_manuales!$G$97+parametros_manuales!$E$23*(datos_base!$E$3+IF(parametros_manuales!$H$23="Todos",datos_base!$E$10,0))*parametros_manuales!$G$102+parametros_manuales!$F$23*(datos_base!$E$4+IF(parametros_manuales!$H$23="Todos",datos_base!$E$11,0))*parametros_manuales!$G$107+parametros_manuales!$G$23*(datos_base!$E$5+IF(parametros_manuales!$H$23="Todos",datos_base!$E$12,0))*parametros_manuales!$G$112)*parametros_manuales!$I$23*parametros_manuales!$J$23</f>
        <v>3621.8115370125</v>
      </c>
      <c r="H90" s="14" t="n">
        <f aca="false">(parametros_manuales!$D$23*(datos_base!$E$2+IF(parametros_manuales!$H$23="Todos",datos_base!$E$9,0))*parametros_manuales!$H$97+parametros_manuales!$E$23*(datos_base!$E$3+IF(parametros_manuales!$H$23="Todos",datos_base!$E$10,0))*parametros_manuales!$H$102+parametros_manuales!$F$23*(datos_base!$E$4+IF(parametros_manuales!$H$23="Todos",datos_base!$E$11,0))*parametros_manuales!$H$107+parametros_manuales!$G$23*(datos_base!$E$5+IF(parametros_manuales!$H$23="Todos",datos_base!$E$12,0))*parametros_manuales!$H$112)*parametros_manuales!$I$23*parametros_manuales!$J$23</f>
        <v>3874.986284663</v>
      </c>
      <c r="I90" s="14" t="n">
        <f aca="false">(parametros_manuales!$D$23*(datos_base!$E$2+IF(parametros_manuales!$H$23="Todos",datos_base!$E$9,0))*parametros_manuales!$I$97+parametros_manuales!$E$23*(datos_base!$E$3+IF(parametros_manuales!$H$23="Todos",datos_base!$E$10,0))*parametros_manuales!$I$102+parametros_manuales!$F$23*(datos_base!$E$4+IF(parametros_manuales!$H$23="Todos",datos_base!$E$11,0))*parametros_manuales!$I$107+parametros_manuales!$G$23*(datos_base!$E$5+IF(parametros_manuales!$H$23="Todos",datos_base!$E$12,0))*parametros_manuales!$I$112)*parametros_manuales!$I$23*parametros_manuales!$J$23</f>
        <v>4402.415317898</v>
      </c>
      <c r="J90" s="14" t="n">
        <f aca="false">(parametros_manuales!$D$23*(datos_base!$E$2+IF(parametros_manuales!$H$23="Todos",datos_base!$E$9,0))*parametros_manuales!$J$97+parametros_manuales!$E$23*(datos_base!$E$3+IF(parametros_manuales!$H$23="Todos",datos_base!$E$10,0))*parametros_manuales!$J$102+parametros_manuales!$F$23*(datos_base!$E$4+IF(parametros_manuales!$H$23="Todos",datos_base!$E$11,0))*parametros_manuales!$J$107+parametros_manuales!$G$23*(datos_base!$E$5+IF(parametros_manuales!$H$23="Todos",datos_base!$E$12,0))*parametros_manuales!$J$112)*parametros_manuales!$I$23*parametros_manuales!$J$23</f>
        <v>4402.415317898</v>
      </c>
      <c r="K90" s="14" t="n">
        <f aca="false">(parametros_manuales!$D$23*(datos_base!$E$2+IF(parametros_manuales!$H$23="Todos",datos_base!$E$9,0))*parametros_manuales!$K$97+parametros_manuales!$E$23*(datos_base!$E$3+IF(parametros_manuales!$H$23="Todos",datos_base!$E$10,0))*parametros_manuales!$K$102+parametros_manuales!$F$23*(datos_base!$E$4+IF(parametros_manuales!$H$23="Todos",datos_base!$E$11,0))*parametros_manuales!$K$107+parametros_manuales!$G$23*(datos_base!$E$5+IF(parametros_manuales!$H$23="Todos",datos_base!$E$12,0))*parametros_manuales!$K$112)*parametros_manuales!$I$23*parametros_manuales!$J$23</f>
        <v>4479.7803878035</v>
      </c>
      <c r="L90" s="14" t="n">
        <f aca="false">(parametros_manuales!$D$23*(datos_base!$E$2+IF(parametros_manuales!$H$23="Todos",datos_base!$E$9,0))*parametros_manuales!$L$97+parametros_manuales!$E$23*(datos_base!$E$3+IF(parametros_manuales!$H$23="Todos",datos_base!$E$10,0))*parametros_manuales!$L$102+parametros_manuales!$F$23*(datos_base!$E$4+IF(parametros_manuales!$H$23="Todos",datos_base!$E$11,0))*parametros_manuales!$L$107+parametros_manuales!$G$23*(datos_base!$E$5+IF(parametros_manuales!$H$23="Todos",datos_base!$E$12,0))*parametros_manuales!$L$112)*parametros_manuales!$I$23*parametros_manuales!$J$23</f>
        <v>4557.145457709</v>
      </c>
      <c r="M90" s="14" t="n">
        <f aca="false">(parametros_manuales!$D$23*(datos_base!$E$2+IF(parametros_manuales!$H$23="Todos",datos_base!$E$9,0))*parametros_manuales!$M$97+parametros_manuales!$E$23*(datos_base!$E$3+IF(parametros_manuales!$H$23="Todos",datos_base!$E$10,0))*parametros_manuales!$M$102+parametros_manuales!$F$23*(datos_base!$E$4+IF(parametros_manuales!$H$23="Todos",datos_base!$E$11,0))*parametros_manuales!$M$107+parametros_manuales!$G$23*(datos_base!$E$5+IF(parametros_manuales!$H$23="Todos",datos_base!$E$12,0))*parametros_manuales!$M$112)*parametros_manuales!$I$23*parametros_manuales!$J$23</f>
        <v>4557.145457709</v>
      </c>
      <c r="N90" s="14" t="n">
        <f aca="false">SUM(B90:M90)</f>
        <v>50634.9495301</v>
      </c>
      <c r="O90" s="14" t="n">
        <f aca="false">MAX(B90:M90)</f>
        <v>4557.145457709</v>
      </c>
      <c r="P90" s="57" t="n">
        <f aca="false">O90/(parametros_manuales!$B$7)</f>
        <v>30.38096971806</v>
      </c>
      <c r="Q90" s="13" t="str">
        <f aca="false">IF(O90=0,"-",INDEX($B$85:$M$85,MATCH(O90,B90:M90,0)))</f>
        <v>Ene</v>
      </c>
    </row>
    <row r="91" customFormat="false" ht="14.25" hidden="false" customHeight="true" outlineLevel="0" collapsed="false">
      <c r="A91" s="13" t="str">
        <f aca="false">parametros_manuales!$B$24</f>
        <v>Numerado de cúpula</v>
      </c>
      <c r="B91" s="14" t="n">
        <f aca="false">(parametros_manuales!$D$24*(datos_base!$E$2+IF(parametros_manuales!$H$24="Todos",datos_base!$E$9,0))*parametros_manuales!$B$97+parametros_manuales!$E$24*(datos_base!$E$3+IF(parametros_manuales!$H$24="Todos",datos_base!$E$10,0))*parametros_manuales!$B$102+parametros_manuales!$F$24*(datos_base!$E$4+IF(parametros_manuales!$H$24="Todos",datos_base!$E$11,0))*parametros_manuales!$B$107+parametros_manuales!$G$24*(datos_base!$E$5+IF(parametros_manuales!$H$24="Todos",datos_base!$E$12,0))*parametros_manuales!$B$112)*parametros_manuales!$I$24*parametros_manuales!$J$24</f>
        <v>4557.145457709</v>
      </c>
      <c r="C91" s="14" t="n">
        <f aca="false">(parametros_manuales!$D$24*(datos_base!$E$2+IF(parametros_manuales!$H$24="Todos",datos_base!$E$9,0))*parametros_manuales!$C$97+parametros_manuales!$E$24*(datos_base!$E$3+IF(parametros_manuales!$H$24="Todos",datos_base!$E$10,0))*parametros_manuales!$C$102+parametros_manuales!$F$24*(datos_base!$E$4+IF(parametros_manuales!$H$24="Todos",datos_base!$E$11,0))*parametros_manuales!$C$107+parametros_manuales!$G$24*(datos_base!$E$5+IF(parametros_manuales!$H$24="Todos",datos_base!$E$12,0))*parametros_manuales!$C$112)*parametros_manuales!$I$24*parametros_manuales!$J$24</f>
        <v>4402.415317898</v>
      </c>
      <c r="D91" s="14" t="n">
        <f aca="false">(parametros_manuales!$D$24*(datos_base!$E$2+IF(parametros_manuales!$H$24="Todos",datos_base!$E$9,0))*parametros_manuales!$D$97+parametros_manuales!$E$24*(datos_base!$E$3+IF(parametros_manuales!$H$24="Todos",datos_base!$E$10,0))*parametros_manuales!$D$102+parametros_manuales!$F$24*(datos_base!$E$4+IF(parametros_manuales!$H$24="Todos",datos_base!$E$11,0))*parametros_manuales!$D$107+parametros_manuales!$G$24*(datos_base!$E$5+IF(parametros_manuales!$H$24="Todos",datos_base!$E$12,0))*parametros_manuales!$D$112)*parametros_manuales!$I$24*parametros_manuales!$J$24</f>
        <v>4128.1610323135</v>
      </c>
      <c r="E91" s="14" t="n">
        <f aca="false">(parametros_manuales!$D$24*(datos_base!$E$2+IF(parametros_manuales!$H$24="Todos",datos_base!$E$9,0))*parametros_manuales!$E$97+parametros_manuales!$E$24*(datos_base!$E$3+IF(parametros_manuales!$H$24="Todos",datos_base!$E$10,0))*parametros_manuales!$E$102+parametros_manuales!$F$24*(datos_base!$E$4+IF(parametros_manuales!$H$24="Todos",datos_base!$E$11,0))*parametros_manuales!$E$107+parametros_manuales!$G$24*(datos_base!$E$5+IF(parametros_manuales!$H$24="Todos",datos_base!$E$12,0))*parametros_manuales!$E$112)*parametros_manuales!$I$24*parametros_manuales!$J$24</f>
        <v>3952.3513545685</v>
      </c>
      <c r="F91" s="14" t="n">
        <f aca="false">(parametros_manuales!$D$24*(datos_base!$E$2+IF(parametros_manuales!$H$24="Todos",datos_base!$E$9,0))*parametros_manuales!$F$97+parametros_manuales!$E$24*(datos_base!$E$3+IF(parametros_manuales!$H$24="Todos",datos_base!$E$10,0))*parametros_manuales!$F$102+parametros_manuales!$F$24*(datos_base!$E$4+IF(parametros_manuales!$H$24="Todos",datos_base!$E$11,0))*parametros_manuales!$F$107+parametros_manuales!$G$24*(datos_base!$E$5+IF(parametros_manuales!$H$24="Todos",datos_base!$E$12,0))*parametros_manuales!$F$112)*parametros_manuales!$I$24*parametros_manuales!$J$24</f>
        <v>3699.176606918</v>
      </c>
      <c r="G91" s="14" t="n">
        <f aca="false">(parametros_manuales!$D$24*(datos_base!$E$2+IF(parametros_manuales!$H$24="Todos",datos_base!$E$9,0))*parametros_manuales!$G$97+parametros_manuales!$E$24*(datos_base!$E$3+IF(parametros_manuales!$H$24="Todos",datos_base!$E$10,0))*parametros_manuales!$G$102+parametros_manuales!$F$24*(datos_base!$E$4+IF(parametros_manuales!$H$24="Todos",datos_base!$E$11,0))*parametros_manuales!$G$107+parametros_manuales!$G$24*(datos_base!$E$5+IF(parametros_manuales!$H$24="Todos",datos_base!$E$12,0))*parametros_manuales!$G$112)*parametros_manuales!$I$24*parametros_manuales!$J$24</f>
        <v>3621.8115370125</v>
      </c>
      <c r="H91" s="14" t="n">
        <f aca="false">(parametros_manuales!$D$24*(datos_base!$E$2+IF(parametros_manuales!$H$24="Todos",datos_base!$E$9,0))*parametros_manuales!$H$97+parametros_manuales!$E$24*(datos_base!$E$3+IF(parametros_manuales!$H$24="Todos",datos_base!$E$10,0))*parametros_manuales!$H$102+parametros_manuales!$F$24*(datos_base!$E$4+IF(parametros_manuales!$H$24="Todos",datos_base!$E$11,0))*parametros_manuales!$H$107+parametros_manuales!$G$24*(datos_base!$E$5+IF(parametros_manuales!$H$24="Todos",datos_base!$E$12,0))*parametros_manuales!$H$112)*parametros_manuales!$I$24*parametros_manuales!$J$24</f>
        <v>3874.986284663</v>
      </c>
      <c r="I91" s="14" t="n">
        <f aca="false">(parametros_manuales!$D$24*(datos_base!$E$2+IF(parametros_manuales!$H$24="Todos",datos_base!$E$9,0))*parametros_manuales!$I$97+parametros_manuales!$E$24*(datos_base!$E$3+IF(parametros_manuales!$H$24="Todos",datos_base!$E$10,0))*parametros_manuales!$I$102+parametros_manuales!$F$24*(datos_base!$E$4+IF(parametros_manuales!$H$24="Todos",datos_base!$E$11,0))*parametros_manuales!$I$107+parametros_manuales!$G$24*(datos_base!$E$5+IF(parametros_manuales!$H$24="Todos",datos_base!$E$12,0))*parametros_manuales!$I$112)*parametros_manuales!$I$24*parametros_manuales!$J$24</f>
        <v>4402.415317898</v>
      </c>
      <c r="J91" s="14" t="n">
        <f aca="false">(parametros_manuales!$D$24*(datos_base!$E$2+IF(parametros_manuales!$H$24="Todos",datos_base!$E$9,0))*parametros_manuales!$J$97+parametros_manuales!$E$24*(datos_base!$E$3+IF(parametros_manuales!$H$24="Todos",datos_base!$E$10,0))*parametros_manuales!$J$102+parametros_manuales!$F$24*(datos_base!$E$4+IF(parametros_manuales!$H$24="Todos",datos_base!$E$11,0))*parametros_manuales!$J$107+parametros_manuales!$G$24*(datos_base!$E$5+IF(parametros_manuales!$H$24="Todos",datos_base!$E$12,0))*parametros_manuales!$J$112)*parametros_manuales!$I$24*parametros_manuales!$J$24</f>
        <v>4402.415317898</v>
      </c>
      <c r="K91" s="14" t="n">
        <f aca="false">(parametros_manuales!$D$24*(datos_base!$E$2+IF(parametros_manuales!$H$24="Todos",datos_base!$E$9,0))*parametros_manuales!$K$97+parametros_manuales!$E$24*(datos_base!$E$3+IF(parametros_manuales!$H$24="Todos",datos_base!$E$10,0))*parametros_manuales!$K$102+parametros_manuales!$F$24*(datos_base!$E$4+IF(parametros_manuales!$H$24="Todos",datos_base!$E$11,0))*parametros_manuales!$K$107+parametros_manuales!$G$24*(datos_base!$E$5+IF(parametros_manuales!$H$24="Todos",datos_base!$E$12,0))*parametros_manuales!$K$112)*parametros_manuales!$I$24*parametros_manuales!$J$24</f>
        <v>4479.7803878035</v>
      </c>
      <c r="L91" s="14" t="n">
        <f aca="false">(parametros_manuales!$D$24*(datos_base!$E$2+IF(parametros_manuales!$H$24="Todos",datos_base!$E$9,0))*parametros_manuales!$L$97+parametros_manuales!$E$24*(datos_base!$E$3+IF(parametros_manuales!$H$24="Todos",datos_base!$E$10,0))*parametros_manuales!$L$102+parametros_manuales!$F$24*(datos_base!$E$4+IF(parametros_manuales!$H$24="Todos",datos_base!$E$11,0))*parametros_manuales!$L$107+parametros_manuales!$G$24*(datos_base!$E$5+IF(parametros_manuales!$H$24="Todos",datos_base!$E$12,0))*parametros_manuales!$L$112)*parametros_manuales!$I$24*parametros_manuales!$J$24</f>
        <v>4557.145457709</v>
      </c>
      <c r="M91" s="14" t="n">
        <f aca="false">(parametros_manuales!$D$24*(datos_base!$E$2+IF(parametros_manuales!$H$24="Todos",datos_base!$E$9,0))*parametros_manuales!$M$97+parametros_manuales!$E$24*(datos_base!$E$3+IF(parametros_manuales!$H$24="Todos",datos_base!$E$10,0))*parametros_manuales!$M$102+parametros_manuales!$F$24*(datos_base!$E$4+IF(parametros_manuales!$H$24="Todos",datos_base!$E$11,0))*parametros_manuales!$M$107+parametros_manuales!$G$24*(datos_base!$E$5+IF(parametros_manuales!$H$24="Todos",datos_base!$E$12,0))*parametros_manuales!$M$112)*parametros_manuales!$I$24*parametros_manuales!$J$24</f>
        <v>4557.145457709</v>
      </c>
      <c r="N91" s="14" t="n">
        <f aca="false">SUM(B91:M91)</f>
        <v>50634.9495301</v>
      </c>
      <c r="O91" s="14" t="n">
        <f aca="false">MAX(B91:M91)</f>
        <v>4557.145457709</v>
      </c>
      <c r="P91" s="57" t="n">
        <f aca="false">O91/(parametros_manuales!$B$7)</f>
        <v>30.38096971806</v>
      </c>
      <c r="Q91" s="13" t="str">
        <f aca="false">IF(O91=0,"-",INDEX($B$85:$M$85,MATCH(O91,B91:M91,0)))</f>
        <v>Ene</v>
      </c>
    </row>
    <row r="92" customFormat="false" ht="14.25" hidden="false" customHeight="true" outlineLevel="0" collapsed="false">
      <c r="A92" s="13" t="str">
        <f aca="false">parametros_manuales!$B$25</f>
        <v>Soldadura del cuello a la cúpula</v>
      </c>
      <c r="B92" s="14" t="n">
        <f aca="false">(parametros_manuales!$D$25*(datos_base!$E$2+IF(parametros_manuales!$H$25="Todos",datos_base!$E$9,0))*parametros_manuales!$B$97+parametros_manuales!$E$25*(datos_base!$E$3+IF(parametros_manuales!$H$25="Todos",datos_base!$E$10,0))*parametros_manuales!$B$102+parametros_manuales!$F$25*(datos_base!$E$4+IF(parametros_manuales!$H$25="Todos",datos_base!$E$11,0))*parametros_manuales!$B$107+parametros_manuales!$G$25*(datos_base!$E$5+IF(parametros_manuales!$H$25="Todos",datos_base!$E$12,0))*parametros_manuales!$B$112)*parametros_manuales!$I$25*parametros_manuales!$J$25</f>
        <v>4557.145457709</v>
      </c>
      <c r="C92" s="14" t="n">
        <f aca="false">(parametros_manuales!$D$25*(datos_base!$E$2+IF(parametros_manuales!$H$25="Todos",datos_base!$E$9,0))*parametros_manuales!$C$97+parametros_manuales!$E$25*(datos_base!$E$3+IF(parametros_manuales!$H$25="Todos",datos_base!$E$10,0))*parametros_manuales!$C$102+parametros_manuales!$F$25*(datos_base!$E$4+IF(parametros_manuales!$H$25="Todos",datos_base!$E$11,0))*parametros_manuales!$C$107+parametros_manuales!$G$25*(datos_base!$E$5+IF(parametros_manuales!$H$25="Todos",datos_base!$E$12,0))*parametros_manuales!$C$112)*parametros_manuales!$I$25*parametros_manuales!$J$25</f>
        <v>4402.415317898</v>
      </c>
      <c r="D92" s="14" t="n">
        <f aca="false">(parametros_manuales!$D$25*(datos_base!$E$2+IF(parametros_manuales!$H$25="Todos",datos_base!$E$9,0))*parametros_manuales!$D$97+parametros_manuales!$E$25*(datos_base!$E$3+IF(parametros_manuales!$H$25="Todos",datos_base!$E$10,0))*parametros_manuales!$D$102+parametros_manuales!$F$25*(datos_base!$E$4+IF(parametros_manuales!$H$25="Todos",datos_base!$E$11,0))*parametros_manuales!$D$107+parametros_manuales!$G$25*(datos_base!$E$5+IF(parametros_manuales!$H$25="Todos",datos_base!$E$12,0))*parametros_manuales!$D$112)*parametros_manuales!$I$25*parametros_manuales!$J$25</f>
        <v>4128.1610323135</v>
      </c>
      <c r="E92" s="14" t="n">
        <f aca="false">(parametros_manuales!$D$25*(datos_base!$E$2+IF(parametros_manuales!$H$25="Todos",datos_base!$E$9,0))*parametros_manuales!$E$97+parametros_manuales!$E$25*(datos_base!$E$3+IF(parametros_manuales!$H$25="Todos",datos_base!$E$10,0))*parametros_manuales!$E$102+parametros_manuales!$F$25*(datos_base!$E$4+IF(parametros_manuales!$H$25="Todos",datos_base!$E$11,0))*parametros_manuales!$E$107+parametros_manuales!$G$25*(datos_base!$E$5+IF(parametros_manuales!$H$25="Todos",datos_base!$E$12,0))*parametros_manuales!$E$112)*parametros_manuales!$I$25*parametros_manuales!$J$25</f>
        <v>3952.3513545685</v>
      </c>
      <c r="F92" s="14" t="n">
        <f aca="false">(parametros_manuales!$D$25*(datos_base!$E$2+IF(parametros_manuales!$H$25="Todos",datos_base!$E$9,0))*parametros_manuales!$F$97+parametros_manuales!$E$25*(datos_base!$E$3+IF(parametros_manuales!$H$25="Todos",datos_base!$E$10,0))*parametros_manuales!$F$102+parametros_manuales!$F$25*(datos_base!$E$4+IF(parametros_manuales!$H$25="Todos",datos_base!$E$11,0))*parametros_manuales!$F$107+parametros_manuales!$G$25*(datos_base!$E$5+IF(parametros_manuales!$H$25="Todos",datos_base!$E$12,0))*parametros_manuales!$F$112)*parametros_manuales!$I$25*parametros_manuales!$J$25</f>
        <v>3699.176606918</v>
      </c>
      <c r="G92" s="14" t="n">
        <f aca="false">(parametros_manuales!$D$25*(datos_base!$E$2+IF(parametros_manuales!$H$25="Todos",datos_base!$E$9,0))*parametros_manuales!$G$97+parametros_manuales!$E$25*(datos_base!$E$3+IF(parametros_manuales!$H$25="Todos",datos_base!$E$10,0))*parametros_manuales!$G$102+parametros_manuales!$F$25*(datos_base!$E$4+IF(parametros_manuales!$H$25="Todos",datos_base!$E$11,0))*parametros_manuales!$G$107+parametros_manuales!$G$25*(datos_base!$E$5+IF(parametros_manuales!$H$25="Todos",datos_base!$E$12,0))*parametros_manuales!$G$112)*parametros_manuales!$I$25*parametros_manuales!$J$25</f>
        <v>3621.8115370125</v>
      </c>
      <c r="H92" s="14" t="n">
        <f aca="false">(parametros_manuales!$D$25*(datos_base!$E$2+IF(parametros_manuales!$H$25="Todos",datos_base!$E$9,0))*parametros_manuales!$H$97+parametros_manuales!$E$25*(datos_base!$E$3+IF(parametros_manuales!$H$25="Todos",datos_base!$E$10,0))*parametros_manuales!$H$102+parametros_manuales!$F$25*(datos_base!$E$4+IF(parametros_manuales!$H$25="Todos",datos_base!$E$11,0))*parametros_manuales!$H$107+parametros_manuales!$G$25*(datos_base!$E$5+IF(parametros_manuales!$H$25="Todos",datos_base!$E$12,0))*parametros_manuales!$H$112)*parametros_manuales!$I$25*parametros_manuales!$J$25</f>
        <v>3874.986284663</v>
      </c>
      <c r="I92" s="14" t="n">
        <f aca="false">(parametros_manuales!$D$25*(datos_base!$E$2+IF(parametros_manuales!$H$25="Todos",datos_base!$E$9,0))*parametros_manuales!$I$97+parametros_manuales!$E$25*(datos_base!$E$3+IF(parametros_manuales!$H$25="Todos",datos_base!$E$10,0))*parametros_manuales!$I$102+parametros_manuales!$F$25*(datos_base!$E$4+IF(parametros_manuales!$H$25="Todos",datos_base!$E$11,0))*parametros_manuales!$I$107+parametros_manuales!$G$25*(datos_base!$E$5+IF(parametros_manuales!$H$25="Todos",datos_base!$E$12,0))*parametros_manuales!$I$112)*parametros_manuales!$I$25*parametros_manuales!$J$25</f>
        <v>4402.415317898</v>
      </c>
      <c r="J92" s="14" t="n">
        <f aca="false">(parametros_manuales!$D$25*(datos_base!$E$2+IF(parametros_manuales!$H$25="Todos",datos_base!$E$9,0))*parametros_manuales!$J$97+parametros_manuales!$E$25*(datos_base!$E$3+IF(parametros_manuales!$H$25="Todos",datos_base!$E$10,0))*parametros_manuales!$J$102+parametros_manuales!$F$25*(datos_base!$E$4+IF(parametros_manuales!$H$25="Todos",datos_base!$E$11,0))*parametros_manuales!$J$107+parametros_manuales!$G$25*(datos_base!$E$5+IF(parametros_manuales!$H$25="Todos",datos_base!$E$12,0))*parametros_manuales!$J$112)*parametros_manuales!$I$25*parametros_manuales!$J$25</f>
        <v>4402.415317898</v>
      </c>
      <c r="K92" s="14" t="n">
        <f aca="false">(parametros_manuales!$D$25*(datos_base!$E$2+IF(parametros_manuales!$H$25="Todos",datos_base!$E$9,0))*parametros_manuales!$K$97+parametros_manuales!$E$25*(datos_base!$E$3+IF(parametros_manuales!$H$25="Todos",datos_base!$E$10,0))*parametros_manuales!$K$102+parametros_manuales!$F$25*(datos_base!$E$4+IF(parametros_manuales!$H$25="Todos",datos_base!$E$11,0))*parametros_manuales!$K$107+parametros_manuales!$G$25*(datos_base!$E$5+IF(parametros_manuales!$H$25="Todos",datos_base!$E$12,0))*parametros_manuales!$K$112)*parametros_manuales!$I$25*parametros_manuales!$J$25</f>
        <v>4479.7803878035</v>
      </c>
      <c r="L92" s="14" t="n">
        <f aca="false">(parametros_manuales!$D$25*(datos_base!$E$2+IF(parametros_manuales!$H$25="Todos",datos_base!$E$9,0))*parametros_manuales!$L$97+parametros_manuales!$E$25*(datos_base!$E$3+IF(parametros_manuales!$H$25="Todos",datos_base!$E$10,0))*parametros_manuales!$L$102+parametros_manuales!$F$25*(datos_base!$E$4+IF(parametros_manuales!$H$25="Todos",datos_base!$E$11,0))*parametros_manuales!$L$107+parametros_manuales!$G$25*(datos_base!$E$5+IF(parametros_manuales!$H$25="Todos",datos_base!$E$12,0))*parametros_manuales!$L$112)*parametros_manuales!$I$25*parametros_manuales!$J$25</f>
        <v>4557.145457709</v>
      </c>
      <c r="M92" s="14" t="n">
        <f aca="false">(parametros_manuales!$D$25*(datos_base!$E$2+IF(parametros_manuales!$H$25="Todos",datos_base!$E$9,0))*parametros_manuales!$M$97+parametros_manuales!$E$25*(datos_base!$E$3+IF(parametros_manuales!$H$25="Todos",datos_base!$E$10,0))*parametros_manuales!$M$102+parametros_manuales!$F$25*(datos_base!$E$4+IF(parametros_manuales!$H$25="Todos",datos_base!$E$11,0))*parametros_manuales!$M$107+parametros_manuales!$G$25*(datos_base!$E$5+IF(parametros_manuales!$H$25="Todos",datos_base!$E$12,0))*parametros_manuales!$M$112)*parametros_manuales!$I$25*parametros_manuales!$J$25</f>
        <v>4557.145457709</v>
      </c>
      <c r="N92" s="14" t="n">
        <f aca="false">SUM(B92:M92)</f>
        <v>50634.9495301</v>
      </c>
      <c r="O92" s="14" t="n">
        <f aca="false">MAX(B92:M92)</f>
        <v>4557.145457709</v>
      </c>
      <c r="P92" s="57" t="n">
        <f aca="false">O92/(parametros_manuales!$B$7)</f>
        <v>30.38096971806</v>
      </c>
      <c r="Q92" s="13" t="str">
        <f aca="false">IF(O92=0,"-",INDEX($B$85:$M$85,MATCH(O92,B92:M92,0)))</f>
        <v>Ene</v>
      </c>
    </row>
    <row r="93" customFormat="false" ht="14.25" hidden="false" customHeight="true" outlineLevel="0" collapsed="false">
      <c r="A93" s="13" t="str">
        <f aca="false">parametros_manuales!$B$26</f>
        <v>Cilindrado</v>
      </c>
      <c r="B93" s="14" t="n">
        <f aca="false">(parametros_manuales!$D$26*(datos_base!$E$2+IF(parametros_manuales!$H$26="Todos",datos_base!$E$9,0))*parametros_manuales!$B$97+parametros_manuales!$E$26*(datos_base!$E$3+IF(parametros_manuales!$H$26="Todos",datos_base!$E$10,0))*parametros_manuales!$B$102+parametros_manuales!$F$26*(datos_base!$E$4+IF(parametros_manuales!$H$26="Todos",datos_base!$E$11,0))*parametros_manuales!$B$107+parametros_manuales!$G$26*(datos_base!$E$5+IF(parametros_manuales!$H$26="Todos",datos_base!$E$12,0))*parametros_manuales!$B$112)*parametros_manuales!$I$26*parametros_manuales!$J$26</f>
        <v>4557.145457709</v>
      </c>
      <c r="C93" s="14" t="n">
        <f aca="false">(parametros_manuales!$D$26*(datos_base!$E$2+IF(parametros_manuales!$H$26="Todos",datos_base!$E$9,0))*parametros_manuales!$C$97+parametros_manuales!$E$26*(datos_base!$E$3+IF(parametros_manuales!$H$26="Todos",datos_base!$E$10,0))*parametros_manuales!$C$102+parametros_manuales!$F$26*(datos_base!$E$4+IF(parametros_manuales!$H$26="Todos",datos_base!$E$11,0))*parametros_manuales!$C$107+parametros_manuales!$G$26*(datos_base!$E$5+IF(parametros_manuales!$H$26="Todos",datos_base!$E$12,0))*parametros_manuales!$C$112)*parametros_manuales!$I$26*parametros_manuales!$J$26</f>
        <v>4402.415317898</v>
      </c>
      <c r="D93" s="14" t="n">
        <f aca="false">(parametros_manuales!$D$26*(datos_base!$E$2+IF(parametros_manuales!$H$26="Todos",datos_base!$E$9,0))*parametros_manuales!$D$97+parametros_manuales!$E$26*(datos_base!$E$3+IF(parametros_manuales!$H$26="Todos",datos_base!$E$10,0))*parametros_manuales!$D$102+parametros_manuales!$F$26*(datos_base!$E$4+IF(parametros_manuales!$H$26="Todos",datos_base!$E$11,0))*parametros_manuales!$D$107+parametros_manuales!$G$26*(datos_base!$E$5+IF(parametros_manuales!$H$26="Todos",datos_base!$E$12,0))*parametros_manuales!$D$112)*parametros_manuales!$I$26*parametros_manuales!$J$26</f>
        <v>4128.1610323135</v>
      </c>
      <c r="E93" s="14" t="n">
        <f aca="false">(parametros_manuales!$D$26*(datos_base!$E$2+IF(parametros_manuales!$H$26="Todos",datos_base!$E$9,0))*parametros_manuales!$E$97+parametros_manuales!$E$26*(datos_base!$E$3+IF(parametros_manuales!$H$26="Todos",datos_base!$E$10,0))*parametros_manuales!$E$102+parametros_manuales!$F$26*(datos_base!$E$4+IF(parametros_manuales!$H$26="Todos",datos_base!$E$11,0))*parametros_manuales!$E$107+parametros_manuales!$G$26*(datos_base!$E$5+IF(parametros_manuales!$H$26="Todos",datos_base!$E$12,0))*parametros_manuales!$E$112)*parametros_manuales!$I$26*parametros_manuales!$J$26</f>
        <v>3952.3513545685</v>
      </c>
      <c r="F93" s="14" t="n">
        <f aca="false">(parametros_manuales!$D$26*(datos_base!$E$2+IF(parametros_manuales!$H$26="Todos",datos_base!$E$9,0))*parametros_manuales!$F$97+parametros_manuales!$E$26*(datos_base!$E$3+IF(parametros_manuales!$H$26="Todos",datos_base!$E$10,0))*parametros_manuales!$F$102+parametros_manuales!$F$26*(datos_base!$E$4+IF(parametros_manuales!$H$26="Todos",datos_base!$E$11,0))*parametros_manuales!$F$107+parametros_manuales!$G$26*(datos_base!$E$5+IF(parametros_manuales!$H$26="Todos",datos_base!$E$12,0))*parametros_manuales!$F$112)*parametros_manuales!$I$26*parametros_manuales!$J$26</f>
        <v>3699.176606918</v>
      </c>
      <c r="G93" s="14" t="n">
        <f aca="false">(parametros_manuales!$D$26*(datos_base!$E$2+IF(parametros_manuales!$H$26="Todos",datos_base!$E$9,0))*parametros_manuales!$G$97+parametros_manuales!$E$26*(datos_base!$E$3+IF(parametros_manuales!$H$26="Todos",datos_base!$E$10,0))*parametros_manuales!$G$102+parametros_manuales!$F$26*(datos_base!$E$4+IF(parametros_manuales!$H$26="Todos",datos_base!$E$11,0))*parametros_manuales!$G$107+parametros_manuales!$G$26*(datos_base!$E$5+IF(parametros_manuales!$H$26="Todos",datos_base!$E$12,0))*parametros_manuales!$G$112)*parametros_manuales!$I$26*parametros_manuales!$J$26</f>
        <v>3621.8115370125</v>
      </c>
      <c r="H93" s="14" t="n">
        <f aca="false">(parametros_manuales!$D$26*(datos_base!$E$2+IF(parametros_manuales!$H$26="Todos",datos_base!$E$9,0))*parametros_manuales!$H$97+parametros_manuales!$E$26*(datos_base!$E$3+IF(parametros_manuales!$H$26="Todos",datos_base!$E$10,0))*parametros_manuales!$H$102+parametros_manuales!$F$26*(datos_base!$E$4+IF(parametros_manuales!$H$26="Todos",datos_base!$E$11,0))*parametros_manuales!$H$107+parametros_manuales!$G$26*(datos_base!$E$5+IF(parametros_manuales!$H$26="Todos",datos_base!$E$12,0))*parametros_manuales!$H$112)*parametros_manuales!$I$26*parametros_manuales!$J$26</f>
        <v>3874.986284663</v>
      </c>
      <c r="I93" s="14" t="n">
        <f aca="false">(parametros_manuales!$D$26*(datos_base!$E$2+IF(parametros_manuales!$H$26="Todos",datos_base!$E$9,0))*parametros_manuales!$I$97+parametros_manuales!$E$26*(datos_base!$E$3+IF(parametros_manuales!$H$26="Todos",datos_base!$E$10,0))*parametros_manuales!$I$102+parametros_manuales!$F$26*(datos_base!$E$4+IF(parametros_manuales!$H$26="Todos",datos_base!$E$11,0))*parametros_manuales!$I$107+parametros_manuales!$G$26*(datos_base!$E$5+IF(parametros_manuales!$H$26="Todos",datos_base!$E$12,0))*parametros_manuales!$I$112)*parametros_manuales!$I$26*parametros_manuales!$J$26</f>
        <v>4402.415317898</v>
      </c>
      <c r="J93" s="14" t="n">
        <f aca="false">(parametros_manuales!$D$26*(datos_base!$E$2+IF(parametros_manuales!$H$26="Todos",datos_base!$E$9,0))*parametros_manuales!$J$97+parametros_manuales!$E$26*(datos_base!$E$3+IF(parametros_manuales!$H$26="Todos",datos_base!$E$10,0))*parametros_manuales!$J$102+parametros_manuales!$F$26*(datos_base!$E$4+IF(parametros_manuales!$H$26="Todos",datos_base!$E$11,0))*parametros_manuales!$J$107+parametros_manuales!$G$26*(datos_base!$E$5+IF(parametros_manuales!$H$26="Todos",datos_base!$E$12,0))*parametros_manuales!$J$112)*parametros_manuales!$I$26*parametros_manuales!$J$26</f>
        <v>4402.415317898</v>
      </c>
      <c r="K93" s="14" t="n">
        <f aca="false">(parametros_manuales!$D$26*(datos_base!$E$2+IF(parametros_manuales!$H$26="Todos",datos_base!$E$9,0))*parametros_manuales!$K$97+parametros_manuales!$E$26*(datos_base!$E$3+IF(parametros_manuales!$H$26="Todos",datos_base!$E$10,0))*parametros_manuales!$K$102+parametros_manuales!$F$26*(datos_base!$E$4+IF(parametros_manuales!$H$26="Todos",datos_base!$E$11,0))*parametros_manuales!$K$107+parametros_manuales!$G$26*(datos_base!$E$5+IF(parametros_manuales!$H$26="Todos",datos_base!$E$12,0))*parametros_manuales!$K$112)*parametros_manuales!$I$26*parametros_manuales!$J$26</f>
        <v>4479.7803878035</v>
      </c>
      <c r="L93" s="14" t="n">
        <f aca="false">(parametros_manuales!$D$26*(datos_base!$E$2+IF(parametros_manuales!$H$26="Todos",datos_base!$E$9,0))*parametros_manuales!$L$97+parametros_manuales!$E$26*(datos_base!$E$3+IF(parametros_manuales!$H$26="Todos",datos_base!$E$10,0))*parametros_manuales!$L$102+parametros_manuales!$F$26*(datos_base!$E$4+IF(parametros_manuales!$H$26="Todos",datos_base!$E$11,0))*parametros_manuales!$L$107+parametros_manuales!$G$26*(datos_base!$E$5+IF(parametros_manuales!$H$26="Todos",datos_base!$E$12,0))*parametros_manuales!$L$112)*parametros_manuales!$I$26*parametros_manuales!$J$26</f>
        <v>4557.145457709</v>
      </c>
      <c r="M93" s="14" t="n">
        <f aca="false">(parametros_manuales!$D$26*(datos_base!$E$2+IF(parametros_manuales!$H$26="Todos",datos_base!$E$9,0))*parametros_manuales!$M$97+parametros_manuales!$E$26*(datos_base!$E$3+IF(parametros_manuales!$H$26="Todos",datos_base!$E$10,0))*parametros_manuales!$M$102+parametros_manuales!$F$26*(datos_base!$E$4+IF(parametros_manuales!$H$26="Todos",datos_base!$E$11,0))*parametros_manuales!$M$107+parametros_manuales!$G$26*(datos_base!$E$5+IF(parametros_manuales!$H$26="Todos",datos_base!$E$12,0))*parametros_manuales!$M$112)*parametros_manuales!$I$26*parametros_manuales!$J$26</f>
        <v>4557.145457709</v>
      </c>
      <c r="N93" s="14" t="n">
        <f aca="false">SUM(B93:M93)</f>
        <v>50634.9495301</v>
      </c>
      <c r="O93" s="14" t="n">
        <f aca="false">MAX(B93:M93)</f>
        <v>4557.145457709</v>
      </c>
      <c r="P93" s="57" t="n">
        <f aca="false">O93/(parametros_manuales!$B$7)</f>
        <v>30.38096971806</v>
      </c>
      <c r="Q93" s="13" t="str">
        <f aca="false">IF(O93=0,"-",INDEX($B$85:$M$85,MATCH(O93,B93:M93,0)))</f>
        <v>Ene</v>
      </c>
    </row>
    <row r="94" customFormat="false" ht="14.25" hidden="false" customHeight="true" outlineLevel="0" collapsed="false">
      <c r="A94" s="13" t="str">
        <f aca="false">parametros_manuales!$B$27</f>
        <v>Soldadura longitudinal — 2,5 a 10 kg</v>
      </c>
      <c r="B94" s="14" t="n">
        <f aca="false">(parametros_manuales!$D$27*(datos_base!$E$2+IF(parametros_manuales!$H$27="Todos",datos_base!$E$9,0))*parametros_manuales!$B$97+parametros_manuales!$E$27*(datos_base!$E$3+IF(parametros_manuales!$H$27="Todos",datos_base!$E$10,0))*parametros_manuales!$B$102+parametros_manuales!$F$27*(datos_base!$E$4+IF(parametros_manuales!$H$27="Todos",datos_base!$E$11,0))*parametros_manuales!$B$107+parametros_manuales!$G$27*(datos_base!$E$5+IF(parametros_manuales!$H$27="Todos",datos_base!$E$12,0))*parametros_manuales!$B$112)*parametros_manuales!$I$27*parametros_manuales!$J$27</f>
        <v>1392.571258299</v>
      </c>
      <c r="C94" s="14" t="n">
        <f aca="false">(parametros_manuales!$D$27*(datos_base!$E$2+IF(parametros_manuales!$H$27="Todos",datos_base!$E$9,0))*parametros_manuales!$C$97+parametros_manuales!$E$27*(datos_base!$E$3+IF(parametros_manuales!$H$27="Todos",datos_base!$E$10,0))*parametros_manuales!$C$102+parametros_manuales!$F$27*(datos_base!$E$4+IF(parametros_manuales!$H$27="Todos",datos_base!$E$11,0))*parametros_manuales!$C$107+parametros_manuales!$G$27*(datos_base!$E$5+IF(parametros_manuales!$H$27="Todos",datos_base!$E$12,0))*parametros_manuales!$C$112)*parametros_manuales!$I$27*parametros_manuales!$J$27</f>
        <v>1237.841118488</v>
      </c>
      <c r="D94" s="14" t="n">
        <f aca="false">(parametros_manuales!$D$27*(datos_base!$E$2+IF(parametros_manuales!$H$27="Todos",datos_base!$E$9,0))*parametros_manuales!$D$97+parametros_manuales!$E$27*(datos_base!$E$3+IF(parametros_manuales!$H$27="Todos",datos_base!$E$10,0))*parametros_manuales!$D$102+parametros_manuales!$F$27*(datos_base!$E$4+IF(parametros_manuales!$H$27="Todos",datos_base!$E$11,0))*parametros_manuales!$D$107+parametros_manuales!$G$27*(datos_base!$E$5+IF(parametros_manuales!$H$27="Todos",datos_base!$E$12,0))*parametros_manuales!$D$112)*parametros_manuales!$I$27*parametros_manuales!$J$27</f>
        <v>1315.2061883935</v>
      </c>
      <c r="E94" s="14" t="n">
        <f aca="false">(parametros_manuales!$D$27*(datos_base!$E$2+IF(parametros_manuales!$H$27="Todos",datos_base!$E$9,0))*parametros_manuales!$E$97+parametros_manuales!$E$27*(datos_base!$E$3+IF(parametros_manuales!$H$27="Todos",datos_base!$E$10,0))*parametros_manuales!$E$102+parametros_manuales!$F$27*(datos_base!$E$4+IF(parametros_manuales!$H$27="Todos",datos_base!$E$11,0))*parametros_manuales!$E$107+parametros_manuales!$G$27*(datos_base!$E$5+IF(parametros_manuales!$H$27="Todos",datos_base!$E$12,0))*parametros_manuales!$E$112)*parametros_manuales!$I$27*parametros_manuales!$J$27</f>
        <v>1315.2061883935</v>
      </c>
      <c r="F94" s="14" t="n">
        <f aca="false">(parametros_manuales!$D$27*(datos_base!$E$2+IF(parametros_manuales!$H$27="Todos",datos_base!$E$9,0))*parametros_manuales!$F$97+parametros_manuales!$E$27*(datos_base!$E$3+IF(parametros_manuales!$H$27="Todos",datos_base!$E$10,0))*parametros_manuales!$F$102+parametros_manuales!$F$27*(datos_base!$E$4+IF(parametros_manuales!$H$27="Todos",datos_base!$E$11,0))*parametros_manuales!$F$107+parametros_manuales!$G$27*(datos_base!$E$5+IF(parametros_manuales!$H$27="Todos",datos_base!$E$12,0))*parametros_manuales!$F$112)*parametros_manuales!$I$27*parametros_manuales!$J$27</f>
        <v>1237.841118488</v>
      </c>
      <c r="G94" s="14" t="n">
        <f aca="false">(parametros_manuales!$D$27*(datos_base!$E$2+IF(parametros_manuales!$H$27="Todos",datos_base!$E$9,0))*parametros_manuales!$G$97+parametros_manuales!$E$27*(datos_base!$E$3+IF(parametros_manuales!$H$27="Todos",datos_base!$E$10,0))*parametros_manuales!$G$102+parametros_manuales!$F$27*(datos_base!$E$4+IF(parametros_manuales!$H$27="Todos",datos_base!$E$11,0))*parametros_manuales!$G$107+parametros_manuales!$G$27*(datos_base!$E$5+IF(parametros_manuales!$H$27="Todos",datos_base!$E$12,0))*parametros_manuales!$G$112)*parametros_manuales!$I$27*parametros_manuales!$J$27</f>
        <v>1160.4760485825</v>
      </c>
      <c r="H94" s="14" t="n">
        <f aca="false">(parametros_manuales!$D$27*(datos_base!$E$2+IF(parametros_manuales!$H$27="Todos",datos_base!$E$9,0))*parametros_manuales!$H$97+parametros_manuales!$E$27*(datos_base!$E$3+IF(parametros_manuales!$H$27="Todos",datos_base!$E$10,0))*parametros_manuales!$H$102+parametros_manuales!$F$27*(datos_base!$E$4+IF(parametros_manuales!$H$27="Todos",datos_base!$E$11,0))*parametros_manuales!$H$107+parametros_manuales!$G$27*(datos_base!$E$5+IF(parametros_manuales!$H$27="Todos",datos_base!$E$12,0))*parametros_manuales!$H$112)*parametros_manuales!$I$27*parametros_manuales!$J$27</f>
        <v>1237.841118488</v>
      </c>
      <c r="I94" s="14" t="n">
        <f aca="false">(parametros_manuales!$D$27*(datos_base!$E$2+IF(parametros_manuales!$H$27="Todos",datos_base!$E$9,0))*parametros_manuales!$I$97+parametros_manuales!$E$27*(datos_base!$E$3+IF(parametros_manuales!$H$27="Todos",datos_base!$E$10,0))*parametros_manuales!$I$102+parametros_manuales!$F$27*(datos_base!$E$4+IF(parametros_manuales!$H$27="Todos",datos_base!$E$11,0))*parametros_manuales!$I$107+parametros_manuales!$G$27*(datos_base!$E$5+IF(parametros_manuales!$H$27="Todos",datos_base!$E$12,0))*parametros_manuales!$I$112)*parametros_manuales!$I$27*parametros_manuales!$J$27</f>
        <v>1237.841118488</v>
      </c>
      <c r="J94" s="14" t="n">
        <f aca="false">(parametros_manuales!$D$27*(datos_base!$E$2+IF(parametros_manuales!$H$27="Todos",datos_base!$E$9,0))*parametros_manuales!$J$97+parametros_manuales!$E$27*(datos_base!$E$3+IF(parametros_manuales!$H$27="Todos",datos_base!$E$10,0))*parametros_manuales!$J$102+parametros_manuales!$F$27*(datos_base!$E$4+IF(parametros_manuales!$H$27="Todos",datos_base!$E$11,0))*parametros_manuales!$J$107+parametros_manuales!$G$27*(datos_base!$E$5+IF(parametros_manuales!$H$27="Todos",datos_base!$E$12,0))*parametros_manuales!$J$112)*parametros_manuales!$I$27*parametros_manuales!$J$27</f>
        <v>1237.841118488</v>
      </c>
      <c r="K94" s="14" t="n">
        <f aca="false">(parametros_manuales!$D$27*(datos_base!$E$2+IF(parametros_manuales!$H$27="Todos",datos_base!$E$9,0))*parametros_manuales!$K$97+parametros_manuales!$E$27*(datos_base!$E$3+IF(parametros_manuales!$H$27="Todos",datos_base!$E$10,0))*parametros_manuales!$K$102+parametros_manuales!$F$27*(datos_base!$E$4+IF(parametros_manuales!$H$27="Todos",datos_base!$E$11,0))*parametros_manuales!$K$107+parametros_manuales!$G$27*(datos_base!$E$5+IF(parametros_manuales!$H$27="Todos",datos_base!$E$12,0))*parametros_manuales!$K$112)*parametros_manuales!$I$27*parametros_manuales!$J$27</f>
        <v>1315.2061883935</v>
      </c>
      <c r="L94" s="14" t="n">
        <f aca="false">(parametros_manuales!$D$27*(datos_base!$E$2+IF(parametros_manuales!$H$27="Todos",datos_base!$E$9,0))*parametros_manuales!$L$97+parametros_manuales!$E$27*(datos_base!$E$3+IF(parametros_manuales!$H$27="Todos",datos_base!$E$10,0))*parametros_manuales!$L$102+parametros_manuales!$F$27*(datos_base!$E$4+IF(parametros_manuales!$H$27="Todos",datos_base!$E$11,0))*parametros_manuales!$L$107+parametros_manuales!$G$27*(datos_base!$E$5+IF(parametros_manuales!$H$27="Todos",datos_base!$E$12,0))*parametros_manuales!$L$112)*parametros_manuales!$I$27*parametros_manuales!$J$27</f>
        <v>1392.571258299</v>
      </c>
      <c r="M94" s="14" t="n">
        <f aca="false">(parametros_manuales!$D$27*(datos_base!$E$2+IF(parametros_manuales!$H$27="Todos",datos_base!$E$9,0))*parametros_manuales!$M$97+parametros_manuales!$E$27*(datos_base!$E$3+IF(parametros_manuales!$H$27="Todos",datos_base!$E$10,0))*parametros_manuales!$M$102+parametros_manuales!$F$27*(datos_base!$E$4+IF(parametros_manuales!$H$27="Todos",datos_base!$E$11,0))*parametros_manuales!$M$107+parametros_manuales!$G$27*(datos_base!$E$5+IF(parametros_manuales!$H$27="Todos",datos_base!$E$12,0))*parametros_manuales!$M$112)*parametros_manuales!$I$27*parametros_manuales!$J$27</f>
        <v>1392.571258299</v>
      </c>
      <c r="N94" s="14" t="n">
        <f aca="false">SUM(B94:M94)</f>
        <v>15473.0139811</v>
      </c>
      <c r="O94" s="14" t="n">
        <f aca="false">MAX(B94:M94)</f>
        <v>1392.571258299</v>
      </c>
      <c r="P94" s="57" t="n">
        <f aca="false">O94/(parametros_manuales!$B$7)</f>
        <v>9.28380838866</v>
      </c>
      <c r="Q94" s="13" t="str">
        <f aca="false">IF(O94=0,"-",INDEX($B$85:$M$85,MATCH(O94,B94:M94,0)))</f>
        <v>Ene</v>
      </c>
    </row>
    <row r="95" customFormat="false" ht="14.25" hidden="false" customHeight="true" outlineLevel="0" collapsed="false">
      <c r="A95" s="13" t="str">
        <f aca="false">parametros_manuales!$B$28</f>
        <v>Soldadura longitudinal TIG — 1 kg</v>
      </c>
      <c r="B95" s="14" t="n">
        <f aca="false">(parametros_manuales!$D$28*(datos_base!$E$2+IF(parametros_manuales!$H$28="Todos",datos_base!$E$9,0))*parametros_manuales!$B$97+parametros_manuales!$E$28*(datos_base!$E$3+IF(parametros_manuales!$H$28="Todos",datos_base!$E$10,0))*parametros_manuales!$B$102+parametros_manuales!$F$28*(datos_base!$E$4+IF(parametros_manuales!$H$28="Todos",datos_base!$E$11,0))*parametros_manuales!$B$107+parametros_manuales!$G$28*(datos_base!$E$5+IF(parametros_manuales!$H$28="Todos",datos_base!$E$12,0))*parametros_manuales!$B$112)*parametros_manuales!$I$28*parametros_manuales!$J$28</f>
        <v>3164.57419941</v>
      </c>
      <c r="C95" s="14" t="n">
        <f aca="false">(parametros_manuales!$D$28*(datos_base!$E$2+IF(parametros_manuales!$H$28="Todos",datos_base!$E$9,0))*parametros_manuales!$C$97+parametros_manuales!$E$28*(datos_base!$E$3+IF(parametros_manuales!$H$28="Todos",datos_base!$E$10,0))*parametros_manuales!$C$102+parametros_manuales!$F$28*(datos_base!$E$4+IF(parametros_manuales!$H$28="Todos",datos_base!$E$11,0))*parametros_manuales!$C$107+parametros_manuales!$G$28*(datos_base!$E$5+IF(parametros_manuales!$H$28="Todos",datos_base!$E$12,0))*parametros_manuales!$C$112)*parametros_manuales!$I$28*parametros_manuales!$J$28</f>
        <v>3164.57419941</v>
      </c>
      <c r="D95" s="14" t="n">
        <f aca="false">(parametros_manuales!$D$28*(datos_base!$E$2+IF(parametros_manuales!$H$28="Todos",datos_base!$E$9,0))*parametros_manuales!$D$97+parametros_manuales!$E$28*(datos_base!$E$3+IF(parametros_manuales!$H$28="Todos",datos_base!$E$10,0))*parametros_manuales!$D$102+parametros_manuales!$F$28*(datos_base!$E$4+IF(parametros_manuales!$H$28="Todos",datos_base!$E$11,0))*parametros_manuales!$D$107+parametros_manuales!$G$28*(datos_base!$E$5+IF(parametros_manuales!$H$28="Todos",datos_base!$E$12,0))*parametros_manuales!$D$112)*parametros_manuales!$I$28*parametros_manuales!$J$28</f>
        <v>2812.95484392</v>
      </c>
      <c r="E95" s="14" t="n">
        <f aca="false">(parametros_manuales!$D$28*(datos_base!$E$2+IF(parametros_manuales!$H$28="Todos",datos_base!$E$9,0))*parametros_manuales!$E$97+parametros_manuales!$E$28*(datos_base!$E$3+IF(parametros_manuales!$H$28="Todos",datos_base!$E$10,0))*parametros_manuales!$E$102+parametros_manuales!$F$28*(datos_base!$E$4+IF(parametros_manuales!$H$28="Todos",datos_base!$E$11,0))*parametros_manuales!$E$107+parametros_manuales!$G$28*(datos_base!$E$5+IF(parametros_manuales!$H$28="Todos",datos_base!$E$12,0))*parametros_manuales!$E$112)*parametros_manuales!$I$28*parametros_manuales!$J$28</f>
        <v>2637.145166175</v>
      </c>
      <c r="F95" s="14" t="n">
        <f aca="false">(parametros_manuales!$D$28*(datos_base!$E$2+IF(parametros_manuales!$H$28="Todos",datos_base!$E$9,0))*parametros_manuales!$F$97+parametros_manuales!$E$28*(datos_base!$E$3+IF(parametros_manuales!$H$28="Todos",datos_base!$E$10,0))*parametros_manuales!$F$102+parametros_manuales!$F$28*(datos_base!$E$4+IF(parametros_manuales!$H$28="Todos",datos_base!$E$11,0))*parametros_manuales!$F$107+parametros_manuales!$G$28*(datos_base!$E$5+IF(parametros_manuales!$H$28="Todos",datos_base!$E$12,0))*parametros_manuales!$F$112)*parametros_manuales!$I$28*parametros_manuales!$J$28</f>
        <v>2461.33548843</v>
      </c>
      <c r="G95" s="14" t="n">
        <f aca="false">(parametros_manuales!$D$28*(datos_base!$E$2+IF(parametros_manuales!$H$28="Todos",datos_base!$E$9,0))*parametros_manuales!$G$97+parametros_manuales!$E$28*(datos_base!$E$3+IF(parametros_manuales!$H$28="Todos",datos_base!$E$10,0))*parametros_manuales!$G$102+parametros_manuales!$F$28*(datos_base!$E$4+IF(parametros_manuales!$H$28="Todos",datos_base!$E$11,0))*parametros_manuales!$G$107+parametros_manuales!$G$28*(datos_base!$E$5+IF(parametros_manuales!$H$28="Todos",datos_base!$E$12,0))*parametros_manuales!$G$112)*parametros_manuales!$I$28*parametros_manuales!$J$28</f>
        <v>2461.33548843</v>
      </c>
      <c r="H95" s="14" t="n">
        <f aca="false">(parametros_manuales!$D$28*(datos_base!$E$2+IF(parametros_manuales!$H$28="Todos",datos_base!$E$9,0))*parametros_manuales!$H$97+parametros_manuales!$E$28*(datos_base!$E$3+IF(parametros_manuales!$H$28="Todos",datos_base!$E$10,0))*parametros_manuales!$H$102+parametros_manuales!$F$28*(datos_base!$E$4+IF(parametros_manuales!$H$28="Todos",datos_base!$E$11,0))*parametros_manuales!$H$107+parametros_manuales!$G$28*(datos_base!$E$5+IF(parametros_manuales!$H$28="Todos",datos_base!$E$12,0))*parametros_manuales!$H$112)*parametros_manuales!$I$28*parametros_manuales!$J$28</f>
        <v>2637.145166175</v>
      </c>
      <c r="I95" s="14" t="n">
        <f aca="false">(parametros_manuales!$D$28*(datos_base!$E$2+IF(parametros_manuales!$H$28="Todos",datos_base!$E$9,0))*parametros_manuales!$I$97+parametros_manuales!$E$28*(datos_base!$E$3+IF(parametros_manuales!$H$28="Todos",datos_base!$E$10,0))*parametros_manuales!$I$102+parametros_manuales!$F$28*(datos_base!$E$4+IF(parametros_manuales!$H$28="Todos",datos_base!$E$11,0))*parametros_manuales!$I$107+parametros_manuales!$G$28*(datos_base!$E$5+IF(parametros_manuales!$H$28="Todos",datos_base!$E$12,0))*parametros_manuales!$I$112)*parametros_manuales!$I$28*parametros_manuales!$J$28</f>
        <v>3164.57419941</v>
      </c>
      <c r="J95" s="14" t="n">
        <f aca="false">(parametros_manuales!$D$28*(datos_base!$E$2+IF(parametros_manuales!$H$28="Todos",datos_base!$E$9,0))*parametros_manuales!$J$97+parametros_manuales!$E$28*(datos_base!$E$3+IF(parametros_manuales!$H$28="Todos",datos_base!$E$10,0))*parametros_manuales!$J$102+parametros_manuales!$F$28*(datos_base!$E$4+IF(parametros_manuales!$H$28="Todos",datos_base!$E$11,0))*parametros_manuales!$J$107+parametros_manuales!$G$28*(datos_base!$E$5+IF(parametros_manuales!$H$28="Todos",datos_base!$E$12,0))*parametros_manuales!$J$112)*parametros_manuales!$I$28*parametros_manuales!$J$28</f>
        <v>3164.57419941</v>
      </c>
      <c r="K95" s="14" t="n">
        <f aca="false">(parametros_manuales!$D$28*(datos_base!$E$2+IF(parametros_manuales!$H$28="Todos",datos_base!$E$9,0))*parametros_manuales!$K$97+parametros_manuales!$E$28*(datos_base!$E$3+IF(parametros_manuales!$H$28="Todos",datos_base!$E$10,0))*parametros_manuales!$K$102+parametros_manuales!$F$28*(datos_base!$E$4+IF(parametros_manuales!$H$28="Todos",datos_base!$E$11,0))*parametros_manuales!$K$107+parametros_manuales!$G$28*(datos_base!$E$5+IF(parametros_manuales!$H$28="Todos",datos_base!$E$12,0))*parametros_manuales!$K$112)*parametros_manuales!$I$28*parametros_manuales!$J$28</f>
        <v>3164.57419941</v>
      </c>
      <c r="L95" s="14" t="n">
        <f aca="false">(parametros_manuales!$D$28*(datos_base!$E$2+IF(parametros_manuales!$H$28="Todos",datos_base!$E$9,0))*parametros_manuales!$L$97+parametros_manuales!$E$28*(datos_base!$E$3+IF(parametros_manuales!$H$28="Todos",datos_base!$E$10,0))*parametros_manuales!$L$102+parametros_manuales!$F$28*(datos_base!$E$4+IF(parametros_manuales!$H$28="Todos",datos_base!$E$11,0))*parametros_manuales!$L$107+parametros_manuales!$G$28*(datos_base!$E$5+IF(parametros_manuales!$H$28="Todos",datos_base!$E$12,0))*parametros_manuales!$L$112)*parametros_manuales!$I$28*parametros_manuales!$J$28</f>
        <v>3164.57419941</v>
      </c>
      <c r="M95" s="14" t="n">
        <f aca="false">(parametros_manuales!$D$28*(datos_base!$E$2+IF(parametros_manuales!$H$28="Todos",datos_base!$E$9,0))*parametros_manuales!$M$97+parametros_manuales!$E$28*(datos_base!$E$3+IF(parametros_manuales!$H$28="Todos",datos_base!$E$10,0))*parametros_manuales!$M$102+parametros_manuales!$F$28*(datos_base!$E$4+IF(parametros_manuales!$H$28="Todos",datos_base!$E$11,0))*parametros_manuales!$M$107+parametros_manuales!$G$28*(datos_base!$E$5+IF(parametros_manuales!$H$28="Todos",datos_base!$E$12,0))*parametros_manuales!$M$112)*parametros_manuales!$I$28*parametros_manuales!$J$28</f>
        <v>3164.57419941</v>
      </c>
      <c r="N95" s="14" t="n">
        <f aca="false">SUM(B95:M95)</f>
        <v>35161.935549</v>
      </c>
      <c r="O95" s="14" t="n">
        <f aca="false">MAX(B95:M95)</f>
        <v>3164.57419941</v>
      </c>
      <c r="P95" s="57" t="n">
        <f aca="false">O95/(parametros_manuales!$B$7)</f>
        <v>21.0971613294</v>
      </c>
      <c r="Q95" s="13" t="str">
        <f aca="false">IF(O95=0,"-",INDEX($B$85:$M$85,MATCH(O95,B95:M95,0)))</f>
        <v>Ene</v>
      </c>
    </row>
    <row r="96" customFormat="false" ht="14.25" hidden="false" customHeight="true" outlineLevel="0" collapsed="false">
      <c r="A96" s="13" t="str">
        <f aca="false">parametros_manuales!$B$29</f>
        <v>Encastre de fondo</v>
      </c>
      <c r="B96" s="14" t="n">
        <f aca="false">(parametros_manuales!$D$29*(datos_base!$E$2+IF(parametros_manuales!$H$29="Todos",datos_base!$E$9,0))*parametros_manuales!$B$97+parametros_manuales!$E$29*(datos_base!$E$3+IF(parametros_manuales!$H$29="Todos",datos_base!$E$10,0))*parametros_manuales!$B$102+parametros_manuales!$F$29*(datos_base!$E$4+IF(parametros_manuales!$H$29="Todos",datos_base!$E$11,0))*parametros_manuales!$B$107+parametros_manuales!$G$29*(datos_base!$E$5+IF(parametros_manuales!$H$29="Todos",datos_base!$E$12,0))*parametros_manuales!$B$112)*parametros_manuales!$I$29*parametros_manuales!$J$29</f>
        <v>4557.145457709</v>
      </c>
      <c r="C96" s="14" t="n">
        <f aca="false">(parametros_manuales!$D$29*(datos_base!$E$2+IF(parametros_manuales!$H$29="Todos",datos_base!$E$9,0))*parametros_manuales!$C$97+parametros_manuales!$E$29*(datos_base!$E$3+IF(parametros_manuales!$H$29="Todos",datos_base!$E$10,0))*parametros_manuales!$C$102+parametros_manuales!$F$29*(datos_base!$E$4+IF(parametros_manuales!$H$29="Todos",datos_base!$E$11,0))*parametros_manuales!$C$107+parametros_manuales!$G$29*(datos_base!$E$5+IF(parametros_manuales!$H$29="Todos",datos_base!$E$12,0))*parametros_manuales!$C$112)*parametros_manuales!$I$29*parametros_manuales!$J$29</f>
        <v>4402.415317898</v>
      </c>
      <c r="D96" s="14" t="n">
        <f aca="false">(parametros_manuales!$D$29*(datos_base!$E$2+IF(parametros_manuales!$H$29="Todos",datos_base!$E$9,0))*parametros_manuales!$D$97+parametros_manuales!$E$29*(datos_base!$E$3+IF(parametros_manuales!$H$29="Todos",datos_base!$E$10,0))*parametros_manuales!$D$102+parametros_manuales!$F$29*(datos_base!$E$4+IF(parametros_manuales!$H$29="Todos",datos_base!$E$11,0))*parametros_manuales!$D$107+parametros_manuales!$G$29*(datos_base!$E$5+IF(parametros_manuales!$H$29="Todos",datos_base!$E$12,0))*parametros_manuales!$D$112)*parametros_manuales!$I$29*parametros_manuales!$J$29</f>
        <v>4128.1610323135</v>
      </c>
      <c r="E96" s="14" t="n">
        <f aca="false">(parametros_manuales!$D$29*(datos_base!$E$2+IF(parametros_manuales!$H$29="Todos",datos_base!$E$9,0))*parametros_manuales!$E$97+parametros_manuales!$E$29*(datos_base!$E$3+IF(parametros_manuales!$H$29="Todos",datos_base!$E$10,0))*parametros_manuales!$E$102+parametros_manuales!$F$29*(datos_base!$E$4+IF(parametros_manuales!$H$29="Todos",datos_base!$E$11,0))*parametros_manuales!$E$107+parametros_manuales!$G$29*(datos_base!$E$5+IF(parametros_manuales!$H$29="Todos",datos_base!$E$12,0))*parametros_manuales!$E$112)*parametros_manuales!$I$29*parametros_manuales!$J$29</f>
        <v>3952.3513545685</v>
      </c>
      <c r="F96" s="14" t="n">
        <f aca="false">(parametros_manuales!$D$29*(datos_base!$E$2+IF(parametros_manuales!$H$29="Todos",datos_base!$E$9,0))*parametros_manuales!$F$97+parametros_manuales!$E$29*(datos_base!$E$3+IF(parametros_manuales!$H$29="Todos",datos_base!$E$10,0))*parametros_manuales!$F$102+parametros_manuales!$F$29*(datos_base!$E$4+IF(parametros_manuales!$H$29="Todos",datos_base!$E$11,0))*parametros_manuales!$F$107+parametros_manuales!$G$29*(datos_base!$E$5+IF(parametros_manuales!$H$29="Todos",datos_base!$E$12,0))*parametros_manuales!$F$112)*parametros_manuales!$I$29*parametros_manuales!$J$29</f>
        <v>3699.176606918</v>
      </c>
      <c r="G96" s="14" t="n">
        <f aca="false">(parametros_manuales!$D$29*(datos_base!$E$2+IF(parametros_manuales!$H$29="Todos",datos_base!$E$9,0))*parametros_manuales!$G$97+parametros_manuales!$E$29*(datos_base!$E$3+IF(parametros_manuales!$H$29="Todos",datos_base!$E$10,0))*parametros_manuales!$G$102+parametros_manuales!$F$29*(datos_base!$E$4+IF(parametros_manuales!$H$29="Todos",datos_base!$E$11,0))*parametros_manuales!$G$107+parametros_manuales!$G$29*(datos_base!$E$5+IF(parametros_manuales!$H$29="Todos",datos_base!$E$12,0))*parametros_manuales!$G$112)*parametros_manuales!$I$29*parametros_manuales!$J$29</f>
        <v>3621.8115370125</v>
      </c>
      <c r="H96" s="14" t="n">
        <f aca="false">(parametros_manuales!$D$29*(datos_base!$E$2+IF(parametros_manuales!$H$29="Todos",datos_base!$E$9,0))*parametros_manuales!$H$97+parametros_manuales!$E$29*(datos_base!$E$3+IF(parametros_manuales!$H$29="Todos",datos_base!$E$10,0))*parametros_manuales!$H$102+parametros_manuales!$F$29*(datos_base!$E$4+IF(parametros_manuales!$H$29="Todos",datos_base!$E$11,0))*parametros_manuales!$H$107+parametros_manuales!$G$29*(datos_base!$E$5+IF(parametros_manuales!$H$29="Todos",datos_base!$E$12,0))*parametros_manuales!$H$112)*parametros_manuales!$I$29*parametros_manuales!$J$29</f>
        <v>3874.986284663</v>
      </c>
      <c r="I96" s="14" t="n">
        <f aca="false">(parametros_manuales!$D$29*(datos_base!$E$2+IF(parametros_manuales!$H$29="Todos",datos_base!$E$9,0))*parametros_manuales!$I$97+parametros_manuales!$E$29*(datos_base!$E$3+IF(parametros_manuales!$H$29="Todos",datos_base!$E$10,0))*parametros_manuales!$I$102+parametros_manuales!$F$29*(datos_base!$E$4+IF(parametros_manuales!$H$29="Todos",datos_base!$E$11,0))*parametros_manuales!$I$107+parametros_manuales!$G$29*(datos_base!$E$5+IF(parametros_manuales!$H$29="Todos",datos_base!$E$12,0))*parametros_manuales!$I$112)*parametros_manuales!$I$29*parametros_manuales!$J$29</f>
        <v>4402.415317898</v>
      </c>
      <c r="J96" s="14" t="n">
        <f aca="false">(parametros_manuales!$D$29*(datos_base!$E$2+IF(parametros_manuales!$H$29="Todos",datos_base!$E$9,0))*parametros_manuales!$J$97+parametros_manuales!$E$29*(datos_base!$E$3+IF(parametros_manuales!$H$29="Todos",datos_base!$E$10,0))*parametros_manuales!$J$102+parametros_manuales!$F$29*(datos_base!$E$4+IF(parametros_manuales!$H$29="Todos",datos_base!$E$11,0))*parametros_manuales!$J$107+parametros_manuales!$G$29*(datos_base!$E$5+IF(parametros_manuales!$H$29="Todos",datos_base!$E$12,0))*parametros_manuales!$J$112)*parametros_manuales!$I$29*parametros_manuales!$J$29</f>
        <v>4402.415317898</v>
      </c>
      <c r="K96" s="14" t="n">
        <f aca="false">(parametros_manuales!$D$29*(datos_base!$E$2+IF(parametros_manuales!$H$29="Todos",datos_base!$E$9,0))*parametros_manuales!$K$97+parametros_manuales!$E$29*(datos_base!$E$3+IF(parametros_manuales!$H$29="Todos",datos_base!$E$10,0))*parametros_manuales!$K$102+parametros_manuales!$F$29*(datos_base!$E$4+IF(parametros_manuales!$H$29="Todos",datos_base!$E$11,0))*parametros_manuales!$K$107+parametros_manuales!$G$29*(datos_base!$E$5+IF(parametros_manuales!$H$29="Todos",datos_base!$E$12,0))*parametros_manuales!$K$112)*parametros_manuales!$I$29*parametros_manuales!$J$29</f>
        <v>4479.7803878035</v>
      </c>
      <c r="L96" s="14" t="n">
        <f aca="false">(parametros_manuales!$D$29*(datos_base!$E$2+IF(parametros_manuales!$H$29="Todos",datos_base!$E$9,0))*parametros_manuales!$L$97+parametros_manuales!$E$29*(datos_base!$E$3+IF(parametros_manuales!$H$29="Todos",datos_base!$E$10,0))*parametros_manuales!$L$102+parametros_manuales!$F$29*(datos_base!$E$4+IF(parametros_manuales!$H$29="Todos",datos_base!$E$11,0))*parametros_manuales!$L$107+parametros_manuales!$G$29*(datos_base!$E$5+IF(parametros_manuales!$H$29="Todos",datos_base!$E$12,0))*parametros_manuales!$L$112)*parametros_manuales!$I$29*parametros_manuales!$J$29</f>
        <v>4557.145457709</v>
      </c>
      <c r="M96" s="14" t="n">
        <f aca="false">(parametros_manuales!$D$29*(datos_base!$E$2+IF(parametros_manuales!$H$29="Todos",datos_base!$E$9,0))*parametros_manuales!$M$97+parametros_manuales!$E$29*(datos_base!$E$3+IF(parametros_manuales!$H$29="Todos",datos_base!$E$10,0))*parametros_manuales!$M$102+parametros_manuales!$F$29*(datos_base!$E$4+IF(parametros_manuales!$H$29="Todos",datos_base!$E$11,0))*parametros_manuales!$M$107+parametros_manuales!$G$29*(datos_base!$E$5+IF(parametros_manuales!$H$29="Todos",datos_base!$E$12,0))*parametros_manuales!$M$112)*parametros_manuales!$I$29*parametros_manuales!$J$29</f>
        <v>4557.145457709</v>
      </c>
      <c r="N96" s="14" t="n">
        <f aca="false">SUM(B96:M96)</f>
        <v>50634.9495301</v>
      </c>
      <c r="O96" s="14" t="n">
        <f aca="false">MAX(B96:M96)</f>
        <v>4557.145457709</v>
      </c>
      <c r="P96" s="57" t="n">
        <f aca="false">O96/(parametros_manuales!$B$7)</f>
        <v>30.38096971806</v>
      </c>
      <c r="Q96" s="13" t="str">
        <f aca="false">IF(O96=0,"-",INDEX($B$85:$M$85,MATCH(O96,B96:M96,0)))</f>
        <v>Ene</v>
      </c>
    </row>
    <row r="97" customFormat="false" ht="14.25" hidden="false" customHeight="true" outlineLevel="0" collapsed="false">
      <c r="A97" s="13" t="str">
        <f aca="false">parametros_manuales!$B$30</f>
        <v>Bordoneado</v>
      </c>
      <c r="B97" s="14" t="n">
        <f aca="false">(parametros_manuales!$D$30*(datos_base!$E$2+IF(parametros_manuales!$H$30="Todos",datos_base!$E$9,0))*parametros_manuales!$B$97+parametros_manuales!$E$30*(datos_base!$E$3+IF(parametros_manuales!$H$30="Todos",datos_base!$E$10,0))*parametros_manuales!$B$102+parametros_manuales!$F$30*(datos_base!$E$4+IF(parametros_manuales!$H$30="Todos",datos_base!$E$11,0))*parametros_manuales!$B$107+parametros_manuales!$G$30*(datos_base!$E$5+IF(parametros_manuales!$H$30="Todos",datos_base!$E$12,0))*parametros_manuales!$B$112)*parametros_manuales!$I$30*parametros_manuales!$J$30</f>
        <v>4557.145457709</v>
      </c>
      <c r="C97" s="14" t="n">
        <f aca="false">(parametros_manuales!$D$30*(datos_base!$E$2+IF(parametros_manuales!$H$30="Todos",datos_base!$E$9,0))*parametros_manuales!$C$97+parametros_manuales!$E$30*(datos_base!$E$3+IF(parametros_manuales!$H$30="Todos",datos_base!$E$10,0))*parametros_manuales!$C$102+parametros_manuales!$F$30*(datos_base!$E$4+IF(parametros_manuales!$H$30="Todos",datos_base!$E$11,0))*parametros_manuales!$C$107+parametros_manuales!$G$30*(datos_base!$E$5+IF(parametros_manuales!$H$30="Todos",datos_base!$E$12,0))*parametros_manuales!$C$112)*parametros_manuales!$I$30*parametros_manuales!$J$30</f>
        <v>4402.415317898</v>
      </c>
      <c r="D97" s="14" t="n">
        <f aca="false">(parametros_manuales!$D$30*(datos_base!$E$2+IF(parametros_manuales!$H$30="Todos",datos_base!$E$9,0))*parametros_manuales!$D$97+parametros_manuales!$E$30*(datos_base!$E$3+IF(parametros_manuales!$H$30="Todos",datos_base!$E$10,0))*parametros_manuales!$D$102+parametros_manuales!$F$30*(datos_base!$E$4+IF(parametros_manuales!$H$30="Todos",datos_base!$E$11,0))*parametros_manuales!$D$107+parametros_manuales!$G$30*(datos_base!$E$5+IF(parametros_manuales!$H$30="Todos",datos_base!$E$12,0))*parametros_manuales!$D$112)*parametros_manuales!$I$30*parametros_manuales!$J$30</f>
        <v>4128.1610323135</v>
      </c>
      <c r="E97" s="14" t="n">
        <f aca="false">(parametros_manuales!$D$30*(datos_base!$E$2+IF(parametros_manuales!$H$30="Todos",datos_base!$E$9,0))*parametros_manuales!$E$97+parametros_manuales!$E$30*(datos_base!$E$3+IF(parametros_manuales!$H$30="Todos",datos_base!$E$10,0))*parametros_manuales!$E$102+parametros_manuales!$F$30*(datos_base!$E$4+IF(parametros_manuales!$H$30="Todos",datos_base!$E$11,0))*parametros_manuales!$E$107+parametros_manuales!$G$30*(datos_base!$E$5+IF(parametros_manuales!$H$30="Todos",datos_base!$E$12,0))*parametros_manuales!$E$112)*parametros_manuales!$I$30*parametros_manuales!$J$30</f>
        <v>3952.3513545685</v>
      </c>
      <c r="F97" s="14" t="n">
        <f aca="false">(parametros_manuales!$D$30*(datos_base!$E$2+IF(parametros_manuales!$H$30="Todos",datos_base!$E$9,0))*parametros_manuales!$F$97+parametros_manuales!$E$30*(datos_base!$E$3+IF(parametros_manuales!$H$30="Todos",datos_base!$E$10,0))*parametros_manuales!$F$102+parametros_manuales!$F$30*(datos_base!$E$4+IF(parametros_manuales!$H$30="Todos",datos_base!$E$11,0))*parametros_manuales!$F$107+parametros_manuales!$G$30*(datos_base!$E$5+IF(parametros_manuales!$H$30="Todos",datos_base!$E$12,0))*parametros_manuales!$F$112)*parametros_manuales!$I$30*parametros_manuales!$J$30</f>
        <v>3699.176606918</v>
      </c>
      <c r="G97" s="14" t="n">
        <f aca="false">(parametros_manuales!$D$30*(datos_base!$E$2+IF(parametros_manuales!$H$30="Todos",datos_base!$E$9,0))*parametros_manuales!$G$97+parametros_manuales!$E$30*(datos_base!$E$3+IF(parametros_manuales!$H$30="Todos",datos_base!$E$10,0))*parametros_manuales!$G$102+parametros_manuales!$F$30*(datos_base!$E$4+IF(parametros_manuales!$H$30="Todos",datos_base!$E$11,0))*parametros_manuales!$G$107+parametros_manuales!$G$30*(datos_base!$E$5+IF(parametros_manuales!$H$30="Todos",datos_base!$E$12,0))*parametros_manuales!$G$112)*parametros_manuales!$I$30*parametros_manuales!$J$30</f>
        <v>3621.8115370125</v>
      </c>
      <c r="H97" s="14" t="n">
        <f aca="false">(parametros_manuales!$D$30*(datos_base!$E$2+IF(parametros_manuales!$H$30="Todos",datos_base!$E$9,0))*parametros_manuales!$H$97+parametros_manuales!$E$30*(datos_base!$E$3+IF(parametros_manuales!$H$30="Todos",datos_base!$E$10,0))*parametros_manuales!$H$102+parametros_manuales!$F$30*(datos_base!$E$4+IF(parametros_manuales!$H$30="Todos",datos_base!$E$11,0))*parametros_manuales!$H$107+parametros_manuales!$G$30*(datos_base!$E$5+IF(parametros_manuales!$H$30="Todos",datos_base!$E$12,0))*parametros_manuales!$H$112)*parametros_manuales!$I$30*parametros_manuales!$J$30</f>
        <v>3874.986284663</v>
      </c>
      <c r="I97" s="14" t="n">
        <f aca="false">(parametros_manuales!$D$30*(datos_base!$E$2+IF(parametros_manuales!$H$30="Todos",datos_base!$E$9,0))*parametros_manuales!$I$97+parametros_manuales!$E$30*(datos_base!$E$3+IF(parametros_manuales!$H$30="Todos",datos_base!$E$10,0))*parametros_manuales!$I$102+parametros_manuales!$F$30*(datos_base!$E$4+IF(parametros_manuales!$H$30="Todos",datos_base!$E$11,0))*parametros_manuales!$I$107+parametros_manuales!$G$30*(datos_base!$E$5+IF(parametros_manuales!$H$30="Todos",datos_base!$E$12,0))*parametros_manuales!$I$112)*parametros_manuales!$I$30*parametros_manuales!$J$30</f>
        <v>4402.415317898</v>
      </c>
      <c r="J97" s="14" t="n">
        <f aca="false">(parametros_manuales!$D$30*(datos_base!$E$2+IF(parametros_manuales!$H$30="Todos",datos_base!$E$9,0))*parametros_manuales!$J$97+parametros_manuales!$E$30*(datos_base!$E$3+IF(parametros_manuales!$H$30="Todos",datos_base!$E$10,0))*parametros_manuales!$J$102+parametros_manuales!$F$30*(datos_base!$E$4+IF(parametros_manuales!$H$30="Todos",datos_base!$E$11,0))*parametros_manuales!$J$107+parametros_manuales!$G$30*(datos_base!$E$5+IF(parametros_manuales!$H$30="Todos",datos_base!$E$12,0))*parametros_manuales!$J$112)*parametros_manuales!$I$30*parametros_manuales!$J$30</f>
        <v>4402.415317898</v>
      </c>
      <c r="K97" s="14" t="n">
        <f aca="false">(parametros_manuales!$D$30*(datos_base!$E$2+IF(parametros_manuales!$H$30="Todos",datos_base!$E$9,0))*parametros_manuales!$K$97+parametros_manuales!$E$30*(datos_base!$E$3+IF(parametros_manuales!$H$30="Todos",datos_base!$E$10,0))*parametros_manuales!$K$102+parametros_manuales!$F$30*(datos_base!$E$4+IF(parametros_manuales!$H$30="Todos",datos_base!$E$11,0))*parametros_manuales!$K$107+parametros_manuales!$G$30*(datos_base!$E$5+IF(parametros_manuales!$H$30="Todos",datos_base!$E$12,0))*parametros_manuales!$K$112)*parametros_manuales!$I$30*parametros_manuales!$J$30</f>
        <v>4479.7803878035</v>
      </c>
      <c r="L97" s="14" t="n">
        <f aca="false">(parametros_manuales!$D$30*(datos_base!$E$2+IF(parametros_manuales!$H$30="Todos",datos_base!$E$9,0))*parametros_manuales!$L$97+parametros_manuales!$E$30*(datos_base!$E$3+IF(parametros_manuales!$H$30="Todos",datos_base!$E$10,0))*parametros_manuales!$L$102+parametros_manuales!$F$30*(datos_base!$E$4+IF(parametros_manuales!$H$30="Todos",datos_base!$E$11,0))*parametros_manuales!$L$107+parametros_manuales!$G$30*(datos_base!$E$5+IF(parametros_manuales!$H$30="Todos",datos_base!$E$12,0))*parametros_manuales!$L$112)*parametros_manuales!$I$30*parametros_manuales!$J$30</f>
        <v>4557.145457709</v>
      </c>
      <c r="M97" s="14" t="n">
        <f aca="false">(parametros_manuales!$D$30*(datos_base!$E$2+IF(parametros_manuales!$H$30="Todos",datos_base!$E$9,0))*parametros_manuales!$M$97+parametros_manuales!$E$30*(datos_base!$E$3+IF(parametros_manuales!$H$30="Todos",datos_base!$E$10,0))*parametros_manuales!$M$102+parametros_manuales!$F$30*(datos_base!$E$4+IF(parametros_manuales!$H$30="Todos",datos_base!$E$11,0))*parametros_manuales!$M$107+parametros_manuales!$G$30*(datos_base!$E$5+IF(parametros_manuales!$H$30="Todos",datos_base!$E$12,0))*parametros_manuales!$M$112)*parametros_manuales!$I$30*parametros_manuales!$J$30</f>
        <v>4557.145457709</v>
      </c>
      <c r="N97" s="14" t="n">
        <f aca="false">SUM(B97:M97)</f>
        <v>50634.9495301</v>
      </c>
      <c r="O97" s="14" t="n">
        <f aca="false">MAX(B97:M97)</f>
        <v>4557.145457709</v>
      </c>
      <c r="P97" s="57" t="n">
        <f aca="false">O97/(parametros_manuales!$B$7)</f>
        <v>30.38096971806</v>
      </c>
      <c r="Q97" s="13" t="str">
        <f aca="false">IF(O97=0,"-",INDEX($B$85:$M$85,MATCH(O97,B97:M97,0)))</f>
        <v>Ene</v>
      </c>
    </row>
    <row r="98" customFormat="false" ht="14.25" hidden="false" customHeight="true" outlineLevel="0" collapsed="false">
      <c r="A98" s="13" t="str">
        <f aca="false">parametros_manuales!$B$31</f>
        <v>Soldadura circunferencial de cúpula y fondo</v>
      </c>
      <c r="B98" s="14" t="n">
        <f aca="false">(parametros_manuales!$D$31*(datos_base!$E$2+IF(parametros_manuales!$H$31="Todos",datos_base!$E$9,0))*parametros_manuales!$B$97+parametros_manuales!$E$31*(datos_base!$E$3+IF(parametros_manuales!$H$31="Todos",datos_base!$E$10,0))*parametros_manuales!$B$102+parametros_manuales!$F$31*(datos_base!$E$4+IF(parametros_manuales!$H$31="Todos",datos_base!$E$11,0))*parametros_manuales!$B$107+parametros_manuales!$G$31*(datos_base!$E$5+IF(parametros_manuales!$H$31="Todos",datos_base!$E$12,0))*parametros_manuales!$B$112)*parametros_manuales!$I$31*parametros_manuales!$J$31</f>
        <v>4557.145457709</v>
      </c>
      <c r="C98" s="14" t="n">
        <f aca="false">(parametros_manuales!$D$31*(datos_base!$E$2+IF(parametros_manuales!$H$31="Todos",datos_base!$E$9,0))*parametros_manuales!$C$97+parametros_manuales!$E$31*(datos_base!$E$3+IF(parametros_manuales!$H$31="Todos",datos_base!$E$10,0))*parametros_manuales!$C$102+parametros_manuales!$F$31*(datos_base!$E$4+IF(parametros_manuales!$H$31="Todos",datos_base!$E$11,0))*parametros_manuales!$C$107+parametros_manuales!$G$31*(datos_base!$E$5+IF(parametros_manuales!$H$31="Todos",datos_base!$E$12,0))*parametros_manuales!$C$112)*parametros_manuales!$I$31*parametros_manuales!$J$31</f>
        <v>4402.415317898</v>
      </c>
      <c r="D98" s="14" t="n">
        <f aca="false">(parametros_manuales!$D$31*(datos_base!$E$2+IF(parametros_manuales!$H$31="Todos",datos_base!$E$9,0))*parametros_manuales!$D$97+parametros_manuales!$E$31*(datos_base!$E$3+IF(parametros_manuales!$H$31="Todos",datos_base!$E$10,0))*parametros_manuales!$D$102+parametros_manuales!$F$31*(datos_base!$E$4+IF(parametros_manuales!$H$31="Todos",datos_base!$E$11,0))*parametros_manuales!$D$107+parametros_manuales!$G$31*(datos_base!$E$5+IF(parametros_manuales!$H$31="Todos",datos_base!$E$12,0))*parametros_manuales!$D$112)*parametros_manuales!$I$31*parametros_manuales!$J$31</f>
        <v>4128.1610323135</v>
      </c>
      <c r="E98" s="14" t="n">
        <f aca="false">(parametros_manuales!$D$31*(datos_base!$E$2+IF(parametros_manuales!$H$31="Todos",datos_base!$E$9,0))*parametros_manuales!$E$97+parametros_manuales!$E$31*(datos_base!$E$3+IF(parametros_manuales!$H$31="Todos",datos_base!$E$10,0))*parametros_manuales!$E$102+parametros_manuales!$F$31*(datos_base!$E$4+IF(parametros_manuales!$H$31="Todos",datos_base!$E$11,0))*parametros_manuales!$E$107+parametros_manuales!$G$31*(datos_base!$E$5+IF(parametros_manuales!$H$31="Todos",datos_base!$E$12,0))*parametros_manuales!$E$112)*parametros_manuales!$I$31*parametros_manuales!$J$31</f>
        <v>3952.3513545685</v>
      </c>
      <c r="F98" s="14" t="n">
        <f aca="false">(parametros_manuales!$D$31*(datos_base!$E$2+IF(parametros_manuales!$H$31="Todos",datos_base!$E$9,0))*parametros_manuales!$F$97+parametros_manuales!$E$31*(datos_base!$E$3+IF(parametros_manuales!$H$31="Todos",datos_base!$E$10,0))*parametros_manuales!$F$102+parametros_manuales!$F$31*(datos_base!$E$4+IF(parametros_manuales!$H$31="Todos",datos_base!$E$11,0))*parametros_manuales!$F$107+parametros_manuales!$G$31*(datos_base!$E$5+IF(parametros_manuales!$H$31="Todos",datos_base!$E$12,0))*parametros_manuales!$F$112)*parametros_manuales!$I$31*parametros_manuales!$J$31</f>
        <v>3699.176606918</v>
      </c>
      <c r="G98" s="14" t="n">
        <f aca="false">(parametros_manuales!$D$31*(datos_base!$E$2+IF(parametros_manuales!$H$31="Todos",datos_base!$E$9,0))*parametros_manuales!$G$97+parametros_manuales!$E$31*(datos_base!$E$3+IF(parametros_manuales!$H$31="Todos",datos_base!$E$10,0))*parametros_manuales!$G$102+parametros_manuales!$F$31*(datos_base!$E$4+IF(parametros_manuales!$H$31="Todos",datos_base!$E$11,0))*parametros_manuales!$G$107+parametros_manuales!$G$31*(datos_base!$E$5+IF(parametros_manuales!$H$31="Todos",datos_base!$E$12,0))*parametros_manuales!$G$112)*parametros_manuales!$I$31*parametros_manuales!$J$31</f>
        <v>3621.8115370125</v>
      </c>
      <c r="H98" s="14" t="n">
        <f aca="false">(parametros_manuales!$D$31*(datos_base!$E$2+IF(parametros_manuales!$H$31="Todos",datos_base!$E$9,0))*parametros_manuales!$H$97+parametros_manuales!$E$31*(datos_base!$E$3+IF(parametros_manuales!$H$31="Todos",datos_base!$E$10,0))*parametros_manuales!$H$102+parametros_manuales!$F$31*(datos_base!$E$4+IF(parametros_manuales!$H$31="Todos",datos_base!$E$11,0))*parametros_manuales!$H$107+parametros_manuales!$G$31*(datos_base!$E$5+IF(parametros_manuales!$H$31="Todos",datos_base!$E$12,0))*parametros_manuales!$H$112)*parametros_manuales!$I$31*parametros_manuales!$J$31</f>
        <v>3874.986284663</v>
      </c>
      <c r="I98" s="14" t="n">
        <f aca="false">(parametros_manuales!$D$31*(datos_base!$E$2+IF(parametros_manuales!$H$31="Todos",datos_base!$E$9,0))*parametros_manuales!$I$97+parametros_manuales!$E$31*(datos_base!$E$3+IF(parametros_manuales!$H$31="Todos",datos_base!$E$10,0))*parametros_manuales!$I$102+parametros_manuales!$F$31*(datos_base!$E$4+IF(parametros_manuales!$H$31="Todos",datos_base!$E$11,0))*parametros_manuales!$I$107+parametros_manuales!$G$31*(datos_base!$E$5+IF(parametros_manuales!$H$31="Todos",datos_base!$E$12,0))*parametros_manuales!$I$112)*parametros_manuales!$I$31*parametros_manuales!$J$31</f>
        <v>4402.415317898</v>
      </c>
      <c r="J98" s="14" t="n">
        <f aca="false">(parametros_manuales!$D$31*(datos_base!$E$2+IF(parametros_manuales!$H$31="Todos",datos_base!$E$9,0))*parametros_manuales!$J$97+parametros_manuales!$E$31*(datos_base!$E$3+IF(parametros_manuales!$H$31="Todos",datos_base!$E$10,0))*parametros_manuales!$J$102+parametros_manuales!$F$31*(datos_base!$E$4+IF(parametros_manuales!$H$31="Todos",datos_base!$E$11,0))*parametros_manuales!$J$107+parametros_manuales!$G$31*(datos_base!$E$5+IF(parametros_manuales!$H$31="Todos",datos_base!$E$12,0))*parametros_manuales!$J$112)*parametros_manuales!$I$31*parametros_manuales!$J$31</f>
        <v>4402.415317898</v>
      </c>
      <c r="K98" s="14" t="n">
        <f aca="false">(parametros_manuales!$D$31*(datos_base!$E$2+IF(parametros_manuales!$H$31="Todos",datos_base!$E$9,0))*parametros_manuales!$K$97+parametros_manuales!$E$31*(datos_base!$E$3+IF(parametros_manuales!$H$31="Todos",datos_base!$E$10,0))*parametros_manuales!$K$102+parametros_manuales!$F$31*(datos_base!$E$4+IF(parametros_manuales!$H$31="Todos",datos_base!$E$11,0))*parametros_manuales!$K$107+parametros_manuales!$G$31*(datos_base!$E$5+IF(parametros_manuales!$H$31="Todos",datos_base!$E$12,0))*parametros_manuales!$K$112)*parametros_manuales!$I$31*parametros_manuales!$J$31</f>
        <v>4479.7803878035</v>
      </c>
      <c r="L98" s="14" t="n">
        <f aca="false">(parametros_manuales!$D$31*(datos_base!$E$2+IF(parametros_manuales!$H$31="Todos",datos_base!$E$9,0))*parametros_manuales!$L$97+parametros_manuales!$E$31*(datos_base!$E$3+IF(parametros_manuales!$H$31="Todos",datos_base!$E$10,0))*parametros_manuales!$L$102+parametros_manuales!$F$31*(datos_base!$E$4+IF(parametros_manuales!$H$31="Todos",datos_base!$E$11,0))*parametros_manuales!$L$107+parametros_manuales!$G$31*(datos_base!$E$5+IF(parametros_manuales!$H$31="Todos",datos_base!$E$12,0))*parametros_manuales!$L$112)*parametros_manuales!$I$31*parametros_manuales!$J$31</f>
        <v>4557.145457709</v>
      </c>
      <c r="M98" s="14" t="n">
        <f aca="false">(parametros_manuales!$D$31*(datos_base!$E$2+IF(parametros_manuales!$H$31="Todos",datos_base!$E$9,0))*parametros_manuales!$M$97+parametros_manuales!$E$31*(datos_base!$E$3+IF(parametros_manuales!$H$31="Todos",datos_base!$E$10,0))*parametros_manuales!$M$102+parametros_manuales!$F$31*(datos_base!$E$4+IF(parametros_manuales!$H$31="Todos",datos_base!$E$11,0))*parametros_manuales!$M$107+parametros_manuales!$G$31*(datos_base!$E$5+IF(parametros_manuales!$H$31="Todos",datos_base!$E$12,0))*parametros_manuales!$M$112)*parametros_manuales!$I$31*parametros_manuales!$J$31</f>
        <v>4557.145457709</v>
      </c>
      <c r="N98" s="14" t="n">
        <f aca="false">SUM(B98:M98)</f>
        <v>50634.9495301</v>
      </c>
      <c r="O98" s="14" t="n">
        <f aca="false">MAX(B98:M98)</f>
        <v>4557.145457709</v>
      </c>
      <c r="P98" s="57" t="n">
        <f aca="false">O98/(parametros_manuales!$B$7)</f>
        <v>30.38096971806</v>
      </c>
      <c r="Q98" s="13" t="str">
        <f aca="false">IF(O98=0,"-",INDEX($B$85:$M$85,MATCH(O98,B98:M98,0)))</f>
        <v>Ene</v>
      </c>
    </row>
    <row r="99" customFormat="false" ht="14.25" hidden="false" customHeight="true" outlineLevel="0" collapsed="false">
      <c r="A99" s="13" t="str">
        <f aca="false">parametros_manuales!$B$32</f>
        <v>Control de calidad — Espesor</v>
      </c>
      <c r="B99" s="14" t="n">
        <f aca="false">(parametros_manuales!$D$32*(datos_base!$E$2+IF(parametros_manuales!$H$32="Todos",datos_base!$E$9,0))*parametros_manuales!$B$97+parametros_manuales!$E$32*(datos_base!$E$3+IF(parametros_manuales!$H$32="Todos",datos_base!$E$10,0))*parametros_manuales!$B$102+parametros_manuales!$F$32*(datos_base!$E$4+IF(parametros_manuales!$H$32="Todos",datos_base!$E$11,0))*parametros_manuales!$B$107+parametros_manuales!$G$32*(datos_base!$E$5+IF(parametros_manuales!$H$32="Todos",datos_base!$E$12,0))*parametros_manuales!$B$112)*parametros_manuales!$I$32*parametros_manuales!$J$32</f>
        <v>91.14290915418</v>
      </c>
      <c r="C99" s="14" t="n">
        <f aca="false">(parametros_manuales!$D$32*(datos_base!$E$2+IF(parametros_manuales!$H$32="Todos",datos_base!$E$9,0))*parametros_manuales!$C$97+parametros_manuales!$E$32*(datos_base!$E$3+IF(parametros_manuales!$H$32="Todos",datos_base!$E$10,0))*parametros_manuales!$C$102+parametros_manuales!$F$32*(datos_base!$E$4+IF(parametros_manuales!$H$32="Todos",datos_base!$E$11,0))*parametros_manuales!$C$107+parametros_manuales!$G$32*(datos_base!$E$5+IF(parametros_manuales!$H$32="Todos",datos_base!$E$12,0))*parametros_manuales!$C$112)*parametros_manuales!$I$32*parametros_manuales!$J$32</f>
        <v>88.04830635796</v>
      </c>
      <c r="D99" s="14" t="n">
        <f aca="false">(parametros_manuales!$D$32*(datos_base!$E$2+IF(parametros_manuales!$H$32="Todos",datos_base!$E$9,0))*parametros_manuales!$D$97+parametros_manuales!$E$32*(datos_base!$E$3+IF(parametros_manuales!$H$32="Todos",datos_base!$E$10,0))*parametros_manuales!$D$102+parametros_manuales!$F$32*(datos_base!$E$4+IF(parametros_manuales!$H$32="Todos",datos_base!$E$11,0))*parametros_manuales!$D$107+parametros_manuales!$G$32*(datos_base!$E$5+IF(parametros_manuales!$H$32="Todos",datos_base!$E$12,0))*parametros_manuales!$D$112)*parametros_manuales!$I$32*parametros_manuales!$J$32</f>
        <v>82.56322064627</v>
      </c>
      <c r="E99" s="14" t="n">
        <f aca="false">(parametros_manuales!$D$32*(datos_base!$E$2+IF(parametros_manuales!$H$32="Todos",datos_base!$E$9,0))*parametros_manuales!$E$97+parametros_manuales!$E$32*(datos_base!$E$3+IF(parametros_manuales!$H$32="Todos",datos_base!$E$10,0))*parametros_manuales!$E$102+parametros_manuales!$F$32*(datos_base!$E$4+IF(parametros_manuales!$H$32="Todos",datos_base!$E$11,0))*parametros_manuales!$E$107+parametros_manuales!$G$32*(datos_base!$E$5+IF(parametros_manuales!$H$32="Todos",datos_base!$E$12,0))*parametros_manuales!$E$112)*parametros_manuales!$I$32*parametros_manuales!$J$32</f>
        <v>79.04702709137</v>
      </c>
      <c r="F99" s="14" t="n">
        <f aca="false">(parametros_manuales!$D$32*(datos_base!$E$2+IF(parametros_manuales!$H$32="Todos",datos_base!$E$9,0))*parametros_manuales!$F$97+parametros_manuales!$E$32*(datos_base!$E$3+IF(parametros_manuales!$H$32="Todos",datos_base!$E$10,0))*parametros_manuales!$F$102+parametros_manuales!$F$32*(datos_base!$E$4+IF(parametros_manuales!$H$32="Todos",datos_base!$E$11,0))*parametros_manuales!$F$107+parametros_manuales!$G$32*(datos_base!$E$5+IF(parametros_manuales!$H$32="Todos",datos_base!$E$12,0))*parametros_manuales!$F$112)*parametros_manuales!$I$32*parametros_manuales!$J$32</f>
        <v>73.98353213836</v>
      </c>
      <c r="G99" s="14" t="n">
        <f aca="false">(parametros_manuales!$D$32*(datos_base!$E$2+IF(parametros_manuales!$H$32="Todos",datos_base!$E$9,0))*parametros_manuales!$G$97+parametros_manuales!$E$32*(datos_base!$E$3+IF(parametros_manuales!$H$32="Todos",datos_base!$E$10,0))*parametros_manuales!$G$102+parametros_manuales!$F$32*(datos_base!$E$4+IF(parametros_manuales!$H$32="Todos",datos_base!$E$11,0))*parametros_manuales!$G$107+parametros_manuales!$G$32*(datos_base!$E$5+IF(parametros_manuales!$H$32="Todos",datos_base!$E$12,0))*parametros_manuales!$G$112)*parametros_manuales!$I$32*parametros_manuales!$J$32</f>
        <v>72.43623074025</v>
      </c>
      <c r="H99" s="14" t="n">
        <f aca="false">(parametros_manuales!$D$32*(datos_base!$E$2+IF(parametros_manuales!$H$32="Todos",datos_base!$E$9,0))*parametros_manuales!$H$97+parametros_manuales!$E$32*(datos_base!$E$3+IF(parametros_manuales!$H$32="Todos",datos_base!$E$10,0))*parametros_manuales!$H$102+parametros_manuales!$F$32*(datos_base!$E$4+IF(parametros_manuales!$H$32="Todos",datos_base!$E$11,0))*parametros_manuales!$H$107+parametros_manuales!$G$32*(datos_base!$E$5+IF(parametros_manuales!$H$32="Todos",datos_base!$E$12,0))*parametros_manuales!$H$112)*parametros_manuales!$I$32*parametros_manuales!$J$32</f>
        <v>77.49972569326</v>
      </c>
      <c r="I99" s="14" t="n">
        <f aca="false">(parametros_manuales!$D$32*(datos_base!$E$2+IF(parametros_manuales!$H$32="Todos",datos_base!$E$9,0))*parametros_manuales!$I$97+parametros_manuales!$E$32*(datos_base!$E$3+IF(parametros_manuales!$H$32="Todos",datos_base!$E$10,0))*parametros_manuales!$I$102+parametros_manuales!$F$32*(datos_base!$E$4+IF(parametros_manuales!$H$32="Todos",datos_base!$E$11,0))*parametros_manuales!$I$107+parametros_manuales!$G$32*(datos_base!$E$5+IF(parametros_manuales!$H$32="Todos",datos_base!$E$12,0))*parametros_manuales!$I$112)*parametros_manuales!$I$32*parametros_manuales!$J$32</f>
        <v>88.0483063579599</v>
      </c>
      <c r="J99" s="14" t="n">
        <f aca="false">(parametros_manuales!$D$32*(datos_base!$E$2+IF(parametros_manuales!$H$32="Todos",datos_base!$E$9,0))*parametros_manuales!$J$97+parametros_manuales!$E$32*(datos_base!$E$3+IF(parametros_manuales!$H$32="Todos",datos_base!$E$10,0))*parametros_manuales!$J$102+parametros_manuales!$F$32*(datos_base!$E$4+IF(parametros_manuales!$H$32="Todos",datos_base!$E$11,0))*parametros_manuales!$J$107+parametros_manuales!$G$32*(datos_base!$E$5+IF(parametros_manuales!$H$32="Todos",datos_base!$E$12,0))*parametros_manuales!$J$112)*parametros_manuales!$I$32*parametros_manuales!$J$32</f>
        <v>88.04830635796</v>
      </c>
      <c r="K99" s="14" t="n">
        <f aca="false">(parametros_manuales!$D$32*(datos_base!$E$2+IF(parametros_manuales!$H$32="Todos",datos_base!$E$9,0))*parametros_manuales!$K$97+parametros_manuales!$E$32*(datos_base!$E$3+IF(parametros_manuales!$H$32="Todos",datos_base!$E$10,0))*parametros_manuales!$K$102+parametros_manuales!$F$32*(datos_base!$E$4+IF(parametros_manuales!$H$32="Todos",datos_base!$E$11,0))*parametros_manuales!$K$107+parametros_manuales!$G$32*(datos_base!$E$5+IF(parametros_manuales!$H$32="Todos",datos_base!$E$12,0))*parametros_manuales!$K$112)*parametros_manuales!$I$32*parametros_manuales!$J$32</f>
        <v>89.59560775607</v>
      </c>
      <c r="L99" s="14" t="n">
        <f aca="false">(parametros_manuales!$D$32*(datos_base!$E$2+IF(parametros_manuales!$H$32="Todos",datos_base!$E$9,0))*parametros_manuales!$L$97+parametros_manuales!$E$32*(datos_base!$E$3+IF(parametros_manuales!$H$32="Todos",datos_base!$E$10,0))*parametros_manuales!$L$102+parametros_manuales!$F$32*(datos_base!$E$4+IF(parametros_manuales!$H$32="Todos",datos_base!$E$11,0))*parametros_manuales!$L$107+parametros_manuales!$G$32*(datos_base!$E$5+IF(parametros_manuales!$H$32="Todos",datos_base!$E$12,0))*parametros_manuales!$L$112)*parametros_manuales!$I$32*parametros_manuales!$J$32</f>
        <v>91.14290915418</v>
      </c>
      <c r="M99" s="14" t="n">
        <f aca="false">(parametros_manuales!$D$32*(datos_base!$E$2+IF(parametros_manuales!$H$32="Todos",datos_base!$E$9,0))*parametros_manuales!$M$97+parametros_manuales!$E$32*(datos_base!$E$3+IF(parametros_manuales!$H$32="Todos",datos_base!$E$10,0))*parametros_manuales!$M$102+parametros_manuales!$F$32*(datos_base!$E$4+IF(parametros_manuales!$H$32="Todos",datos_base!$E$11,0))*parametros_manuales!$M$107+parametros_manuales!$G$32*(datos_base!$E$5+IF(parametros_manuales!$H$32="Todos",datos_base!$E$12,0))*parametros_manuales!$M$112)*parametros_manuales!$I$32*parametros_manuales!$J$32</f>
        <v>91.14290915418</v>
      </c>
      <c r="N99" s="14" t="n">
        <f aca="false">SUM(B99:M99)</f>
        <v>1012.698990602</v>
      </c>
      <c r="O99" s="14" t="n">
        <f aca="false">MAX(B99:M99)</f>
        <v>91.14290915418</v>
      </c>
      <c r="P99" s="57" t="n">
        <f aca="false">O99/(parametros_manuales!$B$7)</f>
        <v>0.6076193943612</v>
      </c>
      <c r="Q99" s="13" t="str">
        <f aca="false">IF(O99=0,"-",INDEX($B$85:$M$85,MATCH(O99,B99:M99,0)))</f>
        <v>Ene</v>
      </c>
    </row>
    <row r="100" customFormat="false" ht="14.25" hidden="false" customHeight="true" outlineLevel="0" collapsed="false">
      <c r="A100" s="13" t="str">
        <f aca="false">parametros_manuales!$B$33</f>
        <v>Prueba hidráulica</v>
      </c>
      <c r="B100" s="14" t="n">
        <f aca="false">(parametros_manuales!$D$33*(datos_base!$E$2+IF(parametros_manuales!$H$33="Todos",datos_base!$E$9,0))*parametros_manuales!$B$97+parametros_manuales!$E$33*(datos_base!$E$3+IF(parametros_manuales!$H$33="Todos",datos_base!$E$10,0))*parametros_manuales!$B$102+parametros_manuales!$F$33*(datos_base!$E$4+IF(parametros_manuales!$H$33="Todos",datos_base!$E$11,0))*parametros_manuales!$B$107+parametros_manuales!$G$33*(datos_base!$E$5+IF(parametros_manuales!$H$33="Todos",datos_base!$E$12,0))*parametros_manuales!$B$112)*parametros_manuales!$I$33*parametros_manuales!$J$33</f>
        <v>4557.145457709</v>
      </c>
      <c r="C100" s="14" t="n">
        <f aca="false">(parametros_manuales!$D$33*(datos_base!$E$2+IF(parametros_manuales!$H$33="Todos",datos_base!$E$9,0))*parametros_manuales!$C$97+parametros_manuales!$E$33*(datos_base!$E$3+IF(parametros_manuales!$H$33="Todos",datos_base!$E$10,0))*parametros_manuales!$C$102+parametros_manuales!$F$33*(datos_base!$E$4+IF(parametros_manuales!$H$33="Todos",datos_base!$E$11,0))*parametros_manuales!$C$107+parametros_manuales!$G$33*(datos_base!$E$5+IF(parametros_manuales!$H$33="Todos",datos_base!$E$12,0))*parametros_manuales!$C$112)*parametros_manuales!$I$33*parametros_manuales!$J$33</f>
        <v>4402.415317898</v>
      </c>
      <c r="D100" s="14" t="n">
        <f aca="false">(parametros_manuales!$D$33*(datos_base!$E$2+IF(parametros_manuales!$H$33="Todos",datos_base!$E$9,0))*parametros_manuales!$D$97+parametros_manuales!$E$33*(datos_base!$E$3+IF(parametros_manuales!$H$33="Todos",datos_base!$E$10,0))*parametros_manuales!$D$102+parametros_manuales!$F$33*(datos_base!$E$4+IF(parametros_manuales!$H$33="Todos",datos_base!$E$11,0))*parametros_manuales!$D$107+parametros_manuales!$G$33*(datos_base!$E$5+IF(parametros_manuales!$H$33="Todos",datos_base!$E$12,0))*parametros_manuales!$D$112)*parametros_manuales!$I$33*parametros_manuales!$J$33</f>
        <v>4128.1610323135</v>
      </c>
      <c r="E100" s="14" t="n">
        <f aca="false">(parametros_manuales!$D$33*(datos_base!$E$2+IF(parametros_manuales!$H$33="Todos",datos_base!$E$9,0))*parametros_manuales!$E$97+parametros_manuales!$E$33*(datos_base!$E$3+IF(parametros_manuales!$H$33="Todos",datos_base!$E$10,0))*parametros_manuales!$E$102+parametros_manuales!$F$33*(datos_base!$E$4+IF(parametros_manuales!$H$33="Todos",datos_base!$E$11,0))*parametros_manuales!$E$107+parametros_manuales!$G$33*(datos_base!$E$5+IF(parametros_manuales!$H$33="Todos",datos_base!$E$12,0))*parametros_manuales!$E$112)*parametros_manuales!$I$33*parametros_manuales!$J$33</f>
        <v>3952.3513545685</v>
      </c>
      <c r="F100" s="14" t="n">
        <f aca="false">(parametros_manuales!$D$33*(datos_base!$E$2+IF(parametros_manuales!$H$33="Todos",datos_base!$E$9,0))*parametros_manuales!$F$97+parametros_manuales!$E$33*(datos_base!$E$3+IF(parametros_manuales!$H$33="Todos",datos_base!$E$10,0))*parametros_manuales!$F$102+parametros_manuales!$F$33*(datos_base!$E$4+IF(parametros_manuales!$H$33="Todos",datos_base!$E$11,0))*parametros_manuales!$F$107+parametros_manuales!$G$33*(datos_base!$E$5+IF(parametros_manuales!$H$33="Todos",datos_base!$E$12,0))*parametros_manuales!$F$112)*parametros_manuales!$I$33*parametros_manuales!$J$33</f>
        <v>3699.176606918</v>
      </c>
      <c r="G100" s="14" t="n">
        <f aca="false">(parametros_manuales!$D$33*(datos_base!$E$2+IF(parametros_manuales!$H$33="Todos",datos_base!$E$9,0))*parametros_manuales!$G$97+parametros_manuales!$E$33*(datos_base!$E$3+IF(parametros_manuales!$H$33="Todos",datos_base!$E$10,0))*parametros_manuales!$G$102+parametros_manuales!$F$33*(datos_base!$E$4+IF(parametros_manuales!$H$33="Todos",datos_base!$E$11,0))*parametros_manuales!$G$107+parametros_manuales!$G$33*(datos_base!$E$5+IF(parametros_manuales!$H$33="Todos",datos_base!$E$12,0))*parametros_manuales!$G$112)*parametros_manuales!$I$33*parametros_manuales!$J$33</f>
        <v>3621.8115370125</v>
      </c>
      <c r="H100" s="14" t="n">
        <f aca="false">(parametros_manuales!$D$33*(datos_base!$E$2+IF(parametros_manuales!$H$33="Todos",datos_base!$E$9,0))*parametros_manuales!$H$97+parametros_manuales!$E$33*(datos_base!$E$3+IF(parametros_manuales!$H$33="Todos",datos_base!$E$10,0))*parametros_manuales!$H$102+parametros_manuales!$F$33*(datos_base!$E$4+IF(parametros_manuales!$H$33="Todos",datos_base!$E$11,0))*parametros_manuales!$H$107+parametros_manuales!$G$33*(datos_base!$E$5+IF(parametros_manuales!$H$33="Todos",datos_base!$E$12,0))*parametros_manuales!$H$112)*parametros_manuales!$I$33*parametros_manuales!$J$33</f>
        <v>3874.986284663</v>
      </c>
      <c r="I100" s="14" t="n">
        <f aca="false">(parametros_manuales!$D$33*(datos_base!$E$2+IF(parametros_manuales!$H$33="Todos",datos_base!$E$9,0))*parametros_manuales!$I$97+parametros_manuales!$E$33*(datos_base!$E$3+IF(parametros_manuales!$H$33="Todos",datos_base!$E$10,0))*parametros_manuales!$I$102+parametros_manuales!$F$33*(datos_base!$E$4+IF(parametros_manuales!$H$33="Todos",datos_base!$E$11,0))*parametros_manuales!$I$107+parametros_manuales!$G$33*(datos_base!$E$5+IF(parametros_manuales!$H$33="Todos",datos_base!$E$12,0))*parametros_manuales!$I$112)*parametros_manuales!$I$33*parametros_manuales!$J$33</f>
        <v>4402.415317898</v>
      </c>
      <c r="J100" s="14" t="n">
        <f aca="false">(parametros_manuales!$D$33*(datos_base!$E$2+IF(parametros_manuales!$H$33="Todos",datos_base!$E$9,0))*parametros_manuales!$J$97+parametros_manuales!$E$33*(datos_base!$E$3+IF(parametros_manuales!$H$33="Todos",datos_base!$E$10,0))*parametros_manuales!$J$102+parametros_manuales!$F$33*(datos_base!$E$4+IF(parametros_manuales!$H$33="Todos",datos_base!$E$11,0))*parametros_manuales!$J$107+parametros_manuales!$G$33*(datos_base!$E$5+IF(parametros_manuales!$H$33="Todos",datos_base!$E$12,0))*parametros_manuales!$J$112)*parametros_manuales!$I$33*parametros_manuales!$J$33</f>
        <v>4402.415317898</v>
      </c>
      <c r="K100" s="14" t="n">
        <f aca="false">(parametros_manuales!$D$33*(datos_base!$E$2+IF(parametros_manuales!$H$33="Todos",datos_base!$E$9,0))*parametros_manuales!$K$97+parametros_manuales!$E$33*(datos_base!$E$3+IF(parametros_manuales!$H$33="Todos",datos_base!$E$10,0))*parametros_manuales!$K$102+parametros_manuales!$F$33*(datos_base!$E$4+IF(parametros_manuales!$H$33="Todos",datos_base!$E$11,0))*parametros_manuales!$K$107+parametros_manuales!$G$33*(datos_base!$E$5+IF(parametros_manuales!$H$33="Todos",datos_base!$E$12,0))*parametros_manuales!$K$112)*parametros_manuales!$I$33*parametros_manuales!$J$33</f>
        <v>4479.7803878035</v>
      </c>
      <c r="L100" s="14" t="n">
        <f aca="false">(parametros_manuales!$D$33*(datos_base!$E$2+IF(parametros_manuales!$H$33="Todos",datos_base!$E$9,0))*parametros_manuales!$L$97+parametros_manuales!$E$33*(datos_base!$E$3+IF(parametros_manuales!$H$33="Todos",datos_base!$E$10,0))*parametros_manuales!$L$102+parametros_manuales!$F$33*(datos_base!$E$4+IF(parametros_manuales!$H$33="Todos",datos_base!$E$11,0))*parametros_manuales!$L$107+parametros_manuales!$G$33*(datos_base!$E$5+IF(parametros_manuales!$H$33="Todos",datos_base!$E$12,0))*parametros_manuales!$L$112)*parametros_manuales!$I$33*parametros_manuales!$J$33</f>
        <v>4557.145457709</v>
      </c>
      <c r="M100" s="14" t="n">
        <f aca="false">(parametros_manuales!$D$33*(datos_base!$E$2+IF(parametros_manuales!$H$33="Todos",datos_base!$E$9,0))*parametros_manuales!$M$97+parametros_manuales!$E$33*(datos_base!$E$3+IF(parametros_manuales!$H$33="Todos",datos_base!$E$10,0))*parametros_manuales!$M$102+parametros_manuales!$F$33*(datos_base!$E$4+IF(parametros_manuales!$H$33="Todos",datos_base!$E$11,0))*parametros_manuales!$M$107+parametros_manuales!$G$33*(datos_base!$E$5+IF(parametros_manuales!$H$33="Todos",datos_base!$E$12,0))*parametros_manuales!$M$112)*parametros_manuales!$I$33*parametros_manuales!$J$33</f>
        <v>4557.145457709</v>
      </c>
      <c r="N100" s="14" t="n">
        <f aca="false">SUM(B100:M100)</f>
        <v>50634.9495301</v>
      </c>
      <c r="O100" s="14" t="n">
        <f aca="false">MAX(B100:M100)</f>
        <v>4557.145457709</v>
      </c>
      <c r="P100" s="57" t="n">
        <f aca="false">O100/(parametros_manuales!$B$7)</f>
        <v>30.38096971806</v>
      </c>
      <c r="Q100" s="13" t="str">
        <f aca="false">IF(O100=0,"-",INDEX($B$85:$M$85,MATCH(O100,B100:M100,0)))</f>
        <v>Ene</v>
      </c>
    </row>
    <row r="101" customFormat="false" ht="14.25" hidden="false" customHeight="true" outlineLevel="0" collapsed="false">
      <c r="A101" s="13" t="str">
        <f aca="false">parametros_manuales!$B$34</f>
        <v>Secado</v>
      </c>
      <c r="B101" s="14" t="n">
        <f aca="false">(parametros_manuales!$D$34*(datos_base!$E$2+IF(parametros_manuales!$H$34="Todos",datos_base!$E$9,0))*parametros_manuales!$B$97+parametros_manuales!$E$34*(datos_base!$E$3+IF(parametros_manuales!$H$34="Todos",datos_base!$E$10,0))*parametros_manuales!$B$102+parametros_manuales!$F$34*(datos_base!$E$4+IF(parametros_manuales!$H$34="Todos",datos_base!$E$11,0))*parametros_manuales!$B$107+parametros_manuales!$G$34*(datos_base!$E$5+IF(parametros_manuales!$H$34="Todos",datos_base!$E$12,0))*parametros_manuales!$B$112)*parametros_manuales!$I$34*parametros_manuales!$J$34</f>
        <v>4557.145457709</v>
      </c>
      <c r="C101" s="14" t="n">
        <f aca="false">(parametros_manuales!$D$34*(datos_base!$E$2+IF(parametros_manuales!$H$34="Todos",datos_base!$E$9,0))*parametros_manuales!$C$97+parametros_manuales!$E$34*(datos_base!$E$3+IF(parametros_manuales!$H$34="Todos",datos_base!$E$10,0))*parametros_manuales!$C$102+parametros_manuales!$F$34*(datos_base!$E$4+IF(parametros_manuales!$H$34="Todos",datos_base!$E$11,0))*parametros_manuales!$C$107+parametros_manuales!$G$34*(datos_base!$E$5+IF(parametros_manuales!$H$34="Todos",datos_base!$E$12,0))*parametros_manuales!$C$112)*parametros_manuales!$I$34*parametros_manuales!$J$34</f>
        <v>4402.415317898</v>
      </c>
      <c r="D101" s="14" t="n">
        <f aca="false">(parametros_manuales!$D$34*(datos_base!$E$2+IF(parametros_manuales!$H$34="Todos",datos_base!$E$9,0))*parametros_manuales!$D$97+parametros_manuales!$E$34*(datos_base!$E$3+IF(parametros_manuales!$H$34="Todos",datos_base!$E$10,0))*parametros_manuales!$D$102+parametros_manuales!$F$34*(datos_base!$E$4+IF(parametros_manuales!$H$34="Todos",datos_base!$E$11,0))*parametros_manuales!$D$107+parametros_manuales!$G$34*(datos_base!$E$5+IF(parametros_manuales!$H$34="Todos",datos_base!$E$12,0))*parametros_manuales!$D$112)*parametros_manuales!$I$34*parametros_manuales!$J$34</f>
        <v>4128.1610323135</v>
      </c>
      <c r="E101" s="14" t="n">
        <f aca="false">(parametros_manuales!$D$34*(datos_base!$E$2+IF(parametros_manuales!$H$34="Todos",datos_base!$E$9,0))*parametros_manuales!$E$97+parametros_manuales!$E$34*(datos_base!$E$3+IF(parametros_manuales!$H$34="Todos",datos_base!$E$10,0))*parametros_manuales!$E$102+parametros_manuales!$F$34*(datos_base!$E$4+IF(parametros_manuales!$H$34="Todos",datos_base!$E$11,0))*parametros_manuales!$E$107+parametros_manuales!$G$34*(datos_base!$E$5+IF(parametros_manuales!$H$34="Todos",datos_base!$E$12,0))*parametros_manuales!$E$112)*parametros_manuales!$I$34*parametros_manuales!$J$34</f>
        <v>3952.3513545685</v>
      </c>
      <c r="F101" s="14" t="n">
        <f aca="false">(parametros_manuales!$D$34*(datos_base!$E$2+IF(parametros_manuales!$H$34="Todos",datos_base!$E$9,0))*parametros_manuales!$F$97+parametros_manuales!$E$34*(datos_base!$E$3+IF(parametros_manuales!$H$34="Todos",datos_base!$E$10,0))*parametros_manuales!$F$102+parametros_manuales!$F$34*(datos_base!$E$4+IF(parametros_manuales!$H$34="Todos",datos_base!$E$11,0))*parametros_manuales!$F$107+parametros_manuales!$G$34*(datos_base!$E$5+IF(parametros_manuales!$H$34="Todos",datos_base!$E$12,0))*parametros_manuales!$F$112)*parametros_manuales!$I$34*parametros_manuales!$J$34</f>
        <v>3699.176606918</v>
      </c>
      <c r="G101" s="14" t="n">
        <f aca="false">(parametros_manuales!$D$34*(datos_base!$E$2+IF(parametros_manuales!$H$34="Todos",datos_base!$E$9,0))*parametros_manuales!$G$97+parametros_manuales!$E$34*(datos_base!$E$3+IF(parametros_manuales!$H$34="Todos",datos_base!$E$10,0))*parametros_manuales!$G$102+parametros_manuales!$F$34*(datos_base!$E$4+IF(parametros_manuales!$H$34="Todos",datos_base!$E$11,0))*parametros_manuales!$G$107+parametros_manuales!$G$34*(datos_base!$E$5+IF(parametros_manuales!$H$34="Todos",datos_base!$E$12,0))*parametros_manuales!$G$112)*parametros_manuales!$I$34*parametros_manuales!$J$34</f>
        <v>3621.8115370125</v>
      </c>
      <c r="H101" s="14" t="n">
        <f aca="false">(parametros_manuales!$D$34*(datos_base!$E$2+IF(parametros_manuales!$H$34="Todos",datos_base!$E$9,0))*parametros_manuales!$H$97+parametros_manuales!$E$34*(datos_base!$E$3+IF(parametros_manuales!$H$34="Todos",datos_base!$E$10,0))*parametros_manuales!$H$102+parametros_manuales!$F$34*(datos_base!$E$4+IF(parametros_manuales!$H$34="Todos",datos_base!$E$11,0))*parametros_manuales!$H$107+parametros_manuales!$G$34*(datos_base!$E$5+IF(parametros_manuales!$H$34="Todos",datos_base!$E$12,0))*parametros_manuales!$H$112)*parametros_manuales!$I$34*parametros_manuales!$J$34</f>
        <v>3874.986284663</v>
      </c>
      <c r="I101" s="14" t="n">
        <f aca="false">(parametros_manuales!$D$34*(datos_base!$E$2+IF(parametros_manuales!$H$34="Todos",datos_base!$E$9,0))*parametros_manuales!$I$97+parametros_manuales!$E$34*(datos_base!$E$3+IF(parametros_manuales!$H$34="Todos",datos_base!$E$10,0))*parametros_manuales!$I$102+parametros_manuales!$F$34*(datos_base!$E$4+IF(parametros_manuales!$H$34="Todos",datos_base!$E$11,0))*parametros_manuales!$I$107+parametros_manuales!$G$34*(datos_base!$E$5+IF(parametros_manuales!$H$34="Todos",datos_base!$E$12,0))*parametros_manuales!$I$112)*parametros_manuales!$I$34*parametros_manuales!$J$34</f>
        <v>4402.415317898</v>
      </c>
      <c r="J101" s="14" t="n">
        <f aca="false">(parametros_manuales!$D$34*(datos_base!$E$2+IF(parametros_manuales!$H$34="Todos",datos_base!$E$9,0))*parametros_manuales!$J$97+parametros_manuales!$E$34*(datos_base!$E$3+IF(parametros_manuales!$H$34="Todos",datos_base!$E$10,0))*parametros_manuales!$J$102+parametros_manuales!$F$34*(datos_base!$E$4+IF(parametros_manuales!$H$34="Todos",datos_base!$E$11,0))*parametros_manuales!$J$107+parametros_manuales!$G$34*(datos_base!$E$5+IF(parametros_manuales!$H$34="Todos",datos_base!$E$12,0))*parametros_manuales!$J$112)*parametros_manuales!$I$34*parametros_manuales!$J$34</f>
        <v>4402.415317898</v>
      </c>
      <c r="K101" s="14" t="n">
        <f aca="false">(parametros_manuales!$D$34*(datos_base!$E$2+IF(parametros_manuales!$H$34="Todos",datos_base!$E$9,0))*parametros_manuales!$K$97+parametros_manuales!$E$34*(datos_base!$E$3+IF(parametros_manuales!$H$34="Todos",datos_base!$E$10,0))*parametros_manuales!$K$102+parametros_manuales!$F$34*(datos_base!$E$4+IF(parametros_manuales!$H$34="Todos",datos_base!$E$11,0))*parametros_manuales!$K$107+parametros_manuales!$G$34*(datos_base!$E$5+IF(parametros_manuales!$H$34="Todos",datos_base!$E$12,0))*parametros_manuales!$K$112)*parametros_manuales!$I$34*parametros_manuales!$J$34</f>
        <v>4479.7803878035</v>
      </c>
      <c r="L101" s="14" t="n">
        <f aca="false">(parametros_manuales!$D$34*(datos_base!$E$2+IF(parametros_manuales!$H$34="Todos",datos_base!$E$9,0))*parametros_manuales!$L$97+parametros_manuales!$E$34*(datos_base!$E$3+IF(parametros_manuales!$H$34="Todos",datos_base!$E$10,0))*parametros_manuales!$L$102+parametros_manuales!$F$34*(datos_base!$E$4+IF(parametros_manuales!$H$34="Todos",datos_base!$E$11,0))*parametros_manuales!$L$107+parametros_manuales!$G$34*(datos_base!$E$5+IF(parametros_manuales!$H$34="Todos",datos_base!$E$12,0))*parametros_manuales!$L$112)*parametros_manuales!$I$34*parametros_manuales!$J$34</f>
        <v>4557.145457709</v>
      </c>
      <c r="M101" s="14" t="n">
        <f aca="false">(parametros_manuales!$D$34*(datos_base!$E$2+IF(parametros_manuales!$H$34="Todos",datos_base!$E$9,0))*parametros_manuales!$M$97+parametros_manuales!$E$34*(datos_base!$E$3+IF(parametros_manuales!$H$34="Todos",datos_base!$E$10,0))*parametros_manuales!$M$102+parametros_manuales!$F$34*(datos_base!$E$4+IF(parametros_manuales!$H$34="Todos",datos_base!$E$11,0))*parametros_manuales!$M$107+parametros_manuales!$G$34*(datos_base!$E$5+IF(parametros_manuales!$H$34="Todos",datos_base!$E$12,0))*parametros_manuales!$M$112)*parametros_manuales!$I$34*parametros_manuales!$J$34</f>
        <v>4557.145457709</v>
      </c>
      <c r="N101" s="14" t="n">
        <f aca="false">SUM(B101:M101)</f>
        <v>50634.9495301</v>
      </c>
      <c r="O101" s="14" t="n">
        <f aca="false">MAX(B101:M101)</f>
        <v>4557.145457709</v>
      </c>
      <c r="P101" s="57" t="n">
        <f aca="false">O101/(parametros_manuales!$B$7)</f>
        <v>30.38096971806</v>
      </c>
      <c r="Q101" s="13" t="str">
        <f aca="false">IF(O101=0,"-",INDEX($B$85:$M$85,MATCH(O101,B101:M101,0)))</f>
        <v>Ene</v>
      </c>
    </row>
    <row r="102" customFormat="false" ht="14.25" hidden="false" customHeight="true" outlineLevel="0" collapsed="false">
      <c r="A102" s="13" t="str">
        <f aca="false">parametros_manuales!$B$35</f>
        <v>Granallado</v>
      </c>
      <c r="B102" s="14" t="n">
        <f aca="false">(parametros_manuales!$D$35*(datos_base!$E$2+IF(parametros_manuales!$H$35="Todos",datos_base!$E$9,0))*parametros_manuales!$B$97+parametros_manuales!$E$35*(datos_base!$E$3+IF(parametros_manuales!$H$35="Todos",datos_base!$E$10,0))*parametros_manuales!$B$102+parametros_manuales!$F$35*(datos_base!$E$4+IF(parametros_manuales!$H$35="Todos",datos_base!$E$11,0))*parametros_manuales!$B$107+parametros_manuales!$G$35*(datos_base!$E$5+IF(parametros_manuales!$H$35="Todos",datos_base!$E$12,0))*parametros_manuales!$B$112)*parametros_manuales!$I$35*parametros_manuales!$J$35</f>
        <v>4557.145457709</v>
      </c>
      <c r="C102" s="14" t="n">
        <f aca="false">(parametros_manuales!$D$35*(datos_base!$E$2+IF(parametros_manuales!$H$35="Todos",datos_base!$E$9,0))*parametros_manuales!$C$97+parametros_manuales!$E$35*(datos_base!$E$3+IF(parametros_manuales!$H$35="Todos",datos_base!$E$10,0))*parametros_manuales!$C$102+parametros_manuales!$F$35*(datos_base!$E$4+IF(parametros_manuales!$H$35="Todos",datos_base!$E$11,0))*parametros_manuales!$C$107+parametros_manuales!$G$35*(datos_base!$E$5+IF(parametros_manuales!$H$35="Todos",datos_base!$E$12,0))*parametros_manuales!$C$112)*parametros_manuales!$I$35*parametros_manuales!$J$35</f>
        <v>4402.415317898</v>
      </c>
      <c r="D102" s="14" t="n">
        <f aca="false">(parametros_manuales!$D$35*(datos_base!$E$2+IF(parametros_manuales!$H$35="Todos",datos_base!$E$9,0))*parametros_manuales!$D$97+parametros_manuales!$E$35*(datos_base!$E$3+IF(parametros_manuales!$H$35="Todos",datos_base!$E$10,0))*parametros_manuales!$D$102+parametros_manuales!$F$35*(datos_base!$E$4+IF(parametros_manuales!$H$35="Todos",datos_base!$E$11,0))*parametros_manuales!$D$107+parametros_manuales!$G$35*(datos_base!$E$5+IF(parametros_manuales!$H$35="Todos",datos_base!$E$12,0))*parametros_manuales!$D$112)*parametros_manuales!$I$35*parametros_manuales!$J$35</f>
        <v>4128.1610323135</v>
      </c>
      <c r="E102" s="14" t="n">
        <f aca="false">(parametros_manuales!$D$35*(datos_base!$E$2+IF(parametros_manuales!$H$35="Todos",datos_base!$E$9,0))*parametros_manuales!$E$97+parametros_manuales!$E$35*(datos_base!$E$3+IF(parametros_manuales!$H$35="Todos",datos_base!$E$10,0))*parametros_manuales!$E$102+parametros_manuales!$F$35*(datos_base!$E$4+IF(parametros_manuales!$H$35="Todos",datos_base!$E$11,0))*parametros_manuales!$E$107+parametros_manuales!$G$35*(datos_base!$E$5+IF(parametros_manuales!$H$35="Todos",datos_base!$E$12,0))*parametros_manuales!$E$112)*parametros_manuales!$I$35*parametros_manuales!$J$35</f>
        <v>3952.3513545685</v>
      </c>
      <c r="F102" s="14" t="n">
        <f aca="false">(parametros_manuales!$D$35*(datos_base!$E$2+IF(parametros_manuales!$H$35="Todos",datos_base!$E$9,0))*parametros_manuales!$F$97+parametros_manuales!$E$35*(datos_base!$E$3+IF(parametros_manuales!$H$35="Todos",datos_base!$E$10,0))*parametros_manuales!$F$102+parametros_manuales!$F$35*(datos_base!$E$4+IF(parametros_manuales!$H$35="Todos",datos_base!$E$11,0))*parametros_manuales!$F$107+parametros_manuales!$G$35*(datos_base!$E$5+IF(parametros_manuales!$H$35="Todos",datos_base!$E$12,0))*parametros_manuales!$F$112)*parametros_manuales!$I$35*parametros_manuales!$J$35</f>
        <v>3699.176606918</v>
      </c>
      <c r="G102" s="14" t="n">
        <f aca="false">(parametros_manuales!$D$35*(datos_base!$E$2+IF(parametros_manuales!$H$35="Todos",datos_base!$E$9,0))*parametros_manuales!$G$97+parametros_manuales!$E$35*(datos_base!$E$3+IF(parametros_manuales!$H$35="Todos",datos_base!$E$10,0))*parametros_manuales!$G$102+parametros_manuales!$F$35*(datos_base!$E$4+IF(parametros_manuales!$H$35="Todos",datos_base!$E$11,0))*parametros_manuales!$G$107+parametros_manuales!$G$35*(datos_base!$E$5+IF(parametros_manuales!$H$35="Todos",datos_base!$E$12,0))*parametros_manuales!$G$112)*parametros_manuales!$I$35*parametros_manuales!$J$35</f>
        <v>3621.8115370125</v>
      </c>
      <c r="H102" s="14" t="n">
        <f aca="false">(parametros_manuales!$D$35*(datos_base!$E$2+IF(parametros_manuales!$H$35="Todos",datos_base!$E$9,0))*parametros_manuales!$H$97+parametros_manuales!$E$35*(datos_base!$E$3+IF(parametros_manuales!$H$35="Todos",datos_base!$E$10,0))*parametros_manuales!$H$102+parametros_manuales!$F$35*(datos_base!$E$4+IF(parametros_manuales!$H$35="Todos",datos_base!$E$11,0))*parametros_manuales!$H$107+parametros_manuales!$G$35*(datos_base!$E$5+IF(parametros_manuales!$H$35="Todos",datos_base!$E$12,0))*parametros_manuales!$H$112)*parametros_manuales!$I$35*parametros_manuales!$J$35</f>
        <v>3874.986284663</v>
      </c>
      <c r="I102" s="14" t="n">
        <f aca="false">(parametros_manuales!$D$35*(datos_base!$E$2+IF(parametros_manuales!$H$35="Todos",datos_base!$E$9,0))*parametros_manuales!$I$97+parametros_manuales!$E$35*(datos_base!$E$3+IF(parametros_manuales!$H$35="Todos",datos_base!$E$10,0))*parametros_manuales!$I$102+parametros_manuales!$F$35*(datos_base!$E$4+IF(parametros_manuales!$H$35="Todos",datos_base!$E$11,0))*parametros_manuales!$I$107+parametros_manuales!$G$35*(datos_base!$E$5+IF(parametros_manuales!$H$35="Todos",datos_base!$E$12,0))*parametros_manuales!$I$112)*parametros_manuales!$I$35*parametros_manuales!$J$35</f>
        <v>4402.415317898</v>
      </c>
      <c r="J102" s="14" t="n">
        <f aca="false">(parametros_manuales!$D$35*(datos_base!$E$2+IF(parametros_manuales!$H$35="Todos",datos_base!$E$9,0))*parametros_manuales!$J$97+parametros_manuales!$E$35*(datos_base!$E$3+IF(parametros_manuales!$H$35="Todos",datos_base!$E$10,0))*parametros_manuales!$J$102+parametros_manuales!$F$35*(datos_base!$E$4+IF(parametros_manuales!$H$35="Todos",datos_base!$E$11,0))*parametros_manuales!$J$107+parametros_manuales!$G$35*(datos_base!$E$5+IF(parametros_manuales!$H$35="Todos",datos_base!$E$12,0))*parametros_manuales!$J$112)*parametros_manuales!$I$35*parametros_manuales!$J$35</f>
        <v>4402.415317898</v>
      </c>
      <c r="K102" s="14" t="n">
        <f aca="false">(parametros_manuales!$D$35*(datos_base!$E$2+IF(parametros_manuales!$H$35="Todos",datos_base!$E$9,0))*parametros_manuales!$K$97+parametros_manuales!$E$35*(datos_base!$E$3+IF(parametros_manuales!$H$35="Todos",datos_base!$E$10,0))*parametros_manuales!$K$102+parametros_manuales!$F$35*(datos_base!$E$4+IF(parametros_manuales!$H$35="Todos",datos_base!$E$11,0))*parametros_manuales!$K$107+parametros_manuales!$G$35*(datos_base!$E$5+IF(parametros_manuales!$H$35="Todos",datos_base!$E$12,0))*parametros_manuales!$K$112)*parametros_manuales!$I$35*parametros_manuales!$J$35</f>
        <v>4479.7803878035</v>
      </c>
      <c r="L102" s="14" t="n">
        <f aca="false">(parametros_manuales!$D$35*(datos_base!$E$2+IF(parametros_manuales!$H$35="Todos",datos_base!$E$9,0))*parametros_manuales!$L$97+parametros_manuales!$E$35*(datos_base!$E$3+IF(parametros_manuales!$H$35="Todos",datos_base!$E$10,0))*parametros_manuales!$L$102+parametros_manuales!$F$35*(datos_base!$E$4+IF(parametros_manuales!$H$35="Todos",datos_base!$E$11,0))*parametros_manuales!$L$107+parametros_manuales!$G$35*(datos_base!$E$5+IF(parametros_manuales!$H$35="Todos",datos_base!$E$12,0))*parametros_manuales!$L$112)*parametros_manuales!$I$35*parametros_manuales!$J$35</f>
        <v>4557.145457709</v>
      </c>
      <c r="M102" s="14" t="n">
        <f aca="false">(parametros_manuales!$D$35*(datos_base!$E$2+IF(parametros_manuales!$H$35="Todos",datos_base!$E$9,0))*parametros_manuales!$M$97+parametros_manuales!$E$35*(datos_base!$E$3+IF(parametros_manuales!$H$35="Todos",datos_base!$E$10,0))*parametros_manuales!$M$102+parametros_manuales!$F$35*(datos_base!$E$4+IF(parametros_manuales!$H$35="Todos",datos_base!$E$11,0))*parametros_manuales!$M$107+parametros_manuales!$G$35*(datos_base!$E$5+IF(parametros_manuales!$H$35="Todos",datos_base!$E$12,0))*parametros_manuales!$M$112)*parametros_manuales!$I$35*parametros_manuales!$J$35</f>
        <v>4557.145457709</v>
      </c>
      <c r="N102" s="14" t="n">
        <f aca="false">SUM(B102:M102)</f>
        <v>50634.9495301</v>
      </c>
      <c r="O102" s="14" t="n">
        <f aca="false">MAX(B102:M102)</f>
        <v>4557.145457709</v>
      </c>
      <c r="P102" s="57" t="n">
        <f aca="false">O102/(parametros_manuales!$B$7)</f>
        <v>30.38096971806</v>
      </c>
      <c r="Q102" s="13" t="str">
        <f aca="false">IF(O102=0,"-",INDEX($B$85:$M$85,MATCH(O102,B102:M102,0)))</f>
        <v>Ene</v>
      </c>
    </row>
    <row r="103" customFormat="false" ht="14.25" hidden="false" customHeight="true" outlineLevel="0" collapsed="false">
      <c r="A103" s="13" t="str">
        <f aca="false">parametros_manuales!$B$36</f>
        <v>Detección de defectos</v>
      </c>
      <c r="B103" s="14" t="n">
        <f aca="false">(parametros_manuales!$D$36*(datos_base!$E$2+IF(parametros_manuales!$H$36="Todos",datos_base!$E$9,0))*parametros_manuales!$B$97+parametros_manuales!$E$36*(datos_base!$E$3+IF(parametros_manuales!$H$36="Todos",datos_base!$E$10,0))*parametros_manuales!$B$102+parametros_manuales!$F$36*(datos_base!$E$4+IF(parametros_manuales!$H$36="Todos",datos_base!$E$11,0))*parametros_manuales!$B$107+parametros_manuales!$G$36*(datos_base!$E$5+IF(parametros_manuales!$H$36="Todos",datos_base!$E$12,0))*parametros_manuales!$B$112)*parametros_manuales!$I$36*parametros_manuales!$J$36</f>
        <v>4557.145457709</v>
      </c>
      <c r="C103" s="14" t="n">
        <f aca="false">(parametros_manuales!$D$36*(datos_base!$E$2+IF(parametros_manuales!$H$36="Todos",datos_base!$E$9,0))*parametros_manuales!$C$97+parametros_manuales!$E$36*(datos_base!$E$3+IF(parametros_manuales!$H$36="Todos",datos_base!$E$10,0))*parametros_manuales!$C$102+parametros_manuales!$F$36*(datos_base!$E$4+IF(parametros_manuales!$H$36="Todos",datos_base!$E$11,0))*parametros_manuales!$C$107+parametros_manuales!$G$36*(datos_base!$E$5+IF(parametros_manuales!$H$36="Todos",datos_base!$E$12,0))*parametros_manuales!$C$112)*parametros_manuales!$I$36*parametros_manuales!$J$36</f>
        <v>4402.415317898</v>
      </c>
      <c r="D103" s="14" t="n">
        <f aca="false">(parametros_manuales!$D$36*(datos_base!$E$2+IF(parametros_manuales!$H$36="Todos",datos_base!$E$9,0))*parametros_manuales!$D$97+parametros_manuales!$E$36*(datos_base!$E$3+IF(parametros_manuales!$H$36="Todos",datos_base!$E$10,0))*parametros_manuales!$D$102+parametros_manuales!$F$36*(datos_base!$E$4+IF(parametros_manuales!$H$36="Todos",datos_base!$E$11,0))*parametros_manuales!$D$107+parametros_manuales!$G$36*(datos_base!$E$5+IF(parametros_manuales!$H$36="Todos",datos_base!$E$12,0))*parametros_manuales!$D$112)*parametros_manuales!$I$36*parametros_manuales!$J$36</f>
        <v>4128.1610323135</v>
      </c>
      <c r="E103" s="14" t="n">
        <f aca="false">(parametros_manuales!$D$36*(datos_base!$E$2+IF(parametros_manuales!$H$36="Todos",datos_base!$E$9,0))*parametros_manuales!$E$97+parametros_manuales!$E$36*(datos_base!$E$3+IF(parametros_manuales!$H$36="Todos",datos_base!$E$10,0))*parametros_manuales!$E$102+parametros_manuales!$F$36*(datos_base!$E$4+IF(parametros_manuales!$H$36="Todos",datos_base!$E$11,0))*parametros_manuales!$E$107+parametros_manuales!$G$36*(datos_base!$E$5+IF(parametros_manuales!$H$36="Todos",datos_base!$E$12,0))*parametros_manuales!$E$112)*parametros_manuales!$I$36*parametros_manuales!$J$36</f>
        <v>3952.3513545685</v>
      </c>
      <c r="F103" s="14" t="n">
        <f aca="false">(parametros_manuales!$D$36*(datos_base!$E$2+IF(parametros_manuales!$H$36="Todos",datos_base!$E$9,0))*parametros_manuales!$F$97+parametros_manuales!$E$36*(datos_base!$E$3+IF(parametros_manuales!$H$36="Todos",datos_base!$E$10,0))*parametros_manuales!$F$102+parametros_manuales!$F$36*(datos_base!$E$4+IF(parametros_manuales!$H$36="Todos",datos_base!$E$11,0))*parametros_manuales!$F$107+parametros_manuales!$G$36*(datos_base!$E$5+IF(parametros_manuales!$H$36="Todos",datos_base!$E$12,0))*parametros_manuales!$F$112)*parametros_manuales!$I$36*parametros_manuales!$J$36</f>
        <v>3699.176606918</v>
      </c>
      <c r="G103" s="14" t="n">
        <f aca="false">(parametros_manuales!$D$36*(datos_base!$E$2+IF(parametros_manuales!$H$36="Todos",datos_base!$E$9,0))*parametros_manuales!$G$97+parametros_manuales!$E$36*(datos_base!$E$3+IF(parametros_manuales!$H$36="Todos",datos_base!$E$10,0))*parametros_manuales!$G$102+parametros_manuales!$F$36*(datos_base!$E$4+IF(parametros_manuales!$H$36="Todos",datos_base!$E$11,0))*parametros_manuales!$G$107+parametros_manuales!$G$36*(datos_base!$E$5+IF(parametros_manuales!$H$36="Todos",datos_base!$E$12,0))*parametros_manuales!$G$112)*parametros_manuales!$I$36*parametros_manuales!$J$36</f>
        <v>3621.8115370125</v>
      </c>
      <c r="H103" s="14" t="n">
        <f aca="false">(parametros_manuales!$D$36*(datos_base!$E$2+IF(parametros_manuales!$H$36="Todos",datos_base!$E$9,0))*parametros_manuales!$H$97+parametros_manuales!$E$36*(datos_base!$E$3+IF(parametros_manuales!$H$36="Todos",datos_base!$E$10,0))*parametros_manuales!$H$102+parametros_manuales!$F$36*(datos_base!$E$4+IF(parametros_manuales!$H$36="Todos",datos_base!$E$11,0))*parametros_manuales!$H$107+parametros_manuales!$G$36*(datos_base!$E$5+IF(parametros_manuales!$H$36="Todos",datos_base!$E$12,0))*parametros_manuales!$H$112)*parametros_manuales!$I$36*parametros_manuales!$J$36</f>
        <v>3874.986284663</v>
      </c>
      <c r="I103" s="14" t="n">
        <f aca="false">(parametros_manuales!$D$36*(datos_base!$E$2+IF(parametros_manuales!$H$36="Todos",datos_base!$E$9,0))*parametros_manuales!$I$97+parametros_manuales!$E$36*(datos_base!$E$3+IF(parametros_manuales!$H$36="Todos",datos_base!$E$10,0))*parametros_manuales!$I$102+parametros_manuales!$F$36*(datos_base!$E$4+IF(parametros_manuales!$H$36="Todos",datos_base!$E$11,0))*parametros_manuales!$I$107+parametros_manuales!$G$36*(datos_base!$E$5+IF(parametros_manuales!$H$36="Todos",datos_base!$E$12,0))*parametros_manuales!$I$112)*parametros_manuales!$I$36*parametros_manuales!$J$36</f>
        <v>4402.415317898</v>
      </c>
      <c r="J103" s="14" t="n">
        <f aca="false">(parametros_manuales!$D$36*(datos_base!$E$2+IF(parametros_manuales!$H$36="Todos",datos_base!$E$9,0))*parametros_manuales!$J$97+parametros_manuales!$E$36*(datos_base!$E$3+IF(parametros_manuales!$H$36="Todos",datos_base!$E$10,0))*parametros_manuales!$J$102+parametros_manuales!$F$36*(datos_base!$E$4+IF(parametros_manuales!$H$36="Todos",datos_base!$E$11,0))*parametros_manuales!$J$107+parametros_manuales!$G$36*(datos_base!$E$5+IF(parametros_manuales!$H$36="Todos",datos_base!$E$12,0))*parametros_manuales!$J$112)*parametros_manuales!$I$36*parametros_manuales!$J$36</f>
        <v>4402.415317898</v>
      </c>
      <c r="K103" s="14" t="n">
        <f aca="false">(parametros_manuales!$D$36*(datos_base!$E$2+IF(parametros_manuales!$H$36="Todos",datos_base!$E$9,0))*parametros_manuales!$K$97+parametros_manuales!$E$36*(datos_base!$E$3+IF(parametros_manuales!$H$36="Todos",datos_base!$E$10,0))*parametros_manuales!$K$102+parametros_manuales!$F$36*(datos_base!$E$4+IF(parametros_manuales!$H$36="Todos",datos_base!$E$11,0))*parametros_manuales!$K$107+parametros_manuales!$G$36*(datos_base!$E$5+IF(parametros_manuales!$H$36="Todos",datos_base!$E$12,0))*parametros_manuales!$K$112)*parametros_manuales!$I$36*parametros_manuales!$J$36</f>
        <v>4479.7803878035</v>
      </c>
      <c r="L103" s="14" t="n">
        <f aca="false">(parametros_manuales!$D$36*(datos_base!$E$2+IF(parametros_manuales!$H$36="Todos",datos_base!$E$9,0))*parametros_manuales!$L$97+parametros_manuales!$E$36*(datos_base!$E$3+IF(parametros_manuales!$H$36="Todos",datos_base!$E$10,0))*parametros_manuales!$L$102+parametros_manuales!$F$36*(datos_base!$E$4+IF(parametros_manuales!$H$36="Todos",datos_base!$E$11,0))*parametros_manuales!$L$107+parametros_manuales!$G$36*(datos_base!$E$5+IF(parametros_manuales!$H$36="Todos",datos_base!$E$12,0))*parametros_manuales!$L$112)*parametros_manuales!$I$36*parametros_manuales!$J$36</f>
        <v>4557.145457709</v>
      </c>
      <c r="M103" s="14" t="n">
        <f aca="false">(parametros_manuales!$D$36*(datos_base!$E$2+IF(parametros_manuales!$H$36="Todos",datos_base!$E$9,0))*parametros_manuales!$M$97+parametros_manuales!$E$36*(datos_base!$E$3+IF(parametros_manuales!$H$36="Todos",datos_base!$E$10,0))*parametros_manuales!$M$102+parametros_manuales!$F$36*(datos_base!$E$4+IF(parametros_manuales!$H$36="Todos",datos_base!$E$11,0))*parametros_manuales!$M$107+parametros_manuales!$G$36*(datos_base!$E$5+IF(parametros_manuales!$H$36="Todos",datos_base!$E$12,0))*parametros_manuales!$M$112)*parametros_manuales!$I$36*parametros_manuales!$J$36</f>
        <v>4557.145457709</v>
      </c>
      <c r="N103" s="14" t="n">
        <f aca="false">SUM(B103:M103)</f>
        <v>50634.9495301</v>
      </c>
      <c r="O103" s="14" t="n">
        <f aca="false">MAX(B103:M103)</f>
        <v>4557.145457709</v>
      </c>
      <c r="P103" s="57" t="n">
        <f aca="false">O103/(parametros_manuales!$B$7)</f>
        <v>30.38096971806</v>
      </c>
      <c r="Q103" s="13" t="str">
        <f aca="false">IF(O103=0,"-",INDEX($B$85:$M$85,MATCH(O103,B103:M103,0)))</f>
        <v>Ene</v>
      </c>
    </row>
    <row r="104" customFormat="false" ht="14.25" hidden="false" customHeight="true" outlineLevel="0" collapsed="false">
      <c r="A104" s="13" t="str">
        <f aca="false">parametros_manuales!$B$37</f>
        <v>Corrección de defectos</v>
      </c>
      <c r="B104" s="14" t="n">
        <f aca="false">(parametros_manuales!$D$37*(datos_base!$E$2+IF(parametros_manuales!$H$37="Todos",datos_base!$E$9,0))*parametros_manuales!$B$97+parametros_manuales!$E$37*(datos_base!$E$3+IF(parametros_manuales!$H$37="Todos",datos_base!$E$10,0))*parametros_manuales!$B$102+parametros_manuales!$F$37*(datos_base!$E$4+IF(parametros_manuales!$H$37="Todos",datos_base!$E$11,0))*parametros_manuales!$B$107+parametros_manuales!$G$37*(datos_base!$E$5+IF(parametros_manuales!$H$37="Todos",datos_base!$E$12,0))*parametros_manuales!$B$112)*parametros_manuales!$I$37*parametros_manuales!$J$37</f>
        <v>227.85727288545</v>
      </c>
      <c r="C104" s="14" t="n">
        <f aca="false">(parametros_manuales!$D$37*(datos_base!$E$2+IF(parametros_manuales!$H$37="Todos",datos_base!$E$9,0))*parametros_manuales!$C$97+parametros_manuales!$E$37*(datos_base!$E$3+IF(parametros_manuales!$H$37="Todos",datos_base!$E$10,0))*parametros_manuales!$C$102+parametros_manuales!$F$37*(datos_base!$E$4+IF(parametros_manuales!$H$37="Todos",datos_base!$E$11,0))*parametros_manuales!$C$107+parametros_manuales!$G$37*(datos_base!$E$5+IF(parametros_manuales!$H$37="Todos",datos_base!$E$12,0))*parametros_manuales!$C$112)*parametros_manuales!$I$37*parametros_manuales!$J$37</f>
        <v>220.1207658949</v>
      </c>
      <c r="D104" s="14" t="n">
        <f aca="false">(parametros_manuales!$D$37*(datos_base!$E$2+IF(parametros_manuales!$H$37="Todos",datos_base!$E$9,0))*parametros_manuales!$D$97+parametros_manuales!$E$37*(datos_base!$E$3+IF(parametros_manuales!$H$37="Todos",datos_base!$E$10,0))*parametros_manuales!$D$102+parametros_manuales!$F$37*(datos_base!$E$4+IF(parametros_manuales!$H$37="Todos",datos_base!$E$11,0))*parametros_manuales!$D$107+parametros_manuales!$G$37*(datos_base!$E$5+IF(parametros_manuales!$H$37="Todos",datos_base!$E$12,0))*parametros_manuales!$D$112)*parametros_manuales!$I$37*parametros_manuales!$J$37</f>
        <v>206.408051615675</v>
      </c>
      <c r="E104" s="14" t="n">
        <f aca="false">(parametros_manuales!$D$37*(datos_base!$E$2+IF(parametros_manuales!$H$37="Todos",datos_base!$E$9,0))*parametros_manuales!$E$97+parametros_manuales!$E$37*(datos_base!$E$3+IF(parametros_manuales!$H$37="Todos",datos_base!$E$10,0))*parametros_manuales!$E$102+parametros_manuales!$F$37*(datos_base!$E$4+IF(parametros_manuales!$H$37="Todos",datos_base!$E$11,0))*parametros_manuales!$E$107+parametros_manuales!$G$37*(datos_base!$E$5+IF(parametros_manuales!$H$37="Todos",datos_base!$E$12,0))*parametros_manuales!$E$112)*parametros_manuales!$I$37*parametros_manuales!$J$37</f>
        <v>197.617567728425</v>
      </c>
      <c r="F104" s="14" t="n">
        <f aca="false">(parametros_manuales!$D$37*(datos_base!$E$2+IF(parametros_manuales!$H$37="Todos",datos_base!$E$9,0))*parametros_manuales!$F$97+parametros_manuales!$E$37*(datos_base!$E$3+IF(parametros_manuales!$H$37="Todos",datos_base!$E$10,0))*parametros_manuales!$F$102+parametros_manuales!$F$37*(datos_base!$E$4+IF(parametros_manuales!$H$37="Todos",datos_base!$E$11,0))*parametros_manuales!$F$107+parametros_manuales!$G$37*(datos_base!$E$5+IF(parametros_manuales!$H$37="Todos",datos_base!$E$12,0))*parametros_manuales!$F$112)*parametros_manuales!$I$37*parametros_manuales!$J$37</f>
        <v>184.9588303459</v>
      </c>
      <c r="G104" s="14" t="n">
        <f aca="false">(parametros_manuales!$D$37*(datos_base!$E$2+IF(parametros_manuales!$H$37="Todos",datos_base!$E$9,0))*parametros_manuales!$G$97+parametros_manuales!$E$37*(datos_base!$E$3+IF(parametros_manuales!$H$37="Todos",datos_base!$E$10,0))*parametros_manuales!$G$102+parametros_manuales!$F$37*(datos_base!$E$4+IF(parametros_manuales!$H$37="Todos",datos_base!$E$11,0))*parametros_manuales!$G$107+parametros_manuales!$G$37*(datos_base!$E$5+IF(parametros_manuales!$H$37="Todos",datos_base!$E$12,0))*parametros_manuales!$G$112)*parametros_manuales!$I$37*parametros_manuales!$J$37</f>
        <v>181.090576850625</v>
      </c>
      <c r="H104" s="14" t="n">
        <f aca="false">(parametros_manuales!$D$37*(datos_base!$E$2+IF(parametros_manuales!$H$37="Todos",datos_base!$E$9,0))*parametros_manuales!$H$97+parametros_manuales!$E$37*(datos_base!$E$3+IF(parametros_manuales!$H$37="Todos",datos_base!$E$10,0))*parametros_manuales!$H$102+parametros_manuales!$F$37*(datos_base!$E$4+IF(parametros_manuales!$H$37="Todos",datos_base!$E$11,0))*parametros_manuales!$H$107+parametros_manuales!$G$37*(datos_base!$E$5+IF(parametros_manuales!$H$37="Todos",datos_base!$E$12,0))*parametros_manuales!$H$112)*parametros_manuales!$I$37*parametros_manuales!$J$37</f>
        <v>193.74931423315</v>
      </c>
      <c r="I104" s="14" t="n">
        <f aca="false">(parametros_manuales!$D$37*(datos_base!$E$2+IF(parametros_manuales!$H$37="Todos",datos_base!$E$9,0))*parametros_manuales!$I$97+parametros_manuales!$E$37*(datos_base!$E$3+IF(parametros_manuales!$H$37="Todos",datos_base!$E$10,0))*parametros_manuales!$I$102+parametros_manuales!$F$37*(datos_base!$E$4+IF(parametros_manuales!$H$37="Todos",datos_base!$E$11,0))*parametros_manuales!$I$107+parametros_manuales!$G$37*(datos_base!$E$5+IF(parametros_manuales!$H$37="Todos",datos_base!$E$12,0))*parametros_manuales!$I$112)*parametros_manuales!$I$37*parametros_manuales!$J$37</f>
        <v>220.1207658949</v>
      </c>
      <c r="J104" s="14" t="n">
        <f aca="false">(parametros_manuales!$D$37*(datos_base!$E$2+IF(parametros_manuales!$H$37="Todos",datos_base!$E$9,0))*parametros_manuales!$J$97+parametros_manuales!$E$37*(datos_base!$E$3+IF(parametros_manuales!$H$37="Todos",datos_base!$E$10,0))*parametros_manuales!$J$102+parametros_manuales!$F$37*(datos_base!$E$4+IF(parametros_manuales!$H$37="Todos",datos_base!$E$11,0))*parametros_manuales!$J$107+parametros_manuales!$G$37*(datos_base!$E$5+IF(parametros_manuales!$H$37="Todos",datos_base!$E$12,0))*parametros_manuales!$J$112)*parametros_manuales!$I$37*parametros_manuales!$J$37</f>
        <v>220.1207658949</v>
      </c>
      <c r="K104" s="14" t="n">
        <f aca="false">(parametros_manuales!$D$37*(datos_base!$E$2+IF(parametros_manuales!$H$37="Todos",datos_base!$E$9,0))*parametros_manuales!$K$97+parametros_manuales!$E$37*(datos_base!$E$3+IF(parametros_manuales!$H$37="Todos",datos_base!$E$10,0))*parametros_manuales!$K$102+parametros_manuales!$F$37*(datos_base!$E$4+IF(parametros_manuales!$H$37="Todos",datos_base!$E$11,0))*parametros_manuales!$K$107+parametros_manuales!$G$37*(datos_base!$E$5+IF(parametros_manuales!$H$37="Todos",datos_base!$E$12,0))*parametros_manuales!$K$112)*parametros_manuales!$I$37*parametros_manuales!$J$37</f>
        <v>223.989019390175</v>
      </c>
      <c r="L104" s="14" t="n">
        <f aca="false">(parametros_manuales!$D$37*(datos_base!$E$2+IF(parametros_manuales!$H$37="Todos",datos_base!$E$9,0))*parametros_manuales!$L$97+parametros_manuales!$E$37*(datos_base!$E$3+IF(parametros_manuales!$H$37="Todos",datos_base!$E$10,0))*parametros_manuales!$L$102+parametros_manuales!$F$37*(datos_base!$E$4+IF(parametros_manuales!$H$37="Todos",datos_base!$E$11,0))*parametros_manuales!$L$107+parametros_manuales!$G$37*(datos_base!$E$5+IF(parametros_manuales!$H$37="Todos",datos_base!$E$12,0))*parametros_manuales!$L$112)*parametros_manuales!$I$37*parametros_manuales!$J$37</f>
        <v>227.85727288545</v>
      </c>
      <c r="M104" s="14" t="n">
        <f aca="false">(parametros_manuales!$D$37*(datos_base!$E$2+IF(parametros_manuales!$H$37="Todos",datos_base!$E$9,0))*parametros_manuales!$M$97+parametros_manuales!$E$37*(datos_base!$E$3+IF(parametros_manuales!$H$37="Todos",datos_base!$E$10,0))*parametros_manuales!$M$102+parametros_manuales!$F$37*(datos_base!$E$4+IF(parametros_manuales!$H$37="Todos",datos_base!$E$11,0))*parametros_manuales!$M$107+parametros_manuales!$G$37*(datos_base!$E$5+IF(parametros_manuales!$H$37="Todos",datos_base!$E$12,0))*parametros_manuales!$M$112)*parametros_manuales!$I$37*parametros_manuales!$J$37</f>
        <v>227.85727288545</v>
      </c>
      <c r="N104" s="14" t="n">
        <f aca="false">SUM(B104:M104)</f>
        <v>2531.747476505</v>
      </c>
      <c r="O104" s="14" t="n">
        <f aca="false">MAX(B104:M104)</f>
        <v>227.85727288545</v>
      </c>
      <c r="P104" s="57" t="n">
        <f aca="false">O104/(parametros_manuales!$B$7)</f>
        <v>1.519048485903</v>
      </c>
      <c r="Q104" s="13" t="str">
        <f aca="false">IF(O104=0,"-",INDEX($B$85:$M$85,MATCH(O104,B104:M104,0)))</f>
        <v>Ene</v>
      </c>
    </row>
    <row r="105" customFormat="false" ht="14.25" hidden="false" customHeight="true" outlineLevel="0" collapsed="false">
      <c r="A105" s="13" t="str">
        <f aca="false">parametros_manuales!$B$38</f>
        <v>Pintura en polvo + horno</v>
      </c>
      <c r="B105" s="14" t="n">
        <f aca="false">(parametros_manuales!$D$38*(datos_base!$E$2+IF(parametros_manuales!$H$38="Todos",datos_base!$E$9,0))*parametros_manuales!$B$97+parametros_manuales!$E$38*(datos_base!$E$3+IF(parametros_manuales!$H$38="Todos",datos_base!$E$10,0))*parametros_manuales!$B$102+parametros_manuales!$F$38*(datos_base!$E$4+IF(parametros_manuales!$H$38="Todos",datos_base!$E$11,0))*parametros_manuales!$B$107+parametros_manuales!$G$38*(datos_base!$E$5+IF(parametros_manuales!$H$38="Todos",datos_base!$E$12,0))*parametros_manuales!$B$112)*parametros_manuales!$I$38*parametros_manuales!$J$38</f>
        <v>4557.145457709</v>
      </c>
      <c r="C105" s="14" t="n">
        <f aca="false">(parametros_manuales!$D$38*(datos_base!$E$2+IF(parametros_manuales!$H$38="Todos",datos_base!$E$9,0))*parametros_manuales!$C$97+parametros_manuales!$E$38*(datos_base!$E$3+IF(parametros_manuales!$H$38="Todos",datos_base!$E$10,0))*parametros_manuales!$C$102+parametros_manuales!$F$38*(datos_base!$E$4+IF(parametros_manuales!$H$38="Todos",datos_base!$E$11,0))*parametros_manuales!$C$107+parametros_manuales!$G$38*(datos_base!$E$5+IF(parametros_manuales!$H$38="Todos",datos_base!$E$12,0))*parametros_manuales!$C$112)*parametros_manuales!$I$38*parametros_manuales!$J$38</f>
        <v>4402.415317898</v>
      </c>
      <c r="D105" s="14" t="n">
        <f aca="false">(parametros_manuales!$D$38*(datos_base!$E$2+IF(parametros_manuales!$H$38="Todos",datos_base!$E$9,0))*parametros_manuales!$D$97+parametros_manuales!$E$38*(datos_base!$E$3+IF(parametros_manuales!$H$38="Todos",datos_base!$E$10,0))*parametros_manuales!$D$102+parametros_manuales!$F$38*(datos_base!$E$4+IF(parametros_manuales!$H$38="Todos",datos_base!$E$11,0))*parametros_manuales!$D$107+parametros_manuales!$G$38*(datos_base!$E$5+IF(parametros_manuales!$H$38="Todos",datos_base!$E$12,0))*parametros_manuales!$D$112)*parametros_manuales!$I$38*parametros_manuales!$J$38</f>
        <v>4128.1610323135</v>
      </c>
      <c r="E105" s="14" t="n">
        <f aca="false">(parametros_manuales!$D$38*(datos_base!$E$2+IF(parametros_manuales!$H$38="Todos",datos_base!$E$9,0))*parametros_manuales!$E$97+parametros_manuales!$E$38*(datos_base!$E$3+IF(parametros_manuales!$H$38="Todos",datos_base!$E$10,0))*parametros_manuales!$E$102+parametros_manuales!$F$38*(datos_base!$E$4+IF(parametros_manuales!$H$38="Todos",datos_base!$E$11,0))*parametros_manuales!$E$107+parametros_manuales!$G$38*(datos_base!$E$5+IF(parametros_manuales!$H$38="Todos",datos_base!$E$12,0))*parametros_manuales!$E$112)*parametros_manuales!$I$38*parametros_manuales!$J$38</f>
        <v>3952.3513545685</v>
      </c>
      <c r="F105" s="14" t="n">
        <f aca="false">(parametros_manuales!$D$38*(datos_base!$E$2+IF(parametros_manuales!$H$38="Todos",datos_base!$E$9,0))*parametros_manuales!$F$97+parametros_manuales!$E$38*(datos_base!$E$3+IF(parametros_manuales!$H$38="Todos",datos_base!$E$10,0))*parametros_manuales!$F$102+parametros_manuales!$F$38*(datos_base!$E$4+IF(parametros_manuales!$H$38="Todos",datos_base!$E$11,0))*parametros_manuales!$F$107+parametros_manuales!$G$38*(datos_base!$E$5+IF(parametros_manuales!$H$38="Todos",datos_base!$E$12,0))*parametros_manuales!$F$112)*parametros_manuales!$I$38*parametros_manuales!$J$38</f>
        <v>3699.176606918</v>
      </c>
      <c r="G105" s="14" t="n">
        <f aca="false">(parametros_manuales!$D$38*(datos_base!$E$2+IF(parametros_manuales!$H$38="Todos",datos_base!$E$9,0))*parametros_manuales!$G$97+parametros_manuales!$E$38*(datos_base!$E$3+IF(parametros_manuales!$H$38="Todos",datos_base!$E$10,0))*parametros_manuales!$G$102+parametros_manuales!$F$38*(datos_base!$E$4+IF(parametros_manuales!$H$38="Todos",datos_base!$E$11,0))*parametros_manuales!$G$107+parametros_manuales!$G$38*(datos_base!$E$5+IF(parametros_manuales!$H$38="Todos",datos_base!$E$12,0))*parametros_manuales!$G$112)*parametros_manuales!$I$38*parametros_manuales!$J$38</f>
        <v>3621.8115370125</v>
      </c>
      <c r="H105" s="14" t="n">
        <f aca="false">(parametros_manuales!$D$38*(datos_base!$E$2+IF(parametros_manuales!$H$38="Todos",datos_base!$E$9,0))*parametros_manuales!$H$97+parametros_manuales!$E$38*(datos_base!$E$3+IF(parametros_manuales!$H$38="Todos",datos_base!$E$10,0))*parametros_manuales!$H$102+parametros_manuales!$F$38*(datos_base!$E$4+IF(parametros_manuales!$H$38="Todos",datos_base!$E$11,0))*parametros_manuales!$H$107+parametros_manuales!$G$38*(datos_base!$E$5+IF(parametros_manuales!$H$38="Todos",datos_base!$E$12,0))*parametros_manuales!$H$112)*parametros_manuales!$I$38*parametros_manuales!$J$38</f>
        <v>3874.986284663</v>
      </c>
      <c r="I105" s="14" t="n">
        <f aca="false">(parametros_manuales!$D$38*(datos_base!$E$2+IF(parametros_manuales!$H$38="Todos",datos_base!$E$9,0))*parametros_manuales!$I$97+parametros_manuales!$E$38*(datos_base!$E$3+IF(parametros_manuales!$H$38="Todos",datos_base!$E$10,0))*parametros_manuales!$I$102+parametros_manuales!$F$38*(datos_base!$E$4+IF(parametros_manuales!$H$38="Todos",datos_base!$E$11,0))*parametros_manuales!$I$107+parametros_manuales!$G$38*(datos_base!$E$5+IF(parametros_manuales!$H$38="Todos",datos_base!$E$12,0))*parametros_manuales!$I$112)*parametros_manuales!$I$38*parametros_manuales!$J$38</f>
        <v>4402.415317898</v>
      </c>
      <c r="J105" s="14" t="n">
        <f aca="false">(parametros_manuales!$D$38*(datos_base!$E$2+IF(parametros_manuales!$H$38="Todos",datos_base!$E$9,0))*parametros_manuales!$J$97+parametros_manuales!$E$38*(datos_base!$E$3+IF(parametros_manuales!$H$38="Todos",datos_base!$E$10,0))*parametros_manuales!$J$102+parametros_manuales!$F$38*(datos_base!$E$4+IF(parametros_manuales!$H$38="Todos",datos_base!$E$11,0))*parametros_manuales!$J$107+parametros_manuales!$G$38*(datos_base!$E$5+IF(parametros_manuales!$H$38="Todos",datos_base!$E$12,0))*parametros_manuales!$J$112)*parametros_manuales!$I$38*parametros_manuales!$J$38</f>
        <v>4402.415317898</v>
      </c>
      <c r="K105" s="14" t="n">
        <f aca="false">(parametros_manuales!$D$38*(datos_base!$E$2+IF(parametros_manuales!$H$38="Todos",datos_base!$E$9,0))*parametros_manuales!$K$97+parametros_manuales!$E$38*(datos_base!$E$3+IF(parametros_manuales!$H$38="Todos",datos_base!$E$10,0))*parametros_manuales!$K$102+parametros_manuales!$F$38*(datos_base!$E$4+IF(parametros_manuales!$H$38="Todos",datos_base!$E$11,0))*parametros_manuales!$K$107+parametros_manuales!$G$38*(datos_base!$E$5+IF(parametros_manuales!$H$38="Todos",datos_base!$E$12,0))*parametros_manuales!$K$112)*parametros_manuales!$I$38*parametros_manuales!$J$38</f>
        <v>4479.7803878035</v>
      </c>
      <c r="L105" s="14" t="n">
        <f aca="false">(parametros_manuales!$D$38*(datos_base!$E$2+IF(parametros_manuales!$H$38="Todos",datos_base!$E$9,0))*parametros_manuales!$L$97+parametros_manuales!$E$38*(datos_base!$E$3+IF(parametros_manuales!$H$38="Todos",datos_base!$E$10,0))*parametros_manuales!$L$102+parametros_manuales!$F$38*(datos_base!$E$4+IF(parametros_manuales!$H$38="Todos",datos_base!$E$11,0))*parametros_manuales!$L$107+parametros_manuales!$G$38*(datos_base!$E$5+IF(parametros_manuales!$H$38="Todos",datos_base!$E$12,0))*parametros_manuales!$L$112)*parametros_manuales!$I$38*parametros_manuales!$J$38</f>
        <v>4557.145457709</v>
      </c>
      <c r="M105" s="14" t="n">
        <f aca="false">(parametros_manuales!$D$38*(datos_base!$E$2+IF(parametros_manuales!$H$38="Todos",datos_base!$E$9,0))*parametros_manuales!$M$97+parametros_manuales!$E$38*(datos_base!$E$3+IF(parametros_manuales!$H$38="Todos",datos_base!$E$10,0))*parametros_manuales!$M$102+parametros_manuales!$F$38*(datos_base!$E$4+IF(parametros_manuales!$H$38="Todos",datos_base!$E$11,0))*parametros_manuales!$M$107+parametros_manuales!$G$38*(datos_base!$E$5+IF(parametros_manuales!$H$38="Todos",datos_base!$E$12,0))*parametros_manuales!$M$112)*parametros_manuales!$I$38*parametros_manuales!$J$38</f>
        <v>4557.145457709</v>
      </c>
      <c r="N105" s="14" t="n">
        <f aca="false">SUM(B105:M105)</f>
        <v>50634.9495301</v>
      </c>
      <c r="O105" s="14" t="n">
        <f aca="false">MAX(B105:M105)</f>
        <v>4557.145457709</v>
      </c>
      <c r="P105" s="57" t="n">
        <f aca="false">O105/(parametros_manuales!$B$7)</f>
        <v>30.38096971806</v>
      </c>
      <c r="Q105" s="13" t="str">
        <f aca="false">IF(O105=0,"-",INDEX($B$85:$M$85,MATCH(O105,B105:M105,0)))</f>
        <v>Ene</v>
      </c>
    </row>
    <row r="106" customFormat="false" ht="14.25" hidden="false" customHeight="true" outlineLevel="0" collapsed="false">
      <c r="A106" s="13" t="str">
        <f aca="false">parametros_manuales!$B$39</f>
        <v>Carga de polvo</v>
      </c>
      <c r="B106" s="14" t="n">
        <f aca="false">(parametros_manuales!$D$39*(datos_base!$E$2+IF(parametros_manuales!$H$39="Todos",datos_base!$E$9,0))*parametros_manuales!$B$97+parametros_manuales!$E$39*(datos_base!$E$3+IF(parametros_manuales!$H$39="Todos",datos_base!$E$10,0))*parametros_manuales!$B$102+parametros_manuales!$F$39*(datos_base!$E$4+IF(parametros_manuales!$H$39="Todos",datos_base!$E$11,0))*parametros_manuales!$B$107+parametros_manuales!$G$39*(datos_base!$E$5+IF(parametros_manuales!$H$39="Todos",datos_base!$E$12,0))*parametros_manuales!$B$112)*parametros_manuales!$I$39*parametros_manuales!$J$39</f>
        <v>1552.049057709</v>
      </c>
      <c r="C106" s="14" t="n">
        <f aca="false">(parametros_manuales!$D$39*(datos_base!$E$2+IF(parametros_manuales!$H$39="Todos",datos_base!$E$9,0))*parametros_manuales!$C$97+parametros_manuales!$E$39*(datos_base!$E$3+IF(parametros_manuales!$H$39="Todos",datos_base!$E$10,0))*parametros_manuales!$C$102+parametros_manuales!$F$39*(datos_base!$E$4+IF(parametros_manuales!$H$39="Todos",datos_base!$E$11,0))*parametros_manuales!$C$107+parametros_manuales!$G$39*(datos_base!$E$5+IF(parametros_manuales!$H$39="Todos",datos_base!$E$12,0))*parametros_manuales!$C$112)*parametros_manuales!$I$39*parametros_manuales!$J$39</f>
        <v>1464.270517898</v>
      </c>
      <c r="D106" s="14" t="n">
        <f aca="false">(parametros_manuales!$D$39*(datos_base!$E$2+IF(parametros_manuales!$H$39="Todos",datos_base!$E$9,0))*parametros_manuales!$D$97+parametros_manuales!$E$39*(datos_base!$E$3+IF(parametros_manuales!$H$39="Todos",datos_base!$E$10,0))*parametros_manuales!$D$102+parametros_manuales!$F$39*(datos_base!$E$4+IF(parametros_manuales!$H$39="Todos",datos_base!$E$11,0))*parametros_manuales!$D$107+parametros_manuales!$G$39*(datos_base!$E$5+IF(parametros_manuales!$H$39="Todos",datos_base!$E$12,0))*parametros_manuales!$D$112)*parametros_manuales!$I$39*parametros_manuales!$J$39</f>
        <v>1423.4884323135</v>
      </c>
      <c r="E106" s="14" t="n">
        <f aca="false">(parametros_manuales!$D$39*(datos_base!$E$2+IF(parametros_manuales!$H$39="Todos",datos_base!$E$9,0))*parametros_manuales!$E$97+parametros_manuales!$E$39*(datos_base!$E$3+IF(parametros_manuales!$H$39="Todos",datos_base!$E$10,0))*parametros_manuales!$E$102+parametros_manuales!$F$39*(datos_base!$E$4+IF(parametros_manuales!$H$39="Todos",datos_base!$E$11,0))*parametros_manuales!$E$107+parametros_manuales!$G$39*(datos_base!$E$5+IF(parametros_manuales!$H$39="Todos",datos_base!$E$12,0))*parametros_manuales!$E$112)*parametros_manuales!$I$39*parametros_manuales!$J$39</f>
        <v>1381.1527545685</v>
      </c>
      <c r="F106" s="14" t="n">
        <f aca="false">(parametros_manuales!$D$39*(datos_base!$E$2+IF(parametros_manuales!$H$39="Todos",datos_base!$E$9,0))*parametros_manuales!$F$97+parametros_manuales!$E$39*(datos_base!$E$3+IF(parametros_manuales!$H$39="Todos",datos_base!$E$10,0))*parametros_manuales!$F$102+parametros_manuales!$F$39*(datos_base!$E$4+IF(parametros_manuales!$H$39="Todos",datos_base!$E$11,0))*parametros_manuales!$F$107+parametros_manuales!$G$39*(datos_base!$E$5+IF(parametros_manuales!$H$39="Todos",datos_base!$E$12,0))*parametros_manuales!$F$112)*parametros_manuales!$I$39*parametros_manuales!$J$39</f>
        <v>1294.927806918</v>
      </c>
      <c r="G106" s="14" t="n">
        <f aca="false">(parametros_manuales!$D$39*(datos_base!$E$2+IF(parametros_manuales!$H$39="Todos",datos_base!$E$9,0))*parametros_manuales!$G$97+parametros_manuales!$E$39*(datos_base!$E$3+IF(parametros_manuales!$H$39="Todos",datos_base!$E$10,0))*parametros_manuales!$G$102+parametros_manuales!$F$39*(datos_base!$E$4+IF(parametros_manuales!$H$39="Todos",datos_base!$E$11,0))*parametros_manuales!$G$107+parametros_manuales!$G$39*(datos_base!$E$5+IF(parametros_manuales!$H$39="Todos",datos_base!$E$12,0))*parametros_manuales!$G$112)*parametros_manuales!$I$39*parametros_manuales!$J$39</f>
        <v>1251.0385370125</v>
      </c>
      <c r="H106" s="14" t="n">
        <f aca="false">(parametros_manuales!$D$39*(datos_base!$E$2+IF(parametros_manuales!$H$39="Todos",datos_base!$E$9,0))*parametros_manuales!$H$97+parametros_manuales!$E$39*(datos_base!$E$3+IF(parametros_manuales!$H$39="Todos",datos_base!$E$10,0))*parametros_manuales!$H$102+parametros_manuales!$F$39*(datos_base!$E$4+IF(parametros_manuales!$H$39="Todos",datos_base!$E$11,0))*parametros_manuales!$H$107+parametros_manuales!$G$39*(datos_base!$E$5+IF(parametros_manuales!$H$39="Todos",datos_base!$E$12,0))*parametros_manuales!$H$112)*parametros_manuales!$I$39*parametros_manuales!$J$39</f>
        <v>1337.263484663</v>
      </c>
      <c r="I106" s="14" t="n">
        <f aca="false">(parametros_manuales!$D$39*(datos_base!$E$2+IF(parametros_manuales!$H$39="Todos",datos_base!$E$9,0))*parametros_manuales!$I$97+parametros_manuales!$E$39*(datos_base!$E$3+IF(parametros_manuales!$H$39="Todos",datos_base!$E$10,0))*parametros_manuales!$I$102+parametros_manuales!$F$39*(datos_base!$E$4+IF(parametros_manuales!$H$39="Todos",datos_base!$E$11,0))*parametros_manuales!$I$107+parametros_manuales!$G$39*(datos_base!$E$5+IF(parametros_manuales!$H$39="Todos",datos_base!$E$12,0))*parametros_manuales!$I$112)*parametros_manuales!$I$39*parametros_manuales!$J$39</f>
        <v>1464.270517898</v>
      </c>
      <c r="J106" s="14" t="n">
        <f aca="false">(parametros_manuales!$D$39*(datos_base!$E$2+IF(parametros_manuales!$H$39="Todos",datos_base!$E$9,0))*parametros_manuales!$J$97+parametros_manuales!$E$39*(datos_base!$E$3+IF(parametros_manuales!$H$39="Todos",datos_base!$E$10,0))*parametros_manuales!$J$102+parametros_manuales!$F$39*(datos_base!$E$4+IF(parametros_manuales!$H$39="Todos",datos_base!$E$11,0))*parametros_manuales!$J$107+parametros_manuales!$G$39*(datos_base!$E$5+IF(parametros_manuales!$H$39="Todos",datos_base!$E$12,0))*parametros_manuales!$J$112)*parametros_manuales!$I$39*parametros_manuales!$J$39</f>
        <v>1464.270517898</v>
      </c>
      <c r="K106" s="14" t="n">
        <f aca="false">(parametros_manuales!$D$39*(datos_base!$E$2+IF(parametros_manuales!$H$39="Todos",datos_base!$E$9,0))*parametros_manuales!$K$97+parametros_manuales!$E$39*(datos_base!$E$3+IF(parametros_manuales!$H$39="Todos",datos_base!$E$10,0))*parametros_manuales!$K$102+parametros_manuales!$F$39*(datos_base!$E$4+IF(parametros_manuales!$H$39="Todos",datos_base!$E$11,0))*parametros_manuales!$K$107+parametros_manuales!$G$39*(datos_base!$E$5+IF(parametros_manuales!$H$39="Todos",datos_base!$E$12,0))*parametros_manuales!$K$112)*parametros_manuales!$I$39*parametros_manuales!$J$39</f>
        <v>1508.1597878035</v>
      </c>
      <c r="L106" s="14" t="n">
        <f aca="false">(parametros_manuales!$D$39*(datos_base!$E$2+IF(parametros_manuales!$H$39="Todos",datos_base!$E$9,0))*parametros_manuales!$L$97+parametros_manuales!$E$39*(datos_base!$E$3+IF(parametros_manuales!$H$39="Todos",datos_base!$E$10,0))*parametros_manuales!$L$102+parametros_manuales!$F$39*(datos_base!$E$4+IF(parametros_manuales!$H$39="Todos",datos_base!$E$11,0))*parametros_manuales!$L$107+parametros_manuales!$G$39*(datos_base!$E$5+IF(parametros_manuales!$H$39="Todos",datos_base!$E$12,0))*parametros_manuales!$L$112)*parametros_manuales!$I$39*parametros_manuales!$J$39</f>
        <v>1552.049057709</v>
      </c>
      <c r="M106" s="14" t="n">
        <f aca="false">(parametros_manuales!$D$39*(datos_base!$E$2+IF(parametros_manuales!$H$39="Todos",datos_base!$E$9,0))*parametros_manuales!$M$97+parametros_manuales!$E$39*(datos_base!$E$3+IF(parametros_manuales!$H$39="Todos",datos_base!$E$10,0))*parametros_manuales!$M$102+parametros_manuales!$F$39*(datos_base!$E$4+IF(parametros_manuales!$H$39="Todos",datos_base!$E$11,0))*parametros_manuales!$M$107+parametros_manuales!$G$39*(datos_base!$E$5+IF(parametros_manuales!$H$39="Todos",datos_base!$E$12,0))*parametros_manuales!$M$112)*parametros_manuales!$I$39*parametros_manuales!$J$39</f>
        <v>1552.049057709</v>
      </c>
      <c r="N106" s="14" t="n">
        <f aca="false">SUM(B106:M106)</f>
        <v>17244.9895301</v>
      </c>
      <c r="O106" s="14" t="n">
        <f aca="false">MAX(B106:M106)</f>
        <v>1552.049057709</v>
      </c>
      <c r="P106" s="57" t="n">
        <f aca="false">O106/(parametros_manuales!$B$7)</f>
        <v>10.34699371806</v>
      </c>
      <c r="Q106" s="13" t="str">
        <f aca="false">IF(O106=0,"-",INDEX($B$85:$M$85,MATCH(O106,B106:M106,0)))</f>
        <v>Ene</v>
      </c>
    </row>
    <row r="107" customFormat="false" ht="14.25" hidden="false" customHeight="true" outlineLevel="0" collapsed="false">
      <c r="A107" s="13" t="str">
        <f aca="false">parametros_manuales!$B$40</f>
        <v>Ensamblaje</v>
      </c>
      <c r="B107" s="14" t="n">
        <f aca="false">(parametros_manuales!$D$40*(datos_base!$E$2+IF(parametros_manuales!$H$40="Todos",datos_base!$E$9,0))*parametros_manuales!$B$97+parametros_manuales!$E$40*(datos_base!$E$3+IF(parametros_manuales!$H$40="Todos",datos_base!$E$10,0))*parametros_manuales!$B$102+parametros_manuales!$F$40*(datos_base!$E$4+IF(parametros_manuales!$H$40="Todos",datos_base!$E$11,0))*parametros_manuales!$B$107+parametros_manuales!$G$40*(datos_base!$E$5+IF(parametros_manuales!$H$40="Todos",datos_base!$E$12,0))*parametros_manuales!$B$112)*parametros_manuales!$I$40*parametros_manuales!$J$40</f>
        <v>1552.049057709</v>
      </c>
      <c r="C107" s="14" t="n">
        <f aca="false">(parametros_manuales!$D$40*(datos_base!$E$2+IF(parametros_manuales!$H$40="Todos",datos_base!$E$9,0))*parametros_manuales!$C$97+parametros_manuales!$E$40*(datos_base!$E$3+IF(parametros_manuales!$H$40="Todos",datos_base!$E$10,0))*parametros_manuales!$C$102+parametros_manuales!$F$40*(datos_base!$E$4+IF(parametros_manuales!$H$40="Todos",datos_base!$E$11,0))*parametros_manuales!$C$107+parametros_manuales!$G$40*(datos_base!$E$5+IF(parametros_manuales!$H$40="Todos",datos_base!$E$12,0))*parametros_manuales!$C$112)*parametros_manuales!$I$40*parametros_manuales!$J$40</f>
        <v>1464.270517898</v>
      </c>
      <c r="D107" s="14" t="n">
        <f aca="false">(parametros_manuales!$D$40*(datos_base!$E$2+IF(parametros_manuales!$H$40="Todos",datos_base!$E$9,0))*parametros_manuales!$D$97+parametros_manuales!$E$40*(datos_base!$E$3+IF(parametros_manuales!$H$40="Todos",datos_base!$E$10,0))*parametros_manuales!$D$102+parametros_manuales!$F$40*(datos_base!$E$4+IF(parametros_manuales!$H$40="Todos",datos_base!$E$11,0))*parametros_manuales!$D$107+parametros_manuales!$G$40*(datos_base!$E$5+IF(parametros_manuales!$H$40="Todos",datos_base!$E$12,0))*parametros_manuales!$D$112)*parametros_manuales!$I$40*parametros_manuales!$J$40</f>
        <v>1423.4884323135</v>
      </c>
      <c r="E107" s="14" t="n">
        <f aca="false">(parametros_manuales!$D$40*(datos_base!$E$2+IF(parametros_manuales!$H$40="Todos",datos_base!$E$9,0))*parametros_manuales!$E$97+parametros_manuales!$E$40*(datos_base!$E$3+IF(parametros_manuales!$H$40="Todos",datos_base!$E$10,0))*parametros_manuales!$E$102+parametros_manuales!$F$40*(datos_base!$E$4+IF(parametros_manuales!$H$40="Todos",datos_base!$E$11,0))*parametros_manuales!$E$107+parametros_manuales!$G$40*(datos_base!$E$5+IF(parametros_manuales!$H$40="Todos",datos_base!$E$12,0))*parametros_manuales!$E$112)*parametros_manuales!$I$40*parametros_manuales!$J$40</f>
        <v>1381.1527545685</v>
      </c>
      <c r="F107" s="14" t="n">
        <f aca="false">(parametros_manuales!$D$40*(datos_base!$E$2+IF(parametros_manuales!$H$40="Todos",datos_base!$E$9,0))*parametros_manuales!$F$97+parametros_manuales!$E$40*(datos_base!$E$3+IF(parametros_manuales!$H$40="Todos",datos_base!$E$10,0))*parametros_manuales!$F$102+parametros_manuales!$F$40*(datos_base!$E$4+IF(parametros_manuales!$H$40="Todos",datos_base!$E$11,0))*parametros_manuales!$F$107+parametros_manuales!$G$40*(datos_base!$E$5+IF(parametros_manuales!$H$40="Todos",datos_base!$E$12,0))*parametros_manuales!$F$112)*parametros_manuales!$I$40*parametros_manuales!$J$40</f>
        <v>1294.927806918</v>
      </c>
      <c r="G107" s="14" t="n">
        <f aca="false">(parametros_manuales!$D$40*(datos_base!$E$2+IF(parametros_manuales!$H$40="Todos",datos_base!$E$9,0))*parametros_manuales!$G$97+parametros_manuales!$E$40*(datos_base!$E$3+IF(parametros_manuales!$H$40="Todos",datos_base!$E$10,0))*parametros_manuales!$G$102+parametros_manuales!$F$40*(datos_base!$E$4+IF(parametros_manuales!$H$40="Todos",datos_base!$E$11,0))*parametros_manuales!$G$107+parametros_manuales!$G$40*(datos_base!$E$5+IF(parametros_manuales!$H$40="Todos",datos_base!$E$12,0))*parametros_manuales!$G$112)*parametros_manuales!$I$40*parametros_manuales!$J$40</f>
        <v>1251.0385370125</v>
      </c>
      <c r="H107" s="14" t="n">
        <f aca="false">(parametros_manuales!$D$40*(datos_base!$E$2+IF(parametros_manuales!$H$40="Todos",datos_base!$E$9,0))*parametros_manuales!$H$97+parametros_manuales!$E$40*(datos_base!$E$3+IF(parametros_manuales!$H$40="Todos",datos_base!$E$10,0))*parametros_manuales!$H$102+parametros_manuales!$F$40*(datos_base!$E$4+IF(parametros_manuales!$H$40="Todos",datos_base!$E$11,0))*parametros_manuales!$H$107+parametros_manuales!$G$40*(datos_base!$E$5+IF(parametros_manuales!$H$40="Todos",datos_base!$E$12,0))*parametros_manuales!$H$112)*parametros_manuales!$I$40*parametros_manuales!$J$40</f>
        <v>1337.263484663</v>
      </c>
      <c r="I107" s="14" t="n">
        <f aca="false">(parametros_manuales!$D$40*(datos_base!$E$2+IF(parametros_manuales!$H$40="Todos",datos_base!$E$9,0))*parametros_manuales!$I$97+parametros_manuales!$E$40*(datos_base!$E$3+IF(parametros_manuales!$H$40="Todos",datos_base!$E$10,0))*parametros_manuales!$I$102+parametros_manuales!$F$40*(datos_base!$E$4+IF(parametros_manuales!$H$40="Todos",datos_base!$E$11,0))*parametros_manuales!$I$107+parametros_manuales!$G$40*(datos_base!$E$5+IF(parametros_manuales!$H$40="Todos",datos_base!$E$12,0))*parametros_manuales!$I$112)*parametros_manuales!$I$40*parametros_manuales!$J$40</f>
        <v>1464.270517898</v>
      </c>
      <c r="J107" s="14" t="n">
        <f aca="false">(parametros_manuales!$D$40*(datos_base!$E$2+IF(parametros_manuales!$H$40="Todos",datos_base!$E$9,0))*parametros_manuales!$J$97+parametros_manuales!$E$40*(datos_base!$E$3+IF(parametros_manuales!$H$40="Todos",datos_base!$E$10,0))*parametros_manuales!$J$102+parametros_manuales!$F$40*(datos_base!$E$4+IF(parametros_manuales!$H$40="Todos",datos_base!$E$11,0))*parametros_manuales!$J$107+parametros_manuales!$G$40*(datos_base!$E$5+IF(parametros_manuales!$H$40="Todos",datos_base!$E$12,0))*parametros_manuales!$J$112)*parametros_manuales!$I$40*parametros_manuales!$J$40</f>
        <v>1464.270517898</v>
      </c>
      <c r="K107" s="14" t="n">
        <f aca="false">(parametros_manuales!$D$40*(datos_base!$E$2+IF(parametros_manuales!$H$40="Todos",datos_base!$E$9,0))*parametros_manuales!$K$97+parametros_manuales!$E$40*(datos_base!$E$3+IF(parametros_manuales!$H$40="Todos",datos_base!$E$10,0))*parametros_manuales!$K$102+parametros_manuales!$F$40*(datos_base!$E$4+IF(parametros_manuales!$H$40="Todos",datos_base!$E$11,0))*parametros_manuales!$K$107+parametros_manuales!$G$40*(datos_base!$E$5+IF(parametros_manuales!$H$40="Todos",datos_base!$E$12,0))*parametros_manuales!$K$112)*parametros_manuales!$I$40*parametros_manuales!$J$40</f>
        <v>1508.1597878035</v>
      </c>
      <c r="L107" s="14" t="n">
        <f aca="false">(parametros_manuales!$D$40*(datos_base!$E$2+IF(parametros_manuales!$H$40="Todos",datos_base!$E$9,0))*parametros_manuales!$L$97+parametros_manuales!$E$40*(datos_base!$E$3+IF(parametros_manuales!$H$40="Todos",datos_base!$E$10,0))*parametros_manuales!$L$102+parametros_manuales!$F$40*(datos_base!$E$4+IF(parametros_manuales!$H$40="Todos",datos_base!$E$11,0))*parametros_manuales!$L$107+parametros_manuales!$G$40*(datos_base!$E$5+IF(parametros_manuales!$H$40="Todos",datos_base!$E$12,0))*parametros_manuales!$L$112)*parametros_manuales!$I$40*parametros_manuales!$J$40</f>
        <v>1552.049057709</v>
      </c>
      <c r="M107" s="14" t="n">
        <f aca="false">(parametros_manuales!$D$40*(datos_base!$E$2+IF(parametros_manuales!$H$40="Todos",datos_base!$E$9,0))*parametros_manuales!$M$97+parametros_manuales!$E$40*(datos_base!$E$3+IF(parametros_manuales!$H$40="Todos",datos_base!$E$10,0))*parametros_manuales!$M$102+parametros_manuales!$F$40*(datos_base!$E$4+IF(parametros_manuales!$H$40="Todos",datos_base!$E$11,0))*parametros_manuales!$M$107+parametros_manuales!$G$40*(datos_base!$E$5+IF(parametros_manuales!$H$40="Todos",datos_base!$E$12,0))*parametros_manuales!$M$112)*parametros_manuales!$I$40*parametros_manuales!$J$40</f>
        <v>1552.049057709</v>
      </c>
      <c r="N107" s="14" t="n">
        <f aca="false">SUM(B107:M107)</f>
        <v>17244.9895301</v>
      </c>
      <c r="O107" s="14" t="n">
        <f aca="false">MAX(B107:M107)</f>
        <v>1552.049057709</v>
      </c>
      <c r="P107" s="57" t="n">
        <f aca="false">O107/(parametros_manuales!$B$7)</f>
        <v>10.34699371806</v>
      </c>
      <c r="Q107" s="13" t="str">
        <f aca="false">IF(O107=0,"-",INDEX($B$85:$M$85,MATCH(O107,B107:M107,0)))</f>
        <v>Ene</v>
      </c>
    </row>
    <row r="108" customFormat="false" ht="14.25" hidden="false" customHeight="true" outlineLevel="0" collapsed="false">
      <c r="A108" s="13" t="str">
        <f aca="false">parametros_manuales!$B$41</f>
        <v>Presurización</v>
      </c>
      <c r="B108" s="14" t="n">
        <f aca="false">(parametros_manuales!$D$41*(datos_base!$E$2+IF(parametros_manuales!$H$41="Todos",datos_base!$E$9,0))*parametros_manuales!$B$97+parametros_manuales!$E$41*(datos_base!$E$3+IF(parametros_manuales!$H$41="Todos",datos_base!$E$10,0))*parametros_manuales!$B$102+parametros_manuales!$F$41*(datos_base!$E$4+IF(parametros_manuales!$H$41="Todos",datos_base!$E$11,0))*parametros_manuales!$B$107+parametros_manuales!$G$41*(datos_base!$E$5+IF(parametros_manuales!$H$41="Todos",datos_base!$E$12,0))*parametros_manuales!$B$112)*parametros_manuales!$I$41*parametros_manuales!$J$41</f>
        <v>1552.049057709</v>
      </c>
      <c r="C108" s="14" t="n">
        <f aca="false">(parametros_manuales!$D$41*(datos_base!$E$2+IF(parametros_manuales!$H$41="Todos",datos_base!$E$9,0))*parametros_manuales!$C$97+parametros_manuales!$E$41*(datos_base!$E$3+IF(parametros_manuales!$H$41="Todos",datos_base!$E$10,0))*parametros_manuales!$C$102+parametros_manuales!$F$41*(datos_base!$E$4+IF(parametros_manuales!$H$41="Todos",datos_base!$E$11,0))*parametros_manuales!$C$107+parametros_manuales!$G$41*(datos_base!$E$5+IF(parametros_manuales!$H$41="Todos",datos_base!$E$12,0))*parametros_manuales!$C$112)*parametros_manuales!$I$41*parametros_manuales!$J$41</f>
        <v>1464.270517898</v>
      </c>
      <c r="D108" s="14" t="n">
        <f aca="false">(parametros_manuales!$D$41*(datos_base!$E$2+IF(parametros_manuales!$H$41="Todos",datos_base!$E$9,0))*parametros_manuales!$D$97+parametros_manuales!$E$41*(datos_base!$E$3+IF(parametros_manuales!$H$41="Todos",datos_base!$E$10,0))*parametros_manuales!$D$102+parametros_manuales!$F$41*(datos_base!$E$4+IF(parametros_manuales!$H$41="Todos",datos_base!$E$11,0))*parametros_manuales!$D$107+parametros_manuales!$G$41*(datos_base!$E$5+IF(parametros_manuales!$H$41="Todos",datos_base!$E$12,0))*parametros_manuales!$D$112)*parametros_manuales!$I$41*parametros_manuales!$J$41</f>
        <v>1423.4884323135</v>
      </c>
      <c r="E108" s="14" t="n">
        <f aca="false">(parametros_manuales!$D$41*(datos_base!$E$2+IF(parametros_manuales!$H$41="Todos",datos_base!$E$9,0))*parametros_manuales!$E$97+parametros_manuales!$E$41*(datos_base!$E$3+IF(parametros_manuales!$H$41="Todos",datos_base!$E$10,0))*parametros_manuales!$E$102+parametros_manuales!$F$41*(datos_base!$E$4+IF(parametros_manuales!$H$41="Todos",datos_base!$E$11,0))*parametros_manuales!$E$107+parametros_manuales!$G$41*(datos_base!$E$5+IF(parametros_manuales!$H$41="Todos",datos_base!$E$12,0))*parametros_manuales!$E$112)*parametros_manuales!$I$41*parametros_manuales!$J$41</f>
        <v>1381.1527545685</v>
      </c>
      <c r="F108" s="14" t="n">
        <f aca="false">(parametros_manuales!$D$41*(datos_base!$E$2+IF(parametros_manuales!$H$41="Todos",datos_base!$E$9,0))*parametros_manuales!$F$97+parametros_manuales!$E$41*(datos_base!$E$3+IF(parametros_manuales!$H$41="Todos",datos_base!$E$10,0))*parametros_manuales!$F$102+parametros_manuales!$F$41*(datos_base!$E$4+IF(parametros_manuales!$H$41="Todos",datos_base!$E$11,0))*parametros_manuales!$F$107+parametros_manuales!$G$41*(datos_base!$E$5+IF(parametros_manuales!$H$41="Todos",datos_base!$E$12,0))*parametros_manuales!$F$112)*parametros_manuales!$I$41*parametros_manuales!$J$41</f>
        <v>1294.927806918</v>
      </c>
      <c r="G108" s="14" t="n">
        <f aca="false">(parametros_manuales!$D$41*(datos_base!$E$2+IF(parametros_manuales!$H$41="Todos",datos_base!$E$9,0))*parametros_manuales!$G$97+parametros_manuales!$E$41*(datos_base!$E$3+IF(parametros_manuales!$H$41="Todos",datos_base!$E$10,0))*parametros_manuales!$G$102+parametros_manuales!$F$41*(datos_base!$E$4+IF(parametros_manuales!$H$41="Todos",datos_base!$E$11,0))*parametros_manuales!$G$107+parametros_manuales!$G$41*(datos_base!$E$5+IF(parametros_manuales!$H$41="Todos",datos_base!$E$12,0))*parametros_manuales!$G$112)*parametros_manuales!$I$41*parametros_manuales!$J$41</f>
        <v>1251.0385370125</v>
      </c>
      <c r="H108" s="14" t="n">
        <f aca="false">(parametros_manuales!$D$41*(datos_base!$E$2+IF(parametros_manuales!$H$41="Todos",datos_base!$E$9,0))*parametros_manuales!$H$97+parametros_manuales!$E$41*(datos_base!$E$3+IF(parametros_manuales!$H$41="Todos",datos_base!$E$10,0))*parametros_manuales!$H$102+parametros_manuales!$F$41*(datos_base!$E$4+IF(parametros_manuales!$H$41="Todos",datos_base!$E$11,0))*parametros_manuales!$H$107+parametros_manuales!$G$41*(datos_base!$E$5+IF(parametros_manuales!$H$41="Todos",datos_base!$E$12,0))*parametros_manuales!$H$112)*parametros_manuales!$I$41*parametros_manuales!$J$41</f>
        <v>1337.263484663</v>
      </c>
      <c r="I108" s="14" t="n">
        <f aca="false">(parametros_manuales!$D$41*(datos_base!$E$2+IF(parametros_manuales!$H$41="Todos",datos_base!$E$9,0))*parametros_manuales!$I$97+parametros_manuales!$E$41*(datos_base!$E$3+IF(parametros_manuales!$H$41="Todos",datos_base!$E$10,0))*parametros_manuales!$I$102+parametros_manuales!$F$41*(datos_base!$E$4+IF(parametros_manuales!$H$41="Todos",datos_base!$E$11,0))*parametros_manuales!$I$107+parametros_manuales!$G$41*(datos_base!$E$5+IF(parametros_manuales!$H$41="Todos",datos_base!$E$12,0))*parametros_manuales!$I$112)*parametros_manuales!$I$41*parametros_manuales!$J$41</f>
        <v>1464.270517898</v>
      </c>
      <c r="J108" s="14" t="n">
        <f aca="false">(parametros_manuales!$D$41*(datos_base!$E$2+IF(parametros_manuales!$H$41="Todos",datos_base!$E$9,0))*parametros_manuales!$J$97+parametros_manuales!$E$41*(datos_base!$E$3+IF(parametros_manuales!$H$41="Todos",datos_base!$E$10,0))*parametros_manuales!$J$102+parametros_manuales!$F$41*(datos_base!$E$4+IF(parametros_manuales!$H$41="Todos",datos_base!$E$11,0))*parametros_manuales!$J$107+parametros_manuales!$G$41*(datos_base!$E$5+IF(parametros_manuales!$H$41="Todos",datos_base!$E$12,0))*parametros_manuales!$J$112)*parametros_manuales!$I$41*parametros_manuales!$J$41</f>
        <v>1464.270517898</v>
      </c>
      <c r="K108" s="14" t="n">
        <f aca="false">(parametros_manuales!$D$41*(datos_base!$E$2+IF(parametros_manuales!$H$41="Todos",datos_base!$E$9,0))*parametros_manuales!$K$97+parametros_manuales!$E$41*(datos_base!$E$3+IF(parametros_manuales!$H$41="Todos",datos_base!$E$10,0))*parametros_manuales!$K$102+parametros_manuales!$F$41*(datos_base!$E$4+IF(parametros_manuales!$H$41="Todos",datos_base!$E$11,0))*parametros_manuales!$K$107+parametros_manuales!$G$41*(datos_base!$E$5+IF(parametros_manuales!$H$41="Todos",datos_base!$E$12,0))*parametros_manuales!$K$112)*parametros_manuales!$I$41*parametros_manuales!$J$41</f>
        <v>1508.1597878035</v>
      </c>
      <c r="L108" s="14" t="n">
        <f aca="false">(parametros_manuales!$D$41*(datos_base!$E$2+IF(parametros_manuales!$H$41="Todos",datos_base!$E$9,0))*parametros_manuales!$L$97+parametros_manuales!$E$41*(datos_base!$E$3+IF(parametros_manuales!$H$41="Todos",datos_base!$E$10,0))*parametros_manuales!$L$102+parametros_manuales!$F$41*(datos_base!$E$4+IF(parametros_manuales!$H$41="Todos",datos_base!$E$11,0))*parametros_manuales!$L$107+parametros_manuales!$G$41*(datos_base!$E$5+IF(parametros_manuales!$H$41="Todos",datos_base!$E$12,0))*parametros_manuales!$L$112)*parametros_manuales!$I$41*parametros_manuales!$J$41</f>
        <v>1552.049057709</v>
      </c>
      <c r="M108" s="14" t="n">
        <f aca="false">(parametros_manuales!$D$41*(datos_base!$E$2+IF(parametros_manuales!$H$41="Todos",datos_base!$E$9,0))*parametros_manuales!$M$97+parametros_manuales!$E$41*(datos_base!$E$3+IF(parametros_manuales!$H$41="Todos",datos_base!$E$10,0))*parametros_manuales!$M$102+parametros_manuales!$F$41*(datos_base!$E$4+IF(parametros_manuales!$H$41="Todos",datos_base!$E$11,0))*parametros_manuales!$M$107+parametros_manuales!$G$41*(datos_base!$E$5+IF(parametros_manuales!$H$41="Todos",datos_base!$E$12,0))*parametros_manuales!$M$112)*parametros_manuales!$I$41*parametros_manuales!$J$41</f>
        <v>1552.049057709</v>
      </c>
      <c r="N108" s="14" t="n">
        <f aca="false">SUM(B108:M108)</f>
        <v>17244.9895301</v>
      </c>
      <c r="O108" s="14" t="n">
        <f aca="false">MAX(B108:M108)</f>
        <v>1552.049057709</v>
      </c>
      <c r="P108" s="57" t="n">
        <f aca="false">O108/(parametros_manuales!$B$7)</f>
        <v>10.34699371806</v>
      </c>
      <c r="Q108" s="13" t="str">
        <f aca="false">IF(O108=0,"-",INDEX($B$85:$M$85,MATCH(O108,B108:M108,0)))</f>
        <v>Ene</v>
      </c>
    </row>
    <row r="109" customFormat="false" ht="14.25" hidden="false" customHeight="true" outlineLevel="0" collapsed="false">
      <c r="A109" s="13" t="str">
        <f aca="false">parametros_manuales!$B$42</f>
        <v>Control de calidad — Ensayo de pérdidas</v>
      </c>
      <c r="B109" s="14" t="n">
        <f aca="false">(parametros_manuales!$D$42*(datos_base!$E$2+IF(parametros_manuales!$H$42="Todos",datos_base!$E$9,0))*parametros_manuales!$B$97+parametros_manuales!$E$42*(datos_base!$E$3+IF(parametros_manuales!$H$42="Todos",datos_base!$E$10,0))*parametros_manuales!$B$102+parametros_manuales!$F$42*(datos_base!$E$4+IF(parametros_manuales!$H$42="Todos",datos_base!$E$11,0))*parametros_manuales!$B$107+parametros_manuales!$G$42*(datos_base!$E$5+IF(parametros_manuales!$H$42="Todos",datos_base!$E$12,0))*parametros_manuales!$B$112)*parametros_manuales!$I$42*parametros_manuales!$J$42</f>
        <v>1552.049057709</v>
      </c>
      <c r="C109" s="14" t="n">
        <f aca="false">(parametros_manuales!$D$42*(datos_base!$E$2+IF(parametros_manuales!$H$42="Todos",datos_base!$E$9,0))*parametros_manuales!$C$97+parametros_manuales!$E$42*(datos_base!$E$3+IF(parametros_manuales!$H$42="Todos",datos_base!$E$10,0))*parametros_manuales!$C$102+parametros_manuales!$F$42*(datos_base!$E$4+IF(parametros_manuales!$H$42="Todos",datos_base!$E$11,0))*parametros_manuales!$C$107+parametros_manuales!$G$42*(datos_base!$E$5+IF(parametros_manuales!$H$42="Todos",datos_base!$E$12,0))*parametros_manuales!$C$112)*parametros_manuales!$I$42*parametros_manuales!$J$42</f>
        <v>1464.270517898</v>
      </c>
      <c r="D109" s="14" t="n">
        <f aca="false">(parametros_manuales!$D$42*(datos_base!$E$2+IF(parametros_manuales!$H$42="Todos",datos_base!$E$9,0))*parametros_manuales!$D$97+parametros_manuales!$E$42*(datos_base!$E$3+IF(parametros_manuales!$H$42="Todos",datos_base!$E$10,0))*parametros_manuales!$D$102+parametros_manuales!$F$42*(datos_base!$E$4+IF(parametros_manuales!$H$42="Todos",datos_base!$E$11,0))*parametros_manuales!$D$107+parametros_manuales!$G$42*(datos_base!$E$5+IF(parametros_manuales!$H$42="Todos",datos_base!$E$12,0))*parametros_manuales!$D$112)*parametros_manuales!$I$42*parametros_manuales!$J$42</f>
        <v>1423.4884323135</v>
      </c>
      <c r="E109" s="14" t="n">
        <f aca="false">(parametros_manuales!$D$42*(datos_base!$E$2+IF(parametros_manuales!$H$42="Todos",datos_base!$E$9,0))*parametros_manuales!$E$97+parametros_manuales!$E$42*(datos_base!$E$3+IF(parametros_manuales!$H$42="Todos",datos_base!$E$10,0))*parametros_manuales!$E$102+parametros_manuales!$F$42*(datos_base!$E$4+IF(parametros_manuales!$H$42="Todos",datos_base!$E$11,0))*parametros_manuales!$E$107+parametros_manuales!$G$42*(datos_base!$E$5+IF(parametros_manuales!$H$42="Todos",datos_base!$E$12,0))*parametros_manuales!$E$112)*parametros_manuales!$I$42*parametros_manuales!$J$42</f>
        <v>1381.1527545685</v>
      </c>
      <c r="F109" s="14" t="n">
        <f aca="false">(parametros_manuales!$D$42*(datos_base!$E$2+IF(parametros_manuales!$H$42="Todos",datos_base!$E$9,0))*parametros_manuales!$F$97+parametros_manuales!$E$42*(datos_base!$E$3+IF(parametros_manuales!$H$42="Todos",datos_base!$E$10,0))*parametros_manuales!$F$102+parametros_manuales!$F$42*(datos_base!$E$4+IF(parametros_manuales!$H$42="Todos",datos_base!$E$11,0))*parametros_manuales!$F$107+parametros_manuales!$G$42*(datos_base!$E$5+IF(parametros_manuales!$H$42="Todos",datos_base!$E$12,0))*parametros_manuales!$F$112)*parametros_manuales!$I$42*parametros_manuales!$J$42</f>
        <v>1294.927806918</v>
      </c>
      <c r="G109" s="14" t="n">
        <f aca="false">(parametros_manuales!$D$42*(datos_base!$E$2+IF(parametros_manuales!$H$42="Todos",datos_base!$E$9,0))*parametros_manuales!$G$97+parametros_manuales!$E$42*(datos_base!$E$3+IF(parametros_manuales!$H$42="Todos",datos_base!$E$10,0))*parametros_manuales!$G$102+parametros_manuales!$F$42*(datos_base!$E$4+IF(parametros_manuales!$H$42="Todos",datos_base!$E$11,0))*parametros_manuales!$G$107+parametros_manuales!$G$42*(datos_base!$E$5+IF(parametros_manuales!$H$42="Todos",datos_base!$E$12,0))*parametros_manuales!$G$112)*parametros_manuales!$I$42*parametros_manuales!$J$42</f>
        <v>1251.0385370125</v>
      </c>
      <c r="H109" s="14" t="n">
        <f aca="false">(parametros_manuales!$D$42*(datos_base!$E$2+IF(parametros_manuales!$H$42="Todos",datos_base!$E$9,0))*parametros_manuales!$H$97+parametros_manuales!$E$42*(datos_base!$E$3+IF(parametros_manuales!$H$42="Todos",datos_base!$E$10,0))*parametros_manuales!$H$102+parametros_manuales!$F$42*(datos_base!$E$4+IF(parametros_manuales!$H$42="Todos",datos_base!$E$11,0))*parametros_manuales!$H$107+parametros_manuales!$G$42*(datos_base!$E$5+IF(parametros_manuales!$H$42="Todos",datos_base!$E$12,0))*parametros_manuales!$H$112)*parametros_manuales!$I$42*parametros_manuales!$J$42</f>
        <v>1337.263484663</v>
      </c>
      <c r="I109" s="14" t="n">
        <f aca="false">(parametros_manuales!$D$42*(datos_base!$E$2+IF(parametros_manuales!$H$42="Todos",datos_base!$E$9,0))*parametros_manuales!$I$97+parametros_manuales!$E$42*(datos_base!$E$3+IF(parametros_manuales!$H$42="Todos",datos_base!$E$10,0))*parametros_manuales!$I$102+parametros_manuales!$F$42*(datos_base!$E$4+IF(parametros_manuales!$H$42="Todos",datos_base!$E$11,0))*parametros_manuales!$I$107+parametros_manuales!$G$42*(datos_base!$E$5+IF(parametros_manuales!$H$42="Todos",datos_base!$E$12,0))*parametros_manuales!$I$112)*parametros_manuales!$I$42*parametros_manuales!$J$42</f>
        <v>1464.270517898</v>
      </c>
      <c r="J109" s="14" t="n">
        <f aca="false">(parametros_manuales!$D$42*(datos_base!$E$2+IF(parametros_manuales!$H$42="Todos",datos_base!$E$9,0))*parametros_manuales!$J$97+parametros_manuales!$E$42*(datos_base!$E$3+IF(parametros_manuales!$H$42="Todos",datos_base!$E$10,0))*parametros_manuales!$J$102+parametros_manuales!$F$42*(datos_base!$E$4+IF(parametros_manuales!$H$42="Todos",datos_base!$E$11,0))*parametros_manuales!$J$107+parametros_manuales!$G$42*(datos_base!$E$5+IF(parametros_manuales!$H$42="Todos",datos_base!$E$12,0))*parametros_manuales!$J$112)*parametros_manuales!$I$42*parametros_manuales!$J$42</f>
        <v>1464.270517898</v>
      </c>
      <c r="K109" s="14" t="n">
        <f aca="false">(parametros_manuales!$D$42*(datos_base!$E$2+IF(parametros_manuales!$H$42="Todos",datos_base!$E$9,0))*parametros_manuales!$K$97+parametros_manuales!$E$42*(datos_base!$E$3+IF(parametros_manuales!$H$42="Todos",datos_base!$E$10,0))*parametros_manuales!$K$102+parametros_manuales!$F$42*(datos_base!$E$4+IF(parametros_manuales!$H$42="Todos",datos_base!$E$11,0))*parametros_manuales!$K$107+parametros_manuales!$G$42*(datos_base!$E$5+IF(parametros_manuales!$H$42="Todos",datos_base!$E$12,0))*parametros_manuales!$K$112)*parametros_manuales!$I$42*parametros_manuales!$J$42</f>
        <v>1508.1597878035</v>
      </c>
      <c r="L109" s="14" t="n">
        <f aca="false">(parametros_manuales!$D$42*(datos_base!$E$2+IF(parametros_manuales!$H$42="Todos",datos_base!$E$9,0))*parametros_manuales!$L$97+parametros_manuales!$E$42*(datos_base!$E$3+IF(parametros_manuales!$H$42="Todos",datos_base!$E$10,0))*parametros_manuales!$L$102+parametros_manuales!$F$42*(datos_base!$E$4+IF(parametros_manuales!$H$42="Todos",datos_base!$E$11,0))*parametros_manuales!$L$107+parametros_manuales!$G$42*(datos_base!$E$5+IF(parametros_manuales!$H$42="Todos",datos_base!$E$12,0))*parametros_manuales!$L$112)*parametros_manuales!$I$42*parametros_manuales!$J$42</f>
        <v>1552.049057709</v>
      </c>
      <c r="M109" s="14" t="n">
        <f aca="false">(parametros_manuales!$D$42*(datos_base!$E$2+IF(parametros_manuales!$H$42="Todos",datos_base!$E$9,0))*parametros_manuales!$M$97+parametros_manuales!$E$42*(datos_base!$E$3+IF(parametros_manuales!$H$42="Todos",datos_base!$E$10,0))*parametros_manuales!$M$102+parametros_manuales!$F$42*(datos_base!$E$4+IF(parametros_manuales!$H$42="Todos",datos_base!$E$11,0))*parametros_manuales!$M$107+parametros_manuales!$G$42*(datos_base!$E$5+IF(parametros_manuales!$H$42="Todos",datos_base!$E$12,0))*parametros_manuales!$M$112)*parametros_manuales!$I$42*parametros_manuales!$J$42</f>
        <v>1552.049057709</v>
      </c>
      <c r="N109" s="14" t="n">
        <f aca="false">SUM(B109:M109)</f>
        <v>17244.9895301</v>
      </c>
      <c r="O109" s="14" t="n">
        <f aca="false">MAX(B109:M109)</f>
        <v>1552.049057709</v>
      </c>
      <c r="P109" s="57" t="n">
        <f aca="false">O109/(parametros_manuales!$B$7)</f>
        <v>10.34699371806</v>
      </c>
      <c r="Q109" s="13" t="str">
        <f aca="false">IF(O109=0,"-",INDEX($B$85:$M$85,MATCH(O109,B109:M109,0)))</f>
        <v>Ene</v>
      </c>
    </row>
    <row r="110" customFormat="false" ht="14.25" hidden="false" customHeight="true" outlineLevel="0" collapsed="false">
      <c r="A110" s="13" t="str">
        <f aca="false">parametros_manuales!$B$43</f>
        <v>Etiquetado</v>
      </c>
      <c r="B110" s="14" t="n">
        <f aca="false">(parametros_manuales!$D$43*(datos_base!$E$2+IF(parametros_manuales!$H$43="Todos",datos_base!$E$9,0))*parametros_manuales!$B$97+parametros_manuales!$E$43*(datos_base!$E$3+IF(parametros_manuales!$H$43="Todos",datos_base!$E$10,0))*parametros_manuales!$B$102+parametros_manuales!$F$43*(datos_base!$E$4+IF(parametros_manuales!$H$43="Todos",datos_base!$E$11,0))*parametros_manuales!$B$107+parametros_manuales!$G$43*(datos_base!$E$5+IF(parametros_manuales!$H$43="Todos",datos_base!$E$12,0))*parametros_manuales!$B$112)*parametros_manuales!$I$43*parametros_manuales!$J$43</f>
        <v>1552.049057709</v>
      </c>
      <c r="C110" s="14" t="n">
        <f aca="false">(parametros_manuales!$D$43*(datos_base!$E$2+IF(parametros_manuales!$H$43="Todos",datos_base!$E$9,0))*parametros_manuales!$C$97+parametros_manuales!$E$43*(datos_base!$E$3+IF(parametros_manuales!$H$43="Todos",datos_base!$E$10,0))*parametros_manuales!$C$102+parametros_manuales!$F$43*(datos_base!$E$4+IF(parametros_manuales!$H$43="Todos",datos_base!$E$11,0))*parametros_manuales!$C$107+parametros_manuales!$G$43*(datos_base!$E$5+IF(parametros_manuales!$H$43="Todos",datos_base!$E$12,0))*parametros_manuales!$C$112)*parametros_manuales!$I$43*parametros_manuales!$J$43</f>
        <v>1464.270517898</v>
      </c>
      <c r="D110" s="14" t="n">
        <f aca="false">(parametros_manuales!$D$43*(datos_base!$E$2+IF(parametros_manuales!$H$43="Todos",datos_base!$E$9,0))*parametros_manuales!$D$97+parametros_manuales!$E$43*(datos_base!$E$3+IF(parametros_manuales!$H$43="Todos",datos_base!$E$10,0))*parametros_manuales!$D$102+parametros_manuales!$F$43*(datos_base!$E$4+IF(parametros_manuales!$H$43="Todos",datos_base!$E$11,0))*parametros_manuales!$D$107+parametros_manuales!$G$43*(datos_base!$E$5+IF(parametros_manuales!$H$43="Todos",datos_base!$E$12,0))*parametros_manuales!$D$112)*parametros_manuales!$I$43*parametros_manuales!$J$43</f>
        <v>1423.4884323135</v>
      </c>
      <c r="E110" s="14" t="n">
        <f aca="false">(parametros_manuales!$D$43*(datos_base!$E$2+IF(parametros_manuales!$H$43="Todos",datos_base!$E$9,0))*parametros_manuales!$E$97+parametros_manuales!$E$43*(datos_base!$E$3+IF(parametros_manuales!$H$43="Todos",datos_base!$E$10,0))*parametros_manuales!$E$102+parametros_manuales!$F$43*(datos_base!$E$4+IF(parametros_manuales!$H$43="Todos",datos_base!$E$11,0))*parametros_manuales!$E$107+parametros_manuales!$G$43*(datos_base!$E$5+IF(parametros_manuales!$H$43="Todos",datos_base!$E$12,0))*parametros_manuales!$E$112)*parametros_manuales!$I$43*parametros_manuales!$J$43</f>
        <v>1381.1527545685</v>
      </c>
      <c r="F110" s="14" t="n">
        <f aca="false">(parametros_manuales!$D$43*(datos_base!$E$2+IF(parametros_manuales!$H$43="Todos",datos_base!$E$9,0))*parametros_manuales!$F$97+parametros_manuales!$E$43*(datos_base!$E$3+IF(parametros_manuales!$H$43="Todos",datos_base!$E$10,0))*parametros_manuales!$F$102+parametros_manuales!$F$43*(datos_base!$E$4+IF(parametros_manuales!$H$43="Todos",datos_base!$E$11,0))*parametros_manuales!$F$107+parametros_manuales!$G$43*(datos_base!$E$5+IF(parametros_manuales!$H$43="Todos",datos_base!$E$12,0))*parametros_manuales!$F$112)*parametros_manuales!$I$43*parametros_manuales!$J$43</f>
        <v>1294.927806918</v>
      </c>
      <c r="G110" s="14" t="n">
        <f aca="false">(parametros_manuales!$D$43*(datos_base!$E$2+IF(parametros_manuales!$H$43="Todos",datos_base!$E$9,0))*parametros_manuales!$G$97+parametros_manuales!$E$43*(datos_base!$E$3+IF(parametros_manuales!$H$43="Todos",datos_base!$E$10,0))*parametros_manuales!$G$102+parametros_manuales!$F$43*(datos_base!$E$4+IF(parametros_manuales!$H$43="Todos",datos_base!$E$11,0))*parametros_manuales!$G$107+parametros_manuales!$G$43*(datos_base!$E$5+IF(parametros_manuales!$H$43="Todos",datos_base!$E$12,0))*parametros_manuales!$G$112)*parametros_manuales!$I$43*parametros_manuales!$J$43</f>
        <v>1251.0385370125</v>
      </c>
      <c r="H110" s="14" t="n">
        <f aca="false">(parametros_manuales!$D$43*(datos_base!$E$2+IF(parametros_manuales!$H$43="Todos",datos_base!$E$9,0))*parametros_manuales!$H$97+parametros_manuales!$E$43*(datos_base!$E$3+IF(parametros_manuales!$H$43="Todos",datos_base!$E$10,0))*parametros_manuales!$H$102+parametros_manuales!$F$43*(datos_base!$E$4+IF(parametros_manuales!$H$43="Todos",datos_base!$E$11,0))*parametros_manuales!$H$107+parametros_manuales!$G$43*(datos_base!$E$5+IF(parametros_manuales!$H$43="Todos",datos_base!$E$12,0))*parametros_manuales!$H$112)*parametros_manuales!$I$43*parametros_manuales!$J$43</f>
        <v>1337.263484663</v>
      </c>
      <c r="I110" s="14" t="n">
        <f aca="false">(parametros_manuales!$D$43*(datos_base!$E$2+IF(parametros_manuales!$H$43="Todos",datos_base!$E$9,0))*parametros_manuales!$I$97+parametros_manuales!$E$43*(datos_base!$E$3+IF(parametros_manuales!$H$43="Todos",datos_base!$E$10,0))*parametros_manuales!$I$102+parametros_manuales!$F$43*(datos_base!$E$4+IF(parametros_manuales!$H$43="Todos",datos_base!$E$11,0))*parametros_manuales!$I$107+parametros_manuales!$G$43*(datos_base!$E$5+IF(parametros_manuales!$H$43="Todos",datos_base!$E$12,0))*parametros_manuales!$I$112)*parametros_manuales!$I$43*parametros_manuales!$J$43</f>
        <v>1464.270517898</v>
      </c>
      <c r="J110" s="14" t="n">
        <f aca="false">(parametros_manuales!$D$43*(datos_base!$E$2+IF(parametros_manuales!$H$43="Todos",datos_base!$E$9,0))*parametros_manuales!$J$97+parametros_manuales!$E$43*(datos_base!$E$3+IF(parametros_manuales!$H$43="Todos",datos_base!$E$10,0))*parametros_manuales!$J$102+parametros_manuales!$F$43*(datos_base!$E$4+IF(parametros_manuales!$H$43="Todos",datos_base!$E$11,0))*parametros_manuales!$J$107+parametros_manuales!$G$43*(datos_base!$E$5+IF(parametros_manuales!$H$43="Todos",datos_base!$E$12,0))*parametros_manuales!$J$112)*parametros_manuales!$I$43*parametros_manuales!$J$43</f>
        <v>1464.270517898</v>
      </c>
      <c r="K110" s="14" t="n">
        <f aca="false">(parametros_manuales!$D$43*(datos_base!$E$2+IF(parametros_manuales!$H$43="Todos",datos_base!$E$9,0))*parametros_manuales!$K$97+parametros_manuales!$E$43*(datos_base!$E$3+IF(parametros_manuales!$H$43="Todos",datos_base!$E$10,0))*parametros_manuales!$K$102+parametros_manuales!$F$43*(datos_base!$E$4+IF(parametros_manuales!$H$43="Todos",datos_base!$E$11,0))*parametros_manuales!$K$107+parametros_manuales!$G$43*(datos_base!$E$5+IF(parametros_manuales!$H$43="Todos",datos_base!$E$12,0))*parametros_manuales!$K$112)*parametros_manuales!$I$43*parametros_manuales!$J$43</f>
        <v>1508.1597878035</v>
      </c>
      <c r="L110" s="14" t="n">
        <f aca="false">(parametros_manuales!$D$43*(datos_base!$E$2+IF(parametros_manuales!$H$43="Todos",datos_base!$E$9,0))*parametros_manuales!$L$97+parametros_manuales!$E$43*(datos_base!$E$3+IF(parametros_manuales!$H$43="Todos",datos_base!$E$10,0))*parametros_manuales!$L$102+parametros_manuales!$F$43*(datos_base!$E$4+IF(parametros_manuales!$H$43="Todos",datos_base!$E$11,0))*parametros_manuales!$L$107+parametros_manuales!$G$43*(datos_base!$E$5+IF(parametros_manuales!$H$43="Todos",datos_base!$E$12,0))*parametros_manuales!$L$112)*parametros_manuales!$I$43*parametros_manuales!$J$43</f>
        <v>1552.049057709</v>
      </c>
      <c r="M110" s="14" t="n">
        <f aca="false">(parametros_manuales!$D$43*(datos_base!$E$2+IF(parametros_manuales!$H$43="Todos",datos_base!$E$9,0))*parametros_manuales!$M$97+parametros_manuales!$E$43*(datos_base!$E$3+IF(parametros_manuales!$H$43="Todos",datos_base!$E$10,0))*parametros_manuales!$M$102+parametros_manuales!$F$43*(datos_base!$E$4+IF(parametros_manuales!$H$43="Todos",datos_base!$E$11,0))*parametros_manuales!$M$107+parametros_manuales!$G$43*(datos_base!$E$5+IF(parametros_manuales!$H$43="Todos",datos_base!$E$12,0))*parametros_manuales!$M$112)*parametros_manuales!$I$43*parametros_manuales!$J$43</f>
        <v>1552.049057709</v>
      </c>
      <c r="N110" s="14" t="n">
        <f aca="false">SUM(B110:M110)</f>
        <v>17244.9895301</v>
      </c>
      <c r="O110" s="14" t="n">
        <f aca="false">MAX(B110:M110)</f>
        <v>1552.049057709</v>
      </c>
      <c r="P110" s="57" t="n">
        <f aca="false">O110/(parametros_manuales!$B$7)</f>
        <v>10.34699371806</v>
      </c>
      <c r="Q110" s="13" t="str">
        <f aca="false">IF(O110=0,"-",INDEX($B$85:$M$85,MATCH(O110,B110:M110,0)))</f>
        <v>Ene</v>
      </c>
    </row>
    <row r="111" customFormat="false" ht="14.25" hidden="false" customHeight="true" outlineLevel="0" collapsed="false">
      <c r="A111" s="13" t="str">
        <f aca="false">parametros_manuales!$B$44</f>
        <v>Embalaje y paletizado</v>
      </c>
      <c r="B111" s="14" t="n">
        <f aca="false">(parametros_manuales!$D$44*(datos_base!$E$2+IF(parametros_manuales!$H$44="Todos",datos_base!$E$9,0))*parametros_manuales!$B$97+parametros_manuales!$E$44*(datos_base!$E$3+IF(parametros_manuales!$H$44="Todos",datos_base!$E$10,0))*parametros_manuales!$B$102+parametros_manuales!$F$44*(datos_base!$E$4+IF(parametros_manuales!$H$44="Todos",datos_base!$E$11,0))*parametros_manuales!$B$107+parametros_manuales!$G$44*(datos_base!$E$5+IF(parametros_manuales!$H$44="Todos",datos_base!$E$12,0))*parametros_manuales!$B$112)*parametros_manuales!$I$44*parametros_manuales!$J$44</f>
        <v>4557.145457709</v>
      </c>
      <c r="C111" s="14" t="n">
        <f aca="false">(parametros_manuales!$D$44*(datos_base!$E$2+IF(parametros_manuales!$H$44="Todos",datos_base!$E$9,0))*parametros_manuales!$C$97+parametros_manuales!$E$44*(datos_base!$E$3+IF(parametros_manuales!$H$44="Todos",datos_base!$E$10,0))*parametros_manuales!$C$102+parametros_manuales!$F$44*(datos_base!$E$4+IF(parametros_manuales!$H$44="Todos",datos_base!$E$11,0))*parametros_manuales!$C$107+parametros_manuales!$G$44*(datos_base!$E$5+IF(parametros_manuales!$H$44="Todos",datos_base!$E$12,0))*parametros_manuales!$C$112)*parametros_manuales!$I$44*parametros_manuales!$J$44</f>
        <v>4402.415317898</v>
      </c>
      <c r="D111" s="14" t="n">
        <f aca="false">(parametros_manuales!$D$44*(datos_base!$E$2+IF(parametros_manuales!$H$44="Todos",datos_base!$E$9,0))*parametros_manuales!$D$97+parametros_manuales!$E$44*(datos_base!$E$3+IF(parametros_manuales!$H$44="Todos",datos_base!$E$10,0))*parametros_manuales!$D$102+parametros_manuales!$F$44*(datos_base!$E$4+IF(parametros_manuales!$H$44="Todos",datos_base!$E$11,0))*parametros_manuales!$D$107+parametros_manuales!$G$44*(datos_base!$E$5+IF(parametros_manuales!$H$44="Todos",datos_base!$E$12,0))*parametros_manuales!$D$112)*parametros_manuales!$I$44*parametros_manuales!$J$44</f>
        <v>4128.1610323135</v>
      </c>
      <c r="E111" s="14" t="n">
        <f aca="false">(parametros_manuales!$D$44*(datos_base!$E$2+IF(parametros_manuales!$H$44="Todos",datos_base!$E$9,0))*parametros_manuales!$E$97+parametros_manuales!$E$44*(datos_base!$E$3+IF(parametros_manuales!$H$44="Todos",datos_base!$E$10,0))*parametros_manuales!$E$102+parametros_manuales!$F$44*(datos_base!$E$4+IF(parametros_manuales!$H$44="Todos",datos_base!$E$11,0))*parametros_manuales!$E$107+parametros_manuales!$G$44*(datos_base!$E$5+IF(parametros_manuales!$H$44="Todos",datos_base!$E$12,0))*parametros_manuales!$E$112)*parametros_manuales!$I$44*parametros_manuales!$J$44</f>
        <v>3952.3513545685</v>
      </c>
      <c r="F111" s="14" t="n">
        <f aca="false">(parametros_manuales!$D$44*(datos_base!$E$2+IF(parametros_manuales!$H$44="Todos",datos_base!$E$9,0))*parametros_manuales!$F$97+parametros_manuales!$E$44*(datos_base!$E$3+IF(parametros_manuales!$H$44="Todos",datos_base!$E$10,0))*parametros_manuales!$F$102+parametros_manuales!$F$44*(datos_base!$E$4+IF(parametros_manuales!$H$44="Todos",datos_base!$E$11,0))*parametros_manuales!$F$107+parametros_manuales!$G$44*(datos_base!$E$5+IF(parametros_manuales!$H$44="Todos",datos_base!$E$12,0))*parametros_manuales!$F$112)*parametros_manuales!$I$44*parametros_manuales!$J$44</f>
        <v>3699.176606918</v>
      </c>
      <c r="G111" s="14" t="n">
        <f aca="false">(parametros_manuales!$D$44*(datos_base!$E$2+IF(parametros_manuales!$H$44="Todos",datos_base!$E$9,0))*parametros_manuales!$G$97+parametros_manuales!$E$44*(datos_base!$E$3+IF(parametros_manuales!$H$44="Todos",datos_base!$E$10,0))*parametros_manuales!$G$102+parametros_manuales!$F$44*(datos_base!$E$4+IF(parametros_manuales!$H$44="Todos",datos_base!$E$11,0))*parametros_manuales!$G$107+parametros_manuales!$G$44*(datos_base!$E$5+IF(parametros_manuales!$H$44="Todos",datos_base!$E$12,0))*parametros_manuales!$G$112)*parametros_manuales!$I$44*parametros_manuales!$J$44</f>
        <v>3621.8115370125</v>
      </c>
      <c r="H111" s="14" t="n">
        <f aca="false">(parametros_manuales!$D$44*(datos_base!$E$2+IF(parametros_manuales!$H$44="Todos",datos_base!$E$9,0))*parametros_manuales!$H$97+parametros_manuales!$E$44*(datos_base!$E$3+IF(parametros_manuales!$H$44="Todos",datos_base!$E$10,0))*parametros_manuales!$H$102+parametros_manuales!$F$44*(datos_base!$E$4+IF(parametros_manuales!$H$44="Todos",datos_base!$E$11,0))*parametros_manuales!$H$107+parametros_manuales!$G$44*(datos_base!$E$5+IF(parametros_manuales!$H$44="Todos",datos_base!$E$12,0))*parametros_manuales!$H$112)*parametros_manuales!$I$44*parametros_manuales!$J$44</f>
        <v>3874.986284663</v>
      </c>
      <c r="I111" s="14" t="n">
        <f aca="false">(parametros_manuales!$D$44*(datos_base!$E$2+IF(parametros_manuales!$H$44="Todos",datos_base!$E$9,0))*parametros_manuales!$I$97+parametros_manuales!$E$44*(datos_base!$E$3+IF(parametros_manuales!$H$44="Todos",datos_base!$E$10,0))*parametros_manuales!$I$102+parametros_manuales!$F$44*(datos_base!$E$4+IF(parametros_manuales!$H$44="Todos",datos_base!$E$11,0))*parametros_manuales!$I$107+parametros_manuales!$G$44*(datos_base!$E$5+IF(parametros_manuales!$H$44="Todos",datos_base!$E$12,0))*parametros_manuales!$I$112)*parametros_manuales!$I$44*parametros_manuales!$J$44</f>
        <v>4402.415317898</v>
      </c>
      <c r="J111" s="14" t="n">
        <f aca="false">(parametros_manuales!$D$44*(datos_base!$E$2+IF(parametros_manuales!$H$44="Todos",datos_base!$E$9,0))*parametros_manuales!$J$97+parametros_manuales!$E$44*(datos_base!$E$3+IF(parametros_manuales!$H$44="Todos",datos_base!$E$10,0))*parametros_manuales!$J$102+parametros_manuales!$F$44*(datos_base!$E$4+IF(parametros_manuales!$H$44="Todos",datos_base!$E$11,0))*parametros_manuales!$J$107+parametros_manuales!$G$44*(datos_base!$E$5+IF(parametros_manuales!$H$44="Todos",datos_base!$E$12,0))*parametros_manuales!$J$112)*parametros_manuales!$I$44*parametros_manuales!$J$44</f>
        <v>4402.415317898</v>
      </c>
      <c r="K111" s="14" t="n">
        <f aca="false">(parametros_manuales!$D$44*(datos_base!$E$2+IF(parametros_manuales!$H$44="Todos",datos_base!$E$9,0))*parametros_manuales!$K$97+parametros_manuales!$E$44*(datos_base!$E$3+IF(parametros_manuales!$H$44="Todos",datos_base!$E$10,0))*parametros_manuales!$K$102+parametros_manuales!$F$44*(datos_base!$E$4+IF(parametros_manuales!$H$44="Todos",datos_base!$E$11,0))*parametros_manuales!$K$107+parametros_manuales!$G$44*(datos_base!$E$5+IF(parametros_manuales!$H$44="Todos",datos_base!$E$12,0))*parametros_manuales!$K$112)*parametros_manuales!$I$44*parametros_manuales!$J$44</f>
        <v>4479.7803878035</v>
      </c>
      <c r="L111" s="14" t="n">
        <f aca="false">(parametros_manuales!$D$44*(datos_base!$E$2+IF(parametros_manuales!$H$44="Todos",datos_base!$E$9,0))*parametros_manuales!$L$97+parametros_manuales!$E$44*(datos_base!$E$3+IF(parametros_manuales!$H$44="Todos",datos_base!$E$10,0))*parametros_manuales!$L$102+parametros_manuales!$F$44*(datos_base!$E$4+IF(parametros_manuales!$H$44="Todos",datos_base!$E$11,0))*parametros_manuales!$L$107+parametros_manuales!$G$44*(datos_base!$E$5+IF(parametros_manuales!$H$44="Todos",datos_base!$E$12,0))*parametros_manuales!$L$112)*parametros_manuales!$I$44*parametros_manuales!$J$44</f>
        <v>4557.145457709</v>
      </c>
      <c r="M111" s="14" t="n">
        <f aca="false">(parametros_manuales!$D$44*(datos_base!$E$2+IF(parametros_manuales!$H$44="Todos",datos_base!$E$9,0))*parametros_manuales!$M$97+parametros_manuales!$E$44*(datos_base!$E$3+IF(parametros_manuales!$H$44="Todos",datos_base!$E$10,0))*parametros_manuales!$M$102+parametros_manuales!$F$44*(datos_base!$E$4+IF(parametros_manuales!$H$44="Todos",datos_base!$E$11,0))*parametros_manuales!$M$107+parametros_manuales!$G$44*(datos_base!$E$5+IF(parametros_manuales!$H$44="Todos",datos_base!$E$12,0))*parametros_manuales!$M$112)*parametros_manuales!$I$44*parametros_manuales!$J$44</f>
        <v>4557.145457709</v>
      </c>
      <c r="N111" s="14" t="n">
        <f aca="false">SUM(B111:M111)</f>
        <v>50634.9495301</v>
      </c>
      <c r="O111" s="14" t="n">
        <f aca="false">MAX(B111:M111)</f>
        <v>4557.145457709</v>
      </c>
      <c r="P111" s="57" t="n">
        <f aca="false">O111/(parametros_manuales!$B$7)</f>
        <v>30.38096971806</v>
      </c>
      <c r="Q111" s="13" t="str">
        <f aca="false">IF(O111=0,"-",INDEX($B$85:$M$85,MATCH(O111,B111:M111,0)))</f>
        <v>Ene</v>
      </c>
    </row>
    <row r="112" customFormat="false" ht="14.25" hidden="false" customHeight="true" outlineLevel="0" collapsed="false"/>
    <row r="113" customFormat="false" ht="14.25" hidden="false" customHeight="true" outlineLevel="0" collapsed="false">
      <c r="A113" s="12" t="s">
        <v>272</v>
      </c>
      <c r="B113" s="12" t="s">
        <v>37</v>
      </c>
      <c r="C113" s="12" t="s">
        <v>38</v>
      </c>
      <c r="D113" s="12" t="s">
        <v>39</v>
      </c>
      <c r="E113" s="12" t="s">
        <v>40</v>
      </c>
      <c r="F113" s="12" t="s">
        <v>41</v>
      </c>
      <c r="G113" s="12" t="s">
        <v>42</v>
      </c>
      <c r="H113" s="12" t="s">
        <v>43</v>
      </c>
      <c r="I113" s="12" t="s">
        <v>44</v>
      </c>
      <c r="J113" s="12" t="s">
        <v>45</v>
      </c>
      <c r="K113" s="12" t="s">
        <v>46</v>
      </c>
      <c r="L113" s="12" t="s">
        <v>47</v>
      </c>
      <c r="M113" s="12" t="s">
        <v>48</v>
      </c>
      <c r="N113" s="12" t="s">
        <v>261</v>
      </c>
      <c r="O113" s="12" t="s">
        <v>266</v>
      </c>
      <c r="P113" s="12" t="s">
        <v>267</v>
      </c>
      <c r="Q113" s="12" t="s">
        <v>268</v>
      </c>
    </row>
    <row r="114" customFormat="false" ht="14.25" hidden="false" customHeight="true" outlineLevel="0" collapsed="false">
      <c r="A114" s="13" t="str">
        <f aca="false">parametros_manuales!$B$19</f>
        <v>Recepción de materia prima</v>
      </c>
      <c r="B114" s="14" t="n">
        <f aca="false">(parametros_manuales!$D$19*(datos_base!$F$2+IF(parametros_manuales!$H$19="Todos",datos_base!$F$9,0))*parametros_manuales!$B$97+parametros_manuales!$E$19*(datos_base!$F$3+IF(parametros_manuales!$H$19="Todos",datos_base!$F$10,0))*parametros_manuales!$B$102+parametros_manuales!$F$19*(datos_base!$F$4+IF(parametros_manuales!$H$19="Todos",datos_base!$F$11,0))*parametros_manuales!$B$107+parametros_manuales!$G$19*(datos_base!$F$5+IF(parametros_manuales!$H$19="Todos",datos_base!$F$12,0))*parametros_manuales!$B$112)*parametros_manuales!$I$19*parametros_manuales!$J$19</f>
        <v>7937.395697511</v>
      </c>
      <c r="C114" s="14" t="n">
        <f aca="false">(parametros_manuales!$D$19*(datos_base!$F$2+IF(parametros_manuales!$H$19="Todos",datos_base!$F$9,0))*parametros_manuales!$C$97+parametros_manuales!$E$19*(datos_base!$F$3+IF(parametros_manuales!$H$19="Todos",datos_base!$F$10,0))*parametros_manuales!$C$102+parametros_manuales!$F$19*(datos_base!$F$4+IF(parametros_manuales!$H$19="Todos",datos_base!$F$11,0))*parametros_manuales!$C$107+parametros_manuales!$G$19*(datos_base!$F$5+IF(parametros_manuales!$H$19="Todos",datos_base!$F$12,0))*parametros_manuales!$C$112)*parametros_manuales!$I$19*parametros_manuales!$J$19</f>
        <v>7676.617169332</v>
      </c>
      <c r="D114" s="14" t="n">
        <f aca="false">(parametros_manuales!$D$19*(datos_base!$F$2+IF(parametros_manuales!$H$19="Todos",datos_base!$F$9,0))*parametros_manuales!$D$97+parametros_manuales!$E$19*(datos_base!$F$3+IF(parametros_manuales!$H$19="Todos",datos_base!$F$10,0))*parametros_manuales!$D$102+parametros_manuales!$F$19*(datos_base!$F$4+IF(parametros_manuales!$H$19="Todos",datos_base!$F$11,0))*parametros_manuales!$D$107+parametros_manuales!$G$19*(datos_base!$F$5+IF(parametros_manuales!$H$19="Todos",datos_base!$F$12,0))*parametros_manuales!$D$112)*parametros_manuales!$I$19*parametros_manuales!$J$19</f>
        <v>7185.8521063215</v>
      </c>
      <c r="E114" s="14" t="n">
        <f aca="false">(parametros_manuales!$D$19*(datos_base!$F$2+IF(parametros_manuales!$H$19="Todos",datos_base!$F$9,0))*parametros_manuales!$E$97+parametros_manuales!$E$19*(datos_base!$F$3+IF(parametros_manuales!$H$19="Todos",datos_base!$F$10,0))*parametros_manuales!$E$102+parametros_manuales!$F$19*(datos_base!$F$4+IF(parametros_manuales!$H$19="Todos",datos_base!$F$11,0))*parametros_manuales!$E$107+parametros_manuales!$G$19*(datos_base!$F$5+IF(parametros_manuales!$H$19="Todos",datos_base!$F$12,0))*parametros_manuales!$E$112)*parametros_manuales!$I$19*parametros_manuales!$J$19</f>
        <v>6875.2749427715</v>
      </c>
      <c r="F114" s="14" t="n">
        <f aca="false">(parametros_manuales!$D$19*(datos_base!$F$2+IF(parametros_manuales!$H$19="Todos",datos_base!$F$9,0))*parametros_manuales!$F$97+parametros_manuales!$E$19*(datos_base!$F$3+IF(parametros_manuales!$H$19="Todos",datos_base!$F$10,0))*parametros_manuales!$F$102+parametros_manuales!$F$19*(datos_base!$F$4+IF(parametros_manuales!$H$19="Todos",datos_base!$F$11,0))*parametros_manuales!$F$107+parametros_manuales!$G$19*(datos_base!$F$5+IF(parametros_manuales!$H$19="Todos",datos_base!$F$12,0))*parametros_manuales!$F$112)*parametros_manuales!$I$19*parametros_manuales!$J$19</f>
        <v>6434.308515132</v>
      </c>
      <c r="G114" s="14" t="n">
        <f aca="false">(parametros_manuales!$D$19*(datos_base!$F$2+IF(parametros_manuales!$H$19="Todos",datos_base!$F$9,0))*parametros_manuales!$G$97+parametros_manuales!$E$19*(datos_base!$F$3+IF(parametros_manuales!$H$19="Todos",datos_base!$F$10,0))*parametros_manuales!$G$102+parametros_manuales!$F$19*(datos_base!$F$4+IF(parametros_manuales!$H$19="Todos",datos_base!$F$11,0))*parametros_manuales!$G$107+parametros_manuales!$G$19*(datos_base!$F$5+IF(parametros_manuales!$H$19="Todos",datos_base!$F$12,0))*parametros_manuales!$G$112)*parametros_manuales!$I$19*parametros_manuales!$J$19</f>
        <v>6303.9192510425</v>
      </c>
      <c r="H114" s="14" t="n">
        <f aca="false">(parametros_manuales!$D$19*(datos_base!$F$2+IF(parametros_manuales!$H$19="Todos",datos_base!$F$9,0))*parametros_manuales!$H$97+parametros_manuales!$E$19*(datos_base!$F$3+IF(parametros_manuales!$H$19="Todos",datos_base!$F$10,0))*parametros_manuales!$H$102+parametros_manuales!$F$19*(datos_base!$F$4+IF(parametros_manuales!$H$19="Todos",datos_base!$F$11,0))*parametros_manuales!$H$107+parametros_manuales!$G$19*(datos_base!$F$5+IF(parametros_manuales!$H$19="Todos",datos_base!$F$12,0))*parametros_manuales!$H$112)*parametros_manuales!$I$19*parametros_manuales!$J$19</f>
        <v>6744.885678682</v>
      </c>
      <c r="I114" s="14" t="n">
        <f aca="false">(parametros_manuales!$D$19*(datos_base!$F$2+IF(parametros_manuales!$H$19="Todos",datos_base!$F$9,0))*parametros_manuales!$I$97+parametros_manuales!$E$19*(datos_base!$F$3+IF(parametros_manuales!$H$19="Todos",datos_base!$F$10,0))*parametros_manuales!$I$102+parametros_manuales!$F$19*(datos_base!$F$4+IF(parametros_manuales!$H$19="Todos",datos_base!$F$11,0))*parametros_manuales!$I$107+parametros_manuales!$G$19*(datos_base!$F$5+IF(parametros_manuales!$H$19="Todos",datos_base!$F$12,0))*parametros_manuales!$I$112)*parametros_manuales!$I$19*parametros_manuales!$J$19</f>
        <v>7676.617169332</v>
      </c>
      <c r="J114" s="14" t="n">
        <f aca="false">(parametros_manuales!$D$19*(datos_base!$F$2+IF(parametros_manuales!$H$19="Todos",datos_base!$F$9,0))*parametros_manuales!$J$97+parametros_manuales!$E$19*(datos_base!$F$3+IF(parametros_manuales!$H$19="Todos",datos_base!$F$10,0))*parametros_manuales!$J$102+parametros_manuales!$F$19*(datos_base!$F$4+IF(parametros_manuales!$H$19="Todos",datos_base!$F$11,0))*parametros_manuales!$J$107+parametros_manuales!$G$19*(datos_base!$F$5+IF(parametros_manuales!$H$19="Todos",datos_base!$F$12,0))*parametros_manuales!$J$112)*parametros_manuales!$I$19*parametros_manuales!$J$19</f>
        <v>7676.617169332</v>
      </c>
      <c r="K114" s="14" t="n">
        <f aca="false">(parametros_manuales!$D$19*(datos_base!$F$2+IF(parametros_manuales!$H$19="Todos",datos_base!$F$9,0))*parametros_manuales!$K$97+parametros_manuales!$E$19*(datos_base!$F$3+IF(parametros_manuales!$H$19="Todos",datos_base!$F$10,0))*parametros_manuales!$K$102+parametros_manuales!$F$19*(datos_base!$F$4+IF(parametros_manuales!$H$19="Todos",datos_base!$F$11,0))*parametros_manuales!$K$107+parametros_manuales!$G$19*(datos_base!$F$5+IF(parametros_manuales!$H$19="Todos",datos_base!$F$12,0))*parametros_manuales!$K$112)*parametros_manuales!$I$19*parametros_manuales!$J$19</f>
        <v>7807.0064334215</v>
      </c>
      <c r="L114" s="14" t="n">
        <f aca="false">(parametros_manuales!$D$19*(datos_base!$F$2+IF(parametros_manuales!$H$19="Todos",datos_base!$F$9,0))*parametros_manuales!$L$97+parametros_manuales!$E$19*(datos_base!$F$3+IF(parametros_manuales!$H$19="Todos",datos_base!$F$10,0))*parametros_manuales!$L$102+parametros_manuales!$F$19*(datos_base!$F$4+IF(parametros_manuales!$H$19="Todos",datos_base!$F$11,0))*parametros_manuales!$L$107+parametros_manuales!$G$19*(datos_base!$F$5+IF(parametros_manuales!$H$19="Todos",datos_base!$F$12,0))*parametros_manuales!$L$112)*parametros_manuales!$I$19*parametros_manuales!$J$19</f>
        <v>7937.395697511</v>
      </c>
      <c r="M114" s="14" t="n">
        <f aca="false">(parametros_manuales!$D$19*(datos_base!$F$2+IF(parametros_manuales!$H$19="Todos",datos_base!$F$9,0))*parametros_manuales!$M$97+parametros_manuales!$E$19*(datos_base!$F$3+IF(parametros_manuales!$H$19="Todos",datos_base!$F$10,0))*parametros_manuales!$M$102+parametros_manuales!$F$19*(datos_base!$F$4+IF(parametros_manuales!$H$19="Todos",datos_base!$F$11,0))*parametros_manuales!$M$107+parametros_manuales!$G$19*(datos_base!$F$5+IF(parametros_manuales!$H$19="Todos",datos_base!$F$12,0))*parametros_manuales!$M$112)*parametros_manuales!$I$19*parametros_manuales!$J$19</f>
        <v>7937.395697511</v>
      </c>
      <c r="N114" s="14" t="n">
        <f aca="false">SUM(B114:M114)</f>
        <v>88193.2855279</v>
      </c>
      <c r="O114" s="14" t="n">
        <f aca="false">MAX(B114:M114)</f>
        <v>7937.395697511</v>
      </c>
      <c r="P114" s="57" t="n">
        <f aca="false">O114/(parametros_manuales!$B$7)</f>
        <v>52.91597131674</v>
      </c>
      <c r="Q114" s="13" t="str">
        <f aca="false">IF(O114=0,"-",INDEX($B$113:$M$113,MATCH(O114,B114:M114,0)))</f>
        <v>Ene</v>
      </c>
    </row>
    <row r="115" customFormat="false" ht="14.25" hidden="false" customHeight="true" outlineLevel="0" collapsed="false">
      <c r="A115" s="13" t="str">
        <f aca="false">parametros_manuales!$B$20</f>
        <v>Corte de chapa — 1.er corte en franjas (guillotina 1, manuales + carros)</v>
      </c>
      <c r="B115" s="14" t="n">
        <f aca="false">(parametros_manuales!$D$20*(datos_base!$F$2+IF(parametros_manuales!$H$20="Todos",datos_base!$F$9,0))*parametros_manuales!$B$97+parametros_manuales!$E$20*(datos_base!$F$3+IF(parametros_manuales!$H$20="Todos",datos_base!$F$10,0))*parametros_manuales!$B$102+parametros_manuales!$F$20*(datos_base!$F$4+IF(parametros_manuales!$H$20="Todos",datos_base!$F$11,0))*parametros_manuales!$B$107+parametros_manuales!$G$20*(datos_base!$F$5+IF(parametros_manuales!$H$20="Todos",datos_base!$F$12,0))*parametros_manuales!$B$112)*parametros_manuales!$I$20*parametros_manuales!$J$20+parametros_manuales!$B$152</f>
        <v>8564.44233412959</v>
      </c>
      <c r="C115" s="14" t="n">
        <f aca="false">(parametros_manuales!$D$20*(datos_base!$F$2+IF(parametros_manuales!$H$20="Todos",datos_base!$F$9,0))*parametros_manuales!$C$97+parametros_manuales!$E$20*(datos_base!$F$3+IF(parametros_manuales!$H$20="Todos",datos_base!$F$10,0))*parametros_manuales!$C$102+parametros_manuales!$F$20*(datos_base!$F$4+IF(parametros_manuales!$H$20="Todos",datos_base!$F$11,0))*parametros_manuales!$C$107+parametros_manuales!$G$20*(datos_base!$F$5+IF(parametros_manuales!$H$20="Todos",datos_base!$F$12,0))*parametros_manuales!$C$112)*parametros_manuales!$I$20*parametros_manuales!$J$20+parametros_manuales!$C$152</f>
        <v>8229.89361340723</v>
      </c>
      <c r="D115" s="14" t="n">
        <f aca="false">(parametros_manuales!$D$20*(datos_base!$F$2+IF(parametros_manuales!$H$20="Todos",datos_base!$F$9,0))*parametros_manuales!$D$97+parametros_manuales!$E$20*(datos_base!$F$3+IF(parametros_manuales!$H$20="Todos",datos_base!$F$10,0))*parametros_manuales!$D$102+parametros_manuales!$F$20*(datos_base!$F$4+IF(parametros_manuales!$H$20="Todos",datos_base!$F$11,0))*parametros_manuales!$D$107+parametros_manuales!$G$20*(datos_base!$F$5+IF(parametros_manuales!$H$20="Todos",datos_base!$F$12,0))*parametros_manuales!$D$112)*parametros_manuales!$I$20*parametros_manuales!$J$20+parametros_manuales!$D$152</f>
        <v>7849.78383921178</v>
      </c>
      <c r="E115" s="14" t="n">
        <f aca="false">(parametros_manuales!$D$20*(datos_base!$F$2+IF(parametros_manuales!$H$20="Todos",datos_base!$F$9,0))*parametros_manuales!$E$97+parametros_manuales!$E$20*(datos_base!$F$3+IF(parametros_manuales!$H$20="Todos",datos_base!$F$10,0))*parametros_manuales!$E$102+parametros_manuales!$F$20*(datos_base!$F$4+IF(parametros_manuales!$H$20="Todos",datos_base!$F$11,0))*parametros_manuales!$E$107+parametros_manuales!$G$20*(datos_base!$F$5+IF(parametros_manuales!$H$20="Todos",datos_base!$F$12,0))*parametros_manuales!$E$112)*parametros_manuales!$I$20*parametros_manuales!$J$20+parametros_manuales!$E$152</f>
        <v>7539.20667566177</v>
      </c>
      <c r="F115" s="14" t="n">
        <f aca="false">(parametros_manuales!$D$20*(datos_base!$F$2+IF(parametros_manuales!$H$20="Todos",datos_base!$F$9,0))*parametros_manuales!$F$97+parametros_manuales!$E$20*(datos_base!$F$3+IF(parametros_manuales!$H$20="Todos",datos_base!$F$10,0))*parametros_manuales!$F$102+parametros_manuales!$F$20*(datos_base!$F$4+IF(parametros_manuales!$H$20="Todos",datos_base!$F$11,0))*parametros_manuales!$F$107+parametros_manuales!$G$20*(datos_base!$F$5+IF(parametros_manuales!$H$20="Todos",datos_base!$F$12,0))*parametros_manuales!$F$112)*parametros_manuales!$I$20*parametros_manuales!$J$20+parametros_manuales!$F$152</f>
        <v>7098.24024802227</v>
      </c>
      <c r="G115" s="14" t="n">
        <f aca="false">(parametros_manuales!$D$20*(datos_base!$F$2+IF(parametros_manuales!$H$20="Todos",datos_base!$F$9,0))*parametros_manuales!$G$97+parametros_manuales!$E$20*(datos_base!$F$3+IF(parametros_manuales!$H$20="Todos",datos_base!$F$10,0))*parametros_manuales!$G$102+parametros_manuales!$F$20*(datos_base!$F$4+IF(parametros_manuales!$H$20="Todos",datos_base!$F$11,0))*parametros_manuales!$G$107+parametros_manuales!$G$20*(datos_base!$F$5+IF(parametros_manuales!$H$20="Todos",datos_base!$F$12,0))*parametros_manuales!$G$112)*parametros_manuales!$I$20*parametros_manuales!$J$20+parametros_manuales!$G$152</f>
        <v>6894.08079138941</v>
      </c>
      <c r="H115" s="14" t="n">
        <f aca="false">(parametros_manuales!$D$20*(datos_base!$F$2+IF(parametros_manuales!$H$20="Todos",datos_base!$F$9,0))*parametros_manuales!$H$97+parametros_manuales!$E$20*(datos_base!$F$3+IF(parametros_manuales!$H$20="Todos",datos_base!$F$10,0))*parametros_manuales!$H$102+parametros_manuales!$F$20*(datos_base!$F$4+IF(parametros_manuales!$H$20="Todos",datos_base!$F$11,0))*parametros_manuales!$H$107+parametros_manuales!$G$20*(datos_base!$F$5+IF(parametros_manuales!$H$20="Todos",datos_base!$F$12,0))*parametros_manuales!$H$112)*parametros_manuales!$I$20*parametros_manuales!$J$20+parametros_manuales!$H$152</f>
        <v>7408.81741157227</v>
      </c>
      <c r="I115" s="14" t="n">
        <f aca="false">(parametros_manuales!$D$20*(datos_base!$F$2+IF(parametros_manuales!$H$20="Todos",datos_base!$F$9,0))*parametros_manuales!$I$97+parametros_manuales!$E$20*(datos_base!$F$3+IF(parametros_manuales!$H$20="Todos",datos_base!$F$10,0))*parametros_manuales!$I$102+parametros_manuales!$F$20*(datos_base!$F$4+IF(parametros_manuales!$H$20="Todos",datos_base!$F$11,0))*parametros_manuales!$I$107+parametros_manuales!$G$20*(datos_base!$F$5+IF(parametros_manuales!$H$20="Todos",datos_base!$F$12,0))*parametros_manuales!$I$112)*parametros_manuales!$I$20*parametros_manuales!$J$20+parametros_manuales!$I$152</f>
        <v>8340.54890222227</v>
      </c>
      <c r="J115" s="14" t="n">
        <f aca="false">(parametros_manuales!$D$20*(datos_base!$F$2+IF(parametros_manuales!$H$20="Todos",datos_base!$F$9,0))*parametros_manuales!$J$97+parametros_manuales!$E$20*(datos_base!$F$3+IF(parametros_manuales!$H$20="Todos",datos_base!$F$10,0))*parametros_manuales!$J$102+parametros_manuales!$F$20*(datos_base!$F$4+IF(parametros_manuales!$H$20="Todos",datos_base!$F$11,0))*parametros_manuales!$J$107+parametros_manuales!$G$20*(datos_base!$F$5+IF(parametros_manuales!$H$20="Todos",datos_base!$F$12,0))*parametros_manuales!$J$112)*parametros_manuales!$I$20*parametros_manuales!$J$20+parametros_manuales!$J$152</f>
        <v>8303.66380595059</v>
      </c>
      <c r="K115" s="14" t="n">
        <f aca="false">(parametros_manuales!$D$20*(datos_base!$F$2+IF(parametros_manuales!$H$20="Todos",datos_base!$F$9,0))*parametros_manuales!$K$97+parametros_manuales!$E$20*(datos_base!$F$3+IF(parametros_manuales!$H$20="Todos",datos_base!$F$10,0))*parametros_manuales!$K$102+parametros_manuales!$F$20*(datos_base!$F$4+IF(parametros_manuales!$H$20="Todos",datos_base!$F$11,0))*parametros_manuales!$K$107+parametros_manuales!$G$20*(datos_base!$F$5+IF(parametros_manuales!$H$20="Todos",datos_base!$F$12,0))*parametros_manuales!$K$112)*parametros_manuales!$I$20*parametros_manuales!$J$20+parametros_manuales!$K$152</f>
        <v>8360.28287749673</v>
      </c>
      <c r="L115" s="14" t="n">
        <f aca="false">(parametros_manuales!$D$20*(datos_base!$F$2+IF(parametros_manuales!$H$20="Todos",datos_base!$F$9,0))*parametros_manuales!$L$97+parametros_manuales!$E$20*(datos_base!$F$3+IF(parametros_manuales!$H$20="Todos",datos_base!$F$10,0))*parametros_manuales!$L$102+parametros_manuales!$F$20*(datos_base!$F$4+IF(parametros_manuales!$H$20="Todos",datos_base!$F$11,0))*parametros_manuales!$L$107+parametros_manuales!$G$20*(datos_base!$F$5+IF(parametros_manuales!$H$20="Todos",datos_base!$F$12,0))*parametros_manuales!$L$112)*parametros_manuales!$I$20*parametros_manuales!$J$20+parametros_manuales!$L$152</f>
        <v>8453.78704531455</v>
      </c>
      <c r="M115" s="14" t="n">
        <f aca="false">(parametros_manuales!$D$20*(datos_base!$F$2+IF(parametros_manuales!$H$20="Todos",datos_base!$F$9,0))*parametros_manuales!$M$97+parametros_manuales!$E$20*(datos_base!$F$3+IF(parametros_manuales!$H$20="Todos",datos_base!$F$10,0))*parametros_manuales!$M$102+parametros_manuales!$F$20*(datos_base!$F$4+IF(parametros_manuales!$H$20="Todos",datos_base!$F$11,0))*parametros_manuales!$M$107+parametros_manuales!$G$20*(datos_base!$F$5+IF(parametros_manuales!$H$20="Todos",datos_base!$F$12,0))*parametros_manuales!$M$112)*parametros_manuales!$I$20*parametros_manuales!$J$20+parametros_manuales!$M$152</f>
        <v>8527.55723785791</v>
      </c>
      <c r="N115" s="14" t="n">
        <f aca="false">SUM(B115:M115)</f>
        <v>95570.3047822364</v>
      </c>
      <c r="O115" s="14" t="n">
        <f aca="false">MAX(B115:M115)</f>
        <v>8564.44233412959</v>
      </c>
      <c r="P115" s="57" t="n">
        <f aca="false">O115/(parametros_manuales!$B$7)</f>
        <v>57.0962822275306</v>
      </c>
      <c r="Q115" s="13" t="str">
        <f aca="false">IF(O115=0,"-",INDEX($B$113:$M$113,MATCH(O115,B115:M115,0)))</f>
        <v>Ene</v>
      </c>
    </row>
    <row r="116" customFormat="false" ht="14.25" hidden="false" customHeight="true" outlineLevel="0" collapsed="false">
      <c r="A116" s="13" t="str">
        <f aca="false">parametros_manuales!$B$21</f>
        <v>Corte de chapa — 2.º corte en piezas (guillotina 2, manuales + carros)</v>
      </c>
      <c r="B116" s="14" t="n">
        <f aca="false">(parametros_manuales!$D$21*(datos_base!$F$2+IF(parametros_manuales!$H$21="Todos",datos_base!$F$9,0))*parametros_manuales!$B$97+parametros_manuales!$E$21*(datos_base!$F$3+IF(parametros_manuales!$H$21="Todos",datos_base!$F$10,0))*parametros_manuales!$B$102+parametros_manuales!$F$21*(datos_base!$F$4+IF(parametros_manuales!$H$21="Todos",datos_base!$F$11,0))*parametros_manuales!$B$107+parametros_manuales!$G$21*(datos_base!$F$5+IF(parametros_manuales!$H$21="Todos",datos_base!$F$12,0))*parametros_manuales!$B$112)*parametros_manuales!$I$21*parametros_manuales!$J$21+parametros_manuales!$B$164</f>
        <v>8751.06314089648</v>
      </c>
      <c r="C116" s="14" t="n">
        <f aca="false">(parametros_manuales!$D$21*(datos_base!$F$2+IF(parametros_manuales!$H$21="Todos",datos_base!$F$9,0))*parametros_manuales!$C$97+parametros_manuales!$E$21*(datos_base!$F$3+IF(parametros_manuales!$H$21="Todos",datos_base!$F$10,0))*parametros_manuales!$C$102+parametros_manuales!$F$21*(datos_base!$F$4+IF(parametros_manuales!$H$21="Todos",datos_base!$F$11,0))*parametros_manuales!$C$107+parametros_manuales!$G$21*(datos_base!$F$5+IF(parametros_manuales!$H$21="Todos",datos_base!$F$12,0))*parametros_manuales!$C$112)*parametros_manuales!$I$21*parametros_manuales!$J$21+parametros_manuales!$C$164</f>
        <v>8394.55903114272</v>
      </c>
      <c r="D116" s="14" t="n">
        <f aca="false">(parametros_manuales!$D$21*(datos_base!$F$2+IF(parametros_manuales!$H$21="Todos",datos_base!$F$9,0))*parametros_manuales!$D$97+parametros_manuales!$E$21*(datos_base!$F$3+IF(parametros_manuales!$H$21="Todos",datos_base!$F$10,0))*parametros_manuales!$D$102+parametros_manuales!$F$21*(datos_base!$F$4+IF(parametros_manuales!$H$21="Todos",datos_base!$F$11,0))*parametros_manuales!$D$107+parametros_manuales!$G$21*(datos_base!$F$5+IF(parametros_manuales!$H$21="Todos",datos_base!$F$12,0))*parametros_manuales!$D$112)*parametros_manuales!$I$21*parametros_manuales!$J$21+parametros_manuales!$D$164</f>
        <v>8047.38234049436</v>
      </c>
      <c r="E116" s="14" t="n">
        <f aca="false">(parametros_manuales!$D$21*(datos_base!$F$2+IF(parametros_manuales!$H$21="Todos",datos_base!$F$9,0))*parametros_manuales!$E$97+parametros_manuales!$E$21*(datos_base!$F$3+IF(parametros_manuales!$H$21="Todos",datos_base!$F$10,0))*parametros_manuales!$E$102+parametros_manuales!$F$21*(datos_base!$F$4+IF(parametros_manuales!$H$21="Todos",datos_base!$F$11,0))*parametros_manuales!$E$107+parametros_manuales!$G$21*(datos_base!$F$5+IF(parametros_manuales!$H$21="Todos",datos_base!$F$12,0))*parametros_manuales!$E$112)*parametros_manuales!$I$21*parametros_manuales!$J$21+parametros_manuales!$E$164</f>
        <v>7736.80517694436</v>
      </c>
      <c r="F116" s="14" t="n">
        <f aca="false">(parametros_manuales!$D$21*(datos_base!$F$2+IF(parametros_manuales!$H$21="Todos",datos_base!$F$9,0))*parametros_manuales!$F$97+parametros_manuales!$E$21*(datos_base!$F$3+IF(parametros_manuales!$H$21="Todos",datos_base!$F$10,0))*parametros_manuales!$F$102+parametros_manuales!$F$21*(datos_base!$F$4+IF(parametros_manuales!$H$21="Todos",datos_base!$F$11,0))*parametros_manuales!$F$107+parametros_manuales!$G$21*(datos_base!$F$5+IF(parametros_manuales!$H$21="Todos",datos_base!$F$12,0))*parametros_manuales!$F$112)*parametros_manuales!$I$21*parametros_manuales!$J$21+parametros_manuales!$F$164</f>
        <v>7295.83874930486</v>
      </c>
      <c r="G116" s="14" t="n">
        <f aca="false">(parametros_manuales!$D$21*(datos_base!$F$2+IF(parametros_manuales!$H$21="Todos",datos_base!$F$9,0))*parametros_manuales!$G$97+parametros_manuales!$E$21*(datos_base!$F$3+IF(parametros_manuales!$H$21="Todos",datos_base!$F$10,0))*parametros_manuales!$G$102+parametros_manuales!$F$21*(datos_base!$F$4+IF(parametros_manuales!$H$21="Todos",datos_base!$F$11,0))*parametros_manuales!$G$107+parametros_manuales!$G$21*(datos_base!$F$5+IF(parametros_manuales!$H$21="Todos",datos_base!$F$12,0))*parametros_manuales!$G$112)*parametros_manuales!$I$21*parametros_manuales!$J$21+parametros_manuales!$G$164</f>
        <v>7069.7239036406</v>
      </c>
      <c r="H116" s="14" t="n">
        <f aca="false">(parametros_manuales!$D$21*(datos_base!$F$2+IF(parametros_manuales!$H$21="Todos",datos_base!$F$9,0))*parametros_manuales!$H$97+parametros_manuales!$E$21*(datos_base!$F$3+IF(parametros_manuales!$H$21="Todos",datos_base!$F$10,0))*parametros_manuales!$H$102+parametros_manuales!$F$21*(datos_base!$F$4+IF(parametros_manuales!$H$21="Todos",datos_base!$F$11,0))*parametros_manuales!$H$107+parametros_manuales!$G$21*(datos_base!$F$5+IF(parametros_manuales!$H$21="Todos",datos_base!$F$12,0))*parametros_manuales!$H$112)*parametros_manuales!$I$21*parametros_manuales!$J$21+parametros_manuales!$H$164</f>
        <v>7606.41591285486</v>
      </c>
      <c r="I116" s="14" t="n">
        <f aca="false">(parametros_manuales!$D$21*(datos_base!$F$2+IF(parametros_manuales!$H$21="Todos",datos_base!$F$9,0))*parametros_manuales!$I$97+parametros_manuales!$E$21*(datos_base!$F$3+IF(parametros_manuales!$H$21="Todos",datos_base!$F$10,0))*parametros_manuales!$I$102+parametros_manuales!$F$21*(datos_base!$F$4+IF(parametros_manuales!$H$21="Todos",datos_base!$F$11,0))*parametros_manuales!$I$107+parametros_manuales!$G$21*(datos_base!$F$5+IF(parametros_manuales!$H$21="Todos",datos_base!$F$12,0))*parametros_manuales!$I$112)*parametros_manuales!$I$21*parametros_manuales!$J$21+parametros_manuales!$I$164</f>
        <v>8538.14740350485</v>
      </c>
      <c r="J116" s="14" t="n">
        <f aca="false">(parametros_manuales!$D$21*(datos_base!$F$2+IF(parametros_manuales!$H$21="Todos",datos_base!$F$9,0))*parametros_manuales!$J$97+parametros_manuales!$E$21*(datos_base!$F$3+IF(parametros_manuales!$H$21="Todos",datos_base!$F$10,0))*parametros_manuales!$J$102+parametros_manuales!$F$21*(datos_base!$F$4+IF(parametros_manuales!$H$21="Todos",datos_base!$F$11,0))*parametros_manuales!$J$107+parametros_manuales!$G$21*(datos_base!$F$5+IF(parametros_manuales!$H$21="Todos",datos_base!$F$12,0))*parametros_manuales!$J$112)*parametros_manuales!$I$21*parametros_manuales!$J$21+parametros_manuales!$J$164</f>
        <v>8490.28461271748</v>
      </c>
      <c r="K116" s="14" t="n">
        <f aca="false">(parametros_manuales!$D$21*(datos_base!$F$2+IF(parametros_manuales!$H$21="Todos",datos_base!$F$9,0))*parametros_manuales!$K$97+parametros_manuales!$E$21*(datos_base!$F$3+IF(parametros_manuales!$H$21="Todos",datos_base!$F$10,0))*parametros_manuales!$K$102+parametros_manuales!$F$21*(datos_base!$F$4+IF(parametros_manuales!$H$21="Todos",datos_base!$F$11,0))*parametros_manuales!$K$107+parametros_manuales!$G$21*(datos_base!$F$5+IF(parametros_manuales!$H$21="Todos",datos_base!$F$12,0))*parametros_manuales!$K$112)*parametros_manuales!$I$21*parametros_manuales!$J$21+parametros_manuales!$K$164</f>
        <v>8524.94829523221</v>
      </c>
      <c r="L116" s="14" t="n">
        <f aca="false">(parametros_manuales!$D$21*(datos_base!$F$2+IF(parametros_manuales!$H$21="Todos",datos_base!$F$9,0))*parametros_manuales!$L$97+parametros_manuales!$E$21*(datos_base!$F$3+IF(parametros_manuales!$H$21="Todos",datos_base!$F$10,0))*parametros_manuales!$L$102+parametros_manuales!$F$21*(datos_base!$F$4+IF(parametros_manuales!$H$21="Todos",datos_base!$F$11,0))*parametros_manuales!$L$107+parametros_manuales!$G$21*(datos_base!$F$5+IF(parametros_manuales!$H$21="Todos",datos_base!$F$12,0))*parametros_manuales!$L$112)*parametros_manuales!$I$21*parametros_manuales!$J$21+parametros_manuales!$L$164</f>
        <v>8607.47476853434</v>
      </c>
      <c r="M116" s="14" t="n">
        <f aca="false">(parametros_manuales!$D$21*(datos_base!$F$2+IF(parametros_manuales!$H$21="Todos",datos_base!$F$9,0))*parametros_manuales!$M$97+parametros_manuales!$E$21*(datos_base!$F$3+IF(parametros_manuales!$H$21="Todos",datos_base!$F$10,0))*parametros_manuales!$M$102+parametros_manuales!$F$21*(datos_base!$F$4+IF(parametros_manuales!$H$21="Todos",datos_base!$F$11,0))*parametros_manuales!$M$107+parametros_manuales!$G$21*(datos_base!$F$5+IF(parametros_manuales!$H$21="Todos",datos_base!$F$12,0))*parametros_manuales!$M$112)*parametros_manuales!$I$21*parametros_manuales!$J$21+parametros_manuales!$M$164</f>
        <v>8703.2003501091</v>
      </c>
      <c r="N116" s="14" t="n">
        <f aca="false">SUM(B116:M116)</f>
        <v>97765.8436853762</v>
      </c>
      <c r="O116" s="14" t="n">
        <f aca="false">MAX(B116:M116)</f>
        <v>8751.06314089648</v>
      </c>
      <c r="P116" s="57" t="n">
        <f aca="false">O116/(parametros_manuales!$B$7)</f>
        <v>58.3404209393099</v>
      </c>
      <c r="Q116" s="13" t="str">
        <f aca="false">IF(O116=0,"-",INDEX($B$113:$M$113,MATCH(O116,B116:M116,0)))</f>
        <v>Ene</v>
      </c>
    </row>
    <row r="117" customFormat="false" ht="14.25" hidden="false" customHeight="true" outlineLevel="0" collapsed="false">
      <c r="A117" s="13" t="str">
        <f aca="false">parametros_manuales!$B$22</f>
        <v>Corte de disco y embutido (cúpula y fondo)</v>
      </c>
      <c r="B117" s="14" t="n">
        <f aca="false">(parametros_manuales!$D$22*(datos_base!$F$2+IF(parametros_manuales!$H$22="Todos",datos_base!$F$9,0))*parametros_manuales!$B$97+parametros_manuales!$E$22*(datos_base!$F$3+IF(parametros_manuales!$H$22="Todos",datos_base!$F$10,0))*parametros_manuales!$B$102+parametros_manuales!$F$22*(datos_base!$F$4+IF(parametros_manuales!$H$22="Todos",datos_base!$F$11,0))*parametros_manuales!$B$107+parametros_manuales!$G$22*(datos_base!$F$5+IF(parametros_manuales!$H$22="Todos",datos_base!$F$12,0))*parametros_manuales!$B$112)*parametros_manuales!$I$22*parametros_manuales!$J$22</f>
        <v>15874.791395022</v>
      </c>
      <c r="C117" s="14" t="n">
        <f aca="false">(parametros_manuales!$D$22*(datos_base!$F$2+IF(parametros_manuales!$H$22="Todos",datos_base!$F$9,0))*parametros_manuales!$C$97+parametros_manuales!$E$22*(datos_base!$F$3+IF(parametros_manuales!$H$22="Todos",datos_base!$F$10,0))*parametros_manuales!$C$102+parametros_manuales!$F$22*(datos_base!$F$4+IF(parametros_manuales!$H$22="Todos",datos_base!$F$11,0))*parametros_manuales!$C$107+parametros_manuales!$G$22*(datos_base!$F$5+IF(parametros_manuales!$H$22="Todos",datos_base!$F$12,0))*parametros_manuales!$C$112)*parametros_manuales!$I$22*parametros_manuales!$J$22</f>
        <v>15353.234338664</v>
      </c>
      <c r="D117" s="14" t="n">
        <f aca="false">(parametros_manuales!$D$22*(datos_base!$F$2+IF(parametros_manuales!$H$22="Todos",datos_base!$F$9,0))*parametros_manuales!$D$97+parametros_manuales!$E$22*(datos_base!$F$3+IF(parametros_manuales!$H$22="Todos",datos_base!$F$10,0))*parametros_manuales!$D$102+parametros_manuales!$F$22*(datos_base!$F$4+IF(parametros_manuales!$H$22="Todos",datos_base!$F$11,0))*parametros_manuales!$D$107+parametros_manuales!$G$22*(datos_base!$F$5+IF(parametros_manuales!$H$22="Todos",datos_base!$F$12,0))*parametros_manuales!$D$112)*parametros_manuales!$I$22*parametros_manuales!$J$22</f>
        <v>14371.704212643</v>
      </c>
      <c r="E117" s="14" t="n">
        <f aca="false">(parametros_manuales!$D$22*(datos_base!$F$2+IF(parametros_manuales!$H$22="Todos",datos_base!$F$9,0))*parametros_manuales!$E$97+parametros_manuales!$E$22*(datos_base!$F$3+IF(parametros_manuales!$H$22="Todos",datos_base!$F$10,0))*parametros_manuales!$E$102+parametros_manuales!$F$22*(datos_base!$F$4+IF(parametros_manuales!$H$22="Todos",datos_base!$F$11,0))*parametros_manuales!$E$107+parametros_manuales!$G$22*(datos_base!$F$5+IF(parametros_manuales!$H$22="Todos",datos_base!$F$12,0))*parametros_manuales!$E$112)*parametros_manuales!$I$22*parametros_manuales!$J$22</f>
        <v>13750.549885543</v>
      </c>
      <c r="F117" s="14" t="n">
        <f aca="false">(parametros_manuales!$D$22*(datos_base!$F$2+IF(parametros_manuales!$H$22="Todos",datos_base!$F$9,0))*parametros_manuales!$F$97+parametros_manuales!$E$22*(datos_base!$F$3+IF(parametros_manuales!$H$22="Todos",datos_base!$F$10,0))*parametros_manuales!$F$102+parametros_manuales!$F$22*(datos_base!$F$4+IF(parametros_manuales!$H$22="Todos",datos_base!$F$11,0))*parametros_manuales!$F$107+parametros_manuales!$G$22*(datos_base!$F$5+IF(parametros_manuales!$H$22="Todos",datos_base!$F$12,0))*parametros_manuales!$F$112)*parametros_manuales!$I$22*parametros_manuales!$J$22</f>
        <v>12868.617030264</v>
      </c>
      <c r="G117" s="14" t="n">
        <f aca="false">(parametros_manuales!$D$22*(datos_base!$F$2+IF(parametros_manuales!$H$22="Todos",datos_base!$F$9,0))*parametros_manuales!$G$97+parametros_manuales!$E$22*(datos_base!$F$3+IF(parametros_manuales!$H$22="Todos",datos_base!$F$10,0))*parametros_manuales!$G$102+parametros_manuales!$F$22*(datos_base!$F$4+IF(parametros_manuales!$H$22="Todos",datos_base!$F$11,0))*parametros_manuales!$G$107+parametros_manuales!$G$22*(datos_base!$F$5+IF(parametros_manuales!$H$22="Todos",datos_base!$F$12,0))*parametros_manuales!$G$112)*parametros_manuales!$I$22*parametros_manuales!$J$22</f>
        <v>12607.838502085</v>
      </c>
      <c r="H117" s="14" t="n">
        <f aca="false">(parametros_manuales!$D$22*(datos_base!$F$2+IF(parametros_manuales!$H$22="Todos",datos_base!$F$9,0))*parametros_manuales!$H$97+parametros_manuales!$E$22*(datos_base!$F$3+IF(parametros_manuales!$H$22="Todos",datos_base!$F$10,0))*parametros_manuales!$H$102+parametros_manuales!$F$22*(datos_base!$F$4+IF(parametros_manuales!$H$22="Todos",datos_base!$F$11,0))*parametros_manuales!$H$107+parametros_manuales!$G$22*(datos_base!$F$5+IF(parametros_manuales!$H$22="Todos",datos_base!$F$12,0))*parametros_manuales!$H$112)*parametros_manuales!$I$22*parametros_manuales!$J$22</f>
        <v>13489.771357364</v>
      </c>
      <c r="I117" s="14" t="n">
        <f aca="false">(parametros_manuales!$D$22*(datos_base!$F$2+IF(parametros_manuales!$H$22="Todos",datos_base!$F$9,0))*parametros_manuales!$I$97+parametros_manuales!$E$22*(datos_base!$F$3+IF(parametros_manuales!$H$22="Todos",datos_base!$F$10,0))*parametros_manuales!$I$102+parametros_manuales!$F$22*(datos_base!$F$4+IF(parametros_manuales!$H$22="Todos",datos_base!$F$11,0))*parametros_manuales!$I$107+parametros_manuales!$G$22*(datos_base!$F$5+IF(parametros_manuales!$H$22="Todos",datos_base!$F$12,0))*parametros_manuales!$I$112)*parametros_manuales!$I$22*parametros_manuales!$J$22</f>
        <v>15353.234338664</v>
      </c>
      <c r="J117" s="14" t="n">
        <f aca="false">(parametros_manuales!$D$22*(datos_base!$F$2+IF(parametros_manuales!$H$22="Todos",datos_base!$F$9,0))*parametros_manuales!$J$97+parametros_manuales!$E$22*(datos_base!$F$3+IF(parametros_manuales!$H$22="Todos",datos_base!$F$10,0))*parametros_manuales!$J$102+parametros_manuales!$F$22*(datos_base!$F$4+IF(parametros_manuales!$H$22="Todos",datos_base!$F$11,0))*parametros_manuales!$J$107+parametros_manuales!$G$22*(datos_base!$F$5+IF(parametros_manuales!$H$22="Todos",datos_base!$F$12,0))*parametros_manuales!$J$112)*parametros_manuales!$I$22*parametros_manuales!$J$22</f>
        <v>15353.234338664</v>
      </c>
      <c r="K117" s="14" t="n">
        <f aca="false">(parametros_manuales!$D$22*(datos_base!$F$2+IF(parametros_manuales!$H$22="Todos",datos_base!$F$9,0))*parametros_manuales!$K$97+parametros_manuales!$E$22*(datos_base!$F$3+IF(parametros_manuales!$H$22="Todos",datos_base!$F$10,0))*parametros_manuales!$K$102+parametros_manuales!$F$22*(datos_base!$F$4+IF(parametros_manuales!$H$22="Todos",datos_base!$F$11,0))*parametros_manuales!$K$107+parametros_manuales!$G$22*(datos_base!$F$5+IF(parametros_manuales!$H$22="Todos",datos_base!$F$12,0))*parametros_manuales!$K$112)*parametros_manuales!$I$22*parametros_manuales!$J$22</f>
        <v>15614.012866843</v>
      </c>
      <c r="L117" s="14" t="n">
        <f aca="false">(parametros_manuales!$D$22*(datos_base!$F$2+IF(parametros_manuales!$H$22="Todos",datos_base!$F$9,0))*parametros_manuales!$L$97+parametros_manuales!$E$22*(datos_base!$F$3+IF(parametros_manuales!$H$22="Todos",datos_base!$F$10,0))*parametros_manuales!$L$102+parametros_manuales!$F$22*(datos_base!$F$4+IF(parametros_manuales!$H$22="Todos",datos_base!$F$11,0))*parametros_manuales!$L$107+parametros_manuales!$G$22*(datos_base!$F$5+IF(parametros_manuales!$H$22="Todos",datos_base!$F$12,0))*parametros_manuales!$L$112)*parametros_manuales!$I$22*parametros_manuales!$J$22</f>
        <v>15874.791395022</v>
      </c>
      <c r="M117" s="14" t="n">
        <f aca="false">(parametros_manuales!$D$22*(datos_base!$F$2+IF(parametros_manuales!$H$22="Todos",datos_base!$F$9,0))*parametros_manuales!$M$97+parametros_manuales!$E$22*(datos_base!$F$3+IF(parametros_manuales!$H$22="Todos",datos_base!$F$10,0))*parametros_manuales!$M$102+parametros_manuales!$F$22*(datos_base!$F$4+IF(parametros_manuales!$H$22="Todos",datos_base!$F$11,0))*parametros_manuales!$M$107+parametros_manuales!$G$22*(datos_base!$F$5+IF(parametros_manuales!$H$22="Todos",datos_base!$F$12,0))*parametros_manuales!$M$112)*parametros_manuales!$I$22*parametros_manuales!$J$22</f>
        <v>15874.791395022</v>
      </c>
      <c r="N117" s="14" t="n">
        <f aca="false">SUM(B117:M117)</f>
        <v>176386.5710558</v>
      </c>
      <c r="O117" s="14" t="n">
        <f aca="false">MAX(B117:M117)</f>
        <v>15874.791395022</v>
      </c>
      <c r="P117" s="57" t="n">
        <f aca="false">O117/(parametros_manuales!$B$7)</f>
        <v>105.83194263348</v>
      </c>
      <c r="Q117" s="13" t="str">
        <f aca="false">IF(O117=0,"-",INDEX($B$113:$M$113,MATCH(O117,B117:M117,0)))</f>
        <v>Ene</v>
      </c>
    </row>
    <row r="118" customFormat="false" ht="14.25" hidden="false" customHeight="true" outlineLevel="0" collapsed="false">
      <c r="A118" s="13" t="str">
        <f aca="false">parametros_manuales!$B$23</f>
        <v>Preparación de cuello</v>
      </c>
      <c r="B118" s="14" t="n">
        <f aca="false">(parametros_manuales!$D$23*(datos_base!$F$2+IF(parametros_manuales!$H$23="Todos",datos_base!$F$9,0))*parametros_manuales!$B$97+parametros_manuales!$E$23*(datos_base!$F$3+IF(parametros_manuales!$H$23="Todos",datos_base!$F$10,0))*parametros_manuales!$B$102+parametros_manuales!$F$23*(datos_base!$F$4+IF(parametros_manuales!$H$23="Todos",datos_base!$F$11,0))*parametros_manuales!$B$107+parametros_manuales!$G$23*(datos_base!$F$5+IF(parametros_manuales!$H$23="Todos",datos_base!$F$12,0))*parametros_manuales!$B$112)*parametros_manuales!$I$23*parametros_manuales!$J$23</f>
        <v>7937.395697511</v>
      </c>
      <c r="C118" s="14" t="n">
        <f aca="false">(parametros_manuales!$D$23*(datos_base!$F$2+IF(parametros_manuales!$H$23="Todos",datos_base!$F$9,0))*parametros_manuales!$C$97+parametros_manuales!$E$23*(datos_base!$F$3+IF(parametros_manuales!$H$23="Todos",datos_base!$F$10,0))*parametros_manuales!$C$102+parametros_manuales!$F$23*(datos_base!$F$4+IF(parametros_manuales!$H$23="Todos",datos_base!$F$11,0))*parametros_manuales!$C$107+parametros_manuales!$G$23*(datos_base!$F$5+IF(parametros_manuales!$H$23="Todos",datos_base!$F$12,0))*parametros_manuales!$C$112)*parametros_manuales!$I$23*parametros_manuales!$J$23</f>
        <v>7676.617169332</v>
      </c>
      <c r="D118" s="14" t="n">
        <f aca="false">(parametros_manuales!$D$23*(datos_base!$F$2+IF(parametros_manuales!$H$23="Todos",datos_base!$F$9,0))*parametros_manuales!$D$97+parametros_manuales!$E$23*(datos_base!$F$3+IF(parametros_manuales!$H$23="Todos",datos_base!$F$10,0))*parametros_manuales!$D$102+parametros_manuales!$F$23*(datos_base!$F$4+IF(parametros_manuales!$H$23="Todos",datos_base!$F$11,0))*parametros_manuales!$D$107+parametros_manuales!$G$23*(datos_base!$F$5+IF(parametros_manuales!$H$23="Todos",datos_base!$F$12,0))*parametros_manuales!$D$112)*parametros_manuales!$I$23*parametros_manuales!$J$23</f>
        <v>7185.8521063215</v>
      </c>
      <c r="E118" s="14" t="n">
        <f aca="false">(parametros_manuales!$D$23*(datos_base!$F$2+IF(parametros_manuales!$H$23="Todos",datos_base!$F$9,0))*parametros_manuales!$E$97+parametros_manuales!$E$23*(datos_base!$F$3+IF(parametros_manuales!$H$23="Todos",datos_base!$F$10,0))*parametros_manuales!$E$102+parametros_manuales!$F$23*(datos_base!$F$4+IF(parametros_manuales!$H$23="Todos",datos_base!$F$11,0))*parametros_manuales!$E$107+parametros_manuales!$G$23*(datos_base!$F$5+IF(parametros_manuales!$H$23="Todos",datos_base!$F$12,0))*parametros_manuales!$E$112)*parametros_manuales!$I$23*parametros_manuales!$J$23</f>
        <v>6875.2749427715</v>
      </c>
      <c r="F118" s="14" t="n">
        <f aca="false">(parametros_manuales!$D$23*(datos_base!$F$2+IF(parametros_manuales!$H$23="Todos",datos_base!$F$9,0))*parametros_manuales!$F$97+parametros_manuales!$E$23*(datos_base!$F$3+IF(parametros_manuales!$H$23="Todos",datos_base!$F$10,0))*parametros_manuales!$F$102+parametros_manuales!$F$23*(datos_base!$F$4+IF(parametros_manuales!$H$23="Todos",datos_base!$F$11,0))*parametros_manuales!$F$107+parametros_manuales!$G$23*(datos_base!$F$5+IF(parametros_manuales!$H$23="Todos",datos_base!$F$12,0))*parametros_manuales!$F$112)*parametros_manuales!$I$23*parametros_manuales!$J$23</f>
        <v>6434.308515132</v>
      </c>
      <c r="G118" s="14" t="n">
        <f aca="false">(parametros_manuales!$D$23*(datos_base!$F$2+IF(parametros_manuales!$H$23="Todos",datos_base!$F$9,0))*parametros_manuales!$G$97+parametros_manuales!$E$23*(datos_base!$F$3+IF(parametros_manuales!$H$23="Todos",datos_base!$F$10,0))*parametros_manuales!$G$102+parametros_manuales!$F$23*(datos_base!$F$4+IF(parametros_manuales!$H$23="Todos",datos_base!$F$11,0))*parametros_manuales!$G$107+parametros_manuales!$G$23*(datos_base!$F$5+IF(parametros_manuales!$H$23="Todos",datos_base!$F$12,0))*parametros_manuales!$G$112)*parametros_manuales!$I$23*parametros_manuales!$J$23</f>
        <v>6303.9192510425</v>
      </c>
      <c r="H118" s="14" t="n">
        <f aca="false">(parametros_manuales!$D$23*(datos_base!$F$2+IF(parametros_manuales!$H$23="Todos",datos_base!$F$9,0))*parametros_manuales!$H$97+parametros_manuales!$E$23*(datos_base!$F$3+IF(parametros_manuales!$H$23="Todos",datos_base!$F$10,0))*parametros_manuales!$H$102+parametros_manuales!$F$23*(datos_base!$F$4+IF(parametros_manuales!$H$23="Todos",datos_base!$F$11,0))*parametros_manuales!$H$107+parametros_manuales!$G$23*(datos_base!$F$5+IF(parametros_manuales!$H$23="Todos",datos_base!$F$12,0))*parametros_manuales!$H$112)*parametros_manuales!$I$23*parametros_manuales!$J$23</f>
        <v>6744.885678682</v>
      </c>
      <c r="I118" s="14" t="n">
        <f aca="false">(parametros_manuales!$D$23*(datos_base!$F$2+IF(parametros_manuales!$H$23="Todos",datos_base!$F$9,0))*parametros_manuales!$I$97+parametros_manuales!$E$23*(datos_base!$F$3+IF(parametros_manuales!$H$23="Todos",datos_base!$F$10,0))*parametros_manuales!$I$102+parametros_manuales!$F$23*(datos_base!$F$4+IF(parametros_manuales!$H$23="Todos",datos_base!$F$11,0))*parametros_manuales!$I$107+parametros_manuales!$G$23*(datos_base!$F$5+IF(parametros_manuales!$H$23="Todos",datos_base!$F$12,0))*parametros_manuales!$I$112)*parametros_manuales!$I$23*parametros_manuales!$J$23</f>
        <v>7676.617169332</v>
      </c>
      <c r="J118" s="14" t="n">
        <f aca="false">(parametros_manuales!$D$23*(datos_base!$F$2+IF(parametros_manuales!$H$23="Todos",datos_base!$F$9,0))*parametros_manuales!$J$97+parametros_manuales!$E$23*(datos_base!$F$3+IF(parametros_manuales!$H$23="Todos",datos_base!$F$10,0))*parametros_manuales!$J$102+parametros_manuales!$F$23*(datos_base!$F$4+IF(parametros_manuales!$H$23="Todos",datos_base!$F$11,0))*parametros_manuales!$J$107+parametros_manuales!$G$23*(datos_base!$F$5+IF(parametros_manuales!$H$23="Todos",datos_base!$F$12,0))*parametros_manuales!$J$112)*parametros_manuales!$I$23*parametros_manuales!$J$23</f>
        <v>7676.617169332</v>
      </c>
      <c r="K118" s="14" t="n">
        <f aca="false">(parametros_manuales!$D$23*(datos_base!$F$2+IF(parametros_manuales!$H$23="Todos",datos_base!$F$9,0))*parametros_manuales!$K$97+parametros_manuales!$E$23*(datos_base!$F$3+IF(parametros_manuales!$H$23="Todos",datos_base!$F$10,0))*parametros_manuales!$K$102+parametros_manuales!$F$23*(datos_base!$F$4+IF(parametros_manuales!$H$23="Todos",datos_base!$F$11,0))*parametros_manuales!$K$107+parametros_manuales!$G$23*(datos_base!$F$5+IF(parametros_manuales!$H$23="Todos",datos_base!$F$12,0))*parametros_manuales!$K$112)*parametros_manuales!$I$23*parametros_manuales!$J$23</f>
        <v>7807.0064334215</v>
      </c>
      <c r="L118" s="14" t="n">
        <f aca="false">(parametros_manuales!$D$23*(datos_base!$F$2+IF(parametros_manuales!$H$23="Todos",datos_base!$F$9,0))*parametros_manuales!$L$97+parametros_manuales!$E$23*(datos_base!$F$3+IF(parametros_manuales!$H$23="Todos",datos_base!$F$10,0))*parametros_manuales!$L$102+parametros_manuales!$F$23*(datos_base!$F$4+IF(parametros_manuales!$H$23="Todos",datos_base!$F$11,0))*parametros_manuales!$L$107+parametros_manuales!$G$23*(datos_base!$F$5+IF(parametros_manuales!$H$23="Todos",datos_base!$F$12,0))*parametros_manuales!$L$112)*parametros_manuales!$I$23*parametros_manuales!$J$23</f>
        <v>7937.395697511</v>
      </c>
      <c r="M118" s="14" t="n">
        <f aca="false">(parametros_manuales!$D$23*(datos_base!$F$2+IF(parametros_manuales!$H$23="Todos",datos_base!$F$9,0))*parametros_manuales!$M$97+parametros_manuales!$E$23*(datos_base!$F$3+IF(parametros_manuales!$H$23="Todos",datos_base!$F$10,0))*parametros_manuales!$M$102+parametros_manuales!$F$23*(datos_base!$F$4+IF(parametros_manuales!$H$23="Todos",datos_base!$F$11,0))*parametros_manuales!$M$107+parametros_manuales!$G$23*(datos_base!$F$5+IF(parametros_manuales!$H$23="Todos",datos_base!$F$12,0))*parametros_manuales!$M$112)*parametros_manuales!$I$23*parametros_manuales!$J$23</f>
        <v>7937.395697511</v>
      </c>
      <c r="N118" s="14" t="n">
        <f aca="false">SUM(B118:M118)</f>
        <v>88193.2855279</v>
      </c>
      <c r="O118" s="14" t="n">
        <f aca="false">MAX(B118:M118)</f>
        <v>7937.395697511</v>
      </c>
      <c r="P118" s="57" t="n">
        <f aca="false">O118/(parametros_manuales!$B$7)</f>
        <v>52.91597131674</v>
      </c>
      <c r="Q118" s="13" t="str">
        <f aca="false">IF(O118=0,"-",INDEX($B$113:$M$113,MATCH(O118,B118:M118,0)))</f>
        <v>Ene</v>
      </c>
    </row>
    <row r="119" customFormat="false" ht="14.25" hidden="false" customHeight="true" outlineLevel="0" collapsed="false">
      <c r="A119" s="13" t="str">
        <f aca="false">parametros_manuales!$B$24</f>
        <v>Numerado de cúpula</v>
      </c>
      <c r="B119" s="14" t="n">
        <f aca="false">(parametros_manuales!$D$24*(datos_base!$F$2+IF(parametros_manuales!$H$24="Todos",datos_base!$F$9,0))*parametros_manuales!$B$97+parametros_manuales!$E$24*(datos_base!$F$3+IF(parametros_manuales!$H$24="Todos",datos_base!$F$10,0))*parametros_manuales!$B$102+parametros_manuales!$F$24*(datos_base!$F$4+IF(parametros_manuales!$H$24="Todos",datos_base!$F$11,0))*parametros_manuales!$B$107+parametros_manuales!$G$24*(datos_base!$F$5+IF(parametros_manuales!$H$24="Todos",datos_base!$F$12,0))*parametros_manuales!$B$112)*parametros_manuales!$I$24*parametros_manuales!$J$24</f>
        <v>7937.395697511</v>
      </c>
      <c r="C119" s="14" t="n">
        <f aca="false">(parametros_manuales!$D$24*(datos_base!$F$2+IF(parametros_manuales!$H$24="Todos",datos_base!$F$9,0))*parametros_manuales!$C$97+parametros_manuales!$E$24*(datos_base!$F$3+IF(parametros_manuales!$H$24="Todos",datos_base!$F$10,0))*parametros_manuales!$C$102+parametros_manuales!$F$24*(datos_base!$F$4+IF(parametros_manuales!$H$24="Todos",datos_base!$F$11,0))*parametros_manuales!$C$107+parametros_manuales!$G$24*(datos_base!$F$5+IF(parametros_manuales!$H$24="Todos",datos_base!$F$12,0))*parametros_manuales!$C$112)*parametros_manuales!$I$24*parametros_manuales!$J$24</f>
        <v>7676.617169332</v>
      </c>
      <c r="D119" s="14" t="n">
        <f aca="false">(parametros_manuales!$D$24*(datos_base!$F$2+IF(parametros_manuales!$H$24="Todos",datos_base!$F$9,0))*parametros_manuales!$D$97+parametros_manuales!$E$24*(datos_base!$F$3+IF(parametros_manuales!$H$24="Todos",datos_base!$F$10,0))*parametros_manuales!$D$102+parametros_manuales!$F$24*(datos_base!$F$4+IF(parametros_manuales!$H$24="Todos",datos_base!$F$11,0))*parametros_manuales!$D$107+parametros_manuales!$G$24*(datos_base!$F$5+IF(parametros_manuales!$H$24="Todos",datos_base!$F$12,0))*parametros_manuales!$D$112)*parametros_manuales!$I$24*parametros_manuales!$J$24</f>
        <v>7185.8521063215</v>
      </c>
      <c r="E119" s="14" t="n">
        <f aca="false">(parametros_manuales!$D$24*(datos_base!$F$2+IF(parametros_manuales!$H$24="Todos",datos_base!$F$9,0))*parametros_manuales!$E$97+parametros_manuales!$E$24*(datos_base!$F$3+IF(parametros_manuales!$H$24="Todos",datos_base!$F$10,0))*parametros_manuales!$E$102+parametros_manuales!$F$24*(datos_base!$F$4+IF(parametros_manuales!$H$24="Todos",datos_base!$F$11,0))*parametros_manuales!$E$107+parametros_manuales!$G$24*(datos_base!$F$5+IF(parametros_manuales!$H$24="Todos",datos_base!$F$12,0))*parametros_manuales!$E$112)*parametros_manuales!$I$24*parametros_manuales!$J$24</f>
        <v>6875.2749427715</v>
      </c>
      <c r="F119" s="14" t="n">
        <f aca="false">(parametros_manuales!$D$24*(datos_base!$F$2+IF(parametros_manuales!$H$24="Todos",datos_base!$F$9,0))*parametros_manuales!$F$97+parametros_manuales!$E$24*(datos_base!$F$3+IF(parametros_manuales!$H$24="Todos",datos_base!$F$10,0))*parametros_manuales!$F$102+parametros_manuales!$F$24*(datos_base!$F$4+IF(parametros_manuales!$H$24="Todos",datos_base!$F$11,0))*parametros_manuales!$F$107+parametros_manuales!$G$24*(datos_base!$F$5+IF(parametros_manuales!$H$24="Todos",datos_base!$F$12,0))*parametros_manuales!$F$112)*parametros_manuales!$I$24*parametros_manuales!$J$24</f>
        <v>6434.308515132</v>
      </c>
      <c r="G119" s="14" t="n">
        <f aca="false">(parametros_manuales!$D$24*(datos_base!$F$2+IF(parametros_manuales!$H$24="Todos",datos_base!$F$9,0))*parametros_manuales!$G$97+parametros_manuales!$E$24*(datos_base!$F$3+IF(parametros_manuales!$H$24="Todos",datos_base!$F$10,0))*parametros_manuales!$G$102+parametros_manuales!$F$24*(datos_base!$F$4+IF(parametros_manuales!$H$24="Todos",datos_base!$F$11,0))*parametros_manuales!$G$107+parametros_manuales!$G$24*(datos_base!$F$5+IF(parametros_manuales!$H$24="Todos",datos_base!$F$12,0))*parametros_manuales!$G$112)*parametros_manuales!$I$24*parametros_manuales!$J$24</f>
        <v>6303.9192510425</v>
      </c>
      <c r="H119" s="14" t="n">
        <f aca="false">(parametros_manuales!$D$24*(datos_base!$F$2+IF(parametros_manuales!$H$24="Todos",datos_base!$F$9,0))*parametros_manuales!$H$97+parametros_manuales!$E$24*(datos_base!$F$3+IF(parametros_manuales!$H$24="Todos",datos_base!$F$10,0))*parametros_manuales!$H$102+parametros_manuales!$F$24*(datos_base!$F$4+IF(parametros_manuales!$H$24="Todos",datos_base!$F$11,0))*parametros_manuales!$H$107+parametros_manuales!$G$24*(datos_base!$F$5+IF(parametros_manuales!$H$24="Todos",datos_base!$F$12,0))*parametros_manuales!$H$112)*parametros_manuales!$I$24*parametros_manuales!$J$24</f>
        <v>6744.885678682</v>
      </c>
      <c r="I119" s="14" t="n">
        <f aca="false">(parametros_manuales!$D$24*(datos_base!$F$2+IF(parametros_manuales!$H$24="Todos",datos_base!$F$9,0))*parametros_manuales!$I$97+parametros_manuales!$E$24*(datos_base!$F$3+IF(parametros_manuales!$H$24="Todos",datos_base!$F$10,0))*parametros_manuales!$I$102+parametros_manuales!$F$24*(datos_base!$F$4+IF(parametros_manuales!$H$24="Todos",datos_base!$F$11,0))*parametros_manuales!$I$107+parametros_manuales!$G$24*(datos_base!$F$5+IF(parametros_manuales!$H$24="Todos",datos_base!$F$12,0))*parametros_manuales!$I$112)*parametros_manuales!$I$24*parametros_manuales!$J$24</f>
        <v>7676.617169332</v>
      </c>
      <c r="J119" s="14" t="n">
        <f aca="false">(parametros_manuales!$D$24*(datos_base!$F$2+IF(parametros_manuales!$H$24="Todos",datos_base!$F$9,0))*parametros_manuales!$J$97+parametros_manuales!$E$24*(datos_base!$F$3+IF(parametros_manuales!$H$24="Todos",datos_base!$F$10,0))*parametros_manuales!$J$102+parametros_manuales!$F$24*(datos_base!$F$4+IF(parametros_manuales!$H$24="Todos",datos_base!$F$11,0))*parametros_manuales!$J$107+parametros_manuales!$G$24*(datos_base!$F$5+IF(parametros_manuales!$H$24="Todos",datos_base!$F$12,0))*parametros_manuales!$J$112)*parametros_manuales!$I$24*parametros_manuales!$J$24</f>
        <v>7676.617169332</v>
      </c>
      <c r="K119" s="14" t="n">
        <f aca="false">(parametros_manuales!$D$24*(datos_base!$F$2+IF(parametros_manuales!$H$24="Todos",datos_base!$F$9,0))*parametros_manuales!$K$97+parametros_manuales!$E$24*(datos_base!$F$3+IF(parametros_manuales!$H$24="Todos",datos_base!$F$10,0))*parametros_manuales!$K$102+parametros_manuales!$F$24*(datos_base!$F$4+IF(parametros_manuales!$H$24="Todos",datos_base!$F$11,0))*parametros_manuales!$K$107+parametros_manuales!$G$24*(datos_base!$F$5+IF(parametros_manuales!$H$24="Todos",datos_base!$F$12,0))*parametros_manuales!$K$112)*parametros_manuales!$I$24*parametros_manuales!$J$24</f>
        <v>7807.0064334215</v>
      </c>
      <c r="L119" s="14" t="n">
        <f aca="false">(parametros_manuales!$D$24*(datos_base!$F$2+IF(parametros_manuales!$H$24="Todos",datos_base!$F$9,0))*parametros_manuales!$L$97+parametros_manuales!$E$24*(datos_base!$F$3+IF(parametros_manuales!$H$24="Todos",datos_base!$F$10,0))*parametros_manuales!$L$102+parametros_manuales!$F$24*(datos_base!$F$4+IF(parametros_manuales!$H$24="Todos",datos_base!$F$11,0))*parametros_manuales!$L$107+parametros_manuales!$G$24*(datos_base!$F$5+IF(parametros_manuales!$H$24="Todos",datos_base!$F$12,0))*parametros_manuales!$L$112)*parametros_manuales!$I$24*parametros_manuales!$J$24</f>
        <v>7937.395697511</v>
      </c>
      <c r="M119" s="14" t="n">
        <f aca="false">(parametros_manuales!$D$24*(datos_base!$F$2+IF(parametros_manuales!$H$24="Todos",datos_base!$F$9,0))*parametros_manuales!$M$97+parametros_manuales!$E$24*(datos_base!$F$3+IF(parametros_manuales!$H$24="Todos",datos_base!$F$10,0))*parametros_manuales!$M$102+parametros_manuales!$F$24*(datos_base!$F$4+IF(parametros_manuales!$H$24="Todos",datos_base!$F$11,0))*parametros_manuales!$M$107+parametros_manuales!$G$24*(datos_base!$F$5+IF(parametros_manuales!$H$24="Todos",datos_base!$F$12,0))*parametros_manuales!$M$112)*parametros_manuales!$I$24*parametros_manuales!$J$24</f>
        <v>7937.395697511</v>
      </c>
      <c r="N119" s="14" t="n">
        <f aca="false">SUM(B119:M119)</f>
        <v>88193.2855279</v>
      </c>
      <c r="O119" s="14" t="n">
        <f aca="false">MAX(B119:M119)</f>
        <v>7937.395697511</v>
      </c>
      <c r="P119" s="57" t="n">
        <f aca="false">O119/(parametros_manuales!$B$7)</f>
        <v>52.91597131674</v>
      </c>
      <c r="Q119" s="13" t="str">
        <f aca="false">IF(O119=0,"-",INDEX($B$113:$M$113,MATCH(O119,B119:M119,0)))</f>
        <v>Ene</v>
      </c>
    </row>
    <row r="120" customFormat="false" ht="14.25" hidden="false" customHeight="true" outlineLevel="0" collapsed="false">
      <c r="A120" s="13" t="str">
        <f aca="false">parametros_manuales!$B$25</f>
        <v>Soldadura del cuello a la cúpula</v>
      </c>
      <c r="B120" s="14" t="n">
        <f aca="false">(parametros_manuales!$D$25*(datos_base!$F$2+IF(parametros_manuales!$H$25="Todos",datos_base!$F$9,0))*parametros_manuales!$B$97+parametros_manuales!$E$25*(datos_base!$F$3+IF(parametros_manuales!$H$25="Todos",datos_base!$F$10,0))*parametros_manuales!$B$102+parametros_manuales!$F$25*(datos_base!$F$4+IF(parametros_manuales!$H$25="Todos",datos_base!$F$11,0))*parametros_manuales!$B$107+parametros_manuales!$G$25*(datos_base!$F$5+IF(parametros_manuales!$H$25="Todos",datos_base!$F$12,0))*parametros_manuales!$B$112)*parametros_manuales!$I$25*parametros_manuales!$J$25</f>
        <v>7937.395697511</v>
      </c>
      <c r="C120" s="14" t="n">
        <f aca="false">(parametros_manuales!$D$25*(datos_base!$F$2+IF(parametros_manuales!$H$25="Todos",datos_base!$F$9,0))*parametros_manuales!$C$97+parametros_manuales!$E$25*(datos_base!$F$3+IF(parametros_manuales!$H$25="Todos",datos_base!$F$10,0))*parametros_manuales!$C$102+parametros_manuales!$F$25*(datos_base!$F$4+IF(parametros_manuales!$H$25="Todos",datos_base!$F$11,0))*parametros_manuales!$C$107+parametros_manuales!$G$25*(datos_base!$F$5+IF(parametros_manuales!$H$25="Todos",datos_base!$F$12,0))*parametros_manuales!$C$112)*parametros_manuales!$I$25*parametros_manuales!$J$25</f>
        <v>7676.617169332</v>
      </c>
      <c r="D120" s="14" t="n">
        <f aca="false">(parametros_manuales!$D$25*(datos_base!$F$2+IF(parametros_manuales!$H$25="Todos",datos_base!$F$9,0))*parametros_manuales!$D$97+parametros_manuales!$E$25*(datos_base!$F$3+IF(parametros_manuales!$H$25="Todos",datos_base!$F$10,0))*parametros_manuales!$D$102+parametros_manuales!$F$25*(datos_base!$F$4+IF(parametros_manuales!$H$25="Todos",datos_base!$F$11,0))*parametros_manuales!$D$107+parametros_manuales!$G$25*(datos_base!$F$5+IF(parametros_manuales!$H$25="Todos",datos_base!$F$12,0))*parametros_manuales!$D$112)*parametros_manuales!$I$25*parametros_manuales!$J$25</f>
        <v>7185.8521063215</v>
      </c>
      <c r="E120" s="14" t="n">
        <f aca="false">(parametros_manuales!$D$25*(datos_base!$F$2+IF(parametros_manuales!$H$25="Todos",datos_base!$F$9,0))*parametros_manuales!$E$97+parametros_manuales!$E$25*(datos_base!$F$3+IF(parametros_manuales!$H$25="Todos",datos_base!$F$10,0))*parametros_manuales!$E$102+parametros_manuales!$F$25*(datos_base!$F$4+IF(parametros_manuales!$H$25="Todos",datos_base!$F$11,0))*parametros_manuales!$E$107+parametros_manuales!$G$25*(datos_base!$F$5+IF(parametros_manuales!$H$25="Todos",datos_base!$F$12,0))*parametros_manuales!$E$112)*parametros_manuales!$I$25*parametros_manuales!$J$25</f>
        <v>6875.2749427715</v>
      </c>
      <c r="F120" s="14" t="n">
        <f aca="false">(parametros_manuales!$D$25*(datos_base!$F$2+IF(parametros_manuales!$H$25="Todos",datos_base!$F$9,0))*parametros_manuales!$F$97+parametros_manuales!$E$25*(datos_base!$F$3+IF(parametros_manuales!$H$25="Todos",datos_base!$F$10,0))*parametros_manuales!$F$102+parametros_manuales!$F$25*(datos_base!$F$4+IF(parametros_manuales!$H$25="Todos",datos_base!$F$11,0))*parametros_manuales!$F$107+parametros_manuales!$G$25*(datos_base!$F$5+IF(parametros_manuales!$H$25="Todos",datos_base!$F$12,0))*parametros_manuales!$F$112)*parametros_manuales!$I$25*parametros_manuales!$J$25</f>
        <v>6434.308515132</v>
      </c>
      <c r="G120" s="14" t="n">
        <f aca="false">(parametros_manuales!$D$25*(datos_base!$F$2+IF(parametros_manuales!$H$25="Todos",datos_base!$F$9,0))*parametros_manuales!$G$97+parametros_manuales!$E$25*(datos_base!$F$3+IF(parametros_manuales!$H$25="Todos",datos_base!$F$10,0))*parametros_manuales!$G$102+parametros_manuales!$F$25*(datos_base!$F$4+IF(parametros_manuales!$H$25="Todos",datos_base!$F$11,0))*parametros_manuales!$G$107+parametros_manuales!$G$25*(datos_base!$F$5+IF(parametros_manuales!$H$25="Todos",datos_base!$F$12,0))*parametros_manuales!$G$112)*parametros_manuales!$I$25*parametros_manuales!$J$25</f>
        <v>6303.9192510425</v>
      </c>
      <c r="H120" s="14" t="n">
        <f aca="false">(parametros_manuales!$D$25*(datos_base!$F$2+IF(parametros_manuales!$H$25="Todos",datos_base!$F$9,0))*parametros_manuales!$H$97+parametros_manuales!$E$25*(datos_base!$F$3+IF(parametros_manuales!$H$25="Todos",datos_base!$F$10,0))*parametros_manuales!$H$102+parametros_manuales!$F$25*(datos_base!$F$4+IF(parametros_manuales!$H$25="Todos",datos_base!$F$11,0))*parametros_manuales!$H$107+parametros_manuales!$G$25*(datos_base!$F$5+IF(parametros_manuales!$H$25="Todos",datos_base!$F$12,0))*parametros_manuales!$H$112)*parametros_manuales!$I$25*parametros_manuales!$J$25</f>
        <v>6744.885678682</v>
      </c>
      <c r="I120" s="14" t="n">
        <f aca="false">(parametros_manuales!$D$25*(datos_base!$F$2+IF(parametros_manuales!$H$25="Todos",datos_base!$F$9,0))*parametros_manuales!$I$97+parametros_manuales!$E$25*(datos_base!$F$3+IF(parametros_manuales!$H$25="Todos",datos_base!$F$10,0))*parametros_manuales!$I$102+parametros_manuales!$F$25*(datos_base!$F$4+IF(parametros_manuales!$H$25="Todos",datos_base!$F$11,0))*parametros_manuales!$I$107+parametros_manuales!$G$25*(datos_base!$F$5+IF(parametros_manuales!$H$25="Todos",datos_base!$F$12,0))*parametros_manuales!$I$112)*parametros_manuales!$I$25*parametros_manuales!$J$25</f>
        <v>7676.617169332</v>
      </c>
      <c r="J120" s="14" t="n">
        <f aca="false">(parametros_manuales!$D$25*(datos_base!$F$2+IF(parametros_manuales!$H$25="Todos",datos_base!$F$9,0))*parametros_manuales!$J$97+parametros_manuales!$E$25*(datos_base!$F$3+IF(parametros_manuales!$H$25="Todos",datos_base!$F$10,0))*parametros_manuales!$J$102+parametros_manuales!$F$25*(datos_base!$F$4+IF(parametros_manuales!$H$25="Todos",datos_base!$F$11,0))*parametros_manuales!$J$107+parametros_manuales!$G$25*(datos_base!$F$5+IF(parametros_manuales!$H$25="Todos",datos_base!$F$12,0))*parametros_manuales!$J$112)*parametros_manuales!$I$25*parametros_manuales!$J$25</f>
        <v>7676.617169332</v>
      </c>
      <c r="K120" s="14" t="n">
        <f aca="false">(parametros_manuales!$D$25*(datos_base!$F$2+IF(parametros_manuales!$H$25="Todos",datos_base!$F$9,0))*parametros_manuales!$K$97+parametros_manuales!$E$25*(datos_base!$F$3+IF(parametros_manuales!$H$25="Todos",datos_base!$F$10,0))*parametros_manuales!$K$102+parametros_manuales!$F$25*(datos_base!$F$4+IF(parametros_manuales!$H$25="Todos",datos_base!$F$11,0))*parametros_manuales!$K$107+parametros_manuales!$G$25*(datos_base!$F$5+IF(parametros_manuales!$H$25="Todos",datos_base!$F$12,0))*parametros_manuales!$K$112)*parametros_manuales!$I$25*parametros_manuales!$J$25</f>
        <v>7807.0064334215</v>
      </c>
      <c r="L120" s="14" t="n">
        <f aca="false">(parametros_manuales!$D$25*(datos_base!$F$2+IF(parametros_manuales!$H$25="Todos",datos_base!$F$9,0))*parametros_manuales!$L$97+parametros_manuales!$E$25*(datos_base!$F$3+IF(parametros_manuales!$H$25="Todos",datos_base!$F$10,0))*parametros_manuales!$L$102+parametros_manuales!$F$25*(datos_base!$F$4+IF(parametros_manuales!$H$25="Todos",datos_base!$F$11,0))*parametros_manuales!$L$107+parametros_manuales!$G$25*(datos_base!$F$5+IF(parametros_manuales!$H$25="Todos",datos_base!$F$12,0))*parametros_manuales!$L$112)*parametros_manuales!$I$25*parametros_manuales!$J$25</f>
        <v>7937.395697511</v>
      </c>
      <c r="M120" s="14" t="n">
        <f aca="false">(parametros_manuales!$D$25*(datos_base!$F$2+IF(parametros_manuales!$H$25="Todos",datos_base!$F$9,0))*parametros_manuales!$M$97+parametros_manuales!$E$25*(datos_base!$F$3+IF(parametros_manuales!$H$25="Todos",datos_base!$F$10,0))*parametros_manuales!$M$102+parametros_manuales!$F$25*(datos_base!$F$4+IF(parametros_manuales!$H$25="Todos",datos_base!$F$11,0))*parametros_manuales!$M$107+parametros_manuales!$G$25*(datos_base!$F$5+IF(parametros_manuales!$H$25="Todos",datos_base!$F$12,0))*parametros_manuales!$M$112)*parametros_manuales!$I$25*parametros_manuales!$J$25</f>
        <v>7937.395697511</v>
      </c>
      <c r="N120" s="14" t="n">
        <f aca="false">SUM(B120:M120)</f>
        <v>88193.2855279</v>
      </c>
      <c r="O120" s="14" t="n">
        <f aca="false">MAX(B120:M120)</f>
        <v>7937.395697511</v>
      </c>
      <c r="P120" s="57" t="n">
        <f aca="false">O120/(parametros_manuales!$B$7)</f>
        <v>52.91597131674</v>
      </c>
      <c r="Q120" s="13" t="str">
        <f aca="false">IF(O120=0,"-",INDEX($B$113:$M$113,MATCH(O120,B120:M120,0)))</f>
        <v>Ene</v>
      </c>
    </row>
    <row r="121" customFormat="false" ht="14.25" hidden="false" customHeight="true" outlineLevel="0" collapsed="false">
      <c r="A121" s="13" t="str">
        <f aca="false">parametros_manuales!$B$26</f>
        <v>Cilindrado</v>
      </c>
      <c r="B121" s="14" t="n">
        <f aca="false">(parametros_manuales!$D$26*(datos_base!$F$2+IF(parametros_manuales!$H$26="Todos",datos_base!$F$9,0))*parametros_manuales!$B$97+parametros_manuales!$E$26*(datos_base!$F$3+IF(parametros_manuales!$H$26="Todos",datos_base!$F$10,0))*parametros_manuales!$B$102+parametros_manuales!$F$26*(datos_base!$F$4+IF(parametros_manuales!$H$26="Todos",datos_base!$F$11,0))*parametros_manuales!$B$107+parametros_manuales!$G$26*(datos_base!$F$5+IF(parametros_manuales!$H$26="Todos",datos_base!$F$12,0))*parametros_manuales!$B$112)*parametros_manuales!$I$26*parametros_manuales!$J$26</f>
        <v>7937.395697511</v>
      </c>
      <c r="C121" s="14" t="n">
        <f aca="false">(parametros_manuales!$D$26*(datos_base!$F$2+IF(parametros_manuales!$H$26="Todos",datos_base!$F$9,0))*parametros_manuales!$C$97+parametros_manuales!$E$26*(datos_base!$F$3+IF(parametros_manuales!$H$26="Todos",datos_base!$F$10,0))*parametros_manuales!$C$102+parametros_manuales!$F$26*(datos_base!$F$4+IF(parametros_manuales!$H$26="Todos",datos_base!$F$11,0))*parametros_manuales!$C$107+parametros_manuales!$G$26*(datos_base!$F$5+IF(parametros_manuales!$H$26="Todos",datos_base!$F$12,0))*parametros_manuales!$C$112)*parametros_manuales!$I$26*parametros_manuales!$J$26</f>
        <v>7676.617169332</v>
      </c>
      <c r="D121" s="14" t="n">
        <f aca="false">(parametros_manuales!$D$26*(datos_base!$F$2+IF(parametros_manuales!$H$26="Todos",datos_base!$F$9,0))*parametros_manuales!$D$97+parametros_manuales!$E$26*(datos_base!$F$3+IF(parametros_manuales!$H$26="Todos",datos_base!$F$10,0))*parametros_manuales!$D$102+parametros_manuales!$F$26*(datos_base!$F$4+IF(parametros_manuales!$H$26="Todos",datos_base!$F$11,0))*parametros_manuales!$D$107+parametros_manuales!$G$26*(datos_base!$F$5+IF(parametros_manuales!$H$26="Todos",datos_base!$F$12,0))*parametros_manuales!$D$112)*parametros_manuales!$I$26*parametros_manuales!$J$26</f>
        <v>7185.8521063215</v>
      </c>
      <c r="E121" s="14" t="n">
        <f aca="false">(parametros_manuales!$D$26*(datos_base!$F$2+IF(parametros_manuales!$H$26="Todos",datos_base!$F$9,0))*parametros_manuales!$E$97+parametros_manuales!$E$26*(datos_base!$F$3+IF(parametros_manuales!$H$26="Todos",datos_base!$F$10,0))*parametros_manuales!$E$102+parametros_manuales!$F$26*(datos_base!$F$4+IF(parametros_manuales!$H$26="Todos",datos_base!$F$11,0))*parametros_manuales!$E$107+parametros_manuales!$G$26*(datos_base!$F$5+IF(parametros_manuales!$H$26="Todos",datos_base!$F$12,0))*parametros_manuales!$E$112)*parametros_manuales!$I$26*parametros_manuales!$J$26</f>
        <v>6875.2749427715</v>
      </c>
      <c r="F121" s="14" t="n">
        <f aca="false">(parametros_manuales!$D$26*(datos_base!$F$2+IF(parametros_manuales!$H$26="Todos",datos_base!$F$9,0))*parametros_manuales!$F$97+parametros_manuales!$E$26*(datos_base!$F$3+IF(parametros_manuales!$H$26="Todos",datos_base!$F$10,0))*parametros_manuales!$F$102+parametros_manuales!$F$26*(datos_base!$F$4+IF(parametros_manuales!$H$26="Todos",datos_base!$F$11,0))*parametros_manuales!$F$107+parametros_manuales!$G$26*(datos_base!$F$5+IF(parametros_manuales!$H$26="Todos",datos_base!$F$12,0))*parametros_manuales!$F$112)*parametros_manuales!$I$26*parametros_manuales!$J$26</f>
        <v>6434.308515132</v>
      </c>
      <c r="G121" s="14" t="n">
        <f aca="false">(parametros_manuales!$D$26*(datos_base!$F$2+IF(parametros_manuales!$H$26="Todos",datos_base!$F$9,0))*parametros_manuales!$G$97+parametros_manuales!$E$26*(datos_base!$F$3+IF(parametros_manuales!$H$26="Todos",datos_base!$F$10,0))*parametros_manuales!$G$102+parametros_manuales!$F$26*(datos_base!$F$4+IF(parametros_manuales!$H$26="Todos",datos_base!$F$11,0))*parametros_manuales!$G$107+parametros_manuales!$G$26*(datos_base!$F$5+IF(parametros_manuales!$H$26="Todos",datos_base!$F$12,0))*parametros_manuales!$G$112)*parametros_manuales!$I$26*parametros_manuales!$J$26</f>
        <v>6303.9192510425</v>
      </c>
      <c r="H121" s="14" t="n">
        <f aca="false">(parametros_manuales!$D$26*(datos_base!$F$2+IF(parametros_manuales!$H$26="Todos",datos_base!$F$9,0))*parametros_manuales!$H$97+parametros_manuales!$E$26*(datos_base!$F$3+IF(parametros_manuales!$H$26="Todos",datos_base!$F$10,0))*parametros_manuales!$H$102+parametros_manuales!$F$26*(datos_base!$F$4+IF(parametros_manuales!$H$26="Todos",datos_base!$F$11,0))*parametros_manuales!$H$107+parametros_manuales!$G$26*(datos_base!$F$5+IF(parametros_manuales!$H$26="Todos",datos_base!$F$12,0))*parametros_manuales!$H$112)*parametros_manuales!$I$26*parametros_manuales!$J$26</f>
        <v>6744.885678682</v>
      </c>
      <c r="I121" s="14" t="n">
        <f aca="false">(parametros_manuales!$D$26*(datos_base!$F$2+IF(parametros_manuales!$H$26="Todos",datos_base!$F$9,0))*parametros_manuales!$I$97+parametros_manuales!$E$26*(datos_base!$F$3+IF(parametros_manuales!$H$26="Todos",datos_base!$F$10,0))*parametros_manuales!$I$102+parametros_manuales!$F$26*(datos_base!$F$4+IF(parametros_manuales!$H$26="Todos",datos_base!$F$11,0))*parametros_manuales!$I$107+parametros_manuales!$G$26*(datos_base!$F$5+IF(parametros_manuales!$H$26="Todos",datos_base!$F$12,0))*parametros_manuales!$I$112)*parametros_manuales!$I$26*parametros_manuales!$J$26</f>
        <v>7676.617169332</v>
      </c>
      <c r="J121" s="14" t="n">
        <f aca="false">(parametros_manuales!$D$26*(datos_base!$F$2+IF(parametros_manuales!$H$26="Todos",datos_base!$F$9,0))*parametros_manuales!$J$97+parametros_manuales!$E$26*(datos_base!$F$3+IF(parametros_manuales!$H$26="Todos",datos_base!$F$10,0))*parametros_manuales!$J$102+parametros_manuales!$F$26*(datos_base!$F$4+IF(parametros_manuales!$H$26="Todos",datos_base!$F$11,0))*parametros_manuales!$J$107+parametros_manuales!$G$26*(datos_base!$F$5+IF(parametros_manuales!$H$26="Todos",datos_base!$F$12,0))*parametros_manuales!$J$112)*parametros_manuales!$I$26*parametros_manuales!$J$26</f>
        <v>7676.617169332</v>
      </c>
      <c r="K121" s="14" t="n">
        <f aca="false">(parametros_manuales!$D$26*(datos_base!$F$2+IF(parametros_manuales!$H$26="Todos",datos_base!$F$9,0))*parametros_manuales!$K$97+parametros_manuales!$E$26*(datos_base!$F$3+IF(parametros_manuales!$H$26="Todos",datos_base!$F$10,0))*parametros_manuales!$K$102+parametros_manuales!$F$26*(datos_base!$F$4+IF(parametros_manuales!$H$26="Todos",datos_base!$F$11,0))*parametros_manuales!$K$107+parametros_manuales!$G$26*(datos_base!$F$5+IF(parametros_manuales!$H$26="Todos",datos_base!$F$12,0))*parametros_manuales!$K$112)*parametros_manuales!$I$26*parametros_manuales!$J$26</f>
        <v>7807.0064334215</v>
      </c>
      <c r="L121" s="14" t="n">
        <f aca="false">(parametros_manuales!$D$26*(datos_base!$F$2+IF(parametros_manuales!$H$26="Todos",datos_base!$F$9,0))*parametros_manuales!$L$97+parametros_manuales!$E$26*(datos_base!$F$3+IF(parametros_manuales!$H$26="Todos",datos_base!$F$10,0))*parametros_manuales!$L$102+parametros_manuales!$F$26*(datos_base!$F$4+IF(parametros_manuales!$H$26="Todos",datos_base!$F$11,0))*parametros_manuales!$L$107+parametros_manuales!$G$26*(datos_base!$F$5+IF(parametros_manuales!$H$26="Todos",datos_base!$F$12,0))*parametros_manuales!$L$112)*parametros_manuales!$I$26*parametros_manuales!$J$26</f>
        <v>7937.395697511</v>
      </c>
      <c r="M121" s="14" t="n">
        <f aca="false">(parametros_manuales!$D$26*(datos_base!$F$2+IF(parametros_manuales!$H$26="Todos",datos_base!$F$9,0))*parametros_manuales!$M$97+parametros_manuales!$E$26*(datos_base!$F$3+IF(parametros_manuales!$H$26="Todos",datos_base!$F$10,0))*parametros_manuales!$M$102+parametros_manuales!$F$26*(datos_base!$F$4+IF(parametros_manuales!$H$26="Todos",datos_base!$F$11,0))*parametros_manuales!$M$107+parametros_manuales!$G$26*(datos_base!$F$5+IF(parametros_manuales!$H$26="Todos",datos_base!$F$12,0))*parametros_manuales!$M$112)*parametros_manuales!$I$26*parametros_manuales!$J$26</f>
        <v>7937.395697511</v>
      </c>
      <c r="N121" s="14" t="n">
        <f aca="false">SUM(B121:M121)</f>
        <v>88193.2855279</v>
      </c>
      <c r="O121" s="14" t="n">
        <f aca="false">MAX(B121:M121)</f>
        <v>7937.395697511</v>
      </c>
      <c r="P121" s="57" t="n">
        <f aca="false">O121/(parametros_manuales!$B$7)</f>
        <v>52.91597131674</v>
      </c>
      <c r="Q121" s="13" t="str">
        <f aca="false">IF(O121=0,"-",INDEX($B$113:$M$113,MATCH(O121,B121:M121,0)))</f>
        <v>Ene</v>
      </c>
    </row>
    <row r="122" customFormat="false" ht="14.25" hidden="false" customHeight="true" outlineLevel="0" collapsed="false">
      <c r="A122" s="13" t="str">
        <f aca="false">parametros_manuales!$B$27</f>
        <v>Soldadura longitudinal — 2,5 a 10 kg</v>
      </c>
      <c r="B122" s="14" t="n">
        <f aca="false">(parametros_manuales!$D$27*(datos_base!$F$2+IF(parametros_manuales!$H$27="Todos",datos_base!$F$9,0))*parametros_manuales!$B$97+parametros_manuales!$E$27*(datos_base!$F$3+IF(parametros_manuales!$H$27="Todos",datos_base!$F$10,0))*parametros_manuales!$B$102+parametros_manuales!$F$27*(datos_base!$F$4+IF(parametros_manuales!$H$27="Todos",datos_base!$F$11,0))*parametros_manuales!$B$107+parametros_manuales!$G$27*(datos_base!$F$5+IF(parametros_manuales!$H$27="Todos",datos_base!$F$12,0))*parametros_manuales!$B$112)*parametros_manuales!$I$27*parametros_manuales!$J$27</f>
        <v>2347.006753611</v>
      </c>
      <c r="C122" s="14" t="n">
        <f aca="false">(parametros_manuales!$D$27*(datos_base!$F$2+IF(parametros_manuales!$H$27="Todos",datos_base!$F$9,0))*parametros_manuales!$C$97+parametros_manuales!$E$27*(datos_base!$F$3+IF(parametros_manuales!$H$27="Todos",datos_base!$F$10,0))*parametros_manuales!$C$102+parametros_manuales!$F$27*(datos_base!$F$4+IF(parametros_manuales!$H$27="Todos",datos_base!$F$11,0))*parametros_manuales!$C$107+parametros_manuales!$G$27*(datos_base!$F$5+IF(parametros_manuales!$H$27="Todos",datos_base!$F$12,0))*parametros_manuales!$C$112)*parametros_manuales!$I$27*parametros_manuales!$J$27</f>
        <v>2086.228225432</v>
      </c>
      <c r="D122" s="14" t="n">
        <f aca="false">(parametros_manuales!$D$27*(datos_base!$F$2+IF(parametros_manuales!$H$27="Todos",datos_base!$F$9,0))*parametros_manuales!$D$97+parametros_manuales!$E$27*(datos_base!$F$3+IF(parametros_manuales!$H$27="Todos",datos_base!$F$10,0))*parametros_manuales!$D$102+parametros_manuales!$F$27*(datos_base!$F$4+IF(parametros_manuales!$H$27="Todos",datos_base!$F$11,0))*parametros_manuales!$D$107+parametros_manuales!$G$27*(datos_base!$F$5+IF(parametros_manuales!$H$27="Todos",datos_base!$F$12,0))*parametros_manuales!$D$112)*parametros_manuales!$I$27*parametros_manuales!$J$27</f>
        <v>2216.6174895215</v>
      </c>
      <c r="E122" s="14" t="n">
        <f aca="false">(parametros_manuales!$D$27*(datos_base!$F$2+IF(parametros_manuales!$H$27="Todos",datos_base!$F$9,0))*parametros_manuales!$E$97+parametros_manuales!$E$27*(datos_base!$F$3+IF(parametros_manuales!$H$27="Todos",datos_base!$F$10,0))*parametros_manuales!$E$102+parametros_manuales!$F$27*(datos_base!$F$4+IF(parametros_manuales!$H$27="Todos",datos_base!$F$11,0))*parametros_manuales!$E$107+parametros_manuales!$G$27*(datos_base!$F$5+IF(parametros_manuales!$H$27="Todos",datos_base!$F$12,0))*parametros_manuales!$E$112)*parametros_manuales!$I$27*parametros_manuales!$J$27</f>
        <v>2216.6174895215</v>
      </c>
      <c r="F122" s="14" t="n">
        <f aca="false">(parametros_manuales!$D$27*(datos_base!$F$2+IF(parametros_manuales!$H$27="Todos",datos_base!$F$9,0))*parametros_manuales!$F$97+parametros_manuales!$E$27*(datos_base!$F$3+IF(parametros_manuales!$H$27="Todos",datos_base!$F$10,0))*parametros_manuales!$F$102+parametros_manuales!$F$27*(datos_base!$F$4+IF(parametros_manuales!$H$27="Todos",datos_base!$F$11,0))*parametros_manuales!$F$107+parametros_manuales!$G$27*(datos_base!$F$5+IF(parametros_manuales!$H$27="Todos",datos_base!$F$12,0))*parametros_manuales!$F$112)*parametros_manuales!$I$27*parametros_manuales!$J$27</f>
        <v>2086.228225432</v>
      </c>
      <c r="G122" s="14" t="n">
        <f aca="false">(parametros_manuales!$D$27*(datos_base!$F$2+IF(parametros_manuales!$H$27="Todos",datos_base!$F$9,0))*parametros_manuales!$G$97+parametros_manuales!$E$27*(datos_base!$F$3+IF(parametros_manuales!$H$27="Todos",datos_base!$F$10,0))*parametros_manuales!$G$102+parametros_manuales!$F$27*(datos_base!$F$4+IF(parametros_manuales!$H$27="Todos",datos_base!$F$11,0))*parametros_manuales!$G$107+parametros_manuales!$G$27*(datos_base!$F$5+IF(parametros_manuales!$H$27="Todos",datos_base!$F$12,0))*parametros_manuales!$G$112)*parametros_manuales!$I$27*parametros_manuales!$J$27</f>
        <v>1955.8389613425</v>
      </c>
      <c r="H122" s="14" t="n">
        <f aca="false">(parametros_manuales!$D$27*(datos_base!$F$2+IF(parametros_manuales!$H$27="Todos",datos_base!$F$9,0))*parametros_manuales!$H$97+parametros_manuales!$E$27*(datos_base!$F$3+IF(parametros_manuales!$H$27="Todos",datos_base!$F$10,0))*parametros_manuales!$H$102+parametros_manuales!$F$27*(datos_base!$F$4+IF(parametros_manuales!$H$27="Todos",datos_base!$F$11,0))*parametros_manuales!$H$107+parametros_manuales!$G$27*(datos_base!$F$5+IF(parametros_manuales!$H$27="Todos",datos_base!$F$12,0))*parametros_manuales!$H$112)*parametros_manuales!$I$27*parametros_manuales!$J$27</f>
        <v>2086.228225432</v>
      </c>
      <c r="I122" s="14" t="n">
        <f aca="false">(parametros_manuales!$D$27*(datos_base!$F$2+IF(parametros_manuales!$H$27="Todos",datos_base!$F$9,0))*parametros_manuales!$I$97+parametros_manuales!$E$27*(datos_base!$F$3+IF(parametros_manuales!$H$27="Todos",datos_base!$F$10,0))*parametros_manuales!$I$102+parametros_manuales!$F$27*(datos_base!$F$4+IF(parametros_manuales!$H$27="Todos",datos_base!$F$11,0))*parametros_manuales!$I$107+parametros_manuales!$G$27*(datos_base!$F$5+IF(parametros_manuales!$H$27="Todos",datos_base!$F$12,0))*parametros_manuales!$I$112)*parametros_manuales!$I$27*parametros_manuales!$J$27</f>
        <v>2086.228225432</v>
      </c>
      <c r="J122" s="14" t="n">
        <f aca="false">(parametros_manuales!$D$27*(datos_base!$F$2+IF(parametros_manuales!$H$27="Todos",datos_base!$F$9,0))*parametros_manuales!$J$97+parametros_manuales!$E$27*(datos_base!$F$3+IF(parametros_manuales!$H$27="Todos",datos_base!$F$10,0))*parametros_manuales!$J$102+parametros_manuales!$F$27*(datos_base!$F$4+IF(parametros_manuales!$H$27="Todos",datos_base!$F$11,0))*parametros_manuales!$J$107+parametros_manuales!$G$27*(datos_base!$F$5+IF(parametros_manuales!$H$27="Todos",datos_base!$F$12,0))*parametros_manuales!$J$112)*parametros_manuales!$I$27*parametros_manuales!$J$27</f>
        <v>2086.228225432</v>
      </c>
      <c r="K122" s="14" t="n">
        <f aca="false">(parametros_manuales!$D$27*(datos_base!$F$2+IF(parametros_manuales!$H$27="Todos",datos_base!$F$9,0))*parametros_manuales!$K$97+parametros_manuales!$E$27*(datos_base!$F$3+IF(parametros_manuales!$H$27="Todos",datos_base!$F$10,0))*parametros_manuales!$K$102+parametros_manuales!$F$27*(datos_base!$F$4+IF(parametros_manuales!$H$27="Todos",datos_base!$F$11,0))*parametros_manuales!$K$107+parametros_manuales!$G$27*(datos_base!$F$5+IF(parametros_manuales!$H$27="Todos",datos_base!$F$12,0))*parametros_manuales!$K$112)*parametros_manuales!$I$27*parametros_manuales!$J$27</f>
        <v>2216.6174895215</v>
      </c>
      <c r="L122" s="14" t="n">
        <f aca="false">(parametros_manuales!$D$27*(datos_base!$F$2+IF(parametros_manuales!$H$27="Todos",datos_base!$F$9,0))*parametros_manuales!$L$97+parametros_manuales!$E$27*(datos_base!$F$3+IF(parametros_manuales!$H$27="Todos",datos_base!$F$10,0))*parametros_manuales!$L$102+parametros_manuales!$F$27*(datos_base!$F$4+IF(parametros_manuales!$H$27="Todos",datos_base!$F$11,0))*parametros_manuales!$L$107+parametros_manuales!$G$27*(datos_base!$F$5+IF(parametros_manuales!$H$27="Todos",datos_base!$F$12,0))*parametros_manuales!$L$112)*parametros_manuales!$I$27*parametros_manuales!$J$27</f>
        <v>2347.006753611</v>
      </c>
      <c r="M122" s="14" t="n">
        <f aca="false">(parametros_manuales!$D$27*(datos_base!$F$2+IF(parametros_manuales!$H$27="Todos",datos_base!$F$9,0))*parametros_manuales!$M$97+parametros_manuales!$E$27*(datos_base!$F$3+IF(parametros_manuales!$H$27="Todos",datos_base!$F$10,0))*parametros_manuales!$M$102+parametros_manuales!$F$27*(datos_base!$F$4+IF(parametros_manuales!$H$27="Todos",datos_base!$F$11,0))*parametros_manuales!$M$107+parametros_manuales!$G$27*(datos_base!$F$5+IF(parametros_manuales!$H$27="Todos",datos_base!$F$12,0))*parametros_manuales!$M$112)*parametros_manuales!$I$27*parametros_manuales!$J$27</f>
        <v>2347.006753611</v>
      </c>
      <c r="N122" s="14" t="n">
        <f aca="false">SUM(B122:M122)</f>
        <v>26077.8528179</v>
      </c>
      <c r="O122" s="14" t="n">
        <f aca="false">MAX(B122:M122)</f>
        <v>2347.006753611</v>
      </c>
      <c r="P122" s="57" t="n">
        <f aca="false">O122/(parametros_manuales!$B$7)</f>
        <v>15.64671169074</v>
      </c>
      <c r="Q122" s="13" t="str">
        <f aca="false">IF(O122=0,"-",INDEX($B$113:$M$113,MATCH(O122,B122:M122,0)))</f>
        <v>Ene</v>
      </c>
    </row>
    <row r="123" customFormat="false" ht="14.25" hidden="false" customHeight="true" outlineLevel="0" collapsed="false">
      <c r="A123" s="13" t="str">
        <f aca="false">parametros_manuales!$B$28</f>
        <v>Soldadura longitudinal TIG — 1 kg</v>
      </c>
      <c r="B123" s="14" t="n">
        <f aca="false">(parametros_manuales!$D$28*(datos_base!$F$2+IF(parametros_manuales!$H$28="Todos",datos_base!$F$9,0))*parametros_manuales!$B$97+parametros_manuales!$E$28*(datos_base!$F$3+IF(parametros_manuales!$H$28="Todos",datos_base!$F$10,0))*parametros_manuales!$B$102+parametros_manuales!$F$28*(datos_base!$F$4+IF(parametros_manuales!$H$28="Todos",datos_base!$F$11,0))*parametros_manuales!$B$107+parametros_manuales!$G$28*(datos_base!$F$5+IF(parametros_manuales!$H$28="Todos",datos_base!$F$12,0))*parametros_manuales!$B$112)*parametros_manuales!$I$28*parametros_manuales!$J$28</f>
        <v>5590.3889439</v>
      </c>
      <c r="C123" s="14" t="n">
        <f aca="false">(parametros_manuales!$D$28*(datos_base!$F$2+IF(parametros_manuales!$H$28="Todos",datos_base!$F$9,0))*parametros_manuales!$C$97+parametros_manuales!$E$28*(datos_base!$F$3+IF(parametros_manuales!$H$28="Todos",datos_base!$F$10,0))*parametros_manuales!$C$102+parametros_manuales!$F$28*(datos_base!$F$4+IF(parametros_manuales!$H$28="Todos",datos_base!$F$11,0))*parametros_manuales!$C$107+parametros_manuales!$G$28*(datos_base!$F$5+IF(parametros_manuales!$H$28="Todos",datos_base!$F$12,0))*parametros_manuales!$C$112)*parametros_manuales!$I$28*parametros_manuales!$J$28</f>
        <v>5590.3889439</v>
      </c>
      <c r="D123" s="14" t="n">
        <f aca="false">(parametros_manuales!$D$28*(datos_base!$F$2+IF(parametros_manuales!$H$28="Todos",datos_base!$F$9,0))*parametros_manuales!$D$97+parametros_manuales!$E$28*(datos_base!$F$3+IF(parametros_manuales!$H$28="Todos",datos_base!$F$10,0))*parametros_manuales!$D$102+parametros_manuales!$F$28*(datos_base!$F$4+IF(parametros_manuales!$H$28="Todos",datos_base!$F$11,0))*parametros_manuales!$D$107+parametros_manuales!$G$28*(datos_base!$F$5+IF(parametros_manuales!$H$28="Todos",datos_base!$F$12,0))*parametros_manuales!$D$112)*parametros_manuales!$I$28*parametros_manuales!$J$28</f>
        <v>4969.2346168</v>
      </c>
      <c r="E123" s="14" t="n">
        <f aca="false">(parametros_manuales!$D$28*(datos_base!$F$2+IF(parametros_manuales!$H$28="Todos",datos_base!$F$9,0))*parametros_manuales!$E$97+parametros_manuales!$E$28*(datos_base!$F$3+IF(parametros_manuales!$H$28="Todos",datos_base!$F$10,0))*parametros_manuales!$E$102+parametros_manuales!$F$28*(datos_base!$F$4+IF(parametros_manuales!$H$28="Todos",datos_base!$F$11,0))*parametros_manuales!$E$107+parametros_manuales!$G$28*(datos_base!$F$5+IF(parametros_manuales!$H$28="Todos",datos_base!$F$12,0))*parametros_manuales!$E$112)*parametros_manuales!$I$28*parametros_manuales!$J$28</f>
        <v>4658.65745325</v>
      </c>
      <c r="F123" s="14" t="n">
        <f aca="false">(parametros_manuales!$D$28*(datos_base!$F$2+IF(parametros_manuales!$H$28="Todos",datos_base!$F$9,0))*parametros_manuales!$F$97+parametros_manuales!$E$28*(datos_base!$F$3+IF(parametros_manuales!$H$28="Todos",datos_base!$F$10,0))*parametros_manuales!$F$102+parametros_manuales!$F$28*(datos_base!$F$4+IF(parametros_manuales!$H$28="Todos",datos_base!$F$11,0))*parametros_manuales!$F$107+parametros_manuales!$G$28*(datos_base!$F$5+IF(parametros_manuales!$H$28="Todos",datos_base!$F$12,0))*parametros_manuales!$F$112)*parametros_manuales!$I$28*parametros_manuales!$J$28</f>
        <v>4348.0802897</v>
      </c>
      <c r="G123" s="14" t="n">
        <f aca="false">(parametros_manuales!$D$28*(datos_base!$F$2+IF(parametros_manuales!$H$28="Todos",datos_base!$F$9,0))*parametros_manuales!$G$97+parametros_manuales!$E$28*(datos_base!$F$3+IF(parametros_manuales!$H$28="Todos",datos_base!$F$10,0))*parametros_manuales!$G$102+parametros_manuales!$F$28*(datos_base!$F$4+IF(parametros_manuales!$H$28="Todos",datos_base!$F$11,0))*parametros_manuales!$G$107+parametros_manuales!$G$28*(datos_base!$F$5+IF(parametros_manuales!$H$28="Todos",datos_base!$F$12,0))*parametros_manuales!$G$112)*parametros_manuales!$I$28*parametros_manuales!$J$28</f>
        <v>4348.0802897</v>
      </c>
      <c r="H123" s="14" t="n">
        <f aca="false">(parametros_manuales!$D$28*(datos_base!$F$2+IF(parametros_manuales!$H$28="Todos",datos_base!$F$9,0))*parametros_manuales!$H$97+parametros_manuales!$E$28*(datos_base!$F$3+IF(parametros_manuales!$H$28="Todos",datos_base!$F$10,0))*parametros_manuales!$H$102+parametros_manuales!$F$28*(datos_base!$F$4+IF(parametros_manuales!$H$28="Todos",datos_base!$F$11,0))*parametros_manuales!$H$107+parametros_manuales!$G$28*(datos_base!$F$5+IF(parametros_manuales!$H$28="Todos",datos_base!$F$12,0))*parametros_manuales!$H$112)*parametros_manuales!$I$28*parametros_manuales!$J$28</f>
        <v>4658.65745325</v>
      </c>
      <c r="I123" s="14" t="n">
        <f aca="false">(parametros_manuales!$D$28*(datos_base!$F$2+IF(parametros_manuales!$H$28="Todos",datos_base!$F$9,0))*parametros_manuales!$I$97+parametros_manuales!$E$28*(datos_base!$F$3+IF(parametros_manuales!$H$28="Todos",datos_base!$F$10,0))*parametros_manuales!$I$102+parametros_manuales!$F$28*(datos_base!$F$4+IF(parametros_manuales!$H$28="Todos",datos_base!$F$11,0))*parametros_manuales!$I$107+parametros_manuales!$G$28*(datos_base!$F$5+IF(parametros_manuales!$H$28="Todos",datos_base!$F$12,0))*parametros_manuales!$I$112)*parametros_manuales!$I$28*parametros_manuales!$J$28</f>
        <v>5590.3889439</v>
      </c>
      <c r="J123" s="14" t="n">
        <f aca="false">(parametros_manuales!$D$28*(datos_base!$F$2+IF(parametros_manuales!$H$28="Todos",datos_base!$F$9,0))*parametros_manuales!$J$97+parametros_manuales!$E$28*(datos_base!$F$3+IF(parametros_manuales!$H$28="Todos",datos_base!$F$10,0))*parametros_manuales!$J$102+parametros_manuales!$F$28*(datos_base!$F$4+IF(parametros_manuales!$H$28="Todos",datos_base!$F$11,0))*parametros_manuales!$J$107+parametros_manuales!$G$28*(datos_base!$F$5+IF(parametros_manuales!$H$28="Todos",datos_base!$F$12,0))*parametros_manuales!$J$112)*parametros_manuales!$I$28*parametros_manuales!$J$28</f>
        <v>5590.3889439</v>
      </c>
      <c r="K123" s="14" t="n">
        <f aca="false">(parametros_manuales!$D$28*(datos_base!$F$2+IF(parametros_manuales!$H$28="Todos",datos_base!$F$9,0))*parametros_manuales!$K$97+parametros_manuales!$E$28*(datos_base!$F$3+IF(parametros_manuales!$H$28="Todos",datos_base!$F$10,0))*parametros_manuales!$K$102+parametros_manuales!$F$28*(datos_base!$F$4+IF(parametros_manuales!$H$28="Todos",datos_base!$F$11,0))*parametros_manuales!$K$107+parametros_manuales!$G$28*(datos_base!$F$5+IF(parametros_manuales!$H$28="Todos",datos_base!$F$12,0))*parametros_manuales!$K$112)*parametros_manuales!$I$28*parametros_manuales!$J$28</f>
        <v>5590.3889439</v>
      </c>
      <c r="L123" s="14" t="n">
        <f aca="false">(parametros_manuales!$D$28*(datos_base!$F$2+IF(parametros_manuales!$H$28="Todos",datos_base!$F$9,0))*parametros_manuales!$L$97+parametros_manuales!$E$28*(datos_base!$F$3+IF(parametros_manuales!$H$28="Todos",datos_base!$F$10,0))*parametros_manuales!$L$102+parametros_manuales!$F$28*(datos_base!$F$4+IF(parametros_manuales!$H$28="Todos",datos_base!$F$11,0))*parametros_manuales!$L$107+parametros_manuales!$G$28*(datos_base!$F$5+IF(parametros_manuales!$H$28="Todos",datos_base!$F$12,0))*parametros_manuales!$L$112)*parametros_manuales!$I$28*parametros_manuales!$J$28</f>
        <v>5590.3889439</v>
      </c>
      <c r="M123" s="14" t="n">
        <f aca="false">(parametros_manuales!$D$28*(datos_base!$F$2+IF(parametros_manuales!$H$28="Todos",datos_base!$F$9,0))*parametros_manuales!$M$97+parametros_manuales!$E$28*(datos_base!$F$3+IF(parametros_manuales!$H$28="Todos",datos_base!$F$10,0))*parametros_manuales!$M$102+parametros_manuales!$F$28*(datos_base!$F$4+IF(parametros_manuales!$H$28="Todos",datos_base!$F$11,0))*parametros_manuales!$M$107+parametros_manuales!$G$28*(datos_base!$F$5+IF(parametros_manuales!$H$28="Todos",datos_base!$F$12,0))*parametros_manuales!$M$112)*parametros_manuales!$I$28*parametros_manuales!$J$28</f>
        <v>5590.3889439</v>
      </c>
      <c r="N123" s="14" t="n">
        <f aca="false">SUM(B123:M123)</f>
        <v>62115.43271</v>
      </c>
      <c r="O123" s="14" t="n">
        <f aca="false">MAX(B123:M123)</f>
        <v>5590.3889439</v>
      </c>
      <c r="P123" s="57" t="n">
        <f aca="false">O123/(parametros_manuales!$B$7)</f>
        <v>37.269259626</v>
      </c>
      <c r="Q123" s="13" t="str">
        <f aca="false">IF(O123=0,"-",INDEX($B$113:$M$113,MATCH(O123,B123:M123,0)))</f>
        <v>Ene</v>
      </c>
    </row>
    <row r="124" customFormat="false" ht="14.25" hidden="false" customHeight="true" outlineLevel="0" collapsed="false">
      <c r="A124" s="13" t="str">
        <f aca="false">parametros_manuales!$B$29</f>
        <v>Encastre de fondo</v>
      </c>
      <c r="B124" s="14" t="n">
        <f aca="false">(parametros_manuales!$D$29*(datos_base!$F$2+IF(parametros_manuales!$H$29="Todos",datos_base!$F$9,0))*parametros_manuales!$B$97+parametros_manuales!$E$29*(datos_base!$F$3+IF(parametros_manuales!$H$29="Todos",datos_base!$F$10,0))*parametros_manuales!$B$102+parametros_manuales!$F$29*(datos_base!$F$4+IF(parametros_manuales!$H$29="Todos",datos_base!$F$11,0))*parametros_manuales!$B$107+parametros_manuales!$G$29*(datos_base!$F$5+IF(parametros_manuales!$H$29="Todos",datos_base!$F$12,0))*parametros_manuales!$B$112)*parametros_manuales!$I$29*parametros_manuales!$J$29</f>
        <v>7937.395697511</v>
      </c>
      <c r="C124" s="14" t="n">
        <f aca="false">(parametros_manuales!$D$29*(datos_base!$F$2+IF(parametros_manuales!$H$29="Todos",datos_base!$F$9,0))*parametros_manuales!$C$97+parametros_manuales!$E$29*(datos_base!$F$3+IF(parametros_manuales!$H$29="Todos",datos_base!$F$10,0))*parametros_manuales!$C$102+parametros_manuales!$F$29*(datos_base!$F$4+IF(parametros_manuales!$H$29="Todos",datos_base!$F$11,0))*parametros_manuales!$C$107+parametros_manuales!$G$29*(datos_base!$F$5+IF(parametros_manuales!$H$29="Todos",datos_base!$F$12,0))*parametros_manuales!$C$112)*parametros_manuales!$I$29*parametros_manuales!$J$29</f>
        <v>7676.617169332</v>
      </c>
      <c r="D124" s="14" t="n">
        <f aca="false">(parametros_manuales!$D$29*(datos_base!$F$2+IF(parametros_manuales!$H$29="Todos",datos_base!$F$9,0))*parametros_manuales!$D$97+parametros_manuales!$E$29*(datos_base!$F$3+IF(parametros_manuales!$H$29="Todos",datos_base!$F$10,0))*parametros_manuales!$D$102+parametros_manuales!$F$29*(datos_base!$F$4+IF(parametros_manuales!$H$29="Todos",datos_base!$F$11,0))*parametros_manuales!$D$107+parametros_manuales!$G$29*(datos_base!$F$5+IF(parametros_manuales!$H$29="Todos",datos_base!$F$12,0))*parametros_manuales!$D$112)*parametros_manuales!$I$29*parametros_manuales!$J$29</f>
        <v>7185.8521063215</v>
      </c>
      <c r="E124" s="14" t="n">
        <f aca="false">(parametros_manuales!$D$29*(datos_base!$F$2+IF(parametros_manuales!$H$29="Todos",datos_base!$F$9,0))*parametros_manuales!$E$97+parametros_manuales!$E$29*(datos_base!$F$3+IF(parametros_manuales!$H$29="Todos",datos_base!$F$10,0))*parametros_manuales!$E$102+parametros_manuales!$F$29*(datos_base!$F$4+IF(parametros_manuales!$H$29="Todos",datos_base!$F$11,0))*parametros_manuales!$E$107+parametros_manuales!$G$29*(datos_base!$F$5+IF(parametros_manuales!$H$29="Todos",datos_base!$F$12,0))*parametros_manuales!$E$112)*parametros_manuales!$I$29*parametros_manuales!$J$29</f>
        <v>6875.2749427715</v>
      </c>
      <c r="F124" s="14" t="n">
        <f aca="false">(parametros_manuales!$D$29*(datos_base!$F$2+IF(parametros_manuales!$H$29="Todos",datos_base!$F$9,0))*parametros_manuales!$F$97+parametros_manuales!$E$29*(datos_base!$F$3+IF(parametros_manuales!$H$29="Todos",datos_base!$F$10,0))*parametros_manuales!$F$102+parametros_manuales!$F$29*(datos_base!$F$4+IF(parametros_manuales!$H$29="Todos",datos_base!$F$11,0))*parametros_manuales!$F$107+parametros_manuales!$G$29*(datos_base!$F$5+IF(parametros_manuales!$H$29="Todos",datos_base!$F$12,0))*parametros_manuales!$F$112)*parametros_manuales!$I$29*parametros_manuales!$J$29</f>
        <v>6434.308515132</v>
      </c>
      <c r="G124" s="14" t="n">
        <f aca="false">(parametros_manuales!$D$29*(datos_base!$F$2+IF(parametros_manuales!$H$29="Todos",datos_base!$F$9,0))*parametros_manuales!$G$97+parametros_manuales!$E$29*(datos_base!$F$3+IF(parametros_manuales!$H$29="Todos",datos_base!$F$10,0))*parametros_manuales!$G$102+parametros_manuales!$F$29*(datos_base!$F$4+IF(parametros_manuales!$H$29="Todos",datos_base!$F$11,0))*parametros_manuales!$G$107+parametros_manuales!$G$29*(datos_base!$F$5+IF(parametros_manuales!$H$29="Todos",datos_base!$F$12,0))*parametros_manuales!$G$112)*parametros_manuales!$I$29*parametros_manuales!$J$29</f>
        <v>6303.9192510425</v>
      </c>
      <c r="H124" s="14" t="n">
        <f aca="false">(parametros_manuales!$D$29*(datos_base!$F$2+IF(parametros_manuales!$H$29="Todos",datos_base!$F$9,0))*parametros_manuales!$H$97+parametros_manuales!$E$29*(datos_base!$F$3+IF(parametros_manuales!$H$29="Todos",datos_base!$F$10,0))*parametros_manuales!$H$102+parametros_manuales!$F$29*(datos_base!$F$4+IF(parametros_manuales!$H$29="Todos",datos_base!$F$11,0))*parametros_manuales!$H$107+parametros_manuales!$G$29*(datos_base!$F$5+IF(parametros_manuales!$H$29="Todos",datos_base!$F$12,0))*parametros_manuales!$H$112)*parametros_manuales!$I$29*parametros_manuales!$J$29</f>
        <v>6744.885678682</v>
      </c>
      <c r="I124" s="14" t="n">
        <f aca="false">(parametros_manuales!$D$29*(datos_base!$F$2+IF(parametros_manuales!$H$29="Todos",datos_base!$F$9,0))*parametros_manuales!$I$97+parametros_manuales!$E$29*(datos_base!$F$3+IF(parametros_manuales!$H$29="Todos",datos_base!$F$10,0))*parametros_manuales!$I$102+parametros_manuales!$F$29*(datos_base!$F$4+IF(parametros_manuales!$H$29="Todos",datos_base!$F$11,0))*parametros_manuales!$I$107+parametros_manuales!$G$29*(datos_base!$F$5+IF(parametros_manuales!$H$29="Todos",datos_base!$F$12,0))*parametros_manuales!$I$112)*parametros_manuales!$I$29*parametros_manuales!$J$29</f>
        <v>7676.617169332</v>
      </c>
      <c r="J124" s="14" t="n">
        <f aca="false">(parametros_manuales!$D$29*(datos_base!$F$2+IF(parametros_manuales!$H$29="Todos",datos_base!$F$9,0))*parametros_manuales!$J$97+parametros_manuales!$E$29*(datos_base!$F$3+IF(parametros_manuales!$H$29="Todos",datos_base!$F$10,0))*parametros_manuales!$J$102+parametros_manuales!$F$29*(datos_base!$F$4+IF(parametros_manuales!$H$29="Todos",datos_base!$F$11,0))*parametros_manuales!$J$107+parametros_manuales!$G$29*(datos_base!$F$5+IF(parametros_manuales!$H$29="Todos",datos_base!$F$12,0))*parametros_manuales!$J$112)*parametros_manuales!$I$29*parametros_manuales!$J$29</f>
        <v>7676.617169332</v>
      </c>
      <c r="K124" s="14" t="n">
        <f aca="false">(parametros_manuales!$D$29*(datos_base!$F$2+IF(parametros_manuales!$H$29="Todos",datos_base!$F$9,0))*parametros_manuales!$K$97+parametros_manuales!$E$29*(datos_base!$F$3+IF(parametros_manuales!$H$29="Todos",datos_base!$F$10,0))*parametros_manuales!$K$102+parametros_manuales!$F$29*(datos_base!$F$4+IF(parametros_manuales!$H$29="Todos",datos_base!$F$11,0))*parametros_manuales!$K$107+parametros_manuales!$G$29*(datos_base!$F$5+IF(parametros_manuales!$H$29="Todos",datos_base!$F$12,0))*parametros_manuales!$K$112)*parametros_manuales!$I$29*parametros_manuales!$J$29</f>
        <v>7807.0064334215</v>
      </c>
      <c r="L124" s="14" t="n">
        <f aca="false">(parametros_manuales!$D$29*(datos_base!$F$2+IF(parametros_manuales!$H$29="Todos",datos_base!$F$9,0))*parametros_manuales!$L$97+parametros_manuales!$E$29*(datos_base!$F$3+IF(parametros_manuales!$H$29="Todos",datos_base!$F$10,0))*parametros_manuales!$L$102+parametros_manuales!$F$29*(datos_base!$F$4+IF(parametros_manuales!$H$29="Todos",datos_base!$F$11,0))*parametros_manuales!$L$107+parametros_manuales!$G$29*(datos_base!$F$5+IF(parametros_manuales!$H$29="Todos",datos_base!$F$12,0))*parametros_manuales!$L$112)*parametros_manuales!$I$29*parametros_manuales!$J$29</f>
        <v>7937.395697511</v>
      </c>
      <c r="M124" s="14" t="n">
        <f aca="false">(parametros_manuales!$D$29*(datos_base!$F$2+IF(parametros_manuales!$H$29="Todos",datos_base!$F$9,0))*parametros_manuales!$M$97+parametros_manuales!$E$29*(datos_base!$F$3+IF(parametros_manuales!$H$29="Todos",datos_base!$F$10,0))*parametros_manuales!$M$102+parametros_manuales!$F$29*(datos_base!$F$4+IF(parametros_manuales!$H$29="Todos",datos_base!$F$11,0))*parametros_manuales!$M$107+parametros_manuales!$G$29*(datos_base!$F$5+IF(parametros_manuales!$H$29="Todos",datos_base!$F$12,0))*parametros_manuales!$M$112)*parametros_manuales!$I$29*parametros_manuales!$J$29</f>
        <v>7937.395697511</v>
      </c>
      <c r="N124" s="14" t="n">
        <f aca="false">SUM(B124:M124)</f>
        <v>88193.2855279</v>
      </c>
      <c r="O124" s="14" t="n">
        <f aca="false">MAX(B124:M124)</f>
        <v>7937.395697511</v>
      </c>
      <c r="P124" s="57" t="n">
        <f aca="false">O124/(parametros_manuales!$B$7)</f>
        <v>52.91597131674</v>
      </c>
      <c r="Q124" s="13" t="str">
        <f aca="false">IF(O124=0,"-",INDEX($B$113:$M$113,MATCH(O124,B124:M124,0)))</f>
        <v>Ene</v>
      </c>
    </row>
    <row r="125" customFormat="false" ht="14.25" hidden="false" customHeight="true" outlineLevel="0" collapsed="false">
      <c r="A125" s="13" t="str">
        <f aca="false">parametros_manuales!$B$30</f>
        <v>Bordoneado</v>
      </c>
      <c r="B125" s="14" t="n">
        <f aca="false">(parametros_manuales!$D$30*(datos_base!$F$2+IF(parametros_manuales!$H$30="Todos",datos_base!$F$9,0))*parametros_manuales!$B$97+parametros_manuales!$E$30*(datos_base!$F$3+IF(parametros_manuales!$H$30="Todos",datos_base!$F$10,0))*parametros_manuales!$B$102+parametros_manuales!$F$30*(datos_base!$F$4+IF(parametros_manuales!$H$30="Todos",datos_base!$F$11,0))*parametros_manuales!$B$107+parametros_manuales!$G$30*(datos_base!$F$5+IF(parametros_manuales!$H$30="Todos",datos_base!$F$12,0))*parametros_manuales!$B$112)*parametros_manuales!$I$30*parametros_manuales!$J$30</f>
        <v>7937.395697511</v>
      </c>
      <c r="C125" s="14" t="n">
        <f aca="false">(parametros_manuales!$D$30*(datos_base!$F$2+IF(parametros_manuales!$H$30="Todos",datos_base!$F$9,0))*parametros_manuales!$C$97+parametros_manuales!$E$30*(datos_base!$F$3+IF(parametros_manuales!$H$30="Todos",datos_base!$F$10,0))*parametros_manuales!$C$102+parametros_manuales!$F$30*(datos_base!$F$4+IF(parametros_manuales!$H$30="Todos",datos_base!$F$11,0))*parametros_manuales!$C$107+parametros_manuales!$G$30*(datos_base!$F$5+IF(parametros_manuales!$H$30="Todos",datos_base!$F$12,0))*parametros_manuales!$C$112)*parametros_manuales!$I$30*parametros_manuales!$J$30</f>
        <v>7676.617169332</v>
      </c>
      <c r="D125" s="14" t="n">
        <f aca="false">(parametros_manuales!$D$30*(datos_base!$F$2+IF(parametros_manuales!$H$30="Todos",datos_base!$F$9,0))*parametros_manuales!$D$97+parametros_manuales!$E$30*(datos_base!$F$3+IF(parametros_manuales!$H$30="Todos",datos_base!$F$10,0))*parametros_manuales!$D$102+parametros_manuales!$F$30*(datos_base!$F$4+IF(parametros_manuales!$H$30="Todos",datos_base!$F$11,0))*parametros_manuales!$D$107+parametros_manuales!$G$30*(datos_base!$F$5+IF(parametros_manuales!$H$30="Todos",datos_base!$F$12,0))*parametros_manuales!$D$112)*parametros_manuales!$I$30*parametros_manuales!$J$30</f>
        <v>7185.8521063215</v>
      </c>
      <c r="E125" s="14" t="n">
        <f aca="false">(parametros_manuales!$D$30*(datos_base!$F$2+IF(parametros_manuales!$H$30="Todos",datos_base!$F$9,0))*parametros_manuales!$E$97+parametros_manuales!$E$30*(datos_base!$F$3+IF(parametros_manuales!$H$30="Todos",datos_base!$F$10,0))*parametros_manuales!$E$102+parametros_manuales!$F$30*(datos_base!$F$4+IF(parametros_manuales!$H$30="Todos",datos_base!$F$11,0))*parametros_manuales!$E$107+parametros_manuales!$G$30*(datos_base!$F$5+IF(parametros_manuales!$H$30="Todos",datos_base!$F$12,0))*parametros_manuales!$E$112)*parametros_manuales!$I$30*parametros_manuales!$J$30</f>
        <v>6875.2749427715</v>
      </c>
      <c r="F125" s="14" t="n">
        <f aca="false">(parametros_manuales!$D$30*(datos_base!$F$2+IF(parametros_manuales!$H$30="Todos",datos_base!$F$9,0))*parametros_manuales!$F$97+parametros_manuales!$E$30*(datos_base!$F$3+IF(parametros_manuales!$H$30="Todos",datos_base!$F$10,0))*parametros_manuales!$F$102+parametros_manuales!$F$30*(datos_base!$F$4+IF(parametros_manuales!$H$30="Todos",datos_base!$F$11,0))*parametros_manuales!$F$107+parametros_manuales!$G$30*(datos_base!$F$5+IF(parametros_manuales!$H$30="Todos",datos_base!$F$12,0))*parametros_manuales!$F$112)*parametros_manuales!$I$30*parametros_manuales!$J$30</f>
        <v>6434.308515132</v>
      </c>
      <c r="G125" s="14" t="n">
        <f aca="false">(parametros_manuales!$D$30*(datos_base!$F$2+IF(parametros_manuales!$H$30="Todos",datos_base!$F$9,0))*parametros_manuales!$G$97+parametros_manuales!$E$30*(datos_base!$F$3+IF(parametros_manuales!$H$30="Todos",datos_base!$F$10,0))*parametros_manuales!$G$102+parametros_manuales!$F$30*(datos_base!$F$4+IF(parametros_manuales!$H$30="Todos",datos_base!$F$11,0))*parametros_manuales!$G$107+parametros_manuales!$G$30*(datos_base!$F$5+IF(parametros_manuales!$H$30="Todos",datos_base!$F$12,0))*parametros_manuales!$G$112)*parametros_manuales!$I$30*parametros_manuales!$J$30</f>
        <v>6303.9192510425</v>
      </c>
      <c r="H125" s="14" t="n">
        <f aca="false">(parametros_manuales!$D$30*(datos_base!$F$2+IF(parametros_manuales!$H$30="Todos",datos_base!$F$9,0))*parametros_manuales!$H$97+parametros_manuales!$E$30*(datos_base!$F$3+IF(parametros_manuales!$H$30="Todos",datos_base!$F$10,0))*parametros_manuales!$H$102+parametros_manuales!$F$30*(datos_base!$F$4+IF(parametros_manuales!$H$30="Todos",datos_base!$F$11,0))*parametros_manuales!$H$107+parametros_manuales!$G$30*(datos_base!$F$5+IF(parametros_manuales!$H$30="Todos",datos_base!$F$12,0))*parametros_manuales!$H$112)*parametros_manuales!$I$30*parametros_manuales!$J$30</f>
        <v>6744.885678682</v>
      </c>
      <c r="I125" s="14" t="n">
        <f aca="false">(parametros_manuales!$D$30*(datos_base!$F$2+IF(parametros_manuales!$H$30="Todos",datos_base!$F$9,0))*parametros_manuales!$I$97+parametros_manuales!$E$30*(datos_base!$F$3+IF(parametros_manuales!$H$30="Todos",datos_base!$F$10,0))*parametros_manuales!$I$102+parametros_manuales!$F$30*(datos_base!$F$4+IF(parametros_manuales!$H$30="Todos",datos_base!$F$11,0))*parametros_manuales!$I$107+parametros_manuales!$G$30*(datos_base!$F$5+IF(parametros_manuales!$H$30="Todos",datos_base!$F$12,0))*parametros_manuales!$I$112)*parametros_manuales!$I$30*parametros_manuales!$J$30</f>
        <v>7676.617169332</v>
      </c>
      <c r="J125" s="14" t="n">
        <f aca="false">(parametros_manuales!$D$30*(datos_base!$F$2+IF(parametros_manuales!$H$30="Todos",datos_base!$F$9,0))*parametros_manuales!$J$97+parametros_manuales!$E$30*(datos_base!$F$3+IF(parametros_manuales!$H$30="Todos",datos_base!$F$10,0))*parametros_manuales!$J$102+parametros_manuales!$F$30*(datos_base!$F$4+IF(parametros_manuales!$H$30="Todos",datos_base!$F$11,0))*parametros_manuales!$J$107+parametros_manuales!$G$30*(datos_base!$F$5+IF(parametros_manuales!$H$30="Todos",datos_base!$F$12,0))*parametros_manuales!$J$112)*parametros_manuales!$I$30*parametros_manuales!$J$30</f>
        <v>7676.617169332</v>
      </c>
      <c r="K125" s="14" t="n">
        <f aca="false">(parametros_manuales!$D$30*(datos_base!$F$2+IF(parametros_manuales!$H$30="Todos",datos_base!$F$9,0))*parametros_manuales!$K$97+parametros_manuales!$E$30*(datos_base!$F$3+IF(parametros_manuales!$H$30="Todos",datos_base!$F$10,0))*parametros_manuales!$K$102+parametros_manuales!$F$30*(datos_base!$F$4+IF(parametros_manuales!$H$30="Todos",datos_base!$F$11,0))*parametros_manuales!$K$107+parametros_manuales!$G$30*(datos_base!$F$5+IF(parametros_manuales!$H$30="Todos",datos_base!$F$12,0))*parametros_manuales!$K$112)*parametros_manuales!$I$30*parametros_manuales!$J$30</f>
        <v>7807.0064334215</v>
      </c>
      <c r="L125" s="14" t="n">
        <f aca="false">(parametros_manuales!$D$30*(datos_base!$F$2+IF(parametros_manuales!$H$30="Todos",datos_base!$F$9,0))*parametros_manuales!$L$97+parametros_manuales!$E$30*(datos_base!$F$3+IF(parametros_manuales!$H$30="Todos",datos_base!$F$10,0))*parametros_manuales!$L$102+parametros_manuales!$F$30*(datos_base!$F$4+IF(parametros_manuales!$H$30="Todos",datos_base!$F$11,0))*parametros_manuales!$L$107+parametros_manuales!$G$30*(datos_base!$F$5+IF(parametros_manuales!$H$30="Todos",datos_base!$F$12,0))*parametros_manuales!$L$112)*parametros_manuales!$I$30*parametros_manuales!$J$30</f>
        <v>7937.395697511</v>
      </c>
      <c r="M125" s="14" t="n">
        <f aca="false">(parametros_manuales!$D$30*(datos_base!$F$2+IF(parametros_manuales!$H$30="Todos",datos_base!$F$9,0))*parametros_manuales!$M$97+parametros_manuales!$E$30*(datos_base!$F$3+IF(parametros_manuales!$H$30="Todos",datos_base!$F$10,0))*parametros_manuales!$M$102+parametros_manuales!$F$30*(datos_base!$F$4+IF(parametros_manuales!$H$30="Todos",datos_base!$F$11,0))*parametros_manuales!$M$107+parametros_manuales!$G$30*(datos_base!$F$5+IF(parametros_manuales!$H$30="Todos",datos_base!$F$12,0))*parametros_manuales!$M$112)*parametros_manuales!$I$30*parametros_manuales!$J$30</f>
        <v>7937.395697511</v>
      </c>
      <c r="N125" s="14" t="n">
        <f aca="false">SUM(B125:M125)</f>
        <v>88193.2855279</v>
      </c>
      <c r="O125" s="14" t="n">
        <f aca="false">MAX(B125:M125)</f>
        <v>7937.395697511</v>
      </c>
      <c r="P125" s="57" t="n">
        <f aca="false">O125/(parametros_manuales!$B$7)</f>
        <v>52.91597131674</v>
      </c>
      <c r="Q125" s="13" t="str">
        <f aca="false">IF(O125=0,"-",INDEX($B$113:$M$113,MATCH(O125,B125:M125,0)))</f>
        <v>Ene</v>
      </c>
    </row>
    <row r="126" customFormat="false" ht="14.25" hidden="false" customHeight="true" outlineLevel="0" collapsed="false">
      <c r="A126" s="13" t="str">
        <f aca="false">parametros_manuales!$B$31</f>
        <v>Soldadura circunferencial de cúpula y fondo</v>
      </c>
      <c r="B126" s="14" t="n">
        <f aca="false">(parametros_manuales!$D$31*(datos_base!$F$2+IF(parametros_manuales!$H$31="Todos",datos_base!$F$9,0))*parametros_manuales!$B$97+parametros_manuales!$E$31*(datos_base!$F$3+IF(parametros_manuales!$H$31="Todos",datos_base!$F$10,0))*parametros_manuales!$B$102+parametros_manuales!$F$31*(datos_base!$F$4+IF(parametros_manuales!$H$31="Todos",datos_base!$F$11,0))*parametros_manuales!$B$107+parametros_manuales!$G$31*(datos_base!$F$5+IF(parametros_manuales!$H$31="Todos",datos_base!$F$12,0))*parametros_manuales!$B$112)*parametros_manuales!$I$31*parametros_manuales!$J$31</f>
        <v>7937.395697511</v>
      </c>
      <c r="C126" s="14" t="n">
        <f aca="false">(parametros_manuales!$D$31*(datos_base!$F$2+IF(parametros_manuales!$H$31="Todos",datos_base!$F$9,0))*parametros_manuales!$C$97+parametros_manuales!$E$31*(datos_base!$F$3+IF(parametros_manuales!$H$31="Todos",datos_base!$F$10,0))*parametros_manuales!$C$102+parametros_manuales!$F$31*(datos_base!$F$4+IF(parametros_manuales!$H$31="Todos",datos_base!$F$11,0))*parametros_manuales!$C$107+parametros_manuales!$G$31*(datos_base!$F$5+IF(parametros_manuales!$H$31="Todos",datos_base!$F$12,0))*parametros_manuales!$C$112)*parametros_manuales!$I$31*parametros_manuales!$J$31</f>
        <v>7676.617169332</v>
      </c>
      <c r="D126" s="14" t="n">
        <f aca="false">(parametros_manuales!$D$31*(datos_base!$F$2+IF(parametros_manuales!$H$31="Todos",datos_base!$F$9,0))*parametros_manuales!$D$97+parametros_manuales!$E$31*(datos_base!$F$3+IF(parametros_manuales!$H$31="Todos",datos_base!$F$10,0))*parametros_manuales!$D$102+parametros_manuales!$F$31*(datos_base!$F$4+IF(parametros_manuales!$H$31="Todos",datos_base!$F$11,0))*parametros_manuales!$D$107+parametros_manuales!$G$31*(datos_base!$F$5+IF(parametros_manuales!$H$31="Todos",datos_base!$F$12,0))*parametros_manuales!$D$112)*parametros_manuales!$I$31*parametros_manuales!$J$31</f>
        <v>7185.8521063215</v>
      </c>
      <c r="E126" s="14" t="n">
        <f aca="false">(parametros_manuales!$D$31*(datos_base!$F$2+IF(parametros_manuales!$H$31="Todos",datos_base!$F$9,0))*parametros_manuales!$E$97+parametros_manuales!$E$31*(datos_base!$F$3+IF(parametros_manuales!$H$31="Todos",datos_base!$F$10,0))*parametros_manuales!$E$102+parametros_manuales!$F$31*(datos_base!$F$4+IF(parametros_manuales!$H$31="Todos",datos_base!$F$11,0))*parametros_manuales!$E$107+parametros_manuales!$G$31*(datos_base!$F$5+IF(parametros_manuales!$H$31="Todos",datos_base!$F$12,0))*parametros_manuales!$E$112)*parametros_manuales!$I$31*parametros_manuales!$J$31</f>
        <v>6875.2749427715</v>
      </c>
      <c r="F126" s="14" t="n">
        <f aca="false">(parametros_manuales!$D$31*(datos_base!$F$2+IF(parametros_manuales!$H$31="Todos",datos_base!$F$9,0))*parametros_manuales!$F$97+parametros_manuales!$E$31*(datos_base!$F$3+IF(parametros_manuales!$H$31="Todos",datos_base!$F$10,0))*parametros_manuales!$F$102+parametros_manuales!$F$31*(datos_base!$F$4+IF(parametros_manuales!$H$31="Todos",datos_base!$F$11,0))*parametros_manuales!$F$107+parametros_manuales!$G$31*(datos_base!$F$5+IF(parametros_manuales!$H$31="Todos",datos_base!$F$12,0))*parametros_manuales!$F$112)*parametros_manuales!$I$31*parametros_manuales!$J$31</f>
        <v>6434.308515132</v>
      </c>
      <c r="G126" s="14" t="n">
        <f aca="false">(parametros_manuales!$D$31*(datos_base!$F$2+IF(parametros_manuales!$H$31="Todos",datos_base!$F$9,0))*parametros_manuales!$G$97+parametros_manuales!$E$31*(datos_base!$F$3+IF(parametros_manuales!$H$31="Todos",datos_base!$F$10,0))*parametros_manuales!$G$102+parametros_manuales!$F$31*(datos_base!$F$4+IF(parametros_manuales!$H$31="Todos",datos_base!$F$11,0))*parametros_manuales!$G$107+parametros_manuales!$G$31*(datos_base!$F$5+IF(parametros_manuales!$H$31="Todos",datos_base!$F$12,0))*parametros_manuales!$G$112)*parametros_manuales!$I$31*parametros_manuales!$J$31</f>
        <v>6303.9192510425</v>
      </c>
      <c r="H126" s="14" t="n">
        <f aca="false">(parametros_manuales!$D$31*(datos_base!$F$2+IF(parametros_manuales!$H$31="Todos",datos_base!$F$9,0))*parametros_manuales!$H$97+parametros_manuales!$E$31*(datos_base!$F$3+IF(parametros_manuales!$H$31="Todos",datos_base!$F$10,0))*parametros_manuales!$H$102+parametros_manuales!$F$31*(datos_base!$F$4+IF(parametros_manuales!$H$31="Todos",datos_base!$F$11,0))*parametros_manuales!$H$107+parametros_manuales!$G$31*(datos_base!$F$5+IF(parametros_manuales!$H$31="Todos",datos_base!$F$12,0))*parametros_manuales!$H$112)*parametros_manuales!$I$31*parametros_manuales!$J$31</f>
        <v>6744.885678682</v>
      </c>
      <c r="I126" s="14" t="n">
        <f aca="false">(parametros_manuales!$D$31*(datos_base!$F$2+IF(parametros_manuales!$H$31="Todos",datos_base!$F$9,0))*parametros_manuales!$I$97+parametros_manuales!$E$31*(datos_base!$F$3+IF(parametros_manuales!$H$31="Todos",datos_base!$F$10,0))*parametros_manuales!$I$102+parametros_manuales!$F$31*(datos_base!$F$4+IF(parametros_manuales!$H$31="Todos",datos_base!$F$11,0))*parametros_manuales!$I$107+parametros_manuales!$G$31*(datos_base!$F$5+IF(parametros_manuales!$H$31="Todos",datos_base!$F$12,0))*parametros_manuales!$I$112)*parametros_manuales!$I$31*parametros_manuales!$J$31</f>
        <v>7676.617169332</v>
      </c>
      <c r="J126" s="14" t="n">
        <f aca="false">(parametros_manuales!$D$31*(datos_base!$F$2+IF(parametros_manuales!$H$31="Todos",datos_base!$F$9,0))*parametros_manuales!$J$97+parametros_manuales!$E$31*(datos_base!$F$3+IF(parametros_manuales!$H$31="Todos",datos_base!$F$10,0))*parametros_manuales!$J$102+parametros_manuales!$F$31*(datos_base!$F$4+IF(parametros_manuales!$H$31="Todos",datos_base!$F$11,0))*parametros_manuales!$J$107+parametros_manuales!$G$31*(datos_base!$F$5+IF(parametros_manuales!$H$31="Todos",datos_base!$F$12,0))*parametros_manuales!$J$112)*parametros_manuales!$I$31*parametros_manuales!$J$31</f>
        <v>7676.617169332</v>
      </c>
      <c r="K126" s="14" t="n">
        <f aca="false">(parametros_manuales!$D$31*(datos_base!$F$2+IF(parametros_manuales!$H$31="Todos",datos_base!$F$9,0))*parametros_manuales!$K$97+parametros_manuales!$E$31*(datos_base!$F$3+IF(parametros_manuales!$H$31="Todos",datos_base!$F$10,0))*parametros_manuales!$K$102+parametros_manuales!$F$31*(datos_base!$F$4+IF(parametros_manuales!$H$31="Todos",datos_base!$F$11,0))*parametros_manuales!$K$107+parametros_manuales!$G$31*(datos_base!$F$5+IF(parametros_manuales!$H$31="Todos",datos_base!$F$12,0))*parametros_manuales!$K$112)*parametros_manuales!$I$31*parametros_manuales!$J$31</f>
        <v>7807.0064334215</v>
      </c>
      <c r="L126" s="14" t="n">
        <f aca="false">(parametros_manuales!$D$31*(datos_base!$F$2+IF(parametros_manuales!$H$31="Todos",datos_base!$F$9,0))*parametros_manuales!$L$97+parametros_manuales!$E$31*(datos_base!$F$3+IF(parametros_manuales!$H$31="Todos",datos_base!$F$10,0))*parametros_manuales!$L$102+parametros_manuales!$F$31*(datos_base!$F$4+IF(parametros_manuales!$H$31="Todos",datos_base!$F$11,0))*parametros_manuales!$L$107+parametros_manuales!$G$31*(datos_base!$F$5+IF(parametros_manuales!$H$31="Todos",datos_base!$F$12,0))*parametros_manuales!$L$112)*parametros_manuales!$I$31*parametros_manuales!$J$31</f>
        <v>7937.395697511</v>
      </c>
      <c r="M126" s="14" t="n">
        <f aca="false">(parametros_manuales!$D$31*(datos_base!$F$2+IF(parametros_manuales!$H$31="Todos",datos_base!$F$9,0))*parametros_manuales!$M$97+parametros_manuales!$E$31*(datos_base!$F$3+IF(parametros_manuales!$H$31="Todos",datos_base!$F$10,0))*parametros_manuales!$M$102+parametros_manuales!$F$31*(datos_base!$F$4+IF(parametros_manuales!$H$31="Todos",datos_base!$F$11,0))*parametros_manuales!$M$107+parametros_manuales!$G$31*(datos_base!$F$5+IF(parametros_manuales!$H$31="Todos",datos_base!$F$12,0))*parametros_manuales!$M$112)*parametros_manuales!$I$31*parametros_manuales!$J$31</f>
        <v>7937.395697511</v>
      </c>
      <c r="N126" s="14" t="n">
        <f aca="false">SUM(B126:M126)</f>
        <v>88193.2855279</v>
      </c>
      <c r="O126" s="14" t="n">
        <f aca="false">MAX(B126:M126)</f>
        <v>7937.395697511</v>
      </c>
      <c r="P126" s="57" t="n">
        <f aca="false">O126/(parametros_manuales!$B$7)</f>
        <v>52.91597131674</v>
      </c>
      <c r="Q126" s="13" t="str">
        <f aca="false">IF(O126=0,"-",INDEX($B$113:$M$113,MATCH(O126,B126:M126,0)))</f>
        <v>Ene</v>
      </c>
    </row>
    <row r="127" customFormat="false" ht="14.25" hidden="false" customHeight="true" outlineLevel="0" collapsed="false">
      <c r="A127" s="13" t="str">
        <f aca="false">parametros_manuales!$B$32</f>
        <v>Control de calidad — Espesor</v>
      </c>
      <c r="B127" s="14" t="n">
        <f aca="false">(parametros_manuales!$D$32*(datos_base!$F$2+IF(parametros_manuales!$H$32="Todos",datos_base!$F$9,0))*parametros_manuales!$B$97+parametros_manuales!$E$32*(datos_base!$F$3+IF(parametros_manuales!$H$32="Todos",datos_base!$F$10,0))*parametros_manuales!$B$102+parametros_manuales!$F$32*(datos_base!$F$4+IF(parametros_manuales!$H$32="Todos",datos_base!$F$11,0))*parametros_manuales!$B$107+parametros_manuales!$G$32*(datos_base!$F$5+IF(parametros_manuales!$H$32="Todos",datos_base!$F$12,0))*parametros_manuales!$B$112)*parametros_manuales!$I$32*parametros_manuales!$J$32</f>
        <v>158.74791395022</v>
      </c>
      <c r="C127" s="14" t="n">
        <f aca="false">(parametros_manuales!$D$32*(datos_base!$F$2+IF(parametros_manuales!$H$32="Todos",datos_base!$F$9,0))*parametros_manuales!$C$97+parametros_manuales!$E$32*(datos_base!$F$3+IF(parametros_manuales!$H$32="Todos",datos_base!$F$10,0))*parametros_manuales!$C$102+parametros_manuales!$F$32*(datos_base!$F$4+IF(parametros_manuales!$H$32="Todos",datos_base!$F$11,0))*parametros_manuales!$C$107+parametros_manuales!$G$32*(datos_base!$F$5+IF(parametros_manuales!$H$32="Todos",datos_base!$F$12,0))*parametros_manuales!$C$112)*parametros_manuales!$I$32*parametros_manuales!$J$32</f>
        <v>153.53234338664</v>
      </c>
      <c r="D127" s="14" t="n">
        <f aca="false">(parametros_manuales!$D$32*(datos_base!$F$2+IF(parametros_manuales!$H$32="Todos",datos_base!$F$9,0))*parametros_manuales!$D$97+parametros_manuales!$E$32*(datos_base!$F$3+IF(parametros_manuales!$H$32="Todos",datos_base!$F$10,0))*parametros_manuales!$D$102+parametros_manuales!$F$32*(datos_base!$F$4+IF(parametros_manuales!$H$32="Todos",datos_base!$F$11,0))*parametros_manuales!$D$107+parametros_manuales!$G$32*(datos_base!$F$5+IF(parametros_manuales!$H$32="Todos",datos_base!$F$12,0))*parametros_manuales!$D$112)*parametros_manuales!$I$32*parametros_manuales!$J$32</f>
        <v>143.71704212643</v>
      </c>
      <c r="E127" s="14" t="n">
        <f aca="false">(parametros_manuales!$D$32*(datos_base!$F$2+IF(parametros_manuales!$H$32="Todos",datos_base!$F$9,0))*parametros_manuales!$E$97+parametros_manuales!$E$32*(datos_base!$F$3+IF(parametros_manuales!$H$32="Todos",datos_base!$F$10,0))*parametros_manuales!$E$102+parametros_manuales!$F$32*(datos_base!$F$4+IF(parametros_manuales!$H$32="Todos",datos_base!$F$11,0))*parametros_manuales!$E$107+parametros_manuales!$G$32*(datos_base!$F$5+IF(parametros_manuales!$H$32="Todos",datos_base!$F$12,0))*parametros_manuales!$E$112)*parametros_manuales!$I$32*parametros_manuales!$J$32</f>
        <v>137.50549885543</v>
      </c>
      <c r="F127" s="14" t="n">
        <f aca="false">(parametros_manuales!$D$32*(datos_base!$F$2+IF(parametros_manuales!$H$32="Todos",datos_base!$F$9,0))*parametros_manuales!$F$97+parametros_manuales!$E$32*(datos_base!$F$3+IF(parametros_manuales!$H$32="Todos",datos_base!$F$10,0))*parametros_manuales!$F$102+parametros_manuales!$F$32*(datos_base!$F$4+IF(parametros_manuales!$H$32="Todos",datos_base!$F$11,0))*parametros_manuales!$F$107+parametros_manuales!$G$32*(datos_base!$F$5+IF(parametros_manuales!$H$32="Todos",datos_base!$F$12,0))*parametros_manuales!$F$112)*parametros_manuales!$I$32*parametros_manuales!$J$32</f>
        <v>128.68617030264</v>
      </c>
      <c r="G127" s="14" t="n">
        <f aca="false">(parametros_manuales!$D$32*(datos_base!$F$2+IF(parametros_manuales!$H$32="Todos",datos_base!$F$9,0))*parametros_manuales!$G$97+parametros_manuales!$E$32*(datos_base!$F$3+IF(parametros_manuales!$H$32="Todos",datos_base!$F$10,0))*parametros_manuales!$G$102+parametros_manuales!$F$32*(datos_base!$F$4+IF(parametros_manuales!$H$32="Todos",datos_base!$F$11,0))*parametros_manuales!$G$107+parametros_manuales!$G$32*(datos_base!$F$5+IF(parametros_manuales!$H$32="Todos",datos_base!$F$12,0))*parametros_manuales!$G$112)*parametros_manuales!$I$32*parametros_manuales!$J$32</f>
        <v>126.07838502085</v>
      </c>
      <c r="H127" s="14" t="n">
        <f aca="false">(parametros_manuales!$D$32*(datos_base!$F$2+IF(parametros_manuales!$H$32="Todos",datos_base!$F$9,0))*parametros_manuales!$H$97+parametros_manuales!$E$32*(datos_base!$F$3+IF(parametros_manuales!$H$32="Todos",datos_base!$F$10,0))*parametros_manuales!$H$102+parametros_manuales!$F$32*(datos_base!$F$4+IF(parametros_manuales!$H$32="Todos",datos_base!$F$11,0))*parametros_manuales!$H$107+parametros_manuales!$G$32*(datos_base!$F$5+IF(parametros_manuales!$H$32="Todos",datos_base!$F$12,0))*parametros_manuales!$H$112)*parametros_manuales!$I$32*parametros_manuales!$J$32</f>
        <v>134.89771357364</v>
      </c>
      <c r="I127" s="14" t="n">
        <f aca="false">(parametros_manuales!$D$32*(datos_base!$F$2+IF(parametros_manuales!$H$32="Todos",datos_base!$F$9,0))*parametros_manuales!$I$97+parametros_manuales!$E$32*(datos_base!$F$3+IF(parametros_manuales!$H$32="Todos",datos_base!$F$10,0))*parametros_manuales!$I$102+parametros_manuales!$F$32*(datos_base!$F$4+IF(parametros_manuales!$H$32="Todos",datos_base!$F$11,0))*parametros_manuales!$I$107+parametros_manuales!$G$32*(datos_base!$F$5+IF(parametros_manuales!$H$32="Todos",datos_base!$F$12,0))*parametros_manuales!$I$112)*parametros_manuales!$I$32*parametros_manuales!$J$32</f>
        <v>153.53234338664</v>
      </c>
      <c r="J127" s="14" t="n">
        <f aca="false">(parametros_manuales!$D$32*(datos_base!$F$2+IF(parametros_manuales!$H$32="Todos",datos_base!$F$9,0))*parametros_manuales!$J$97+parametros_manuales!$E$32*(datos_base!$F$3+IF(parametros_manuales!$H$32="Todos",datos_base!$F$10,0))*parametros_manuales!$J$102+parametros_manuales!$F$32*(datos_base!$F$4+IF(parametros_manuales!$H$32="Todos",datos_base!$F$11,0))*parametros_manuales!$J$107+parametros_manuales!$G$32*(datos_base!$F$5+IF(parametros_manuales!$H$32="Todos",datos_base!$F$12,0))*parametros_manuales!$J$112)*parametros_manuales!$I$32*parametros_manuales!$J$32</f>
        <v>153.53234338664</v>
      </c>
      <c r="K127" s="14" t="n">
        <f aca="false">(parametros_manuales!$D$32*(datos_base!$F$2+IF(parametros_manuales!$H$32="Todos",datos_base!$F$9,0))*parametros_manuales!$K$97+parametros_manuales!$E$32*(datos_base!$F$3+IF(parametros_manuales!$H$32="Todos",datos_base!$F$10,0))*parametros_manuales!$K$102+parametros_manuales!$F$32*(datos_base!$F$4+IF(parametros_manuales!$H$32="Todos",datos_base!$F$11,0))*parametros_manuales!$K$107+parametros_manuales!$G$32*(datos_base!$F$5+IF(parametros_manuales!$H$32="Todos",datos_base!$F$12,0))*parametros_manuales!$K$112)*parametros_manuales!$I$32*parametros_manuales!$J$32</f>
        <v>156.14012866843</v>
      </c>
      <c r="L127" s="14" t="n">
        <f aca="false">(parametros_manuales!$D$32*(datos_base!$F$2+IF(parametros_manuales!$H$32="Todos",datos_base!$F$9,0))*parametros_manuales!$L$97+parametros_manuales!$E$32*(datos_base!$F$3+IF(parametros_manuales!$H$32="Todos",datos_base!$F$10,0))*parametros_manuales!$L$102+parametros_manuales!$F$32*(datos_base!$F$4+IF(parametros_manuales!$H$32="Todos",datos_base!$F$11,0))*parametros_manuales!$L$107+parametros_manuales!$G$32*(datos_base!$F$5+IF(parametros_manuales!$H$32="Todos",datos_base!$F$12,0))*parametros_manuales!$L$112)*parametros_manuales!$I$32*parametros_manuales!$J$32</f>
        <v>158.74791395022</v>
      </c>
      <c r="M127" s="14" t="n">
        <f aca="false">(parametros_manuales!$D$32*(datos_base!$F$2+IF(parametros_manuales!$H$32="Todos",datos_base!$F$9,0))*parametros_manuales!$M$97+parametros_manuales!$E$32*(datos_base!$F$3+IF(parametros_manuales!$H$32="Todos",datos_base!$F$10,0))*parametros_manuales!$M$102+parametros_manuales!$F$32*(datos_base!$F$4+IF(parametros_manuales!$H$32="Todos",datos_base!$F$11,0))*parametros_manuales!$M$107+parametros_manuales!$G$32*(datos_base!$F$5+IF(parametros_manuales!$H$32="Todos",datos_base!$F$12,0))*parametros_manuales!$M$112)*parametros_manuales!$I$32*parametros_manuales!$J$32</f>
        <v>158.74791395022</v>
      </c>
      <c r="N127" s="14" t="n">
        <f aca="false">SUM(B127:M127)</f>
        <v>1763.865710558</v>
      </c>
      <c r="O127" s="14" t="n">
        <f aca="false">MAX(B127:M127)</f>
        <v>158.74791395022</v>
      </c>
      <c r="P127" s="57" t="n">
        <f aca="false">O127/(parametros_manuales!$B$7)</f>
        <v>1.0583194263348</v>
      </c>
      <c r="Q127" s="13" t="str">
        <f aca="false">IF(O127=0,"-",INDEX($B$113:$M$113,MATCH(O127,B127:M127,0)))</f>
        <v>Ene</v>
      </c>
    </row>
    <row r="128" customFormat="false" ht="14.25" hidden="false" customHeight="true" outlineLevel="0" collapsed="false">
      <c r="A128" s="13" t="str">
        <f aca="false">parametros_manuales!$B$33</f>
        <v>Prueba hidráulica</v>
      </c>
      <c r="B128" s="14" t="n">
        <f aca="false">(parametros_manuales!$D$33*(datos_base!$F$2+IF(parametros_manuales!$H$33="Todos",datos_base!$F$9,0))*parametros_manuales!$B$97+parametros_manuales!$E$33*(datos_base!$F$3+IF(parametros_manuales!$H$33="Todos",datos_base!$F$10,0))*parametros_manuales!$B$102+parametros_manuales!$F$33*(datos_base!$F$4+IF(parametros_manuales!$H$33="Todos",datos_base!$F$11,0))*parametros_manuales!$B$107+parametros_manuales!$G$33*(datos_base!$F$5+IF(parametros_manuales!$H$33="Todos",datos_base!$F$12,0))*parametros_manuales!$B$112)*parametros_manuales!$I$33*parametros_manuales!$J$33</f>
        <v>7937.395697511</v>
      </c>
      <c r="C128" s="14" t="n">
        <f aca="false">(parametros_manuales!$D$33*(datos_base!$F$2+IF(parametros_manuales!$H$33="Todos",datos_base!$F$9,0))*parametros_manuales!$C$97+parametros_manuales!$E$33*(datos_base!$F$3+IF(parametros_manuales!$H$33="Todos",datos_base!$F$10,0))*parametros_manuales!$C$102+parametros_manuales!$F$33*(datos_base!$F$4+IF(parametros_manuales!$H$33="Todos",datos_base!$F$11,0))*parametros_manuales!$C$107+parametros_manuales!$G$33*(datos_base!$F$5+IF(parametros_manuales!$H$33="Todos",datos_base!$F$12,0))*parametros_manuales!$C$112)*parametros_manuales!$I$33*parametros_manuales!$J$33</f>
        <v>7676.617169332</v>
      </c>
      <c r="D128" s="14" t="n">
        <f aca="false">(parametros_manuales!$D$33*(datos_base!$F$2+IF(parametros_manuales!$H$33="Todos",datos_base!$F$9,0))*parametros_manuales!$D$97+parametros_manuales!$E$33*(datos_base!$F$3+IF(parametros_manuales!$H$33="Todos",datos_base!$F$10,0))*parametros_manuales!$D$102+parametros_manuales!$F$33*(datos_base!$F$4+IF(parametros_manuales!$H$33="Todos",datos_base!$F$11,0))*parametros_manuales!$D$107+parametros_manuales!$G$33*(datos_base!$F$5+IF(parametros_manuales!$H$33="Todos",datos_base!$F$12,0))*parametros_manuales!$D$112)*parametros_manuales!$I$33*parametros_manuales!$J$33</f>
        <v>7185.8521063215</v>
      </c>
      <c r="E128" s="14" t="n">
        <f aca="false">(parametros_manuales!$D$33*(datos_base!$F$2+IF(parametros_manuales!$H$33="Todos",datos_base!$F$9,0))*parametros_manuales!$E$97+parametros_manuales!$E$33*(datos_base!$F$3+IF(parametros_manuales!$H$33="Todos",datos_base!$F$10,0))*parametros_manuales!$E$102+parametros_manuales!$F$33*(datos_base!$F$4+IF(parametros_manuales!$H$33="Todos",datos_base!$F$11,0))*parametros_manuales!$E$107+parametros_manuales!$G$33*(datos_base!$F$5+IF(parametros_manuales!$H$33="Todos",datos_base!$F$12,0))*parametros_manuales!$E$112)*parametros_manuales!$I$33*parametros_manuales!$J$33</f>
        <v>6875.2749427715</v>
      </c>
      <c r="F128" s="14" t="n">
        <f aca="false">(parametros_manuales!$D$33*(datos_base!$F$2+IF(parametros_manuales!$H$33="Todos",datos_base!$F$9,0))*parametros_manuales!$F$97+parametros_manuales!$E$33*(datos_base!$F$3+IF(parametros_manuales!$H$33="Todos",datos_base!$F$10,0))*parametros_manuales!$F$102+parametros_manuales!$F$33*(datos_base!$F$4+IF(parametros_manuales!$H$33="Todos",datos_base!$F$11,0))*parametros_manuales!$F$107+parametros_manuales!$G$33*(datos_base!$F$5+IF(parametros_manuales!$H$33="Todos",datos_base!$F$12,0))*parametros_manuales!$F$112)*parametros_manuales!$I$33*parametros_manuales!$J$33</f>
        <v>6434.308515132</v>
      </c>
      <c r="G128" s="14" t="n">
        <f aca="false">(parametros_manuales!$D$33*(datos_base!$F$2+IF(parametros_manuales!$H$33="Todos",datos_base!$F$9,0))*parametros_manuales!$G$97+parametros_manuales!$E$33*(datos_base!$F$3+IF(parametros_manuales!$H$33="Todos",datos_base!$F$10,0))*parametros_manuales!$G$102+parametros_manuales!$F$33*(datos_base!$F$4+IF(parametros_manuales!$H$33="Todos",datos_base!$F$11,0))*parametros_manuales!$G$107+parametros_manuales!$G$33*(datos_base!$F$5+IF(parametros_manuales!$H$33="Todos",datos_base!$F$12,0))*parametros_manuales!$G$112)*parametros_manuales!$I$33*parametros_manuales!$J$33</f>
        <v>6303.9192510425</v>
      </c>
      <c r="H128" s="14" t="n">
        <f aca="false">(parametros_manuales!$D$33*(datos_base!$F$2+IF(parametros_manuales!$H$33="Todos",datos_base!$F$9,0))*parametros_manuales!$H$97+parametros_manuales!$E$33*(datos_base!$F$3+IF(parametros_manuales!$H$33="Todos",datos_base!$F$10,0))*parametros_manuales!$H$102+parametros_manuales!$F$33*(datos_base!$F$4+IF(parametros_manuales!$H$33="Todos",datos_base!$F$11,0))*parametros_manuales!$H$107+parametros_manuales!$G$33*(datos_base!$F$5+IF(parametros_manuales!$H$33="Todos",datos_base!$F$12,0))*parametros_manuales!$H$112)*parametros_manuales!$I$33*parametros_manuales!$J$33</f>
        <v>6744.885678682</v>
      </c>
      <c r="I128" s="14" t="n">
        <f aca="false">(parametros_manuales!$D$33*(datos_base!$F$2+IF(parametros_manuales!$H$33="Todos",datos_base!$F$9,0))*parametros_manuales!$I$97+parametros_manuales!$E$33*(datos_base!$F$3+IF(parametros_manuales!$H$33="Todos",datos_base!$F$10,0))*parametros_manuales!$I$102+parametros_manuales!$F$33*(datos_base!$F$4+IF(parametros_manuales!$H$33="Todos",datos_base!$F$11,0))*parametros_manuales!$I$107+parametros_manuales!$G$33*(datos_base!$F$5+IF(parametros_manuales!$H$33="Todos",datos_base!$F$12,0))*parametros_manuales!$I$112)*parametros_manuales!$I$33*parametros_manuales!$J$33</f>
        <v>7676.617169332</v>
      </c>
      <c r="J128" s="14" t="n">
        <f aca="false">(parametros_manuales!$D$33*(datos_base!$F$2+IF(parametros_manuales!$H$33="Todos",datos_base!$F$9,0))*parametros_manuales!$J$97+parametros_manuales!$E$33*(datos_base!$F$3+IF(parametros_manuales!$H$33="Todos",datos_base!$F$10,0))*parametros_manuales!$J$102+parametros_manuales!$F$33*(datos_base!$F$4+IF(parametros_manuales!$H$33="Todos",datos_base!$F$11,0))*parametros_manuales!$J$107+parametros_manuales!$G$33*(datos_base!$F$5+IF(parametros_manuales!$H$33="Todos",datos_base!$F$12,0))*parametros_manuales!$J$112)*parametros_manuales!$I$33*parametros_manuales!$J$33</f>
        <v>7676.617169332</v>
      </c>
      <c r="K128" s="14" t="n">
        <f aca="false">(parametros_manuales!$D$33*(datos_base!$F$2+IF(parametros_manuales!$H$33="Todos",datos_base!$F$9,0))*parametros_manuales!$K$97+parametros_manuales!$E$33*(datos_base!$F$3+IF(parametros_manuales!$H$33="Todos",datos_base!$F$10,0))*parametros_manuales!$K$102+parametros_manuales!$F$33*(datos_base!$F$4+IF(parametros_manuales!$H$33="Todos",datos_base!$F$11,0))*parametros_manuales!$K$107+parametros_manuales!$G$33*(datos_base!$F$5+IF(parametros_manuales!$H$33="Todos",datos_base!$F$12,0))*parametros_manuales!$K$112)*parametros_manuales!$I$33*parametros_manuales!$J$33</f>
        <v>7807.0064334215</v>
      </c>
      <c r="L128" s="14" t="n">
        <f aca="false">(parametros_manuales!$D$33*(datos_base!$F$2+IF(parametros_manuales!$H$33="Todos",datos_base!$F$9,0))*parametros_manuales!$L$97+parametros_manuales!$E$33*(datos_base!$F$3+IF(parametros_manuales!$H$33="Todos",datos_base!$F$10,0))*parametros_manuales!$L$102+parametros_manuales!$F$33*(datos_base!$F$4+IF(parametros_manuales!$H$33="Todos",datos_base!$F$11,0))*parametros_manuales!$L$107+parametros_manuales!$G$33*(datos_base!$F$5+IF(parametros_manuales!$H$33="Todos",datos_base!$F$12,0))*parametros_manuales!$L$112)*parametros_manuales!$I$33*parametros_manuales!$J$33</f>
        <v>7937.395697511</v>
      </c>
      <c r="M128" s="14" t="n">
        <f aca="false">(parametros_manuales!$D$33*(datos_base!$F$2+IF(parametros_manuales!$H$33="Todos",datos_base!$F$9,0))*parametros_manuales!$M$97+parametros_manuales!$E$33*(datos_base!$F$3+IF(parametros_manuales!$H$33="Todos",datos_base!$F$10,0))*parametros_manuales!$M$102+parametros_manuales!$F$33*(datos_base!$F$4+IF(parametros_manuales!$H$33="Todos",datos_base!$F$11,0))*parametros_manuales!$M$107+parametros_manuales!$G$33*(datos_base!$F$5+IF(parametros_manuales!$H$33="Todos",datos_base!$F$12,0))*parametros_manuales!$M$112)*parametros_manuales!$I$33*parametros_manuales!$J$33</f>
        <v>7937.395697511</v>
      </c>
      <c r="N128" s="14" t="n">
        <f aca="false">SUM(B128:M128)</f>
        <v>88193.2855279</v>
      </c>
      <c r="O128" s="14" t="n">
        <f aca="false">MAX(B128:M128)</f>
        <v>7937.395697511</v>
      </c>
      <c r="P128" s="57" t="n">
        <f aca="false">O128/(parametros_manuales!$B$7)</f>
        <v>52.91597131674</v>
      </c>
      <c r="Q128" s="13" t="str">
        <f aca="false">IF(O128=0,"-",INDEX($B$113:$M$113,MATCH(O128,B128:M128,0)))</f>
        <v>Ene</v>
      </c>
    </row>
    <row r="129" customFormat="false" ht="14.25" hidden="false" customHeight="true" outlineLevel="0" collapsed="false">
      <c r="A129" s="13" t="str">
        <f aca="false">parametros_manuales!$B$34</f>
        <v>Secado</v>
      </c>
      <c r="B129" s="14" t="n">
        <f aca="false">(parametros_manuales!$D$34*(datos_base!$F$2+IF(parametros_manuales!$H$34="Todos",datos_base!$F$9,0))*parametros_manuales!$B$97+parametros_manuales!$E$34*(datos_base!$F$3+IF(parametros_manuales!$H$34="Todos",datos_base!$F$10,0))*parametros_manuales!$B$102+parametros_manuales!$F$34*(datos_base!$F$4+IF(parametros_manuales!$H$34="Todos",datos_base!$F$11,0))*parametros_manuales!$B$107+parametros_manuales!$G$34*(datos_base!$F$5+IF(parametros_manuales!$H$34="Todos",datos_base!$F$12,0))*parametros_manuales!$B$112)*parametros_manuales!$I$34*parametros_manuales!$J$34</f>
        <v>7937.395697511</v>
      </c>
      <c r="C129" s="14" t="n">
        <f aca="false">(parametros_manuales!$D$34*(datos_base!$F$2+IF(parametros_manuales!$H$34="Todos",datos_base!$F$9,0))*parametros_manuales!$C$97+parametros_manuales!$E$34*(datos_base!$F$3+IF(parametros_manuales!$H$34="Todos",datos_base!$F$10,0))*parametros_manuales!$C$102+parametros_manuales!$F$34*(datos_base!$F$4+IF(parametros_manuales!$H$34="Todos",datos_base!$F$11,0))*parametros_manuales!$C$107+parametros_manuales!$G$34*(datos_base!$F$5+IF(parametros_manuales!$H$34="Todos",datos_base!$F$12,0))*parametros_manuales!$C$112)*parametros_manuales!$I$34*parametros_manuales!$J$34</f>
        <v>7676.617169332</v>
      </c>
      <c r="D129" s="14" t="n">
        <f aca="false">(parametros_manuales!$D$34*(datos_base!$F$2+IF(parametros_manuales!$H$34="Todos",datos_base!$F$9,0))*parametros_manuales!$D$97+parametros_manuales!$E$34*(datos_base!$F$3+IF(parametros_manuales!$H$34="Todos",datos_base!$F$10,0))*parametros_manuales!$D$102+parametros_manuales!$F$34*(datos_base!$F$4+IF(parametros_manuales!$H$34="Todos",datos_base!$F$11,0))*parametros_manuales!$D$107+parametros_manuales!$G$34*(datos_base!$F$5+IF(parametros_manuales!$H$34="Todos",datos_base!$F$12,0))*parametros_manuales!$D$112)*parametros_manuales!$I$34*parametros_manuales!$J$34</f>
        <v>7185.8521063215</v>
      </c>
      <c r="E129" s="14" t="n">
        <f aca="false">(parametros_manuales!$D$34*(datos_base!$F$2+IF(parametros_manuales!$H$34="Todos",datos_base!$F$9,0))*parametros_manuales!$E$97+parametros_manuales!$E$34*(datos_base!$F$3+IF(parametros_manuales!$H$34="Todos",datos_base!$F$10,0))*parametros_manuales!$E$102+parametros_manuales!$F$34*(datos_base!$F$4+IF(parametros_manuales!$H$34="Todos",datos_base!$F$11,0))*parametros_manuales!$E$107+parametros_manuales!$G$34*(datos_base!$F$5+IF(parametros_manuales!$H$34="Todos",datos_base!$F$12,0))*parametros_manuales!$E$112)*parametros_manuales!$I$34*parametros_manuales!$J$34</f>
        <v>6875.2749427715</v>
      </c>
      <c r="F129" s="14" t="n">
        <f aca="false">(parametros_manuales!$D$34*(datos_base!$F$2+IF(parametros_manuales!$H$34="Todos",datos_base!$F$9,0))*parametros_manuales!$F$97+parametros_manuales!$E$34*(datos_base!$F$3+IF(parametros_manuales!$H$34="Todos",datos_base!$F$10,0))*parametros_manuales!$F$102+parametros_manuales!$F$34*(datos_base!$F$4+IF(parametros_manuales!$H$34="Todos",datos_base!$F$11,0))*parametros_manuales!$F$107+parametros_manuales!$G$34*(datos_base!$F$5+IF(parametros_manuales!$H$34="Todos",datos_base!$F$12,0))*parametros_manuales!$F$112)*parametros_manuales!$I$34*parametros_manuales!$J$34</f>
        <v>6434.308515132</v>
      </c>
      <c r="G129" s="14" t="n">
        <f aca="false">(parametros_manuales!$D$34*(datos_base!$F$2+IF(parametros_manuales!$H$34="Todos",datos_base!$F$9,0))*parametros_manuales!$G$97+parametros_manuales!$E$34*(datos_base!$F$3+IF(parametros_manuales!$H$34="Todos",datos_base!$F$10,0))*parametros_manuales!$G$102+parametros_manuales!$F$34*(datos_base!$F$4+IF(parametros_manuales!$H$34="Todos",datos_base!$F$11,0))*parametros_manuales!$G$107+parametros_manuales!$G$34*(datos_base!$F$5+IF(parametros_manuales!$H$34="Todos",datos_base!$F$12,0))*parametros_manuales!$G$112)*parametros_manuales!$I$34*parametros_manuales!$J$34</f>
        <v>6303.9192510425</v>
      </c>
      <c r="H129" s="14" t="n">
        <f aca="false">(parametros_manuales!$D$34*(datos_base!$F$2+IF(parametros_manuales!$H$34="Todos",datos_base!$F$9,0))*parametros_manuales!$H$97+parametros_manuales!$E$34*(datos_base!$F$3+IF(parametros_manuales!$H$34="Todos",datos_base!$F$10,0))*parametros_manuales!$H$102+parametros_manuales!$F$34*(datos_base!$F$4+IF(parametros_manuales!$H$34="Todos",datos_base!$F$11,0))*parametros_manuales!$H$107+parametros_manuales!$G$34*(datos_base!$F$5+IF(parametros_manuales!$H$34="Todos",datos_base!$F$12,0))*parametros_manuales!$H$112)*parametros_manuales!$I$34*parametros_manuales!$J$34</f>
        <v>6744.885678682</v>
      </c>
      <c r="I129" s="14" t="n">
        <f aca="false">(parametros_manuales!$D$34*(datos_base!$F$2+IF(parametros_manuales!$H$34="Todos",datos_base!$F$9,0))*parametros_manuales!$I$97+parametros_manuales!$E$34*(datos_base!$F$3+IF(parametros_manuales!$H$34="Todos",datos_base!$F$10,0))*parametros_manuales!$I$102+parametros_manuales!$F$34*(datos_base!$F$4+IF(parametros_manuales!$H$34="Todos",datos_base!$F$11,0))*parametros_manuales!$I$107+parametros_manuales!$G$34*(datos_base!$F$5+IF(parametros_manuales!$H$34="Todos",datos_base!$F$12,0))*parametros_manuales!$I$112)*parametros_manuales!$I$34*parametros_manuales!$J$34</f>
        <v>7676.617169332</v>
      </c>
      <c r="J129" s="14" t="n">
        <f aca="false">(parametros_manuales!$D$34*(datos_base!$F$2+IF(parametros_manuales!$H$34="Todos",datos_base!$F$9,0))*parametros_manuales!$J$97+parametros_manuales!$E$34*(datos_base!$F$3+IF(parametros_manuales!$H$34="Todos",datos_base!$F$10,0))*parametros_manuales!$J$102+parametros_manuales!$F$34*(datos_base!$F$4+IF(parametros_manuales!$H$34="Todos",datos_base!$F$11,0))*parametros_manuales!$J$107+parametros_manuales!$G$34*(datos_base!$F$5+IF(parametros_manuales!$H$34="Todos",datos_base!$F$12,0))*parametros_manuales!$J$112)*parametros_manuales!$I$34*parametros_manuales!$J$34</f>
        <v>7676.617169332</v>
      </c>
      <c r="K129" s="14" t="n">
        <f aca="false">(parametros_manuales!$D$34*(datos_base!$F$2+IF(parametros_manuales!$H$34="Todos",datos_base!$F$9,0))*parametros_manuales!$K$97+parametros_manuales!$E$34*(datos_base!$F$3+IF(parametros_manuales!$H$34="Todos",datos_base!$F$10,0))*parametros_manuales!$K$102+parametros_manuales!$F$34*(datos_base!$F$4+IF(parametros_manuales!$H$34="Todos",datos_base!$F$11,0))*parametros_manuales!$K$107+parametros_manuales!$G$34*(datos_base!$F$5+IF(parametros_manuales!$H$34="Todos",datos_base!$F$12,0))*parametros_manuales!$K$112)*parametros_manuales!$I$34*parametros_manuales!$J$34</f>
        <v>7807.0064334215</v>
      </c>
      <c r="L129" s="14" t="n">
        <f aca="false">(parametros_manuales!$D$34*(datos_base!$F$2+IF(parametros_manuales!$H$34="Todos",datos_base!$F$9,0))*parametros_manuales!$L$97+parametros_manuales!$E$34*(datos_base!$F$3+IF(parametros_manuales!$H$34="Todos",datos_base!$F$10,0))*parametros_manuales!$L$102+parametros_manuales!$F$34*(datos_base!$F$4+IF(parametros_manuales!$H$34="Todos",datos_base!$F$11,0))*parametros_manuales!$L$107+parametros_manuales!$G$34*(datos_base!$F$5+IF(parametros_manuales!$H$34="Todos",datos_base!$F$12,0))*parametros_manuales!$L$112)*parametros_manuales!$I$34*parametros_manuales!$J$34</f>
        <v>7937.395697511</v>
      </c>
      <c r="M129" s="14" t="n">
        <f aca="false">(parametros_manuales!$D$34*(datos_base!$F$2+IF(parametros_manuales!$H$34="Todos",datos_base!$F$9,0))*parametros_manuales!$M$97+parametros_manuales!$E$34*(datos_base!$F$3+IF(parametros_manuales!$H$34="Todos",datos_base!$F$10,0))*parametros_manuales!$M$102+parametros_manuales!$F$34*(datos_base!$F$4+IF(parametros_manuales!$H$34="Todos",datos_base!$F$11,0))*parametros_manuales!$M$107+parametros_manuales!$G$34*(datos_base!$F$5+IF(parametros_manuales!$H$34="Todos",datos_base!$F$12,0))*parametros_manuales!$M$112)*parametros_manuales!$I$34*parametros_manuales!$J$34</f>
        <v>7937.395697511</v>
      </c>
      <c r="N129" s="14" t="n">
        <f aca="false">SUM(B129:M129)</f>
        <v>88193.2855279</v>
      </c>
      <c r="O129" s="14" t="n">
        <f aca="false">MAX(B129:M129)</f>
        <v>7937.395697511</v>
      </c>
      <c r="P129" s="57" t="n">
        <f aca="false">O129/(parametros_manuales!$B$7)</f>
        <v>52.91597131674</v>
      </c>
      <c r="Q129" s="13" t="str">
        <f aca="false">IF(O129=0,"-",INDEX($B$113:$M$113,MATCH(O129,B129:M129,0)))</f>
        <v>Ene</v>
      </c>
    </row>
    <row r="130" customFormat="false" ht="14.25" hidden="false" customHeight="true" outlineLevel="0" collapsed="false">
      <c r="A130" s="13" t="str">
        <f aca="false">parametros_manuales!$B$35</f>
        <v>Granallado</v>
      </c>
      <c r="B130" s="14" t="n">
        <f aca="false">(parametros_manuales!$D$35*(datos_base!$F$2+IF(parametros_manuales!$H$35="Todos",datos_base!$F$9,0))*parametros_manuales!$B$97+parametros_manuales!$E$35*(datos_base!$F$3+IF(parametros_manuales!$H$35="Todos",datos_base!$F$10,0))*parametros_manuales!$B$102+parametros_manuales!$F$35*(datos_base!$F$4+IF(parametros_manuales!$H$35="Todos",datos_base!$F$11,0))*parametros_manuales!$B$107+parametros_manuales!$G$35*(datos_base!$F$5+IF(parametros_manuales!$H$35="Todos",datos_base!$F$12,0))*parametros_manuales!$B$112)*parametros_manuales!$I$35*parametros_manuales!$J$35</f>
        <v>7937.395697511</v>
      </c>
      <c r="C130" s="14" t="n">
        <f aca="false">(parametros_manuales!$D$35*(datos_base!$F$2+IF(parametros_manuales!$H$35="Todos",datos_base!$F$9,0))*parametros_manuales!$C$97+parametros_manuales!$E$35*(datos_base!$F$3+IF(parametros_manuales!$H$35="Todos",datos_base!$F$10,0))*parametros_manuales!$C$102+parametros_manuales!$F$35*(datos_base!$F$4+IF(parametros_manuales!$H$35="Todos",datos_base!$F$11,0))*parametros_manuales!$C$107+parametros_manuales!$G$35*(datos_base!$F$5+IF(parametros_manuales!$H$35="Todos",datos_base!$F$12,0))*parametros_manuales!$C$112)*parametros_manuales!$I$35*parametros_manuales!$J$35</f>
        <v>7676.617169332</v>
      </c>
      <c r="D130" s="14" t="n">
        <f aca="false">(parametros_manuales!$D$35*(datos_base!$F$2+IF(parametros_manuales!$H$35="Todos",datos_base!$F$9,0))*parametros_manuales!$D$97+parametros_manuales!$E$35*(datos_base!$F$3+IF(parametros_manuales!$H$35="Todos",datos_base!$F$10,0))*parametros_manuales!$D$102+parametros_manuales!$F$35*(datos_base!$F$4+IF(parametros_manuales!$H$35="Todos",datos_base!$F$11,0))*parametros_manuales!$D$107+parametros_manuales!$G$35*(datos_base!$F$5+IF(parametros_manuales!$H$35="Todos",datos_base!$F$12,0))*parametros_manuales!$D$112)*parametros_manuales!$I$35*parametros_manuales!$J$35</f>
        <v>7185.8521063215</v>
      </c>
      <c r="E130" s="14" t="n">
        <f aca="false">(parametros_manuales!$D$35*(datos_base!$F$2+IF(parametros_manuales!$H$35="Todos",datos_base!$F$9,0))*parametros_manuales!$E$97+parametros_manuales!$E$35*(datos_base!$F$3+IF(parametros_manuales!$H$35="Todos",datos_base!$F$10,0))*parametros_manuales!$E$102+parametros_manuales!$F$35*(datos_base!$F$4+IF(parametros_manuales!$H$35="Todos",datos_base!$F$11,0))*parametros_manuales!$E$107+parametros_manuales!$G$35*(datos_base!$F$5+IF(parametros_manuales!$H$35="Todos",datos_base!$F$12,0))*parametros_manuales!$E$112)*parametros_manuales!$I$35*parametros_manuales!$J$35</f>
        <v>6875.2749427715</v>
      </c>
      <c r="F130" s="14" t="n">
        <f aca="false">(parametros_manuales!$D$35*(datos_base!$F$2+IF(parametros_manuales!$H$35="Todos",datos_base!$F$9,0))*parametros_manuales!$F$97+parametros_manuales!$E$35*(datos_base!$F$3+IF(parametros_manuales!$H$35="Todos",datos_base!$F$10,0))*parametros_manuales!$F$102+parametros_manuales!$F$35*(datos_base!$F$4+IF(parametros_manuales!$H$35="Todos",datos_base!$F$11,0))*parametros_manuales!$F$107+parametros_manuales!$G$35*(datos_base!$F$5+IF(parametros_manuales!$H$35="Todos",datos_base!$F$12,0))*parametros_manuales!$F$112)*parametros_manuales!$I$35*parametros_manuales!$J$35</f>
        <v>6434.308515132</v>
      </c>
      <c r="G130" s="14" t="n">
        <f aca="false">(parametros_manuales!$D$35*(datos_base!$F$2+IF(parametros_manuales!$H$35="Todos",datos_base!$F$9,0))*parametros_manuales!$G$97+parametros_manuales!$E$35*(datos_base!$F$3+IF(parametros_manuales!$H$35="Todos",datos_base!$F$10,0))*parametros_manuales!$G$102+parametros_manuales!$F$35*(datos_base!$F$4+IF(parametros_manuales!$H$35="Todos",datos_base!$F$11,0))*parametros_manuales!$G$107+parametros_manuales!$G$35*(datos_base!$F$5+IF(parametros_manuales!$H$35="Todos",datos_base!$F$12,0))*parametros_manuales!$G$112)*parametros_manuales!$I$35*parametros_manuales!$J$35</f>
        <v>6303.9192510425</v>
      </c>
      <c r="H130" s="14" t="n">
        <f aca="false">(parametros_manuales!$D$35*(datos_base!$F$2+IF(parametros_manuales!$H$35="Todos",datos_base!$F$9,0))*parametros_manuales!$H$97+parametros_manuales!$E$35*(datos_base!$F$3+IF(parametros_manuales!$H$35="Todos",datos_base!$F$10,0))*parametros_manuales!$H$102+parametros_manuales!$F$35*(datos_base!$F$4+IF(parametros_manuales!$H$35="Todos",datos_base!$F$11,0))*parametros_manuales!$H$107+parametros_manuales!$G$35*(datos_base!$F$5+IF(parametros_manuales!$H$35="Todos",datos_base!$F$12,0))*parametros_manuales!$H$112)*parametros_manuales!$I$35*parametros_manuales!$J$35</f>
        <v>6744.885678682</v>
      </c>
      <c r="I130" s="14" t="n">
        <f aca="false">(parametros_manuales!$D$35*(datos_base!$F$2+IF(parametros_manuales!$H$35="Todos",datos_base!$F$9,0))*parametros_manuales!$I$97+parametros_manuales!$E$35*(datos_base!$F$3+IF(parametros_manuales!$H$35="Todos",datos_base!$F$10,0))*parametros_manuales!$I$102+parametros_manuales!$F$35*(datos_base!$F$4+IF(parametros_manuales!$H$35="Todos",datos_base!$F$11,0))*parametros_manuales!$I$107+parametros_manuales!$G$35*(datos_base!$F$5+IF(parametros_manuales!$H$35="Todos",datos_base!$F$12,0))*parametros_manuales!$I$112)*parametros_manuales!$I$35*parametros_manuales!$J$35</f>
        <v>7676.617169332</v>
      </c>
      <c r="J130" s="14" t="n">
        <f aca="false">(parametros_manuales!$D$35*(datos_base!$F$2+IF(parametros_manuales!$H$35="Todos",datos_base!$F$9,0))*parametros_manuales!$J$97+parametros_manuales!$E$35*(datos_base!$F$3+IF(parametros_manuales!$H$35="Todos",datos_base!$F$10,0))*parametros_manuales!$J$102+parametros_manuales!$F$35*(datos_base!$F$4+IF(parametros_manuales!$H$35="Todos",datos_base!$F$11,0))*parametros_manuales!$J$107+parametros_manuales!$G$35*(datos_base!$F$5+IF(parametros_manuales!$H$35="Todos",datos_base!$F$12,0))*parametros_manuales!$J$112)*parametros_manuales!$I$35*parametros_manuales!$J$35</f>
        <v>7676.617169332</v>
      </c>
      <c r="K130" s="14" t="n">
        <f aca="false">(parametros_manuales!$D$35*(datos_base!$F$2+IF(parametros_manuales!$H$35="Todos",datos_base!$F$9,0))*parametros_manuales!$K$97+parametros_manuales!$E$35*(datos_base!$F$3+IF(parametros_manuales!$H$35="Todos",datos_base!$F$10,0))*parametros_manuales!$K$102+parametros_manuales!$F$35*(datos_base!$F$4+IF(parametros_manuales!$H$35="Todos",datos_base!$F$11,0))*parametros_manuales!$K$107+parametros_manuales!$G$35*(datos_base!$F$5+IF(parametros_manuales!$H$35="Todos",datos_base!$F$12,0))*parametros_manuales!$K$112)*parametros_manuales!$I$35*parametros_manuales!$J$35</f>
        <v>7807.0064334215</v>
      </c>
      <c r="L130" s="14" t="n">
        <f aca="false">(parametros_manuales!$D$35*(datos_base!$F$2+IF(parametros_manuales!$H$35="Todos",datos_base!$F$9,0))*parametros_manuales!$L$97+parametros_manuales!$E$35*(datos_base!$F$3+IF(parametros_manuales!$H$35="Todos",datos_base!$F$10,0))*parametros_manuales!$L$102+parametros_manuales!$F$35*(datos_base!$F$4+IF(parametros_manuales!$H$35="Todos",datos_base!$F$11,0))*parametros_manuales!$L$107+parametros_manuales!$G$35*(datos_base!$F$5+IF(parametros_manuales!$H$35="Todos",datos_base!$F$12,0))*parametros_manuales!$L$112)*parametros_manuales!$I$35*parametros_manuales!$J$35</f>
        <v>7937.395697511</v>
      </c>
      <c r="M130" s="14" t="n">
        <f aca="false">(parametros_manuales!$D$35*(datos_base!$F$2+IF(parametros_manuales!$H$35="Todos",datos_base!$F$9,0))*parametros_manuales!$M$97+parametros_manuales!$E$35*(datos_base!$F$3+IF(parametros_manuales!$H$35="Todos",datos_base!$F$10,0))*parametros_manuales!$M$102+parametros_manuales!$F$35*(datos_base!$F$4+IF(parametros_manuales!$H$35="Todos",datos_base!$F$11,0))*parametros_manuales!$M$107+parametros_manuales!$G$35*(datos_base!$F$5+IF(parametros_manuales!$H$35="Todos",datos_base!$F$12,0))*parametros_manuales!$M$112)*parametros_manuales!$I$35*parametros_manuales!$J$35</f>
        <v>7937.395697511</v>
      </c>
      <c r="N130" s="14" t="n">
        <f aca="false">SUM(B130:M130)</f>
        <v>88193.2855279</v>
      </c>
      <c r="O130" s="14" t="n">
        <f aca="false">MAX(B130:M130)</f>
        <v>7937.395697511</v>
      </c>
      <c r="P130" s="57" t="n">
        <f aca="false">O130/(parametros_manuales!$B$7)</f>
        <v>52.91597131674</v>
      </c>
      <c r="Q130" s="13" t="str">
        <f aca="false">IF(O130=0,"-",INDEX($B$113:$M$113,MATCH(O130,B130:M130,0)))</f>
        <v>Ene</v>
      </c>
    </row>
    <row r="131" customFormat="false" ht="14.25" hidden="false" customHeight="true" outlineLevel="0" collapsed="false">
      <c r="A131" s="13" t="str">
        <f aca="false">parametros_manuales!$B$36</f>
        <v>Detección de defectos</v>
      </c>
      <c r="B131" s="14" t="n">
        <f aca="false">(parametros_manuales!$D$36*(datos_base!$F$2+IF(parametros_manuales!$H$36="Todos",datos_base!$F$9,0))*parametros_manuales!$B$97+parametros_manuales!$E$36*(datos_base!$F$3+IF(parametros_manuales!$H$36="Todos",datos_base!$F$10,0))*parametros_manuales!$B$102+parametros_manuales!$F$36*(datos_base!$F$4+IF(parametros_manuales!$H$36="Todos",datos_base!$F$11,0))*parametros_manuales!$B$107+parametros_manuales!$G$36*(datos_base!$F$5+IF(parametros_manuales!$H$36="Todos",datos_base!$F$12,0))*parametros_manuales!$B$112)*parametros_manuales!$I$36*parametros_manuales!$J$36</f>
        <v>7937.395697511</v>
      </c>
      <c r="C131" s="14" t="n">
        <f aca="false">(parametros_manuales!$D$36*(datos_base!$F$2+IF(parametros_manuales!$H$36="Todos",datos_base!$F$9,0))*parametros_manuales!$C$97+parametros_manuales!$E$36*(datos_base!$F$3+IF(parametros_manuales!$H$36="Todos",datos_base!$F$10,0))*parametros_manuales!$C$102+parametros_manuales!$F$36*(datos_base!$F$4+IF(parametros_manuales!$H$36="Todos",datos_base!$F$11,0))*parametros_manuales!$C$107+parametros_manuales!$G$36*(datos_base!$F$5+IF(parametros_manuales!$H$36="Todos",datos_base!$F$12,0))*parametros_manuales!$C$112)*parametros_manuales!$I$36*parametros_manuales!$J$36</f>
        <v>7676.617169332</v>
      </c>
      <c r="D131" s="14" t="n">
        <f aca="false">(parametros_manuales!$D$36*(datos_base!$F$2+IF(parametros_manuales!$H$36="Todos",datos_base!$F$9,0))*parametros_manuales!$D$97+parametros_manuales!$E$36*(datos_base!$F$3+IF(parametros_manuales!$H$36="Todos",datos_base!$F$10,0))*parametros_manuales!$D$102+parametros_manuales!$F$36*(datos_base!$F$4+IF(parametros_manuales!$H$36="Todos",datos_base!$F$11,0))*parametros_manuales!$D$107+parametros_manuales!$G$36*(datos_base!$F$5+IF(parametros_manuales!$H$36="Todos",datos_base!$F$12,0))*parametros_manuales!$D$112)*parametros_manuales!$I$36*parametros_manuales!$J$36</f>
        <v>7185.8521063215</v>
      </c>
      <c r="E131" s="14" t="n">
        <f aca="false">(parametros_manuales!$D$36*(datos_base!$F$2+IF(parametros_manuales!$H$36="Todos",datos_base!$F$9,0))*parametros_manuales!$E$97+parametros_manuales!$E$36*(datos_base!$F$3+IF(parametros_manuales!$H$36="Todos",datos_base!$F$10,0))*parametros_manuales!$E$102+parametros_manuales!$F$36*(datos_base!$F$4+IF(parametros_manuales!$H$36="Todos",datos_base!$F$11,0))*parametros_manuales!$E$107+parametros_manuales!$G$36*(datos_base!$F$5+IF(parametros_manuales!$H$36="Todos",datos_base!$F$12,0))*parametros_manuales!$E$112)*parametros_manuales!$I$36*parametros_manuales!$J$36</f>
        <v>6875.2749427715</v>
      </c>
      <c r="F131" s="14" t="n">
        <f aca="false">(parametros_manuales!$D$36*(datos_base!$F$2+IF(parametros_manuales!$H$36="Todos",datos_base!$F$9,0))*parametros_manuales!$F$97+parametros_manuales!$E$36*(datos_base!$F$3+IF(parametros_manuales!$H$36="Todos",datos_base!$F$10,0))*parametros_manuales!$F$102+parametros_manuales!$F$36*(datos_base!$F$4+IF(parametros_manuales!$H$36="Todos",datos_base!$F$11,0))*parametros_manuales!$F$107+parametros_manuales!$G$36*(datos_base!$F$5+IF(parametros_manuales!$H$36="Todos",datos_base!$F$12,0))*parametros_manuales!$F$112)*parametros_manuales!$I$36*parametros_manuales!$J$36</f>
        <v>6434.308515132</v>
      </c>
      <c r="G131" s="14" t="n">
        <f aca="false">(parametros_manuales!$D$36*(datos_base!$F$2+IF(parametros_manuales!$H$36="Todos",datos_base!$F$9,0))*parametros_manuales!$G$97+parametros_manuales!$E$36*(datos_base!$F$3+IF(parametros_manuales!$H$36="Todos",datos_base!$F$10,0))*parametros_manuales!$G$102+parametros_manuales!$F$36*(datos_base!$F$4+IF(parametros_manuales!$H$36="Todos",datos_base!$F$11,0))*parametros_manuales!$G$107+parametros_manuales!$G$36*(datos_base!$F$5+IF(parametros_manuales!$H$36="Todos",datos_base!$F$12,0))*parametros_manuales!$G$112)*parametros_manuales!$I$36*parametros_manuales!$J$36</f>
        <v>6303.9192510425</v>
      </c>
      <c r="H131" s="14" t="n">
        <f aca="false">(parametros_manuales!$D$36*(datos_base!$F$2+IF(parametros_manuales!$H$36="Todos",datos_base!$F$9,0))*parametros_manuales!$H$97+parametros_manuales!$E$36*(datos_base!$F$3+IF(parametros_manuales!$H$36="Todos",datos_base!$F$10,0))*parametros_manuales!$H$102+parametros_manuales!$F$36*(datos_base!$F$4+IF(parametros_manuales!$H$36="Todos",datos_base!$F$11,0))*parametros_manuales!$H$107+parametros_manuales!$G$36*(datos_base!$F$5+IF(parametros_manuales!$H$36="Todos",datos_base!$F$12,0))*parametros_manuales!$H$112)*parametros_manuales!$I$36*parametros_manuales!$J$36</f>
        <v>6744.885678682</v>
      </c>
      <c r="I131" s="14" t="n">
        <f aca="false">(parametros_manuales!$D$36*(datos_base!$F$2+IF(parametros_manuales!$H$36="Todos",datos_base!$F$9,0))*parametros_manuales!$I$97+parametros_manuales!$E$36*(datos_base!$F$3+IF(parametros_manuales!$H$36="Todos",datos_base!$F$10,0))*parametros_manuales!$I$102+parametros_manuales!$F$36*(datos_base!$F$4+IF(parametros_manuales!$H$36="Todos",datos_base!$F$11,0))*parametros_manuales!$I$107+parametros_manuales!$G$36*(datos_base!$F$5+IF(parametros_manuales!$H$36="Todos",datos_base!$F$12,0))*parametros_manuales!$I$112)*parametros_manuales!$I$36*parametros_manuales!$J$36</f>
        <v>7676.617169332</v>
      </c>
      <c r="J131" s="14" t="n">
        <f aca="false">(parametros_manuales!$D$36*(datos_base!$F$2+IF(parametros_manuales!$H$36="Todos",datos_base!$F$9,0))*parametros_manuales!$J$97+parametros_manuales!$E$36*(datos_base!$F$3+IF(parametros_manuales!$H$36="Todos",datos_base!$F$10,0))*parametros_manuales!$J$102+parametros_manuales!$F$36*(datos_base!$F$4+IF(parametros_manuales!$H$36="Todos",datos_base!$F$11,0))*parametros_manuales!$J$107+parametros_manuales!$G$36*(datos_base!$F$5+IF(parametros_manuales!$H$36="Todos",datos_base!$F$12,0))*parametros_manuales!$J$112)*parametros_manuales!$I$36*parametros_manuales!$J$36</f>
        <v>7676.617169332</v>
      </c>
      <c r="K131" s="14" t="n">
        <f aca="false">(parametros_manuales!$D$36*(datos_base!$F$2+IF(parametros_manuales!$H$36="Todos",datos_base!$F$9,0))*parametros_manuales!$K$97+parametros_manuales!$E$36*(datos_base!$F$3+IF(parametros_manuales!$H$36="Todos",datos_base!$F$10,0))*parametros_manuales!$K$102+parametros_manuales!$F$36*(datos_base!$F$4+IF(parametros_manuales!$H$36="Todos",datos_base!$F$11,0))*parametros_manuales!$K$107+parametros_manuales!$G$36*(datos_base!$F$5+IF(parametros_manuales!$H$36="Todos",datos_base!$F$12,0))*parametros_manuales!$K$112)*parametros_manuales!$I$36*parametros_manuales!$J$36</f>
        <v>7807.0064334215</v>
      </c>
      <c r="L131" s="14" t="n">
        <f aca="false">(parametros_manuales!$D$36*(datos_base!$F$2+IF(parametros_manuales!$H$36="Todos",datos_base!$F$9,0))*parametros_manuales!$L$97+parametros_manuales!$E$36*(datos_base!$F$3+IF(parametros_manuales!$H$36="Todos",datos_base!$F$10,0))*parametros_manuales!$L$102+parametros_manuales!$F$36*(datos_base!$F$4+IF(parametros_manuales!$H$36="Todos",datos_base!$F$11,0))*parametros_manuales!$L$107+parametros_manuales!$G$36*(datos_base!$F$5+IF(parametros_manuales!$H$36="Todos",datos_base!$F$12,0))*parametros_manuales!$L$112)*parametros_manuales!$I$36*parametros_manuales!$J$36</f>
        <v>7937.395697511</v>
      </c>
      <c r="M131" s="14" t="n">
        <f aca="false">(parametros_manuales!$D$36*(datos_base!$F$2+IF(parametros_manuales!$H$36="Todos",datos_base!$F$9,0))*parametros_manuales!$M$97+parametros_manuales!$E$36*(datos_base!$F$3+IF(parametros_manuales!$H$36="Todos",datos_base!$F$10,0))*parametros_manuales!$M$102+parametros_manuales!$F$36*(datos_base!$F$4+IF(parametros_manuales!$H$36="Todos",datos_base!$F$11,0))*parametros_manuales!$M$107+parametros_manuales!$G$36*(datos_base!$F$5+IF(parametros_manuales!$H$36="Todos",datos_base!$F$12,0))*parametros_manuales!$M$112)*parametros_manuales!$I$36*parametros_manuales!$J$36</f>
        <v>7937.395697511</v>
      </c>
      <c r="N131" s="14" t="n">
        <f aca="false">SUM(B131:M131)</f>
        <v>88193.2855279</v>
      </c>
      <c r="O131" s="14" t="n">
        <f aca="false">MAX(B131:M131)</f>
        <v>7937.395697511</v>
      </c>
      <c r="P131" s="57" t="n">
        <f aca="false">O131/(parametros_manuales!$B$7)</f>
        <v>52.91597131674</v>
      </c>
      <c r="Q131" s="13" t="str">
        <f aca="false">IF(O131=0,"-",INDEX($B$113:$M$113,MATCH(O131,B131:M131,0)))</f>
        <v>Ene</v>
      </c>
    </row>
    <row r="132" customFormat="false" ht="14.25" hidden="false" customHeight="true" outlineLevel="0" collapsed="false">
      <c r="A132" s="13" t="str">
        <f aca="false">parametros_manuales!$B$37</f>
        <v>Corrección de defectos</v>
      </c>
      <c r="B132" s="14" t="n">
        <f aca="false">(parametros_manuales!$D$37*(datos_base!$F$2+IF(parametros_manuales!$H$37="Todos",datos_base!$F$9,0))*parametros_manuales!$B$97+parametros_manuales!$E$37*(datos_base!$F$3+IF(parametros_manuales!$H$37="Todos",datos_base!$F$10,0))*parametros_manuales!$B$102+parametros_manuales!$F$37*(datos_base!$F$4+IF(parametros_manuales!$H$37="Todos",datos_base!$F$11,0))*parametros_manuales!$B$107+parametros_manuales!$G$37*(datos_base!$F$5+IF(parametros_manuales!$H$37="Todos",datos_base!$F$12,0))*parametros_manuales!$B$112)*parametros_manuales!$I$37*parametros_manuales!$J$37</f>
        <v>396.86978487555</v>
      </c>
      <c r="C132" s="14" t="n">
        <f aca="false">(parametros_manuales!$D$37*(datos_base!$F$2+IF(parametros_manuales!$H$37="Todos",datos_base!$F$9,0))*parametros_manuales!$C$97+parametros_manuales!$E$37*(datos_base!$F$3+IF(parametros_manuales!$H$37="Todos",datos_base!$F$10,0))*parametros_manuales!$C$102+parametros_manuales!$F$37*(datos_base!$F$4+IF(parametros_manuales!$H$37="Todos",datos_base!$F$11,0))*parametros_manuales!$C$107+parametros_manuales!$G$37*(datos_base!$F$5+IF(parametros_manuales!$H$37="Todos",datos_base!$F$12,0))*parametros_manuales!$C$112)*parametros_manuales!$I$37*parametros_manuales!$J$37</f>
        <v>383.8308584666</v>
      </c>
      <c r="D132" s="14" t="n">
        <f aca="false">(parametros_manuales!$D$37*(datos_base!$F$2+IF(parametros_manuales!$H$37="Todos",datos_base!$F$9,0))*parametros_manuales!$D$97+parametros_manuales!$E$37*(datos_base!$F$3+IF(parametros_manuales!$H$37="Todos",datos_base!$F$10,0))*parametros_manuales!$D$102+parametros_manuales!$F$37*(datos_base!$F$4+IF(parametros_manuales!$H$37="Todos",datos_base!$F$11,0))*parametros_manuales!$D$107+parametros_manuales!$G$37*(datos_base!$F$5+IF(parametros_manuales!$H$37="Todos",datos_base!$F$12,0))*parametros_manuales!$D$112)*parametros_manuales!$I$37*parametros_manuales!$J$37</f>
        <v>359.292605316075</v>
      </c>
      <c r="E132" s="14" t="n">
        <f aca="false">(parametros_manuales!$D$37*(datos_base!$F$2+IF(parametros_manuales!$H$37="Todos",datos_base!$F$9,0))*parametros_manuales!$E$97+parametros_manuales!$E$37*(datos_base!$F$3+IF(parametros_manuales!$H$37="Todos",datos_base!$F$10,0))*parametros_manuales!$E$102+parametros_manuales!$F$37*(datos_base!$F$4+IF(parametros_manuales!$H$37="Todos",datos_base!$F$11,0))*parametros_manuales!$E$107+parametros_manuales!$G$37*(datos_base!$F$5+IF(parametros_manuales!$H$37="Todos",datos_base!$F$12,0))*parametros_manuales!$E$112)*parametros_manuales!$I$37*parametros_manuales!$J$37</f>
        <v>343.763747138575</v>
      </c>
      <c r="F132" s="14" t="n">
        <f aca="false">(parametros_manuales!$D$37*(datos_base!$F$2+IF(parametros_manuales!$H$37="Todos",datos_base!$F$9,0))*parametros_manuales!$F$97+parametros_manuales!$E$37*(datos_base!$F$3+IF(parametros_manuales!$H$37="Todos",datos_base!$F$10,0))*parametros_manuales!$F$102+parametros_manuales!$F$37*(datos_base!$F$4+IF(parametros_manuales!$H$37="Todos",datos_base!$F$11,0))*parametros_manuales!$F$107+parametros_manuales!$G$37*(datos_base!$F$5+IF(parametros_manuales!$H$37="Todos",datos_base!$F$12,0))*parametros_manuales!$F$112)*parametros_manuales!$I$37*parametros_manuales!$J$37</f>
        <v>321.7154257566</v>
      </c>
      <c r="G132" s="14" t="n">
        <f aca="false">(parametros_manuales!$D$37*(datos_base!$F$2+IF(parametros_manuales!$H$37="Todos",datos_base!$F$9,0))*parametros_manuales!$G$97+parametros_manuales!$E$37*(datos_base!$F$3+IF(parametros_manuales!$H$37="Todos",datos_base!$F$10,0))*parametros_manuales!$G$102+parametros_manuales!$F$37*(datos_base!$F$4+IF(parametros_manuales!$H$37="Todos",datos_base!$F$11,0))*parametros_manuales!$G$107+parametros_manuales!$G$37*(datos_base!$F$5+IF(parametros_manuales!$H$37="Todos",datos_base!$F$12,0))*parametros_manuales!$G$112)*parametros_manuales!$I$37*parametros_manuales!$J$37</f>
        <v>315.195962552125</v>
      </c>
      <c r="H132" s="14" t="n">
        <f aca="false">(parametros_manuales!$D$37*(datos_base!$F$2+IF(parametros_manuales!$H$37="Todos",datos_base!$F$9,0))*parametros_manuales!$H$97+parametros_manuales!$E$37*(datos_base!$F$3+IF(parametros_manuales!$H$37="Todos",datos_base!$F$10,0))*parametros_manuales!$H$102+parametros_manuales!$F$37*(datos_base!$F$4+IF(parametros_manuales!$H$37="Todos",datos_base!$F$11,0))*parametros_manuales!$H$107+parametros_manuales!$G$37*(datos_base!$F$5+IF(parametros_manuales!$H$37="Todos",datos_base!$F$12,0))*parametros_manuales!$H$112)*parametros_manuales!$I$37*parametros_manuales!$J$37</f>
        <v>337.2442839341</v>
      </c>
      <c r="I132" s="14" t="n">
        <f aca="false">(parametros_manuales!$D$37*(datos_base!$F$2+IF(parametros_manuales!$H$37="Todos",datos_base!$F$9,0))*parametros_manuales!$I$97+parametros_manuales!$E$37*(datos_base!$F$3+IF(parametros_manuales!$H$37="Todos",datos_base!$F$10,0))*parametros_manuales!$I$102+parametros_manuales!$F$37*(datos_base!$F$4+IF(parametros_manuales!$H$37="Todos",datos_base!$F$11,0))*parametros_manuales!$I$107+parametros_manuales!$G$37*(datos_base!$F$5+IF(parametros_manuales!$H$37="Todos",datos_base!$F$12,0))*parametros_manuales!$I$112)*parametros_manuales!$I$37*parametros_manuales!$J$37</f>
        <v>383.8308584666</v>
      </c>
      <c r="J132" s="14" t="n">
        <f aca="false">(parametros_manuales!$D$37*(datos_base!$F$2+IF(parametros_manuales!$H$37="Todos",datos_base!$F$9,0))*parametros_manuales!$J$97+parametros_manuales!$E$37*(datos_base!$F$3+IF(parametros_manuales!$H$37="Todos",datos_base!$F$10,0))*parametros_manuales!$J$102+parametros_manuales!$F$37*(datos_base!$F$4+IF(parametros_manuales!$H$37="Todos",datos_base!$F$11,0))*parametros_manuales!$J$107+parametros_manuales!$G$37*(datos_base!$F$5+IF(parametros_manuales!$H$37="Todos",datos_base!$F$12,0))*parametros_manuales!$J$112)*parametros_manuales!$I$37*parametros_manuales!$J$37</f>
        <v>383.8308584666</v>
      </c>
      <c r="K132" s="14" t="n">
        <f aca="false">(parametros_manuales!$D$37*(datos_base!$F$2+IF(parametros_manuales!$H$37="Todos",datos_base!$F$9,0))*parametros_manuales!$K$97+parametros_manuales!$E$37*(datos_base!$F$3+IF(parametros_manuales!$H$37="Todos",datos_base!$F$10,0))*parametros_manuales!$K$102+parametros_manuales!$F$37*(datos_base!$F$4+IF(parametros_manuales!$H$37="Todos",datos_base!$F$11,0))*parametros_manuales!$K$107+parametros_manuales!$G$37*(datos_base!$F$5+IF(parametros_manuales!$H$37="Todos",datos_base!$F$12,0))*parametros_manuales!$K$112)*parametros_manuales!$I$37*parametros_manuales!$J$37</f>
        <v>390.350321671075</v>
      </c>
      <c r="L132" s="14" t="n">
        <f aca="false">(parametros_manuales!$D$37*(datos_base!$F$2+IF(parametros_manuales!$H$37="Todos",datos_base!$F$9,0))*parametros_manuales!$L$97+parametros_manuales!$E$37*(datos_base!$F$3+IF(parametros_manuales!$H$37="Todos",datos_base!$F$10,0))*parametros_manuales!$L$102+parametros_manuales!$F$37*(datos_base!$F$4+IF(parametros_manuales!$H$37="Todos",datos_base!$F$11,0))*parametros_manuales!$L$107+parametros_manuales!$G$37*(datos_base!$F$5+IF(parametros_manuales!$H$37="Todos",datos_base!$F$12,0))*parametros_manuales!$L$112)*parametros_manuales!$I$37*parametros_manuales!$J$37</f>
        <v>396.86978487555</v>
      </c>
      <c r="M132" s="14" t="n">
        <f aca="false">(parametros_manuales!$D$37*(datos_base!$F$2+IF(parametros_manuales!$H$37="Todos",datos_base!$F$9,0))*parametros_manuales!$M$97+parametros_manuales!$E$37*(datos_base!$F$3+IF(parametros_manuales!$H$37="Todos",datos_base!$F$10,0))*parametros_manuales!$M$102+parametros_manuales!$F$37*(datos_base!$F$4+IF(parametros_manuales!$H$37="Todos",datos_base!$F$11,0))*parametros_manuales!$M$107+parametros_manuales!$G$37*(datos_base!$F$5+IF(parametros_manuales!$H$37="Todos",datos_base!$F$12,0))*parametros_manuales!$M$112)*parametros_manuales!$I$37*parametros_manuales!$J$37</f>
        <v>396.86978487555</v>
      </c>
      <c r="N132" s="14" t="n">
        <f aca="false">SUM(B132:M132)</f>
        <v>4409.664276395</v>
      </c>
      <c r="O132" s="14" t="n">
        <f aca="false">MAX(B132:M132)</f>
        <v>396.86978487555</v>
      </c>
      <c r="P132" s="57" t="n">
        <f aca="false">O132/(parametros_manuales!$B$7)</f>
        <v>2.645798565837</v>
      </c>
      <c r="Q132" s="13" t="str">
        <f aca="false">IF(O132=0,"-",INDEX($B$113:$M$113,MATCH(O132,B132:M132,0)))</f>
        <v>Ene</v>
      </c>
    </row>
    <row r="133" customFormat="false" ht="14.25" hidden="false" customHeight="true" outlineLevel="0" collapsed="false">
      <c r="A133" s="13" t="str">
        <f aca="false">parametros_manuales!$B$38</f>
        <v>Pintura en polvo + horno</v>
      </c>
      <c r="B133" s="14" t="n">
        <f aca="false">(parametros_manuales!$D$38*(datos_base!$F$2+IF(parametros_manuales!$H$38="Todos",datos_base!$F$9,0))*parametros_manuales!$B$97+parametros_manuales!$E$38*(datos_base!$F$3+IF(parametros_manuales!$H$38="Todos",datos_base!$F$10,0))*parametros_manuales!$B$102+parametros_manuales!$F$38*(datos_base!$F$4+IF(parametros_manuales!$H$38="Todos",datos_base!$F$11,0))*parametros_manuales!$B$107+parametros_manuales!$G$38*(datos_base!$F$5+IF(parametros_manuales!$H$38="Todos",datos_base!$F$12,0))*parametros_manuales!$B$112)*parametros_manuales!$I$38*parametros_manuales!$J$38</f>
        <v>7937.395697511</v>
      </c>
      <c r="C133" s="14" t="n">
        <f aca="false">(parametros_manuales!$D$38*(datos_base!$F$2+IF(parametros_manuales!$H$38="Todos",datos_base!$F$9,0))*parametros_manuales!$C$97+parametros_manuales!$E$38*(datos_base!$F$3+IF(parametros_manuales!$H$38="Todos",datos_base!$F$10,0))*parametros_manuales!$C$102+parametros_manuales!$F$38*(datos_base!$F$4+IF(parametros_manuales!$H$38="Todos",datos_base!$F$11,0))*parametros_manuales!$C$107+parametros_manuales!$G$38*(datos_base!$F$5+IF(parametros_manuales!$H$38="Todos",datos_base!$F$12,0))*parametros_manuales!$C$112)*parametros_manuales!$I$38*parametros_manuales!$J$38</f>
        <v>7676.617169332</v>
      </c>
      <c r="D133" s="14" t="n">
        <f aca="false">(parametros_manuales!$D$38*(datos_base!$F$2+IF(parametros_manuales!$H$38="Todos",datos_base!$F$9,0))*parametros_manuales!$D$97+parametros_manuales!$E$38*(datos_base!$F$3+IF(parametros_manuales!$H$38="Todos",datos_base!$F$10,0))*parametros_manuales!$D$102+parametros_manuales!$F$38*(datos_base!$F$4+IF(parametros_manuales!$H$38="Todos",datos_base!$F$11,0))*parametros_manuales!$D$107+parametros_manuales!$G$38*(datos_base!$F$5+IF(parametros_manuales!$H$38="Todos",datos_base!$F$12,0))*parametros_manuales!$D$112)*parametros_manuales!$I$38*parametros_manuales!$J$38</f>
        <v>7185.8521063215</v>
      </c>
      <c r="E133" s="14" t="n">
        <f aca="false">(parametros_manuales!$D$38*(datos_base!$F$2+IF(parametros_manuales!$H$38="Todos",datos_base!$F$9,0))*parametros_manuales!$E$97+parametros_manuales!$E$38*(datos_base!$F$3+IF(parametros_manuales!$H$38="Todos",datos_base!$F$10,0))*parametros_manuales!$E$102+parametros_manuales!$F$38*(datos_base!$F$4+IF(parametros_manuales!$H$38="Todos",datos_base!$F$11,0))*parametros_manuales!$E$107+parametros_manuales!$G$38*(datos_base!$F$5+IF(parametros_manuales!$H$38="Todos",datos_base!$F$12,0))*parametros_manuales!$E$112)*parametros_manuales!$I$38*parametros_manuales!$J$38</f>
        <v>6875.2749427715</v>
      </c>
      <c r="F133" s="14" t="n">
        <f aca="false">(parametros_manuales!$D$38*(datos_base!$F$2+IF(parametros_manuales!$H$38="Todos",datos_base!$F$9,0))*parametros_manuales!$F$97+parametros_manuales!$E$38*(datos_base!$F$3+IF(parametros_manuales!$H$38="Todos",datos_base!$F$10,0))*parametros_manuales!$F$102+parametros_manuales!$F$38*(datos_base!$F$4+IF(parametros_manuales!$H$38="Todos",datos_base!$F$11,0))*parametros_manuales!$F$107+parametros_manuales!$G$38*(datos_base!$F$5+IF(parametros_manuales!$H$38="Todos",datos_base!$F$12,0))*parametros_manuales!$F$112)*parametros_manuales!$I$38*parametros_manuales!$J$38</f>
        <v>6434.308515132</v>
      </c>
      <c r="G133" s="14" t="n">
        <f aca="false">(parametros_manuales!$D$38*(datos_base!$F$2+IF(parametros_manuales!$H$38="Todos",datos_base!$F$9,0))*parametros_manuales!$G$97+parametros_manuales!$E$38*(datos_base!$F$3+IF(parametros_manuales!$H$38="Todos",datos_base!$F$10,0))*parametros_manuales!$G$102+parametros_manuales!$F$38*(datos_base!$F$4+IF(parametros_manuales!$H$38="Todos",datos_base!$F$11,0))*parametros_manuales!$G$107+parametros_manuales!$G$38*(datos_base!$F$5+IF(parametros_manuales!$H$38="Todos",datos_base!$F$12,0))*parametros_manuales!$G$112)*parametros_manuales!$I$38*parametros_manuales!$J$38</f>
        <v>6303.9192510425</v>
      </c>
      <c r="H133" s="14" t="n">
        <f aca="false">(parametros_manuales!$D$38*(datos_base!$F$2+IF(parametros_manuales!$H$38="Todos",datos_base!$F$9,0))*parametros_manuales!$H$97+parametros_manuales!$E$38*(datos_base!$F$3+IF(parametros_manuales!$H$38="Todos",datos_base!$F$10,0))*parametros_manuales!$H$102+parametros_manuales!$F$38*(datos_base!$F$4+IF(parametros_manuales!$H$38="Todos",datos_base!$F$11,0))*parametros_manuales!$H$107+parametros_manuales!$G$38*(datos_base!$F$5+IF(parametros_manuales!$H$38="Todos",datos_base!$F$12,0))*parametros_manuales!$H$112)*parametros_manuales!$I$38*parametros_manuales!$J$38</f>
        <v>6744.885678682</v>
      </c>
      <c r="I133" s="14" t="n">
        <f aca="false">(parametros_manuales!$D$38*(datos_base!$F$2+IF(parametros_manuales!$H$38="Todos",datos_base!$F$9,0))*parametros_manuales!$I$97+parametros_manuales!$E$38*(datos_base!$F$3+IF(parametros_manuales!$H$38="Todos",datos_base!$F$10,0))*parametros_manuales!$I$102+parametros_manuales!$F$38*(datos_base!$F$4+IF(parametros_manuales!$H$38="Todos",datos_base!$F$11,0))*parametros_manuales!$I$107+parametros_manuales!$G$38*(datos_base!$F$5+IF(parametros_manuales!$H$38="Todos",datos_base!$F$12,0))*parametros_manuales!$I$112)*parametros_manuales!$I$38*parametros_manuales!$J$38</f>
        <v>7676.617169332</v>
      </c>
      <c r="J133" s="14" t="n">
        <f aca="false">(parametros_manuales!$D$38*(datos_base!$F$2+IF(parametros_manuales!$H$38="Todos",datos_base!$F$9,0))*parametros_manuales!$J$97+parametros_manuales!$E$38*(datos_base!$F$3+IF(parametros_manuales!$H$38="Todos",datos_base!$F$10,0))*parametros_manuales!$J$102+parametros_manuales!$F$38*(datos_base!$F$4+IF(parametros_manuales!$H$38="Todos",datos_base!$F$11,0))*parametros_manuales!$J$107+parametros_manuales!$G$38*(datos_base!$F$5+IF(parametros_manuales!$H$38="Todos",datos_base!$F$12,0))*parametros_manuales!$J$112)*parametros_manuales!$I$38*parametros_manuales!$J$38</f>
        <v>7676.617169332</v>
      </c>
      <c r="K133" s="14" t="n">
        <f aca="false">(parametros_manuales!$D$38*(datos_base!$F$2+IF(parametros_manuales!$H$38="Todos",datos_base!$F$9,0))*parametros_manuales!$K$97+parametros_manuales!$E$38*(datos_base!$F$3+IF(parametros_manuales!$H$38="Todos",datos_base!$F$10,0))*parametros_manuales!$K$102+parametros_manuales!$F$38*(datos_base!$F$4+IF(parametros_manuales!$H$38="Todos",datos_base!$F$11,0))*parametros_manuales!$K$107+parametros_manuales!$G$38*(datos_base!$F$5+IF(parametros_manuales!$H$38="Todos",datos_base!$F$12,0))*parametros_manuales!$K$112)*parametros_manuales!$I$38*parametros_manuales!$J$38</f>
        <v>7807.0064334215</v>
      </c>
      <c r="L133" s="14" t="n">
        <f aca="false">(parametros_manuales!$D$38*(datos_base!$F$2+IF(parametros_manuales!$H$38="Todos",datos_base!$F$9,0))*parametros_manuales!$L$97+parametros_manuales!$E$38*(datos_base!$F$3+IF(parametros_manuales!$H$38="Todos",datos_base!$F$10,0))*parametros_manuales!$L$102+parametros_manuales!$F$38*(datos_base!$F$4+IF(parametros_manuales!$H$38="Todos",datos_base!$F$11,0))*parametros_manuales!$L$107+parametros_manuales!$G$38*(datos_base!$F$5+IF(parametros_manuales!$H$38="Todos",datos_base!$F$12,0))*parametros_manuales!$L$112)*parametros_manuales!$I$38*parametros_manuales!$J$38</f>
        <v>7937.395697511</v>
      </c>
      <c r="M133" s="14" t="n">
        <f aca="false">(parametros_manuales!$D$38*(datos_base!$F$2+IF(parametros_manuales!$H$38="Todos",datos_base!$F$9,0))*parametros_manuales!$M$97+parametros_manuales!$E$38*(datos_base!$F$3+IF(parametros_manuales!$H$38="Todos",datos_base!$F$10,0))*parametros_manuales!$M$102+parametros_manuales!$F$38*(datos_base!$F$4+IF(parametros_manuales!$H$38="Todos",datos_base!$F$11,0))*parametros_manuales!$M$107+parametros_manuales!$G$38*(datos_base!$F$5+IF(parametros_manuales!$H$38="Todos",datos_base!$F$12,0))*parametros_manuales!$M$112)*parametros_manuales!$I$38*parametros_manuales!$J$38</f>
        <v>7937.395697511</v>
      </c>
      <c r="N133" s="14" t="n">
        <f aca="false">SUM(B133:M133)</f>
        <v>88193.2855279</v>
      </c>
      <c r="O133" s="14" t="n">
        <f aca="false">MAX(B133:M133)</f>
        <v>7937.395697511</v>
      </c>
      <c r="P133" s="57" t="n">
        <f aca="false">O133/(parametros_manuales!$B$7)</f>
        <v>52.91597131674</v>
      </c>
      <c r="Q133" s="13" t="str">
        <f aca="false">IF(O133=0,"-",INDEX($B$113:$M$113,MATCH(O133,B133:M133,0)))</f>
        <v>Ene</v>
      </c>
    </row>
    <row r="134" customFormat="false" ht="14.25" hidden="false" customHeight="true" outlineLevel="0" collapsed="false">
      <c r="A134" s="13" t="str">
        <f aca="false">parametros_manuales!$B$39</f>
        <v>Carga de polvo</v>
      </c>
      <c r="B134" s="14" t="n">
        <f aca="false">(parametros_manuales!$D$39*(datos_base!$F$2+IF(parametros_manuales!$H$39="Todos",datos_base!$F$9,0))*parametros_manuales!$B$97+parametros_manuales!$E$39*(datos_base!$F$3+IF(parametros_manuales!$H$39="Todos",datos_base!$F$10,0))*parametros_manuales!$B$102+parametros_manuales!$F$39*(datos_base!$F$4+IF(parametros_manuales!$H$39="Todos",datos_base!$F$11,0))*parametros_manuales!$B$107+parametros_manuales!$G$39*(datos_base!$F$5+IF(parametros_manuales!$H$39="Todos",datos_base!$F$12,0))*parametros_manuales!$B$112)*parametros_manuales!$I$39*parametros_manuales!$J$39</f>
        <v>2386.206497511</v>
      </c>
      <c r="C134" s="14" t="n">
        <f aca="false">(parametros_manuales!$D$39*(datos_base!$F$2+IF(parametros_manuales!$H$39="Todos",datos_base!$F$9,0))*parametros_manuales!$C$97+parametros_manuales!$E$39*(datos_base!$F$3+IF(parametros_manuales!$H$39="Todos",datos_base!$F$10,0))*parametros_manuales!$C$102+parametros_manuales!$F$39*(datos_base!$F$4+IF(parametros_manuales!$H$39="Todos",datos_base!$F$11,0))*parametros_manuales!$C$107+parametros_manuales!$G$39*(datos_base!$F$5+IF(parametros_manuales!$H$39="Todos",datos_base!$F$12,0))*parametros_manuales!$C$112)*parametros_manuales!$I$39*parametros_manuales!$J$39</f>
        <v>2247.878769332</v>
      </c>
      <c r="D134" s="14" t="n">
        <f aca="false">(parametros_manuales!$D$39*(datos_base!$F$2+IF(parametros_manuales!$H$39="Todos",datos_base!$F$9,0))*parametros_manuales!$D$97+parametros_manuales!$E$39*(datos_base!$F$3+IF(parametros_manuales!$H$39="Todos",datos_base!$F$10,0))*parametros_manuales!$D$102+parametros_manuales!$F$39*(datos_base!$F$4+IF(parametros_manuales!$H$39="Todos",datos_base!$F$11,0))*parametros_manuales!$D$107+parametros_manuales!$G$39*(datos_base!$F$5+IF(parametros_manuales!$H$39="Todos",datos_base!$F$12,0))*parametros_manuales!$D$112)*parametros_manuales!$I$39*parametros_manuales!$J$39</f>
        <v>2190.2363063215</v>
      </c>
      <c r="E134" s="14" t="n">
        <f aca="false">(parametros_manuales!$D$39*(datos_base!$F$2+IF(parametros_manuales!$H$39="Todos",datos_base!$F$9,0))*parametros_manuales!$E$97+parametros_manuales!$E$39*(datos_base!$F$3+IF(parametros_manuales!$H$39="Todos",datos_base!$F$10,0))*parametros_manuales!$E$102+parametros_manuales!$F$39*(datos_base!$F$4+IF(parametros_manuales!$H$39="Todos",datos_base!$F$11,0))*parametros_manuales!$E$107+parametros_manuales!$G$39*(datos_base!$F$5+IF(parametros_manuales!$H$39="Todos",datos_base!$F$12,0))*parametros_manuales!$E$112)*parametros_manuales!$I$39*parametros_manuales!$J$39</f>
        <v>2126.8331427715</v>
      </c>
      <c r="F134" s="14" t="n">
        <f aca="false">(parametros_manuales!$D$39*(datos_base!$F$2+IF(parametros_manuales!$H$39="Todos",datos_base!$F$9,0))*parametros_manuales!$F$97+parametros_manuales!$E$39*(datos_base!$F$3+IF(parametros_manuales!$H$39="Todos",datos_base!$F$10,0))*parametros_manuales!$F$102+parametros_manuales!$F$39*(datos_base!$F$4+IF(parametros_manuales!$H$39="Todos",datos_base!$F$11,0))*parametros_manuales!$F$107+parametros_manuales!$G$39*(datos_base!$F$5+IF(parametros_manuales!$H$39="Todos",datos_base!$F$12,0))*parametros_manuales!$F$112)*parametros_manuales!$I$39*parametros_manuales!$J$39</f>
        <v>1994.266115132</v>
      </c>
      <c r="G134" s="14" t="n">
        <f aca="false">(parametros_manuales!$D$39*(datos_base!$F$2+IF(parametros_manuales!$H$39="Todos",datos_base!$F$9,0))*parametros_manuales!$G$97+parametros_manuales!$E$39*(datos_base!$F$3+IF(parametros_manuales!$H$39="Todos",datos_base!$F$10,0))*parametros_manuales!$G$102+parametros_manuales!$F$39*(datos_base!$F$4+IF(parametros_manuales!$H$39="Todos",datos_base!$F$11,0))*parametros_manuales!$G$107+parametros_manuales!$G$39*(datos_base!$F$5+IF(parametros_manuales!$H$39="Todos",datos_base!$F$12,0))*parametros_manuales!$G$112)*parametros_manuales!$I$39*parametros_manuales!$J$39</f>
        <v>1925.1022510425</v>
      </c>
      <c r="H134" s="14" t="n">
        <f aca="false">(parametros_manuales!$D$39*(datos_base!$F$2+IF(parametros_manuales!$H$39="Todos",datos_base!$F$9,0))*parametros_manuales!$H$97+parametros_manuales!$E$39*(datos_base!$F$3+IF(parametros_manuales!$H$39="Todos",datos_base!$F$10,0))*parametros_manuales!$H$102+parametros_manuales!$F$39*(datos_base!$F$4+IF(parametros_manuales!$H$39="Todos",datos_base!$F$11,0))*parametros_manuales!$H$107+parametros_manuales!$G$39*(datos_base!$F$5+IF(parametros_manuales!$H$39="Todos",datos_base!$F$12,0))*parametros_manuales!$H$112)*parametros_manuales!$I$39*parametros_manuales!$J$39</f>
        <v>2057.669278682</v>
      </c>
      <c r="I134" s="14" t="n">
        <f aca="false">(parametros_manuales!$D$39*(datos_base!$F$2+IF(parametros_manuales!$H$39="Todos",datos_base!$F$9,0))*parametros_manuales!$I$97+parametros_manuales!$E$39*(datos_base!$F$3+IF(parametros_manuales!$H$39="Todos",datos_base!$F$10,0))*parametros_manuales!$I$102+parametros_manuales!$F$39*(datos_base!$F$4+IF(parametros_manuales!$H$39="Todos",datos_base!$F$11,0))*parametros_manuales!$I$107+parametros_manuales!$G$39*(datos_base!$F$5+IF(parametros_manuales!$H$39="Todos",datos_base!$F$12,0))*parametros_manuales!$I$112)*parametros_manuales!$I$39*parametros_manuales!$J$39</f>
        <v>2247.878769332</v>
      </c>
      <c r="J134" s="14" t="n">
        <f aca="false">(parametros_manuales!$D$39*(datos_base!$F$2+IF(parametros_manuales!$H$39="Todos",datos_base!$F$9,0))*parametros_manuales!$J$97+parametros_manuales!$E$39*(datos_base!$F$3+IF(parametros_manuales!$H$39="Todos",datos_base!$F$10,0))*parametros_manuales!$J$102+parametros_manuales!$F$39*(datos_base!$F$4+IF(parametros_manuales!$H$39="Todos",datos_base!$F$11,0))*parametros_manuales!$J$107+parametros_manuales!$G$39*(datos_base!$F$5+IF(parametros_manuales!$H$39="Todos",datos_base!$F$12,0))*parametros_manuales!$J$112)*parametros_manuales!$I$39*parametros_manuales!$J$39</f>
        <v>2247.878769332</v>
      </c>
      <c r="K134" s="14" t="n">
        <f aca="false">(parametros_manuales!$D$39*(datos_base!$F$2+IF(parametros_manuales!$H$39="Todos",datos_base!$F$9,0))*parametros_manuales!$K$97+parametros_manuales!$E$39*(datos_base!$F$3+IF(parametros_manuales!$H$39="Todos",datos_base!$F$10,0))*parametros_manuales!$K$102+parametros_manuales!$F$39*(datos_base!$F$4+IF(parametros_manuales!$H$39="Todos",datos_base!$F$11,0))*parametros_manuales!$K$107+parametros_manuales!$G$39*(datos_base!$F$5+IF(parametros_manuales!$H$39="Todos",datos_base!$F$12,0))*parametros_manuales!$K$112)*parametros_manuales!$I$39*parametros_manuales!$J$39</f>
        <v>2317.0426334215</v>
      </c>
      <c r="L134" s="14" t="n">
        <f aca="false">(parametros_manuales!$D$39*(datos_base!$F$2+IF(parametros_manuales!$H$39="Todos",datos_base!$F$9,0))*parametros_manuales!$L$97+parametros_manuales!$E$39*(datos_base!$F$3+IF(parametros_manuales!$H$39="Todos",datos_base!$F$10,0))*parametros_manuales!$L$102+parametros_manuales!$F$39*(datos_base!$F$4+IF(parametros_manuales!$H$39="Todos",datos_base!$F$11,0))*parametros_manuales!$L$107+parametros_manuales!$G$39*(datos_base!$F$5+IF(parametros_manuales!$H$39="Todos",datos_base!$F$12,0))*parametros_manuales!$L$112)*parametros_manuales!$I$39*parametros_manuales!$J$39</f>
        <v>2386.206497511</v>
      </c>
      <c r="M134" s="14" t="n">
        <f aca="false">(parametros_manuales!$D$39*(datos_base!$F$2+IF(parametros_manuales!$H$39="Todos",datos_base!$F$9,0))*parametros_manuales!$M$97+parametros_manuales!$E$39*(datos_base!$F$3+IF(parametros_manuales!$H$39="Todos",datos_base!$F$10,0))*parametros_manuales!$M$102+parametros_manuales!$F$39*(datos_base!$F$4+IF(parametros_manuales!$H$39="Todos",datos_base!$F$11,0))*parametros_manuales!$M$107+parametros_manuales!$G$39*(datos_base!$F$5+IF(parametros_manuales!$H$39="Todos",datos_base!$F$12,0))*parametros_manuales!$M$112)*parametros_manuales!$I$39*parametros_manuales!$J$39</f>
        <v>2386.206497511</v>
      </c>
      <c r="N134" s="14" t="n">
        <f aca="false">SUM(B134:M134)</f>
        <v>26513.4055279</v>
      </c>
      <c r="O134" s="14" t="n">
        <f aca="false">MAX(B134:M134)</f>
        <v>2386.206497511</v>
      </c>
      <c r="P134" s="57" t="n">
        <f aca="false">O134/(parametros_manuales!$B$7)</f>
        <v>15.90804331674</v>
      </c>
      <c r="Q134" s="13" t="str">
        <f aca="false">IF(O134=0,"-",INDEX($B$113:$M$113,MATCH(O134,B134:M134,0)))</f>
        <v>Ene</v>
      </c>
    </row>
    <row r="135" customFormat="false" ht="14.25" hidden="false" customHeight="true" outlineLevel="0" collapsed="false">
      <c r="A135" s="13" t="str">
        <f aca="false">parametros_manuales!$B$40</f>
        <v>Ensamblaje</v>
      </c>
      <c r="B135" s="14" t="n">
        <f aca="false">(parametros_manuales!$D$40*(datos_base!$F$2+IF(parametros_manuales!$H$40="Todos",datos_base!$F$9,0))*parametros_manuales!$B$97+parametros_manuales!$E$40*(datos_base!$F$3+IF(parametros_manuales!$H$40="Todos",datos_base!$F$10,0))*parametros_manuales!$B$102+parametros_manuales!$F$40*(datos_base!$F$4+IF(parametros_manuales!$H$40="Todos",datos_base!$F$11,0))*parametros_manuales!$B$107+parametros_manuales!$G$40*(datos_base!$F$5+IF(parametros_manuales!$H$40="Todos",datos_base!$F$12,0))*parametros_manuales!$B$112)*parametros_manuales!$I$40*parametros_manuales!$J$40</f>
        <v>2386.206497511</v>
      </c>
      <c r="C135" s="14" t="n">
        <f aca="false">(parametros_manuales!$D$40*(datos_base!$F$2+IF(parametros_manuales!$H$40="Todos",datos_base!$F$9,0))*parametros_manuales!$C$97+parametros_manuales!$E$40*(datos_base!$F$3+IF(parametros_manuales!$H$40="Todos",datos_base!$F$10,0))*parametros_manuales!$C$102+parametros_manuales!$F$40*(datos_base!$F$4+IF(parametros_manuales!$H$40="Todos",datos_base!$F$11,0))*parametros_manuales!$C$107+parametros_manuales!$G$40*(datos_base!$F$5+IF(parametros_manuales!$H$40="Todos",datos_base!$F$12,0))*parametros_manuales!$C$112)*parametros_manuales!$I$40*parametros_manuales!$J$40</f>
        <v>2247.878769332</v>
      </c>
      <c r="D135" s="14" t="n">
        <f aca="false">(parametros_manuales!$D$40*(datos_base!$F$2+IF(parametros_manuales!$H$40="Todos",datos_base!$F$9,0))*parametros_manuales!$D$97+parametros_manuales!$E$40*(datos_base!$F$3+IF(parametros_manuales!$H$40="Todos",datos_base!$F$10,0))*parametros_manuales!$D$102+parametros_manuales!$F$40*(datos_base!$F$4+IF(parametros_manuales!$H$40="Todos",datos_base!$F$11,0))*parametros_manuales!$D$107+parametros_manuales!$G$40*(datos_base!$F$5+IF(parametros_manuales!$H$40="Todos",datos_base!$F$12,0))*parametros_manuales!$D$112)*parametros_manuales!$I$40*parametros_manuales!$J$40</f>
        <v>2190.2363063215</v>
      </c>
      <c r="E135" s="14" t="n">
        <f aca="false">(parametros_manuales!$D$40*(datos_base!$F$2+IF(parametros_manuales!$H$40="Todos",datos_base!$F$9,0))*parametros_manuales!$E$97+parametros_manuales!$E$40*(datos_base!$F$3+IF(parametros_manuales!$H$40="Todos",datos_base!$F$10,0))*parametros_manuales!$E$102+parametros_manuales!$F$40*(datos_base!$F$4+IF(parametros_manuales!$H$40="Todos",datos_base!$F$11,0))*parametros_manuales!$E$107+parametros_manuales!$G$40*(datos_base!$F$5+IF(parametros_manuales!$H$40="Todos",datos_base!$F$12,0))*parametros_manuales!$E$112)*parametros_manuales!$I$40*parametros_manuales!$J$40</f>
        <v>2126.8331427715</v>
      </c>
      <c r="F135" s="14" t="n">
        <f aca="false">(parametros_manuales!$D$40*(datos_base!$F$2+IF(parametros_manuales!$H$40="Todos",datos_base!$F$9,0))*parametros_manuales!$F$97+parametros_manuales!$E$40*(datos_base!$F$3+IF(parametros_manuales!$H$40="Todos",datos_base!$F$10,0))*parametros_manuales!$F$102+parametros_manuales!$F$40*(datos_base!$F$4+IF(parametros_manuales!$H$40="Todos",datos_base!$F$11,0))*parametros_manuales!$F$107+parametros_manuales!$G$40*(datos_base!$F$5+IF(parametros_manuales!$H$40="Todos",datos_base!$F$12,0))*parametros_manuales!$F$112)*parametros_manuales!$I$40*parametros_manuales!$J$40</f>
        <v>1994.266115132</v>
      </c>
      <c r="G135" s="14" t="n">
        <f aca="false">(parametros_manuales!$D$40*(datos_base!$F$2+IF(parametros_manuales!$H$40="Todos",datos_base!$F$9,0))*parametros_manuales!$G$97+parametros_manuales!$E$40*(datos_base!$F$3+IF(parametros_manuales!$H$40="Todos",datos_base!$F$10,0))*parametros_manuales!$G$102+parametros_manuales!$F$40*(datos_base!$F$4+IF(parametros_manuales!$H$40="Todos",datos_base!$F$11,0))*parametros_manuales!$G$107+parametros_manuales!$G$40*(datos_base!$F$5+IF(parametros_manuales!$H$40="Todos",datos_base!$F$12,0))*parametros_manuales!$G$112)*parametros_manuales!$I$40*parametros_manuales!$J$40</f>
        <v>1925.1022510425</v>
      </c>
      <c r="H135" s="14" t="n">
        <f aca="false">(parametros_manuales!$D$40*(datos_base!$F$2+IF(parametros_manuales!$H$40="Todos",datos_base!$F$9,0))*parametros_manuales!$H$97+parametros_manuales!$E$40*(datos_base!$F$3+IF(parametros_manuales!$H$40="Todos",datos_base!$F$10,0))*parametros_manuales!$H$102+parametros_manuales!$F$40*(datos_base!$F$4+IF(parametros_manuales!$H$40="Todos",datos_base!$F$11,0))*parametros_manuales!$H$107+parametros_manuales!$G$40*(datos_base!$F$5+IF(parametros_manuales!$H$40="Todos",datos_base!$F$12,0))*parametros_manuales!$H$112)*parametros_manuales!$I$40*parametros_manuales!$J$40</f>
        <v>2057.669278682</v>
      </c>
      <c r="I135" s="14" t="n">
        <f aca="false">(parametros_manuales!$D$40*(datos_base!$F$2+IF(parametros_manuales!$H$40="Todos",datos_base!$F$9,0))*parametros_manuales!$I$97+parametros_manuales!$E$40*(datos_base!$F$3+IF(parametros_manuales!$H$40="Todos",datos_base!$F$10,0))*parametros_manuales!$I$102+parametros_manuales!$F$40*(datos_base!$F$4+IF(parametros_manuales!$H$40="Todos",datos_base!$F$11,0))*parametros_manuales!$I$107+parametros_manuales!$G$40*(datos_base!$F$5+IF(parametros_manuales!$H$40="Todos",datos_base!$F$12,0))*parametros_manuales!$I$112)*parametros_manuales!$I$40*parametros_manuales!$J$40</f>
        <v>2247.878769332</v>
      </c>
      <c r="J135" s="14" t="n">
        <f aca="false">(parametros_manuales!$D$40*(datos_base!$F$2+IF(parametros_manuales!$H$40="Todos",datos_base!$F$9,0))*parametros_manuales!$J$97+parametros_manuales!$E$40*(datos_base!$F$3+IF(parametros_manuales!$H$40="Todos",datos_base!$F$10,0))*parametros_manuales!$J$102+parametros_manuales!$F$40*(datos_base!$F$4+IF(parametros_manuales!$H$40="Todos",datos_base!$F$11,0))*parametros_manuales!$J$107+parametros_manuales!$G$40*(datos_base!$F$5+IF(parametros_manuales!$H$40="Todos",datos_base!$F$12,0))*parametros_manuales!$J$112)*parametros_manuales!$I$40*parametros_manuales!$J$40</f>
        <v>2247.878769332</v>
      </c>
      <c r="K135" s="14" t="n">
        <f aca="false">(parametros_manuales!$D$40*(datos_base!$F$2+IF(parametros_manuales!$H$40="Todos",datos_base!$F$9,0))*parametros_manuales!$K$97+parametros_manuales!$E$40*(datos_base!$F$3+IF(parametros_manuales!$H$40="Todos",datos_base!$F$10,0))*parametros_manuales!$K$102+parametros_manuales!$F$40*(datos_base!$F$4+IF(parametros_manuales!$H$40="Todos",datos_base!$F$11,0))*parametros_manuales!$K$107+parametros_manuales!$G$40*(datos_base!$F$5+IF(parametros_manuales!$H$40="Todos",datos_base!$F$12,0))*parametros_manuales!$K$112)*parametros_manuales!$I$40*parametros_manuales!$J$40</f>
        <v>2317.0426334215</v>
      </c>
      <c r="L135" s="14" t="n">
        <f aca="false">(parametros_manuales!$D$40*(datos_base!$F$2+IF(parametros_manuales!$H$40="Todos",datos_base!$F$9,0))*parametros_manuales!$L$97+parametros_manuales!$E$40*(datos_base!$F$3+IF(parametros_manuales!$H$40="Todos",datos_base!$F$10,0))*parametros_manuales!$L$102+parametros_manuales!$F$40*(datos_base!$F$4+IF(parametros_manuales!$H$40="Todos",datos_base!$F$11,0))*parametros_manuales!$L$107+parametros_manuales!$G$40*(datos_base!$F$5+IF(parametros_manuales!$H$40="Todos",datos_base!$F$12,0))*parametros_manuales!$L$112)*parametros_manuales!$I$40*parametros_manuales!$J$40</f>
        <v>2386.206497511</v>
      </c>
      <c r="M135" s="14" t="n">
        <f aca="false">(parametros_manuales!$D$40*(datos_base!$F$2+IF(parametros_manuales!$H$40="Todos",datos_base!$F$9,0))*parametros_manuales!$M$97+parametros_manuales!$E$40*(datos_base!$F$3+IF(parametros_manuales!$H$40="Todos",datos_base!$F$10,0))*parametros_manuales!$M$102+parametros_manuales!$F$40*(datos_base!$F$4+IF(parametros_manuales!$H$40="Todos",datos_base!$F$11,0))*parametros_manuales!$M$107+parametros_manuales!$G$40*(datos_base!$F$5+IF(parametros_manuales!$H$40="Todos",datos_base!$F$12,0))*parametros_manuales!$M$112)*parametros_manuales!$I$40*parametros_manuales!$J$40</f>
        <v>2386.206497511</v>
      </c>
      <c r="N135" s="14" t="n">
        <f aca="false">SUM(B135:M135)</f>
        <v>26513.4055279</v>
      </c>
      <c r="O135" s="14" t="n">
        <f aca="false">MAX(B135:M135)</f>
        <v>2386.206497511</v>
      </c>
      <c r="P135" s="57" t="n">
        <f aca="false">O135/(parametros_manuales!$B$7)</f>
        <v>15.90804331674</v>
      </c>
      <c r="Q135" s="13" t="str">
        <f aca="false">IF(O135=0,"-",INDEX($B$113:$M$113,MATCH(O135,B135:M135,0)))</f>
        <v>Ene</v>
      </c>
    </row>
    <row r="136" customFormat="false" ht="14.25" hidden="false" customHeight="true" outlineLevel="0" collapsed="false">
      <c r="A136" s="13" t="str">
        <f aca="false">parametros_manuales!$B$41</f>
        <v>Presurización</v>
      </c>
      <c r="B136" s="14" t="n">
        <f aca="false">(parametros_manuales!$D$41*(datos_base!$F$2+IF(parametros_manuales!$H$41="Todos",datos_base!$F$9,0))*parametros_manuales!$B$97+parametros_manuales!$E$41*(datos_base!$F$3+IF(parametros_manuales!$H$41="Todos",datos_base!$F$10,0))*parametros_manuales!$B$102+parametros_manuales!$F$41*(datos_base!$F$4+IF(parametros_manuales!$H$41="Todos",datos_base!$F$11,0))*parametros_manuales!$B$107+parametros_manuales!$G$41*(datos_base!$F$5+IF(parametros_manuales!$H$41="Todos",datos_base!$F$12,0))*parametros_manuales!$B$112)*parametros_manuales!$I$41*parametros_manuales!$J$41</f>
        <v>2386.206497511</v>
      </c>
      <c r="C136" s="14" t="n">
        <f aca="false">(parametros_manuales!$D$41*(datos_base!$F$2+IF(parametros_manuales!$H$41="Todos",datos_base!$F$9,0))*parametros_manuales!$C$97+parametros_manuales!$E$41*(datos_base!$F$3+IF(parametros_manuales!$H$41="Todos",datos_base!$F$10,0))*parametros_manuales!$C$102+parametros_manuales!$F$41*(datos_base!$F$4+IF(parametros_manuales!$H$41="Todos",datos_base!$F$11,0))*parametros_manuales!$C$107+parametros_manuales!$G$41*(datos_base!$F$5+IF(parametros_manuales!$H$41="Todos",datos_base!$F$12,0))*parametros_manuales!$C$112)*parametros_manuales!$I$41*parametros_manuales!$J$41</f>
        <v>2247.878769332</v>
      </c>
      <c r="D136" s="14" t="n">
        <f aca="false">(parametros_manuales!$D$41*(datos_base!$F$2+IF(parametros_manuales!$H$41="Todos",datos_base!$F$9,0))*parametros_manuales!$D$97+parametros_manuales!$E$41*(datos_base!$F$3+IF(parametros_manuales!$H$41="Todos",datos_base!$F$10,0))*parametros_manuales!$D$102+parametros_manuales!$F$41*(datos_base!$F$4+IF(parametros_manuales!$H$41="Todos",datos_base!$F$11,0))*parametros_manuales!$D$107+parametros_manuales!$G$41*(datos_base!$F$5+IF(parametros_manuales!$H$41="Todos",datos_base!$F$12,0))*parametros_manuales!$D$112)*parametros_manuales!$I$41*parametros_manuales!$J$41</f>
        <v>2190.2363063215</v>
      </c>
      <c r="E136" s="14" t="n">
        <f aca="false">(parametros_manuales!$D$41*(datos_base!$F$2+IF(parametros_manuales!$H$41="Todos",datos_base!$F$9,0))*parametros_manuales!$E$97+parametros_manuales!$E$41*(datos_base!$F$3+IF(parametros_manuales!$H$41="Todos",datos_base!$F$10,0))*parametros_manuales!$E$102+parametros_manuales!$F$41*(datos_base!$F$4+IF(parametros_manuales!$H$41="Todos",datos_base!$F$11,0))*parametros_manuales!$E$107+parametros_manuales!$G$41*(datos_base!$F$5+IF(parametros_manuales!$H$41="Todos",datos_base!$F$12,0))*parametros_manuales!$E$112)*parametros_manuales!$I$41*parametros_manuales!$J$41</f>
        <v>2126.8331427715</v>
      </c>
      <c r="F136" s="14" t="n">
        <f aca="false">(parametros_manuales!$D$41*(datos_base!$F$2+IF(parametros_manuales!$H$41="Todos",datos_base!$F$9,0))*parametros_manuales!$F$97+parametros_manuales!$E$41*(datos_base!$F$3+IF(parametros_manuales!$H$41="Todos",datos_base!$F$10,0))*parametros_manuales!$F$102+parametros_manuales!$F$41*(datos_base!$F$4+IF(parametros_manuales!$H$41="Todos",datos_base!$F$11,0))*parametros_manuales!$F$107+parametros_manuales!$G$41*(datos_base!$F$5+IF(parametros_manuales!$H$41="Todos",datos_base!$F$12,0))*parametros_manuales!$F$112)*parametros_manuales!$I$41*parametros_manuales!$J$41</f>
        <v>1994.266115132</v>
      </c>
      <c r="G136" s="14" t="n">
        <f aca="false">(parametros_manuales!$D$41*(datos_base!$F$2+IF(parametros_manuales!$H$41="Todos",datos_base!$F$9,0))*parametros_manuales!$G$97+parametros_manuales!$E$41*(datos_base!$F$3+IF(parametros_manuales!$H$41="Todos",datos_base!$F$10,0))*parametros_manuales!$G$102+parametros_manuales!$F$41*(datos_base!$F$4+IF(parametros_manuales!$H$41="Todos",datos_base!$F$11,0))*parametros_manuales!$G$107+parametros_manuales!$G$41*(datos_base!$F$5+IF(parametros_manuales!$H$41="Todos",datos_base!$F$12,0))*parametros_manuales!$G$112)*parametros_manuales!$I$41*parametros_manuales!$J$41</f>
        <v>1925.1022510425</v>
      </c>
      <c r="H136" s="14" t="n">
        <f aca="false">(parametros_manuales!$D$41*(datos_base!$F$2+IF(parametros_manuales!$H$41="Todos",datos_base!$F$9,0))*parametros_manuales!$H$97+parametros_manuales!$E$41*(datos_base!$F$3+IF(parametros_manuales!$H$41="Todos",datos_base!$F$10,0))*parametros_manuales!$H$102+parametros_manuales!$F$41*(datos_base!$F$4+IF(parametros_manuales!$H$41="Todos",datos_base!$F$11,0))*parametros_manuales!$H$107+parametros_manuales!$G$41*(datos_base!$F$5+IF(parametros_manuales!$H$41="Todos",datos_base!$F$12,0))*parametros_manuales!$H$112)*parametros_manuales!$I$41*parametros_manuales!$J$41</f>
        <v>2057.669278682</v>
      </c>
      <c r="I136" s="14" t="n">
        <f aca="false">(parametros_manuales!$D$41*(datos_base!$F$2+IF(parametros_manuales!$H$41="Todos",datos_base!$F$9,0))*parametros_manuales!$I$97+parametros_manuales!$E$41*(datos_base!$F$3+IF(parametros_manuales!$H$41="Todos",datos_base!$F$10,0))*parametros_manuales!$I$102+parametros_manuales!$F$41*(datos_base!$F$4+IF(parametros_manuales!$H$41="Todos",datos_base!$F$11,0))*parametros_manuales!$I$107+parametros_manuales!$G$41*(datos_base!$F$5+IF(parametros_manuales!$H$41="Todos",datos_base!$F$12,0))*parametros_manuales!$I$112)*parametros_manuales!$I$41*parametros_manuales!$J$41</f>
        <v>2247.878769332</v>
      </c>
      <c r="J136" s="14" t="n">
        <f aca="false">(parametros_manuales!$D$41*(datos_base!$F$2+IF(parametros_manuales!$H$41="Todos",datos_base!$F$9,0))*parametros_manuales!$J$97+parametros_manuales!$E$41*(datos_base!$F$3+IF(parametros_manuales!$H$41="Todos",datos_base!$F$10,0))*parametros_manuales!$J$102+parametros_manuales!$F$41*(datos_base!$F$4+IF(parametros_manuales!$H$41="Todos",datos_base!$F$11,0))*parametros_manuales!$J$107+parametros_manuales!$G$41*(datos_base!$F$5+IF(parametros_manuales!$H$41="Todos",datos_base!$F$12,0))*parametros_manuales!$J$112)*parametros_manuales!$I$41*parametros_manuales!$J$41</f>
        <v>2247.878769332</v>
      </c>
      <c r="K136" s="14" t="n">
        <f aca="false">(parametros_manuales!$D$41*(datos_base!$F$2+IF(parametros_manuales!$H$41="Todos",datos_base!$F$9,0))*parametros_manuales!$K$97+parametros_manuales!$E$41*(datos_base!$F$3+IF(parametros_manuales!$H$41="Todos",datos_base!$F$10,0))*parametros_manuales!$K$102+parametros_manuales!$F$41*(datos_base!$F$4+IF(parametros_manuales!$H$41="Todos",datos_base!$F$11,0))*parametros_manuales!$K$107+parametros_manuales!$G$41*(datos_base!$F$5+IF(parametros_manuales!$H$41="Todos",datos_base!$F$12,0))*parametros_manuales!$K$112)*parametros_manuales!$I$41*parametros_manuales!$J$41</f>
        <v>2317.0426334215</v>
      </c>
      <c r="L136" s="14" t="n">
        <f aca="false">(parametros_manuales!$D$41*(datos_base!$F$2+IF(parametros_manuales!$H$41="Todos",datos_base!$F$9,0))*parametros_manuales!$L$97+parametros_manuales!$E$41*(datos_base!$F$3+IF(parametros_manuales!$H$41="Todos",datos_base!$F$10,0))*parametros_manuales!$L$102+parametros_manuales!$F$41*(datos_base!$F$4+IF(parametros_manuales!$H$41="Todos",datos_base!$F$11,0))*parametros_manuales!$L$107+parametros_manuales!$G$41*(datos_base!$F$5+IF(parametros_manuales!$H$41="Todos",datos_base!$F$12,0))*parametros_manuales!$L$112)*parametros_manuales!$I$41*parametros_manuales!$J$41</f>
        <v>2386.206497511</v>
      </c>
      <c r="M136" s="14" t="n">
        <f aca="false">(parametros_manuales!$D$41*(datos_base!$F$2+IF(parametros_manuales!$H$41="Todos",datos_base!$F$9,0))*parametros_manuales!$M$97+parametros_manuales!$E$41*(datos_base!$F$3+IF(parametros_manuales!$H$41="Todos",datos_base!$F$10,0))*parametros_manuales!$M$102+parametros_manuales!$F$41*(datos_base!$F$4+IF(parametros_manuales!$H$41="Todos",datos_base!$F$11,0))*parametros_manuales!$M$107+parametros_manuales!$G$41*(datos_base!$F$5+IF(parametros_manuales!$H$41="Todos",datos_base!$F$12,0))*parametros_manuales!$M$112)*parametros_manuales!$I$41*parametros_manuales!$J$41</f>
        <v>2386.206497511</v>
      </c>
      <c r="N136" s="14" t="n">
        <f aca="false">SUM(B136:M136)</f>
        <v>26513.4055279</v>
      </c>
      <c r="O136" s="14" t="n">
        <f aca="false">MAX(B136:M136)</f>
        <v>2386.206497511</v>
      </c>
      <c r="P136" s="57" t="n">
        <f aca="false">O136/(parametros_manuales!$B$7)</f>
        <v>15.90804331674</v>
      </c>
      <c r="Q136" s="13" t="str">
        <f aca="false">IF(O136=0,"-",INDEX($B$113:$M$113,MATCH(O136,B136:M136,0)))</f>
        <v>Ene</v>
      </c>
    </row>
    <row r="137" customFormat="false" ht="14.25" hidden="false" customHeight="true" outlineLevel="0" collapsed="false">
      <c r="A137" s="13" t="str">
        <f aca="false">parametros_manuales!$B$42</f>
        <v>Control de calidad — Ensayo de pérdidas</v>
      </c>
      <c r="B137" s="14" t="n">
        <f aca="false">(parametros_manuales!$D$42*(datos_base!$F$2+IF(parametros_manuales!$H$42="Todos",datos_base!$F$9,0))*parametros_manuales!$B$97+parametros_manuales!$E$42*(datos_base!$F$3+IF(parametros_manuales!$H$42="Todos",datos_base!$F$10,0))*parametros_manuales!$B$102+parametros_manuales!$F$42*(datos_base!$F$4+IF(parametros_manuales!$H$42="Todos",datos_base!$F$11,0))*parametros_manuales!$B$107+parametros_manuales!$G$42*(datos_base!$F$5+IF(parametros_manuales!$H$42="Todos",datos_base!$F$12,0))*parametros_manuales!$B$112)*parametros_manuales!$I$42*parametros_manuales!$J$42</f>
        <v>2386.206497511</v>
      </c>
      <c r="C137" s="14" t="n">
        <f aca="false">(parametros_manuales!$D$42*(datos_base!$F$2+IF(parametros_manuales!$H$42="Todos",datos_base!$F$9,0))*parametros_manuales!$C$97+parametros_manuales!$E$42*(datos_base!$F$3+IF(parametros_manuales!$H$42="Todos",datos_base!$F$10,0))*parametros_manuales!$C$102+parametros_manuales!$F$42*(datos_base!$F$4+IF(parametros_manuales!$H$42="Todos",datos_base!$F$11,0))*parametros_manuales!$C$107+parametros_manuales!$G$42*(datos_base!$F$5+IF(parametros_manuales!$H$42="Todos",datos_base!$F$12,0))*parametros_manuales!$C$112)*parametros_manuales!$I$42*parametros_manuales!$J$42</f>
        <v>2247.878769332</v>
      </c>
      <c r="D137" s="14" t="n">
        <f aca="false">(parametros_manuales!$D$42*(datos_base!$F$2+IF(parametros_manuales!$H$42="Todos",datos_base!$F$9,0))*parametros_manuales!$D$97+parametros_manuales!$E$42*(datos_base!$F$3+IF(parametros_manuales!$H$42="Todos",datos_base!$F$10,0))*parametros_manuales!$D$102+parametros_manuales!$F$42*(datos_base!$F$4+IF(parametros_manuales!$H$42="Todos",datos_base!$F$11,0))*parametros_manuales!$D$107+parametros_manuales!$G$42*(datos_base!$F$5+IF(parametros_manuales!$H$42="Todos",datos_base!$F$12,0))*parametros_manuales!$D$112)*parametros_manuales!$I$42*parametros_manuales!$J$42</f>
        <v>2190.2363063215</v>
      </c>
      <c r="E137" s="14" t="n">
        <f aca="false">(parametros_manuales!$D$42*(datos_base!$F$2+IF(parametros_manuales!$H$42="Todos",datos_base!$F$9,0))*parametros_manuales!$E$97+parametros_manuales!$E$42*(datos_base!$F$3+IF(parametros_manuales!$H$42="Todos",datos_base!$F$10,0))*parametros_manuales!$E$102+parametros_manuales!$F$42*(datos_base!$F$4+IF(parametros_manuales!$H$42="Todos",datos_base!$F$11,0))*parametros_manuales!$E$107+parametros_manuales!$G$42*(datos_base!$F$5+IF(parametros_manuales!$H$42="Todos",datos_base!$F$12,0))*parametros_manuales!$E$112)*parametros_manuales!$I$42*parametros_manuales!$J$42</f>
        <v>2126.8331427715</v>
      </c>
      <c r="F137" s="14" t="n">
        <f aca="false">(parametros_manuales!$D$42*(datos_base!$F$2+IF(parametros_manuales!$H$42="Todos",datos_base!$F$9,0))*parametros_manuales!$F$97+parametros_manuales!$E$42*(datos_base!$F$3+IF(parametros_manuales!$H$42="Todos",datos_base!$F$10,0))*parametros_manuales!$F$102+parametros_manuales!$F$42*(datos_base!$F$4+IF(parametros_manuales!$H$42="Todos",datos_base!$F$11,0))*parametros_manuales!$F$107+parametros_manuales!$G$42*(datos_base!$F$5+IF(parametros_manuales!$H$42="Todos",datos_base!$F$12,0))*parametros_manuales!$F$112)*parametros_manuales!$I$42*parametros_manuales!$J$42</f>
        <v>1994.266115132</v>
      </c>
      <c r="G137" s="14" t="n">
        <f aca="false">(parametros_manuales!$D$42*(datos_base!$F$2+IF(parametros_manuales!$H$42="Todos",datos_base!$F$9,0))*parametros_manuales!$G$97+parametros_manuales!$E$42*(datos_base!$F$3+IF(parametros_manuales!$H$42="Todos",datos_base!$F$10,0))*parametros_manuales!$G$102+parametros_manuales!$F$42*(datos_base!$F$4+IF(parametros_manuales!$H$42="Todos",datos_base!$F$11,0))*parametros_manuales!$G$107+parametros_manuales!$G$42*(datos_base!$F$5+IF(parametros_manuales!$H$42="Todos",datos_base!$F$12,0))*parametros_manuales!$G$112)*parametros_manuales!$I$42*parametros_manuales!$J$42</f>
        <v>1925.1022510425</v>
      </c>
      <c r="H137" s="14" t="n">
        <f aca="false">(parametros_manuales!$D$42*(datos_base!$F$2+IF(parametros_manuales!$H$42="Todos",datos_base!$F$9,0))*parametros_manuales!$H$97+parametros_manuales!$E$42*(datos_base!$F$3+IF(parametros_manuales!$H$42="Todos",datos_base!$F$10,0))*parametros_manuales!$H$102+parametros_manuales!$F$42*(datos_base!$F$4+IF(parametros_manuales!$H$42="Todos",datos_base!$F$11,0))*parametros_manuales!$H$107+parametros_manuales!$G$42*(datos_base!$F$5+IF(parametros_manuales!$H$42="Todos",datos_base!$F$12,0))*parametros_manuales!$H$112)*parametros_manuales!$I$42*parametros_manuales!$J$42</f>
        <v>2057.669278682</v>
      </c>
      <c r="I137" s="14" t="n">
        <f aca="false">(parametros_manuales!$D$42*(datos_base!$F$2+IF(parametros_manuales!$H$42="Todos",datos_base!$F$9,0))*parametros_manuales!$I$97+parametros_manuales!$E$42*(datos_base!$F$3+IF(parametros_manuales!$H$42="Todos",datos_base!$F$10,0))*parametros_manuales!$I$102+parametros_manuales!$F$42*(datos_base!$F$4+IF(parametros_manuales!$H$42="Todos",datos_base!$F$11,0))*parametros_manuales!$I$107+parametros_manuales!$G$42*(datos_base!$F$5+IF(parametros_manuales!$H$42="Todos",datos_base!$F$12,0))*parametros_manuales!$I$112)*parametros_manuales!$I$42*parametros_manuales!$J$42</f>
        <v>2247.878769332</v>
      </c>
      <c r="J137" s="14" t="n">
        <f aca="false">(parametros_manuales!$D$42*(datos_base!$F$2+IF(parametros_manuales!$H$42="Todos",datos_base!$F$9,0))*parametros_manuales!$J$97+parametros_manuales!$E$42*(datos_base!$F$3+IF(parametros_manuales!$H$42="Todos",datos_base!$F$10,0))*parametros_manuales!$J$102+parametros_manuales!$F$42*(datos_base!$F$4+IF(parametros_manuales!$H$42="Todos",datos_base!$F$11,0))*parametros_manuales!$J$107+parametros_manuales!$G$42*(datos_base!$F$5+IF(parametros_manuales!$H$42="Todos",datos_base!$F$12,0))*parametros_manuales!$J$112)*parametros_manuales!$I$42*parametros_manuales!$J$42</f>
        <v>2247.878769332</v>
      </c>
      <c r="K137" s="14" t="n">
        <f aca="false">(parametros_manuales!$D$42*(datos_base!$F$2+IF(parametros_manuales!$H$42="Todos",datos_base!$F$9,0))*parametros_manuales!$K$97+parametros_manuales!$E$42*(datos_base!$F$3+IF(parametros_manuales!$H$42="Todos",datos_base!$F$10,0))*parametros_manuales!$K$102+parametros_manuales!$F$42*(datos_base!$F$4+IF(parametros_manuales!$H$42="Todos",datos_base!$F$11,0))*parametros_manuales!$K$107+parametros_manuales!$G$42*(datos_base!$F$5+IF(parametros_manuales!$H$42="Todos",datos_base!$F$12,0))*parametros_manuales!$K$112)*parametros_manuales!$I$42*parametros_manuales!$J$42</f>
        <v>2317.0426334215</v>
      </c>
      <c r="L137" s="14" t="n">
        <f aca="false">(parametros_manuales!$D$42*(datos_base!$F$2+IF(parametros_manuales!$H$42="Todos",datos_base!$F$9,0))*parametros_manuales!$L$97+parametros_manuales!$E$42*(datos_base!$F$3+IF(parametros_manuales!$H$42="Todos",datos_base!$F$10,0))*parametros_manuales!$L$102+parametros_manuales!$F$42*(datos_base!$F$4+IF(parametros_manuales!$H$42="Todos",datos_base!$F$11,0))*parametros_manuales!$L$107+parametros_manuales!$G$42*(datos_base!$F$5+IF(parametros_manuales!$H$42="Todos",datos_base!$F$12,0))*parametros_manuales!$L$112)*parametros_manuales!$I$42*parametros_manuales!$J$42</f>
        <v>2386.206497511</v>
      </c>
      <c r="M137" s="14" t="n">
        <f aca="false">(parametros_manuales!$D$42*(datos_base!$F$2+IF(parametros_manuales!$H$42="Todos",datos_base!$F$9,0))*parametros_manuales!$M$97+parametros_manuales!$E$42*(datos_base!$F$3+IF(parametros_manuales!$H$42="Todos",datos_base!$F$10,0))*parametros_manuales!$M$102+parametros_manuales!$F$42*(datos_base!$F$4+IF(parametros_manuales!$H$42="Todos",datos_base!$F$11,0))*parametros_manuales!$M$107+parametros_manuales!$G$42*(datos_base!$F$5+IF(parametros_manuales!$H$42="Todos",datos_base!$F$12,0))*parametros_manuales!$M$112)*parametros_manuales!$I$42*parametros_manuales!$J$42</f>
        <v>2386.206497511</v>
      </c>
      <c r="N137" s="14" t="n">
        <f aca="false">SUM(B137:M137)</f>
        <v>26513.4055279</v>
      </c>
      <c r="O137" s="14" t="n">
        <f aca="false">MAX(B137:M137)</f>
        <v>2386.206497511</v>
      </c>
      <c r="P137" s="57" t="n">
        <f aca="false">O137/(parametros_manuales!$B$7)</f>
        <v>15.90804331674</v>
      </c>
      <c r="Q137" s="13" t="str">
        <f aca="false">IF(O137=0,"-",INDEX($B$113:$M$113,MATCH(O137,B137:M137,0)))</f>
        <v>Ene</v>
      </c>
    </row>
    <row r="138" customFormat="false" ht="14.25" hidden="false" customHeight="true" outlineLevel="0" collapsed="false">
      <c r="A138" s="13" t="str">
        <f aca="false">parametros_manuales!$B$43</f>
        <v>Etiquetado</v>
      </c>
      <c r="B138" s="14" t="n">
        <f aca="false">(parametros_manuales!$D$43*(datos_base!$F$2+IF(parametros_manuales!$H$43="Todos",datos_base!$F$9,0))*parametros_manuales!$B$97+parametros_manuales!$E$43*(datos_base!$F$3+IF(parametros_manuales!$H$43="Todos",datos_base!$F$10,0))*parametros_manuales!$B$102+parametros_manuales!$F$43*(datos_base!$F$4+IF(parametros_manuales!$H$43="Todos",datos_base!$F$11,0))*parametros_manuales!$B$107+parametros_manuales!$G$43*(datos_base!$F$5+IF(parametros_manuales!$H$43="Todos",datos_base!$F$12,0))*parametros_manuales!$B$112)*parametros_manuales!$I$43*parametros_manuales!$J$43</f>
        <v>2386.206497511</v>
      </c>
      <c r="C138" s="14" t="n">
        <f aca="false">(parametros_manuales!$D$43*(datos_base!$F$2+IF(parametros_manuales!$H$43="Todos",datos_base!$F$9,0))*parametros_manuales!$C$97+parametros_manuales!$E$43*(datos_base!$F$3+IF(parametros_manuales!$H$43="Todos",datos_base!$F$10,0))*parametros_manuales!$C$102+parametros_manuales!$F$43*(datos_base!$F$4+IF(parametros_manuales!$H$43="Todos",datos_base!$F$11,0))*parametros_manuales!$C$107+parametros_manuales!$G$43*(datos_base!$F$5+IF(parametros_manuales!$H$43="Todos",datos_base!$F$12,0))*parametros_manuales!$C$112)*parametros_manuales!$I$43*parametros_manuales!$J$43</f>
        <v>2247.878769332</v>
      </c>
      <c r="D138" s="14" t="n">
        <f aca="false">(parametros_manuales!$D$43*(datos_base!$F$2+IF(parametros_manuales!$H$43="Todos",datos_base!$F$9,0))*parametros_manuales!$D$97+parametros_manuales!$E$43*(datos_base!$F$3+IF(parametros_manuales!$H$43="Todos",datos_base!$F$10,0))*parametros_manuales!$D$102+parametros_manuales!$F$43*(datos_base!$F$4+IF(parametros_manuales!$H$43="Todos",datos_base!$F$11,0))*parametros_manuales!$D$107+parametros_manuales!$G$43*(datos_base!$F$5+IF(parametros_manuales!$H$43="Todos",datos_base!$F$12,0))*parametros_manuales!$D$112)*parametros_manuales!$I$43*parametros_manuales!$J$43</f>
        <v>2190.2363063215</v>
      </c>
      <c r="E138" s="14" t="n">
        <f aca="false">(parametros_manuales!$D$43*(datos_base!$F$2+IF(parametros_manuales!$H$43="Todos",datos_base!$F$9,0))*parametros_manuales!$E$97+parametros_manuales!$E$43*(datos_base!$F$3+IF(parametros_manuales!$H$43="Todos",datos_base!$F$10,0))*parametros_manuales!$E$102+parametros_manuales!$F$43*(datos_base!$F$4+IF(parametros_manuales!$H$43="Todos",datos_base!$F$11,0))*parametros_manuales!$E$107+parametros_manuales!$G$43*(datos_base!$F$5+IF(parametros_manuales!$H$43="Todos",datos_base!$F$12,0))*parametros_manuales!$E$112)*parametros_manuales!$I$43*parametros_manuales!$J$43</f>
        <v>2126.8331427715</v>
      </c>
      <c r="F138" s="14" t="n">
        <f aca="false">(parametros_manuales!$D$43*(datos_base!$F$2+IF(parametros_manuales!$H$43="Todos",datos_base!$F$9,0))*parametros_manuales!$F$97+parametros_manuales!$E$43*(datos_base!$F$3+IF(parametros_manuales!$H$43="Todos",datos_base!$F$10,0))*parametros_manuales!$F$102+parametros_manuales!$F$43*(datos_base!$F$4+IF(parametros_manuales!$H$43="Todos",datos_base!$F$11,0))*parametros_manuales!$F$107+parametros_manuales!$G$43*(datos_base!$F$5+IF(parametros_manuales!$H$43="Todos",datos_base!$F$12,0))*parametros_manuales!$F$112)*parametros_manuales!$I$43*parametros_manuales!$J$43</f>
        <v>1994.266115132</v>
      </c>
      <c r="G138" s="14" t="n">
        <f aca="false">(parametros_manuales!$D$43*(datos_base!$F$2+IF(parametros_manuales!$H$43="Todos",datos_base!$F$9,0))*parametros_manuales!$G$97+parametros_manuales!$E$43*(datos_base!$F$3+IF(parametros_manuales!$H$43="Todos",datos_base!$F$10,0))*parametros_manuales!$G$102+parametros_manuales!$F$43*(datos_base!$F$4+IF(parametros_manuales!$H$43="Todos",datos_base!$F$11,0))*parametros_manuales!$G$107+parametros_manuales!$G$43*(datos_base!$F$5+IF(parametros_manuales!$H$43="Todos",datos_base!$F$12,0))*parametros_manuales!$G$112)*parametros_manuales!$I$43*parametros_manuales!$J$43</f>
        <v>1925.1022510425</v>
      </c>
      <c r="H138" s="14" t="n">
        <f aca="false">(parametros_manuales!$D$43*(datos_base!$F$2+IF(parametros_manuales!$H$43="Todos",datos_base!$F$9,0))*parametros_manuales!$H$97+parametros_manuales!$E$43*(datos_base!$F$3+IF(parametros_manuales!$H$43="Todos",datos_base!$F$10,0))*parametros_manuales!$H$102+parametros_manuales!$F$43*(datos_base!$F$4+IF(parametros_manuales!$H$43="Todos",datos_base!$F$11,0))*parametros_manuales!$H$107+parametros_manuales!$G$43*(datos_base!$F$5+IF(parametros_manuales!$H$43="Todos",datos_base!$F$12,0))*parametros_manuales!$H$112)*parametros_manuales!$I$43*parametros_manuales!$J$43</f>
        <v>2057.669278682</v>
      </c>
      <c r="I138" s="14" t="n">
        <f aca="false">(parametros_manuales!$D$43*(datos_base!$F$2+IF(parametros_manuales!$H$43="Todos",datos_base!$F$9,0))*parametros_manuales!$I$97+parametros_manuales!$E$43*(datos_base!$F$3+IF(parametros_manuales!$H$43="Todos",datos_base!$F$10,0))*parametros_manuales!$I$102+parametros_manuales!$F$43*(datos_base!$F$4+IF(parametros_manuales!$H$43="Todos",datos_base!$F$11,0))*parametros_manuales!$I$107+parametros_manuales!$G$43*(datos_base!$F$5+IF(parametros_manuales!$H$43="Todos",datos_base!$F$12,0))*parametros_manuales!$I$112)*parametros_manuales!$I$43*parametros_manuales!$J$43</f>
        <v>2247.878769332</v>
      </c>
      <c r="J138" s="14" t="n">
        <f aca="false">(parametros_manuales!$D$43*(datos_base!$F$2+IF(parametros_manuales!$H$43="Todos",datos_base!$F$9,0))*parametros_manuales!$J$97+parametros_manuales!$E$43*(datos_base!$F$3+IF(parametros_manuales!$H$43="Todos",datos_base!$F$10,0))*parametros_manuales!$J$102+parametros_manuales!$F$43*(datos_base!$F$4+IF(parametros_manuales!$H$43="Todos",datos_base!$F$11,0))*parametros_manuales!$J$107+parametros_manuales!$G$43*(datos_base!$F$5+IF(parametros_manuales!$H$43="Todos",datos_base!$F$12,0))*parametros_manuales!$J$112)*parametros_manuales!$I$43*parametros_manuales!$J$43</f>
        <v>2247.878769332</v>
      </c>
      <c r="K138" s="14" t="n">
        <f aca="false">(parametros_manuales!$D$43*(datos_base!$F$2+IF(parametros_manuales!$H$43="Todos",datos_base!$F$9,0))*parametros_manuales!$K$97+parametros_manuales!$E$43*(datos_base!$F$3+IF(parametros_manuales!$H$43="Todos",datos_base!$F$10,0))*parametros_manuales!$K$102+parametros_manuales!$F$43*(datos_base!$F$4+IF(parametros_manuales!$H$43="Todos",datos_base!$F$11,0))*parametros_manuales!$K$107+parametros_manuales!$G$43*(datos_base!$F$5+IF(parametros_manuales!$H$43="Todos",datos_base!$F$12,0))*parametros_manuales!$K$112)*parametros_manuales!$I$43*parametros_manuales!$J$43</f>
        <v>2317.0426334215</v>
      </c>
      <c r="L138" s="14" t="n">
        <f aca="false">(parametros_manuales!$D$43*(datos_base!$F$2+IF(parametros_manuales!$H$43="Todos",datos_base!$F$9,0))*parametros_manuales!$L$97+parametros_manuales!$E$43*(datos_base!$F$3+IF(parametros_manuales!$H$43="Todos",datos_base!$F$10,0))*parametros_manuales!$L$102+parametros_manuales!$F$43*(datos_base!$F$4+IF(parametros_manuales!$H$43="Todos",datos_base!$F$11,0))*parametros_manuales!$L$107+parametros_manuales!$G$43*(datos_base!$F$5+IF(parametros_manuales!$H$43="Todos",datos_base!$F$12,0))*parametros_manuales!$L$112)*parametros_manuales!$I$43*parametros_manuales!$J$43</f>
        <v>2386.206497511</v>
      </c>
      <c r="M138" s="14" t="n">
        <f aca="false">(parametros_manuales!$D$43*(datos_base!$F$2+IF(parametros_manuales!$H$43="Todos",datos_base!$F$9,0))*parametros_manuales!$M$97+parametros_manuales!$E$43*(datos_base!$F$3+IF(parametros_manuales!$H$43="Todos",datos_base!$F$10,0))*parametros_manuales!$M$102+parametros_manuales!$F$43*(datos_base!$F$4+IF(parametros_manuales!$H$43="Todos",datos_base!$F$11,0))*parametros_manuales!$M$107+parametros_manuales!$G$43*(datos_base!$F$5+IF(parametros_manuales!$H$43="Todos",datos_base!$F$12,0))*parametros_manuales!$M$112)*parametros_manuales!$I$43*parametros_manuales!$J$43</f>
        <v>2386.206497511</v>
      </c>
      <c r="N138" s="14" t="n">
        <f aca="false">SUM(B138:M138)</f>
        <v>26513.4055279</v>
      </c>
      <c r="O138" s="14" t="n">
        <f aca="false">MAX(B138:M138)</f>
        <v>2386.206497511</v>
      </c>
      <c r="P138" s="57" t="n">
        <f aca="false">O138/(parametros_manuales!$B$7)</f>
        <v>15.90804331674</v>
      </c>
      <c r="Q138" s="13" t="str">
        <f aca="false">IF(O138=0,"-",INDEX($B$113:$M$113,MATCH(O138,B138:M138,0)))</f>
        <v>Ene</v>
      </c>
    </row>
    <row r="139" customFormat="false" ht="14.25" hidden="false" customHeight="true" outlineLevel="0" collapsed="false">
      <c r="A139" s="13" t="str">
        <f aca="false">parametros_manuales!$B$44</f>
        <v>Embalaje y paletizado</v>
      </c>
      <c r="B139" s="14" t="n">
        <f aca="false">(parametros_manuales!$D$44*(datos_base!$F$2+IF(parametros_manuales!$H$44="Todos",datos_base!$F$9,0))*parametros_manuales!$B$97+parametros_manuales!$E$44*(datos_base!$F$3+IF(parametros_manuales!$H$44="Todos",datos_base!$F$10,0))*parametros_manuales!$B$102+parametros_manuales!$F$44*(datos_base!$F$4+IF(parametros_manuales!$H$44="Todos",datos_base!$F$11,0))*parametros_manuales!$B$107+parametros_manuales!$G$44*(datos_base!$F$5+IF(parametros_manuales!$H$44="Todos",datos_base!$F$12,0))*parametros_manuales!$B$112)*parametros_manuales!$I$44*parametros_manuales!$J$44</f>
        <v>7937.395697511</v>
      </c>
      <c r="C139" s="14" t="n">
        <f aca="false">(parametros_manuales!$D$44*(datos_base!$F$2+IF(parametros_manuales!$H$44="Todos",datos_base!$F$9,0))*parametros_manuales!$C$97+parametros_manuales!$E$44*(datos_base!$F$3+IF(parametros_manuales!$H$44="Todos",datos_base!$F$10,0))*parametros_manuales!$C$102+parametros_manuales!$F$44*(datos_base!$F$4+IF(parametros_manuales!$H$44="Todos",datos_base!$F$11,0))*parametros_manuales!$C$107+parametros_manuales!$G$44*(datos_base!$F$5+IF(parametros_manuales!$H$44="Todos",datos_base!$F$12,0))*parametros_manuales!$C$112)*parametros_manuales!$I$44*parametros_manuales!$J$44</f>
        <v>7676.617169332</v>
      </c>
      <c r="D139" s="14" t="n">
        <f aca="false">(parametros_manuales!$D$44*(datos_base!$F$2+IF(parametros_manuales!$H$44="Todos",datos_base!$F$9,0))*parametros_manuales!$D$97+parametros_manuales!$E$44*(datos_base!$F$3+IF(parametros_manuales!$H$44="Todos",datos_base!$F$10,0))*parametros_manuales!$D$102+parametros_manuales!$F$44*(datos_base!$F$4+IF(parametros_manuales!$H$44="Todos",datos_base!$F$11,0))*parametros_manuales!$D$107+parametros_manuales!$G$44*(datos_base!$F$5+IF(parametros_manuales!$H$44="Todos",datos_base!$F$12,0))*parametros_manuales!$D$112)*parametros_manuales!$I$44*parametros_manuales!$J$44</f>
        <v>7185.8521063215</v>
      </c>
      <c r="E139" s="14" t="n">
        <f aca="false">(parametros_manuales!$D$44*(datos_base!$F$2+IF(parametros_manuales!$H$44="Todos",datos_base!$F$9,0))*parametros_manuales!$E$97+parametros_manuales!$E$44*(datos_base!$F$3+IF(parametros_manuales!$H$44="Todos",datos_base!$F$10,0))*parametros_manuales!$E$102+parametros_manuales!$F$44*(datos_base!$F$4+IF(parametros_manuales!$H$44="Todos",datos_base!$F$11,0))*parametros_manuales!$E$107+parametros_manuales!$G$44*(datos_base!$F$5+IF(parametros_manuales!$H$44="Todos",datos_base!$F$12,0))*parametros_manuales!$E$112)*parametros_manuales!$I$44*parametros_manuales!$J$44</f>
        <v>6875.2749427715</v>
      </c>
      <c r="F139" s="14" t="n">
        <f aca="false">(parametros_manuales!$D$44*(datos_base!$F$2+IF(parametros_manuales!$H$44="Todos",datos_base!$F$9,0))*parametros_manuales!$F$97+parametros_manuales!$E$44*(datos_base!$F$3+IF(parametros_manuales!$H$44="Todos",datos_base!$F$10,0))*parametros_manuales!$F$102+parametros_manuales!$F$44*(datos_base!$F$4+IF(parametros_manuales!$H$44="Todos",datos_base!$F$11,0))*parametros_manuales!$F$107+parametros_manuales!$G$44*(datos_base!$F$5+IF(parametros_manuales!$H$44="Todos",datos_base!$F$12,0))*parametros_manuales!$F$112)*parametros_manuales!$I$44*parametros_manuales!$J$44</f>
        <v>6434.308515132</v>
      </c>
      <c r="G139" s="14" t="n">
        <f aca="false">(parametros_manuales!$D$44*(datos_base!$F$2+IF(parametros_manuales!$H$44="Todos",datos_base!$F$9,0))*parametros_manuales!$G$97+parametros_manuales!$E$44*(datos_base!$F$3+IF(parametros_manuales!$H$44="Todos",datos_base!$F$10,0))*parametros_manuales!$G$102+parametros_manuales!$F$44*(datos_base!$F$4+IF(parametros_manuales!$H$44="Todos",datos_base!$F$11,0))*parametros_manuales!$G$107+parametros_manuales!$G$44*(datos_base!$F$5+IF(parametros_manuales!$H$44="Todos",datos_base!$F$12,0))*parametros_manuales!$G$112)*parametros_manuales!$I$44*parametros_manuales!$J$44</f>
        <v>6303.9192510425</v>
      </c>
      <c r="H139" s="14" t="n">
        <f aca="false">(parametros_manuales!$D$44*(datos_base!$F$2+IF(parametros_manuales!$H$44="Todos",datos_base!$F$9,0))*parametros_manuales!$H$97+parametros_manuales!$E$44*(datos_base!$F$3+IF(parametros_manuales!$H$44="Todos",datos_base!$F$10,0))*parametros_manuales!$H$102+parametros_manuales!$F$44*(datos_base!$F$4+IF(parametros_manuales!$H$44="Todos",datos_base!$F$11,0))*parametros_manuales!$H$107+parametros_manuales!$G$44*(datos_base!$F$5+IF(parametros_manuales!$H$44="Todos",datos_base!$F$12,0))*parametros_manuales!$H$112)*parametros_manuales!$I$44*parametros_manuales!$J$44</f>
        <v>6744.885678682</v>
      </c>
      <c r="I139" s="14" t="n">
        <f aca="false">(parametros_manuales!$D$44*(datos_base!$F$2+IF(parametros_manuales!$H$44="Todos",datos_base!$F$9,0))*parametros_manuales!$I$97+parametros_manuales!$E$44*(datos_base!$F$3+IF(parametros_manuales!$H$44="Todos",datos_base!$F$10,0))*parametros_manuales!$I$102+parametros_manuales!$F$44*(datos_base!$F$4+IF(parametros_manuales!$H$44="Todos",datos_base!$F$11,0))*parametros_manuales!$I$107+parametros_manuales!$G$44*(datos_base!$F$5+IF(parametros_manuales!$H$44="Todos",datos_base!$F$12,0))*parametros_manuales!$I$112)*parametros_manuales!$I$44*parametros_manuales!$J$44</f>
        <v>7676.617169332</v>
      </c>
      <c r="J139" s="14" t="n">
        <f aca="false">(parametros_manuales!$D$44*(datos_base!$F$2+IF(parametros_manuales!$H$44="Todos",datos_base!$F$9,0))*parametros_manuales!$J$97+parametros_manuales!$E$44*(datos_base!$F$3+IF(parametros_manuales!$H$44="Todos",datos_base!$F$10,0))*parametros_manuales!$J$102+parametros_manuales!$F$44*(datos_base!$F$4+IF(parametros_manuales!$H$44="Todos",datos_base!$F$11,0))*parametros_manuales!$J$107+parametros_manuales!$G$44*(datos_base!$F$5+IF(parametros_manuales!$H$44="Todos",datos_base!$F$12,0))*parametros_manuales!$J$112)*parametros_manuales!$I$44*parametros_manuales!$J$44</f>
        <v>7676.617169332</v>
      </c>
      <c r="K139" s="14" t="n">
        <f aca="false">(parametros_manuales!$D$44*(datos_base!$F$2+IF(parametros_manuales!$H$44="Todos",datos_base!$F$9,0))*parametros_manuales!$K$97+parametros_manuales!$E$44*(datos_base!$F$3+IF(parametros_manuales!$H$44="Todos",datos_base!$F$10,0))*parametros_manuales!$K$102+parametros_manuales!$F$44*(datos_base!$F$4+IF(parametros_manuales!$H$44="Todos",datos_base!$F$11,0))*parametros_manuales!$K$107+parametros_manuales!$G$44*(datos_base!$F$5+IF(parametros_manuales!$H$44="Todos",datos_base!$F$12,0))*parametros_manuales!$K$112)*parametros_manuales!$I$44*parametros_manuales!$J$44</f>
        <v>7807.0064334215</v>
      </c>
      <c r="L139" s="14" t="n">
        <f aca="false">(parametros_manuales!$D$44*(datos_base!$F$2+IF(parametros_manuales!$H$44="Todos",datos_base!$F$9,0))*parametros_manuales!$L$97+parametros_manuales!$E$44*(datos_base!$F$3+IF(parametros_manuales!$H$44="Todos",datos_base!$F$10,0))*parametros_manuales!$L$102+parametros_manuales!$F$44*(datos_base!$F$4+IF(parametros_manuales!$H$44="Todos",datos_base!$F$11,0))*parametros_manuales!$L$107+parametros_manuales!$G$44*(datos_base!$F$5+IF(parametros_manuales!$H$44="Todos",datos_base!$F$12,0))*parametros_manuales!$L$112)*parametros_manuales!$I$44*parametros_manuales!$J$44</f>
        <v>7937.395697511</v>
      </c>
      <c r="M139" s="14" t="n">
        <f aca="false">(parametros_manuales!$D$44*(datos_base!$F$2+IF(parametros_manuales!$H$44="Todos",datos_base!$F$9,0))*parametros_manuales!$M$97+parametros_manuales!$E$44*(datos_base!$F$3+IF(parametros_manuales!$H$44="Todos",datos_base!$F$10,0))*parametros_manuales!$M$102+parametros_manuales!$F$44*(datos_base!$F$4+IF(parametros_manuales!$H$44="Todos",datos_base!$F$11,0))*parametros_manuales!$M$107+parametros_manuales!$G$44*(datos_base!$F$5+IF(parametros_manuales!$H$44="Todos",datos_base!$F$12,0))*parametros_manuales!$M$112)*parametros_manuales!$I$44*parametros_manuales!$J$44</f>
        <v>7937.395697511</v>
      </c>
      <c r="N139" s="14" t="n">
        <f aca="false">SUM(B139:M139)</f>
        <v>88193.2855279</v>
      </c>
      <c r="O139" s="14" t="n">
        <f aca="false">MAX(B139:M139)</f>
        <v>7937.395697511</v>
      </c>
      <c r="P139" s="57" t="n">
        <f aca="false">O139/(parametros_manuales!$B$7)</f>
        <v>52.91597131674</v>
      </c>
      <c r="Q139" s="13" t="str">
        <f aca="false">IF(O139=0,"-",INDEX($B$113:$M$113,MATCH(O139,B139:M139,0)))</f>
        <v>Ene</v>
      </c>
    </row>
    <row r="140" customFormat="false" ht="14.25" hidden="false" customHeight="true" outlineLevel="0" collapsed="false"/>
    <row r="141" customFormat="false" ht="14.25" hidden="false" customHeight="true" outlineLevel="0" collapsed="false">
      <c r="A141" s="12" t="s">
        <v>273</v>
      </c>
      <c r="B141" s="12" t="s">
        <v>37</v>
      </c>
      <c r="C141" s="12" t="s">
        <v>38</v>
      </c>
      <c r="D141" s="12" t="s">
        <v>39</v>
      </c>
      <c r="E141" s="12" t="s">
        <v>40</v>
      </c>
      <c r="F141" s="12" t="s">
        <v>41</v>
      </c>
      <c r="G141" s="12" t="s">
        <v>42</v>
      </c>
      <c r="H141" s="12" t="s">
        <v>43</v>
      </c>
      <c r="I141" s="12" t="s">
        <v>44</v>
      </c>
      <c r="J141" s="12" t="s">
        <v>45</v>
      </c>
      <c r="K141" s="12" t="s">
        <v>46</v>
      </c>
      <c r="L141" s="12" t="s">
        <v>47</v>
      </c>
      <c r="M141" s="12" t="s">
        <v>48</v>
      </c>
      <c r="N141" s="12" t="s">
        <v>261</v>
      </c>
      <c r="O141" s="12" t="s">
        <v>266</v>
      </c>
      <c r="P141" s="12" t="s">
        <v>267</v>
      </c>
      <c r="Q141" s="12" t="s">
        <v>268</v>
      </c>
    </row>
    <row r="142" customFormat="false" ht="14.25" hidden="false" customHeight="true" outlineLevel="0" collapsed="false">
      <c r="A142" s="13" t="str">
        <f aca="false">parametros_manuales!$B$19</f>
        <v>Recepción de materia prima</v>
      </c>
      <c r="B142" s="14" t="n">
        <f aca="false">(parametros_manuales!$D$19*(datos_base!$G$2+IF(parametros_manuales!$H$19="Todos",datos_base!$G$9,0))*parametros_manuales!$B$97+parametros_manuales!$E$19*(datos_base!$G$3+IF(parametros_manuales!$H$19="Todos",datos_base!$G$10,0))*parametros_manuales!$B$102+parametros_manuales!$F$19*(datos_base!$G$4+IF(parametros_manuales!$H$19="Todos",datos_base!$G$11,0))*parametros_manuales!$B$107+parametros_manuales!$G$19*(datos_base!$G$5+IF(parametros_manuales!$H$19="Todos",datos_base!$G$12,0))*parametros_manuales!$B$112)*parametros_manuales!$I$19*parametros_manuales!$J$19</f>
        <v>11145.35268891</v>
      </c>
      <c r="C142" s="14" t="n">
        <f aca="false">(parametros_manuales!$D$19*(datos_base!$G$2+IF(parametros_manuales!$H$19="Todos",datos_base!$G$9,0))*parametros_manuales!$C$97+parametros_manuales!$E$19*(datos_base!$G$3+IF(parametros_manuales!$H$19="Todos",datos_base!$G$10,0))*parametros_manuales!$C$102+parametros_manuales!$F$19*(datos_base!$G$4+IF(parametros_manuales!$H$19="Todos",datos_base!$G$11,0))*parametros_manuales!$C$107+parametros_manuales!$G$19*(datos_base!$G$5+IF(parametros_manuales!$H$19="Todos",datos_base!$G$12,0))*parametros_manuales!$C$112)*parametros_manuales!$I$19*parametros_manuales!$J$19</f>
        <v>10779.98469862</v>
      </c>
      <c r="D142" s="14" t="n">
        <f aca="false">(parametros_manuales!$D$19*(datos_base!$G$2+IF(parametros_manuales!$H$19="Todos",datos_base!$G$9,0))*parametros_manuales!$D$97+parametros_manuales!$E$19*(datos_base!$G$3+IF(parametros_manuales!$H$19="Todos",datos_base!$G$10,0))*parametros_manuales!$D$102+parametros_manuales!$F$19*(datos_base!$G$4+IF(parametros_manuales!$H$19="Todos",datos_base!$G$11,0))*parametros_manuales!$D$107+parametros_manuales!$G$19*(datos_base!$G$5+IF(parametros_manuales!$H$19="Todos",datos_base!$G$12,0))*parametros_manuales!$D$112)*parametros_manuales!$I$19*parametros_manuales!$J$19</f>
        <v>10089.664163065</v>
      </c>
      <c r="E142" s="14" t="n">
        <f aca="false">(parametros_manuales!$D$19*(datos_base!$G$2+IF(parametros_manuales!$H$19="Todos",datos_base!$G$9,0))*parametros_manuales!$E$97+parametros_manuales!$E$19*(datos_base!$G$3+IF(parametros_manuales!$H$19="Todos",datos_base!$G$10,0))*parametros_manuales!$E$102+parametros_manuales!$F$19*(datos_base!$G$4+IF(parametros_manuales!$H$19="Todos",datos_base!$G$11,0))*parametros_manuales!$E$107+parametros_manuales!$G$19*(datos_base!$G$5+IF(parametros_manuales!$H$19="Todos",datos_base!$G$12,0))*parametros_manuales!$E$112)*parametros_manuales!$I$19*parametros_manuales!$J$19</f>
        <v>9653.161897715</v>
      </c>
      <c r="F142" s="14" t="n">
        <f aca="false">(parametros_manuales!$D$19*(datos_base!$G$2+IF(parametros_manuales!$H$19="Todos",datos_base!$G$9,0))*parametros_manuales!$F$97+parametros_manuales!$E$19*(datos_base!$G$3+IF(parametros_manuales!$H$19="Todos",datos_base!$G$10,0))*parametros_manuales!$F$102+parametros_manuales!$F$19*(datos_base!$G$4+IF(parametros_manuales!$H$19="Todos",datos_base!$G$11,0))*parametros_manuales!$F$107+parametros_manuales!$G$19*(datos_base!$G$5+IF(parametros_manuales!$H$19="Todos",datos_base!$G$12,0))*parametros_manuales!$F$112)*parametros_manuales!$I$19*parametros_manuales!$J$19</f>
        <v>9033.97563722</v>
      </c>
      <c r="G142" s="14" t="n">
        <f aca="false">(parametros_manuales!$D$19*(datos_base!$G$2+IF(parametros_manuales!$H$19="Todos",datos_base!$G$9,0))*parametros_manuales!$G$97+parametros_manuales!$E$19*(datos_base!$G$3+IF(parametros_manuales!$H$19="Todos",datos_base!$G$10,0))*parametros_manuales!$G$102+parametros_manuales!$F$19*(datos_base!$G$4+IF(parametros_manuales!$H$19="Todos",datos_base!$G$11,0))*parametros_manuales!$G$107+parametros_manuales!$G$19*(datos_base!$G$5+IF(parametros_manuales!$H$19="Todos",datos_base!$G$12,0))*parametros_manuales!$G$112)*parametros_manuales!$I$19*parametros_manuales!$J$19</f>
        <v>8851.291642075</v>
      </c>
      <c r="H142" s="14" t="n">
        <f aca="false">(parametros_manuales!$D$19*(datos_base!$G$2+IF(parametros_manuales!$H$19="Todos",datos_base!$G$9,0))*parametros_manuales!$H$97+parametros_manuales!$E$19*(datos_base!$G$3+IF(parametros_manuales!$H$19="Todos",datos_base!$G$10,0))*parametros_manuales!$H$102+parametros_manuales!$F$19*(datos_base!$G$4+IF(parametros_manuales!$H$19="Todos",datos_base!$G$11,0))*parametros_manuales!$H$107+parametros_manuales!$G$19*(datos_base!$G$5+IF(parametros_manuales!$H$19="Todos",datos_base!$G$12,0))*parametros_manuales!$H$112)*parametros_manuales!$I$19*parametros_manuales!$J$19</f>
        <v>9470.47790257</v>
      </c>
      <c r="I142" s="14" t="n">
        <f aca="false">(parametros_manuales!$D$19*(datos_base!$G$2+IF(parametros_manuales!$H$19="Todos",datos_base!$G$9,0))*parametros_manuales!$I$97+parametros_manuales!$E$19*(datos_base!$G$3+IF(parametros_manuales!$H$19="Todos",datos_base!$G$10,0))*parametros_manuales!$I$102+parametros_manuales!$F$19*(datos_base!$G$4+IF(parametros_manuales!$H$19="Todos",datos_base!$G$11,0))*parametros_manuales!$I$107+parametros_manuales!$G$19*(datos_base!$G$5+IF(parametros_manuales!$H$19="Todos",datos_base!$G$12,0))*parametros_manuales!$I$112)*parametros_manuales!$I$19*parametros_manuales!$J$19</f>
        <v>10779.98469862</v>
      </c>
      <c r="J142" s="14" t="n">
        <f aca="false">(parametros_manuales!$D$19*(datos_base!$G$2+IF(parametros_manuales!$H$19="Todos",datos_base!$G$9,0))*parametros_manuales!$J$97+parametros_manuales!$E$19*(datos_base!$G$3+IF(parametros_manuales!$H$19="Todos",datos_base!$G$10,0))*parametros_manuales!$J$102+parametros_manuales!$F$19*(datos_base!$G$4+IF(parametros_manuales!$H$19="Todos",datos_base!$G$11,0))*parametros_manuales!$J$107+parametros_manuales!$G$19*(datos_base!$G$5+IF(parametros_manuales!$H$19="Todos",datos_base!$G$12,0))*parametros_manuales!$J$112)*parametros_manuales!$I$19*parametros_manuales!$J$19</f>
        <v>10779.98469862</v>
      </c>
      <c r="K142" s="14" t="n">
        <f aca="false">(parametros_manuales!$D$19*(datos_base!$G$2+IF(parametros_manuales!$H$19="Todos",datos_base!$G$9,0))*parametros_manuales!$K$97+parametros_manuales!$E$19*(datos_base!$G$3+IF(parametros_manuales!$H$19="Todos",datos_base!$G$10,0))*parametros_manuales!$K$102+parametros_manuales!$F$19*(datos_base!$G$4+IF(parametros_manuales!$H$19="Todos",datos_base!$G$11,0))*parametros_manuales!$K$107+parametros_manuales!$G$19*(datos_base!$G$5+IF(parametros_manuales!$H$19="Todos",datos_base!$G$12,0))*parametros_manuales!$K$112)*parametros_manuales!$I$19*parametros_manuales!$J$19</f>
        <v>10962.668693765</v>
      </c>
      <c r="L142" s="14" t="n">
        <f aca="false">(parametros_manuales!$D$19*(datos_base!$G$2+IF(parametros_manuales!$H$19="Todos",datos_base!$G$9,0))*parametros_manuales!$L$97+parametros_manuales!$E$19*(datos_base!$G$3+IF(parametros_manuales!$H$19="Todos",datos_base!$G$10,0))*parametros_manuales!$L$102+parametros_manuales!$F$19*(datos_base!$G$4+IF(parametros_manuales!$H$19="Todos",datos_base!$G$11,0))*parametros_manuales!$L$107+parametros_manuales!$G$19*(datos_base!$G$5+IF(parametros_manuales!$H$19="Todos",datos_base!$G$12,0))*parametros_manuales!$L$112)*parametros_manuales!$I$19*parametros_manuales!$J$19</f>
        <v>11145.35268891</v>
      </c>
      <c r="M142" s="14" t="n">
        <f aca="false">(parametros_manuales!$D$19*(datos_base!$G$2+IF(parametros_manuales!$H$19="Todos",datos_base!$G$9,0))*parametros_manuales!$M$97+parametros_manuales!$E$19*(datos_base!$G$3+IF(parametros_manuales!$H$19="Todos",datos_base!$G$10,0))*parametros_manuales!$M$102+parametros_manuales!$F$19*(datos_base!$G$4+IF(parametros_manuales!$H$19="Todos",datos_base!$G$11,0))*parametros_manuales!$M$107+parametros_manuales!$G$19*(datos_base!$G$5+IF(parametros_manuales!$H$19="Todos",datos_base!$G$12,0))*parametros_manuales!$M$112)*parametros_manuales!$I$19*parametros_manuales!$J$19</f>
        <v>11145.35268891</v>
      </c>
      <c r="N142" s="14" t="n">
        <f aca="false">SUM(B142:M142)</f>
        <v>123837.252099</v>
      </c>
      <c r="O142" s="14" t="n">
        <f aca="false">MAX(B142:M142)</f>
        <v>11145.35268891</v>
      </c>
      <c r="P142" s="57" t="n">
        <f aca="false">O142/(parametros_manuales!$B$7)</f>
        <v>74.3023512594</v>
      </c>
      <c r="Q142" s="13" t="str">
        <f aca="false">IF(O142=0,"-",INDEX($B$141:$M$141,MATCH(O142,B142:M142,0)))</f>
        <v>Ene</v>
      </c>
    </row>
    <row r="143" customFormat="false" ht="14.25" hidden="false" customHeight="true" outlineLevel="0" collapsed="false">
      <c r="A143" s="13" t="str">
        <f aca="false">parametros_manuales!$B$20</f>
        <v>Corte de chapa — 1.er corte en franjas (guillotina 1, manuales + carros)</v>
      </c>
      <c r="B143" s="14" t="n">
        <f aca="false">(parametros_manuales!$D$20*(datos_base!$G$2+IF(parametros_manuales!$H$20="Todos",datos_base!$G$9,0))*parametros_manuales!$B$97+parametros_manuales!$E$20*(datos_base!$G$3+IF(parametros_manuales!$H$20="Todos",datos_base!$G$10,0))*parametros_manuales!$B$102+parametros_manuales!$F$20*(datos_base!$G$4+IF(parametros_manuales!$H$20="Todos",datos_base!$G$11,0))*parametros_manuales!$B$107+parametros_manuales!$G$20*(datos_base!$G$5+IF(parametros_manuales!$H$20="Todos",datos_base!$G$12,0))*parametros_manuales!$B$112)*parametros_manuales!$I$20*parametros_manuales!$J$20+parametros_manuales!$B$153</f>
        <v>12010.9554728283</v>
      </c>
      <c r="C143" s="14" t="n">
        <f aca="false">(parametros_manuales!$D$20*(datos_base!$G$2+IF(parametros_manuales!$H$20="Todos",datos_base!$G$9,0))*parametros_manuales!$C$97+parametros_manuales!$E$20*(datos_base!$G$3+IF(parametros_manuales!$H$20="Todos",datos_base!$G$10,0))*parametros_manuales!$C$102+parametros_manuales!$F$20*(datos_base!$G$4+IF(parametros_manuales!$H$20="Todos",datos_base!$G$11,0))*parametros_manuales!$C$107+parametros_manuales!$G$20*(datos_base!$G$5+IF(parametros_manuales!$H$20="Todos",datos_base!$G$12,0))*parametros_manuales!$C$112)*parametros_manuales!$I$20*parametros_manuales!$J$20+parametros_manuales!$C$153</f>
        <v>11543.7518609009</v>
      </c>
      <c r="D143" s="14" t="n">
        <f aca="false">(parametros_manuales!$D$20*(datos_base!$G$2+IF(parametros_manuales!$H$20="Todos",datos_base!$G$9,0))*parametros_manuales!$D$97+parametros_manuales!$E$20*(datos_base!$G$3+IF(parametros_manuales!$H$20="Todos",datos_base!$G$10,0))*parametros_manuales!$D$102+parametros_manuales!$F$20*(datos_base!$G$4+IF(parametros_manuales!$H$20="Todos",datos_base!$G$11,0))*parametros_manuales!$D$107+parametros_manuales!$G$20*(datos_base!$G$5+IF(parametros_manuales!$H$20="Todos",datos_base!$G$12,0))*parametros_manuales!$D$112)*parametros_manuales!$I$20*parametros_manuales!$J$20+parametros_manuales!$D$153</f>
        <v>11006.1847578021</v>
      </c>
      <c r="E143" s="14" t="n">
        <f aca="false">(parametros_manuales!$D$20*(datos_base!$G$2+IF(parametros_manuales!$H$20="Todos",datos_base!$G$9,0))*parametros_manuales!$E$97+parametros_manuales!$E$20*(datos_base!$G$3+IF(parametros_manuales!$H$20="Todos",datos_base!$G$10,0))*parametros_manuales!$E$102+parametros_manuales!$F$20*(datos_base!$G$4+IF(parametros_manuales!$H$20="Todos",datos_base!$G$11,0))*parametros_manuales!$E$107+parametros_manuales!$G$20*(datos_base!$G$5+IF(parametros_manuales!$H$20="Todos",datos_base!$G$12,0))*parametros_manuales!$E$112)*parametros_manuales!$I$20*parametros_manuales!$J$20+parametros_manuales!$E$153</f>
        <v>10569.6824924521</v>
      </c>
      <c r="F143" s="14" t="n">
        <f aca="false">(parametros_manuales!$D$20*(datos_base!$G$2+IF(parametros_manuales!$H$20="Todos",datos_base!$G$9,0))*parametros_manuales!$F$97+parametros_manuales!$E$20*(datos_base!$G$3+IF(parametros_manuales!$H$20="Todos",datos_base!$G$10,0))*parametros_manuales!$F$102+parametros_manuales!$F$20*(datos_base!$G$4+IF(parametros_manuales!$H$20="Todos",datos_base!$G$11,0))*parametros_manuales!$F$107+parametros_manuales!$G$20*(datos_base!$G$5+IF(parametros_manuales!$H$20="Todos",datos_base!$G$12,0))*parametros_manuales!$F$112)*parametros_manuales!$I$20*parametros_manuales!$J$20+parametros_manuales!$F$153</f>
        <v>9950.49623195706</v>
      </c>
      <c r="G143" s="14" t="n">
        <f aca="false">(parametros_manuales!$D$20*(datos_base!$G$2+IF(parametros_manuales!$H$20="Todos",datos_base!$G$9,0))*parametros_manuales!$G$97+parametros_manuales!$E$20*(datos_base!$G$3+IF(parametros_manuales!$H$20="Todos",datos_base!$G$10,0))*parametros_manuales!$G$102+parametros_manuales!$F$20*(datos_base!$G$4+IF(parametros_manuales!$H$20="Todos",datos_base!$G$11,0))*parametros_manuales!$G$107+parametros_manuales!$G$20*(datos_base!$G$5+IF(parametros_manuales!$H$20="Todos",datos_base!$G$12,0))*parametros_manuales!$G$112)*parametros_manuales!$I$20*parametros_manuales!$J$20+parametros_manuales!$G$153</f>
        <v>9665.97661517461</v>
      </c>
      <c r="H143" s="14" t="n">
        <f aca="false">(parametros_manuales!$D$20*(datos_base!$G$2+IF(parametros_manuales!$H$20="Todos",datos_base!$G$9,0))*parametros_manuales!$H$97+parametros_manuales!$E$20*(datos_base!$G$3+IF(parametros_manuales!$H$20="Todos",datos_base!$G$10,0))*parametros_manuales!$H$102+parametros_manuales!$F$20*(datos_base!$G$4+IF(parametros_manuales!$H$20="Todos",datos_base!$G$11,0))*parametros_manuales!$H$107+parametros_manuales!$G$20*(datos_base!$G$5+IF(parametros_manuales!$H$20="Todos",datos_base!$G$12,0))*parametros_manuales!$H$112)*parametros_manuales!$I$20*parametros_manuales!$J$20+parametros_manuales!$H$153</f>
        <v>10386.9984973071</v>
      </c>
      <c r="I143" s="14" t="n">
        <f aca="false">(parametros_manuales!$D$20*(datos_base!$G$2+IF(parametros_manuales!$H$20="Todos",datos_base!$G$9,0))*parametros_manuales!$I$97+parametros_manuales!$E$20*(datos_base!$G$3+IF(parametros_manuales!$H$20="Todos",datos_base!$G$10,0))*parametros_manuales!$I$102+parametros_manuales!$F$20*(datos_base!$G$4+IF(parametros_manuales!$H$20="Todos",datos_base!$G$11,0))*parametros_manuales!$I$107+parametros_manuales!$G$20*(datos_base!$G$5+IF(parametros_manuales!$H$20="Todos",datos_base!$G$12,0))*parametros_manuales!$I$112)*parametros_manuales!$I$20*parametros_manuales!$J$20+parametros_manuales!$I$153</f>
        <v>11696.5052933571</v>
      </c>
      <c r="J143" s="14" t="n">
        <f aca="false">(parametros_manuales!$D$20*(datos_base!$G$2+IF(parametros_manuales!$H$20="Todos",datos_base!$G$9,0))*parametros_manuales!$J$97+parametros_manuales!$E$20*(datos_base!$G$3+IF(parametros_manuales!$H$20="Todos",datos_base!$G$10,0))*parametros_manuales!$J$102+parametros_manuales!$F$20*(datos_base!$G$4+IF(parametros_manuales!$H$20="Todos",datos_base!$G$11,0))*parametros_manuales!$J$107+parametros_manuales!$G$20*(datos_base!$G$5+IF(parametros_manuales!$H$20="Todos",datos_base!$G$12,0))*parametros_manuales!$J$112)*parametros_manuales!$I$20*parametros_manuales!$J$20+parametros_manuales!$J$153</f>
        <v>11645.5874825383</v>
      </c>
      <c r="K143" s="14" t="n">
        <f aca="false">(parametros_manuales!$D$20*(datos_base!$G$2+IF(parametros_manuales!$H$20="Todos",datos_base!$G$9,0))*parametros_manuales!$K$97+parametros_manuales!$E$20*(datos_base!$G$3+IF(parametros_manuales!$H$20="Todos",datos_base!$G$10,0))*parametros_manuales!$K$102+parametros_manuales!$F$20*(datos_base!$G$4+IF(parametros_manuales!$H$20="Todos",datos_base!$G$11,0))*parametros_manuales!$K$107+parametros_manuales!$G$20*(datos_base!$G$5+IF(parametros_manuales!$H$20="Todos",datos_base!$G$12,0))*parametros_manuales!$K$112)*parametros_manuales!$I$20*parametros_manuales!$J$20+parametros_manuales!$K$153</f>
        <v>11726.4358560459</v>
      </c>
      <c r="L143" s="14" t="n">
        <f aca="false">(parametros_manuales!$D$20*(datos_base!$G$2+IF(parametros_manuales!$H$20="Todos",datos_base!$G$9,0))*parametros_manuales!$L$97+parametros_manuales!$E$20*(datos_base!$G$3+IF(parametros_manuales!$H$20="Todos",datos_base!$G$10,0))*parametros_manuales!$L$102+parametros_manuales!$F$20*(datos_base!$G$4+IF(parametros_manuales!$H$20="Todos",datos_base!$G$11,0))*parametros_manuales!$L$107+parametros_manuales!$G$20*(datos_base!$G$5+IF(parametros_manuales!$H$20="Todos",datos_base!$G$12,0))*parametros_manuales!$L$112)*parametros_manuales!$I$20*parametros_manuales!$J$20+parametros_manuales!$L$153</f>
        <v>11858.2020403722</v>
      </c>
      <c r="M143" s="14" t="n">
        <f aca="false">(parametros_manuales!$D$20*(datos_base!$G$2+IF(parametros_manuales!$H$20="Todos",datos_base!$G$9,0))*parametros_manuales!$M$97+parametros_manuales!$E$20*(datos_base!$G$3+IF(parametros_manuales!$H$20="Todos",datos_base!$G$10,0))*parametros_manuales!$M$102+parametros_manuales!$F$20*(datos_base!$G$4+IF(parametros_manuales!$H$20="Todos",datos_base!$G$11,0))*parametros_manuales!$M$107+parametros_manuales!$G$20*(datos_base!$G$5+IF(parametros_manuales!$H$20="Todos",datos_base!$G$12,0))*parametros_manuales!$M$112)*parametros_manuales!$I$20*parametros_manuales!$J$20+parametros_manuales!$M$153</f>
        <v>11960.0376620096</v>
      </c>
      <c r="N143" s="14" t="n">
        <f aca="false">SUM(B143:M143)</f>
        <v>134020.814262745</v>
      </c>
      <c r="O143" s="14" t="n">
        <f aca="false">MAX(B143:M143)</f>
        <v>12010.9554728283</v>
      </c>
      <c r="P143" s="57" t="n">
        <f aca="false">O143/(parametros_manuales!$B$7)</f>
        <v>80.0730364855222</v>
      </c>
      <c r="Q143" s="13" t="str">
        <f aca="false">IF(O143=0,"-",INDEX($B$141:$M$141,MATCH(O143,B143:M143,0)))</f>
        <v>Ene</v>
      </c>
    </row>
    <row r="144" customFormat="false" ht="14.25" hidden="false" customHeight="true" outlineLevel="0" collapsed="false">
      <c r="A144" s="13" t="str">
        <f aca="false">parametros_manuales!$B$21</f>
        <v>Corte de chapa — 2.º corte en piezas (guillotina 2, manuales + carros)</v>
      </c>
      <c r="B144" s="14" t="n">
        <f aca="false">(parametros_manuales!$D$21*(datos_base!$G$2+IF(parametros_manuales!$H$21="Todos",datos_base!$G$9,0))*parametros_manuales!$B$97+parametros_manuales!$E$21*(datos_base!$G$3+IF(parametros_manuales!$H$21="Todos",datos_base!$G$10,0))*parametros_manuales!$B$102+parametros_manuales!$F$21*(datos_base!$G$4+IF(parametros_manuales!$H$21="Todos",datos_base!$G$11,0))*parametros_manuales!$B$107+parametros_manuales!$G$21*(datos_base!$G$5+IF(parametros_manuales!$H$21="Todos",datos_base!$G$12,0))*parametros_manuales!$B$112)*parametros_manuales!$I$21*parametros_manuales!$J$21+parametros_manuales!$B$165</f>
        <v>12269.6595389265</v>
      </c>
      <c r="C144" s="14" t="n">
        <f aca="false">(parametros_manuales!$D$21*(datos_base!$G$2+IF(parametros_manuales!$H$21="Todos",datos_base!$G$9,0))*parametros_manuales!$C$97+parametros_manuales!$E$21*(datos_base!$G$3+IF(parametros_manuales!$H$21="Todos",datos_base!$G$10,0))*parametros_manuales!$C$102+parametros_manuales!$F$21*(datos_base!$G$4+IF(parametros_manuales!$H$21="Todos",datos_base!$G$11,0))*parametros_manuales!$C$107+parametros_manuales!$G$21*(datos_base!$G$5+IF(parametros_manuales!$H$21="Todos",datos_base!$G$12,0))*parametros_manuales!$C$112)*parametros_manuales!$I$21*parametros_manuales!$J$21+parametros_manuales!$C$165</f>
        <v>11772.0201545169</v>
      </c>
      <c r="D144" s="14" t="n">
        <f aca="false">(parametros_manuales!$D$21*(datos_base!$G$2+IF(parametros_manuales!$H$21="Todos",datos_base!$G$9,0))*parametros_manuales!$D$97+parametros_manuales!$E$21*(datos_base!$G$3+IF(parametros_manuales!$H$21="Todos",datos_base!$G$10,0))*parametros_manuales!$D$102+parametros_manuales!$F$21*(datos_base!$G$4+IF(parametros_manuales!$H$21="Todos",datos_base!$G$11,0))*parametros_manuales!$D$107+parametros_manuales!$G$21*(datos_base!$G$5+IF(parametros_manuales!$H$21="Todos",datos_base!$G$12,0))*parametros_manuales!$D$112)*parametros_manuales!$I$21*parametros_manuales!$J$21+parametros_manuales!$D$165</f>
        <v>11280.1067101413</v>
      </c>
      <c r="E144" s="14" t="n">
        <f aca="false">(parametros_manuales!$D$21*(datos_base!$G$2+IF(parametros_manuales!$H$21="Todos",datos_base!$G$9,0))*parametros_manuales!$E$97+parametros_manuales!$E$21*(datos_base!$G$3+IF(parametros_manuales!$H$21="Todos",datos_base!$G$10,0))*parametros_manuales!$E$102+parametros_manuales!$F$21*(datos_base!$G$4+IF(parametros_manuales!$H$21="Todos",datos_base!$G$11,0))*parametros_manuales!$E$107+parametros_manuales!$G$21*(datos_base!$G$5+IF(parametros_manuales!$H$21="Todos",datos_base!$G$12,0))*parametros_manuales!$E$112)*parametros_manuales!$I$21*parametros_manuales!$J$21+parametros_manuales!$E$165</f>
        <v>10843.6044447913</v>
      </c>
      <c r="F144" s="14" t="n">
        <f aca="false">(parametros_manuales!$D$21*(datos_base!$G$2+IF(parametros_manuales!$H$21="Todos",datos_base!$G$9,0))*parametros_manuales!$F$97+parametros_manuales!$E$21*(datos_base!$G$3+IF(parametros_manuales!$H$21="Todos",datos_base!$G$10,0))*parametros_manuales!$F$102+parametros_manuales!$F$21*(datos_base!$G$4+IF(parametros_manuales!$H$21="Todos",datos_base!$G$11,0))*parametros_manuales!$F$107+parametros_manuales!$G$21*(datos_base!$G$5+IF(parametros_manuales!$H$21="Todos",datos_base!$G$12,0))*parametros_manuales!$F$112)*parametros_manuales!$I$21*parametros_manuales!$J$21+parametros_manuales!$F$165</f>
        <v>10224.4181842963</v>
      </c>
      <c r="G144" s="14" t="n">
        <f aca="false">(parametros_manuales!$D$21*(datos_base!$G$2+IF(parametros_manuales!$H$21="Todos",datos_base!$G$9,0))*parametros_manuales!$G$97+parametros_manuales!$E$21*(datos_base!$G$3+IF(parametros_manuales!$H$21="Todos",datos_base!$G$10,0))*parametros_manuales!$G$102+parametros_manuales!$F$21*(datos_base!$G$4+IF(parametros_manuales!$H$21="Todos",datos_base!$G$11,0))*parametros_manuales!$G$107+parametros_manuales!$G$21*(datos_base!$G$5+IF(parametros_manuales!$H$21="Todos",datos_base!$G$12,0))*parametros_manuales!$G$112)*parametros_manuales!$I$21*parametros_manuales!$J$21+parametros_manuales!$G$165</f>
        <v>9909.46279503168</v>
      </c>
      <c r="H144" s="14" t="n">
        <f aca="false">(parametros_manuales!$D$21*(datos_base!$G$2+IF(parametros_manuales!$H$21="Todos",datos_base!$G$9,0))*parametros_manuales!$H$97+parametros_manuales!$E$21*(datos_base!$G$3+IF(parametros_manuales!$H$21="Todos",datos_base!$G$10,0))*parametros_manuales!$H$102+parametros_manuales!$F$21*(datos_base!$G$4+IF(parametros_manuales!$H$21="Todos",datos_base!$G$11,0))*parametros_manuales!$H$107+parametros_manuales!$G$21*(datos_base!$G$5+IF(parametros_manuales!$H$21="Todos",datos_base!$G$12,0))*parametros_manuales!$H$112)*parametros_manuales!$I$21*parametros_manuales!$J$21+parametros_manuales!$H$165</f>
        <v>10660.9204496463</v>
      </c>
      <c r="I144" s="14" t="n">
        <f aca="false">(parametros_manuales!$D$21*(datos_base!$G$2+IF(parametros_manuales!$H$21="Todos",datos_base!$G$9,0))*parametros_manuales!$I$97+parametros_manuales!$E$21*(datos_base!$G$3+IF(parametros_manuales!$H$21="Todos",datos_base!$G$10,0))*parametros_manuales!$I$102+parametros_manuales!$F$21*(datos_base!$G$4+IF(parametros_manuales!$H$21="Todos",datos_base!$G$11,0))*parametros_manuales!$I$107+parametros_manuales!$G$21*(datos_base!$G$5+IF(parametros_manuales!$H$21="Todos",datos_base!$G$12,0))*parametros_manuales!$I$112)*parametros_manuales!$I$21*parametros_manuales!$J$21+parametros_manuales!$I$165</f>
        <v>11970.4272456963</v>
      </c>
      <c r="J144" s="14" t="n">
        <f aca="false">(parametros_manuales!$D$21*(datos_base!$G$2+IF(parametros_manuales!$H$21="Todos",datos_base!$G$9,0))*parametros_manuales!$J$97+parametros_manuales!$E$21*(datos_base!$G$3+IF(parametros_manuales!$H$21="Todos",datos_base!$G$10,0))*parametros_manuales!$J$102+parametros_manuales!$F$21*(datos_base!$G$4+IF(parametros_manuales!$H$21="Todos",datos_base!$G$11,0))*parametros_manuales!$J$107+parametros_manuales!$G$21*(datos_base!$G$5+IF(parametros_manuales!$H$21="Todos",datos_base!$G$12,0))*parametros_manuales!$J$112)*parametros_manuales!$I$21*parametros_manuales!$J$21+parametros_manuales!$J$165</f>
        <v>11904.2915486365</v>
      </c>
      <c r="K144" s="14" t="n">
        <f aca="false">(parametros_manuales!$D$21*(datos_base!$G$2+IF(parametros_manuales!$H$21="Todos",datos_base!$G$9,0))*parametros_manuales!$K$97+parametros_manuales!$E$21*(datos_base!$G$3+IF(parametros_manuales!$H$21="Todos",datos_base!$G$10,0))*parametros_manuales!$K$102+parametros_manuales!$F$21*(datos_base!$G$4+IF(parametros_manuales!$H$21="Todos",datos_base!$G$11,0))*parametros_manuales!$K$107+parametros_manuales!$G$21*(datos_base!$G$5+IF(parametros_manuales!$H$21="Todos",datos_base!$G$12,0))*parametros_manuales!$K$112)*parametros_manuales!$I$21*parametros_manuales!$J$21+parametros_manuales!$K$165</f>
        <v>11954.7041496619</v>
      </c>
      <c r="L144" s="14" t="n">
        <f aca="false">(parametros_manuales!$D$21*(datos_base!$G$2+IF(parametros_manuales!$H$21="Todos",datos_base!$G$9,0))*parametros_manuales!$L$97+parametros_manuales!$E$21*(datos_base!$G$3+IF(parametros_manuales!$H$21="Todos",datos_base!$G$10,0))*parametros_manuales!$L$102+parametros_manuales!$F$21*(datos_base!$G$4+IF(parametros_manuales!$H$21="Todos",datos_base!$G$11,0))*parametros_manuales!$L$107+parametros_manuales!$G$21*(datos_base!$G$5+IF(parametros_manuales!$H$21="Todos",datos_base!$G$12,0))*parametros_manuales!$L$112)*parametros_manuales!$I$21*parametros_manuales!$J$21+parametros_manuales!$L$165</f>
        <v>12071.2524477471</v>
      </c>
      <c r="M144" s="14" t="n">
        <f aca="false">(parametros_manuales!$D$21*(datos_base!$G$2+IF(parametros_manuales!$H$21="Todos",datos_base!$G$9,0))*parametros_manuales!$M$97+parametros_manuales!$E$21*(datos_base!$G$3+IF(parametros_manuales!$H$21="Todos",datos_base!$G$10,0))*parametros_manuales!$M$102+parametros_manuales!$F$21*(datos_base!$G$4+IF(parametros_manuales!$H$21="Todos",datos_base!$G$11,0))*parametros_manuales!$M$107+parametros_manuales!$G$21*(datos_base!$G$5+IF(parametros_manuales!$H$21="Todos",datos_base!$G$12,0))*parametros_manuales!$M$112)*parametros_manuales!$I$21*parametros_manuales!$J$21+parametros_manuales!$M$165</f>
        <v>12203.5238418667</v>
      </c>
      <c r="N144" s="14" t="n">
        <f aca="false">SUM(B144:M144)</f>
        <v>137064.391510959</v>
      </c>
      <c r="O144" s="14" t="n">
        <f aca="false">MAX(B144:M144)</f>
        <v>12269.6595389265</v>
      </c>
      <c r="P144" s="57" t="n">
        <f aca="false">O144/(parametros_manuales!$B$7)</f>
        <v>81.7977302595098</v>
      </c>
      <c r="Q144" s="13" t="str">
        <f aca="false">IF(O144=0,"-",INDEX($B$141:$M$141,MATCH(O144,B144:M144,0)))</f>
        <v>Ene</v>
      </c>
    </row>
    <row r="145" customFormat="false" ht="14.25" hidden="false" customHeight="true" outlineLevel="0" collapsed="false">
      <c r="A145" s="13" t="str">
        <f aca="false">parametros_manuales!$B$22</f>
        <v>Corte de disco y embutido (cúpula y fondo)</v>
      </c>
      <c r="B145" s="14" t="n">
        <f aca="false">(parametros_manuales!$D$22*(datos_base!$G$2+IF(parametros_manuales!$H$22="Todos",datos_base!$G$9,0))*parametros_manuales!$B$97+parametros_manuales!$E$22*(datos_base!$G$3+IF(parametros_manuales!$H$22="Todos",datos_base!$G$10,0))*parametros_manuales!$B$102+parametros_manuales!$F$22*(datos_base!$G$4+IF(parametros_manuales!$H$22="Todos",datos_base!$G$11,0))*parametros_manuales!$B$107+parametros_manuales!$G$22*(datos_base!$G$5+IF(parametros_manuales!$H$22="Todos",datos_base!$G$12,0))*parametros_manuales!$B$112)*parametros_manuales!$I$22*parametros_manuales!$J$22</f>
        <v>22290.70537782</v>
      </c>
      <c r="C145" s="14" t="n">
        <f aca="false">(parametros_manuales!$D$22*(datos_base!$G$2+IF(parametros_manuales!$H$22="Todos",datos_base!$G$9,0))*parametros_manuales!$C$97+parametros_manuales!$E$22*(datos_base!$G$3+IF(parametros_manuales!$H$22="Todos",datos_base!$G$10,0))*parametros_manuales!$C$102+parametros_manuales!$F$22*(datos_base!$G$4+IF(parametros_manuales!$H$22="Todos",datos_base!$G$11,0))*parametros_manuales!$C$107+parametros_manuales!$G$22*(datos_base!$G$5+IF(parametros_manuales!$H$22="Todos",datos_base!$G$12,0))*parametros_manuales!$C$112)*parametros_manuales!$I$22*parametros_manuales!$J$22</f>
        <v>21559.96939724</v>
      </c>
      <c r="D145" s="14" t="n">
        <f aca="false">(parametros_manuales!$D$22*(datos_base!$G$2+IF(parametros_manuales!$H$22="Todos",datos_base!$G$9,0))*parametros_manuales!$D$97+parametros_manuales!$E$22*(datos_base!$G$3+IF(parametros_manuales!$H$22="Todos",datos_base!$G$10,0))*parametros_manuales!$D$102+parametros_manuales!$F$22*(datos_base!$G$4+IF(parametros_manuales!$H$22="Todos",datos_base!$G$11,0))*parametros_manuales!$D$107+parametros_manuales!$G$22*(datos_base!$G$5+IF(parametros_manuales!$H$22="Todos",datos_base!$G$12,0))*parametros_manuales!$D$112)*parametros_manuales!$I$22*parametros_manuales!$J$22</f>
        <v>20179.32832613</v>
      </c>
      <c r="E145" s="14" t="n">
        <f aca="false">(parametros_manuales!$D$22*(datos_base!$G$2+IF(parametros_manuales!$H$22="Todos",datos_base!$G$9,0))*parametros_manuales!$E$97+parametros_manuales!$E$22*(datos_base!$G$3+IF(parametros_manuales!$H$22="Todos",datos_base!$G$10,0))*parametros_manuales!$E$102+parametros_manuales!$F$22*(datos_base!$G$4+IF(parametros_manuales!$H$22="Todos",datos_base!$G$11,0))*parametros_manuales!$E$107+parametros_manuales!$G$22*(datos_base!$G$5+IF(parametros_manuales!$H$22="Todos",datos_base!$G$12,0))*parametros_manuales!$E$112)*parametros_manuales!$I$22*parametros_manuales!$J$22</f>
        <v>19306.32379543</v>
      </c>
      <c r="F145" s="14" t="n">
        <f aca="false">(parametros_manuales!$D$22*(datos_base!$G$2+IF(parametros_manuales!$H$22="Todos",datos_base!$G$9,0))*parametros_manuales!$F$97+parametros_manuales!$E$22*(datos_base!$G$3+IF(parametros_manuales!$H$22="Todos",datos_base!$G$10,0))*parametros_manuales!$F$102+parametros_manuales!$F$22*(datos_base!$G$4+IF(parametros_manuales!$H$22="Todos",datos_base!$G$11,0))*parametros_manuales!$F$107+parametros_manuales!$G$22*(datos_base!$G$5+IF(parametros_manuales!$H$22="Todos",datos_base!$G$12,0))*parametros_manuales!$F$112)*parametros_manuales!$I$22*parametros_manuales!$J$22</f>
        <v>18067.95127444</v>
      </c>
      <c r="G145" s="14" t="n">
        <f aca="false">(parametros_manuales!$D$22*(datos_base!$G$2+IF(parametros_manuales!$H$22="Todos",datos_base!$G$9,0))*parametros_manuales!$G$97+parametros_manuales!$E$22*(datos_base!$G$3+IF(parametros_manuales!$H$22="Todos",datos_base!$G$10,0))*parametros_manuales!$G$102+parametros_manuales!$F$22*(datos_base!$G$4+IF(parametros_manuales!$H$22="Todos",datos_base!$G$11,0))*parametros_manuales!$G$107+parametros_manuales!$G$22*(datos_base!$G$5+IF(parametros_manuales!$H$22="Todos",datos_base!$G$12,0))*parametros_manuales!$G$112)*parametros_manuales!$I$22*parametros_manuales!$J$22</f>
        <v>17702.58328415</v>
      </c>
      <c r="H145" s="14" t="n">
        <f aca="false">(parametros_manuales!$D$22*(datos_base!$G$2+IF(parametros_manuales!$H$22="Todos",datos_base!$G$9,0))*parametros_manuales!$H$97+parametros_manuales!$E$22*(datos_base!$G$3+IF(parametros_manuales!$H$22="Todos",datos_base!$G$10,0))*parametros_manuales!$H$102+parametros_manuales!$F$22*(datos_base!$G$4+IF(parametros_manuales!$H$22="Todos",datos_base!$G$11,0))*parametros_manuales!$H$107+parametros_manuales!$G$22*(datos_base!$G$5+IF(parametros_manuales!$H$22="Todos",datos_base!$G$12,0))*parametros_manuales!$H$112)*parametros_manuales!$I$22*parametros_manuales!$J$22</f>
        <v>18940.95580514</v>
      </c>
      <c r="I145" s="14" t="n">
        <f aca="false">(parametros_manuales!$D$22*(datos_base!$G$2+IF(parametros_manuales!$H$22="Todos",datos_base!$G$9,0))*parametros_manuales!$I$97+parametros_manuales!$E$22*(datos_base!$G$3+IF(parametros_manuales!$H$22="Todos",datos_base!$G$10,0))*parametros_manuales!$I$102+parametros_manuales!$F$22*(datos_base!$G$4+IF(parametros_manuales!$H$22="Todos",datos_base!$G$11,0))*parametros_manuales!$I$107+parametros_manuales!$G$22*(datos_base!$G$5+IF(parametros_manuales!$H$22="Todos",datos_base!$G$12,0))*parametros_manuales!$I$112)*parametros_manuales!$I$22*parametros_manuales!$J$22</f>
        <v>21559.96939724</v>
      </c>
      <c r="J145" s="14" t="n">
        <f aca="false">(parametros_manuales!$D$22*(datos_base!$G$2+IF(parametros_manuales!$H$22="Todos",datos_base!$G$9,0))*parametros_manuales!$J$97+parametros_manuales!$E$22*(datos_base!$G$3+IF(parametros_manuales!$H$22="Todos",datos_base!$G$10,0))*parametros_manuales!$J$102+parametros_manuales!$F$22*(datos_base!$G$4+IF(parametros_manuales!$H$22="Todos",datos_base!$G$11,0))*parametros_manuales!$J$107+parametros_manuales!$G$22*(datos_base!$G$5+IF(parametros_manuales!$H$22="Todos",datos_base!$G$12,0))*parametros_manuales!$J$112)*parametros_manuales!$I$22*parametros_manuales!$J$22</f>
        <v>21559.96939724</v>
      </c>
      <c r="K145" s="14" t="n">
        <f aca="false">(parametros_manuales!$D$22*(datos_base!$G$2+IF(parametros_manuales!$H$22="Todos",datos_base!$G$9,0))*parametros_manuales!$K$97+parametros_manuales!$E$22*(datos_base!$G$3+IF(parametros_manuales!$H$22="Todos",datos_base!$G$10,0))*parametros_manuales!$K$102+parametros_manuales!$F$22*(datos_base!$G$4+IF(parametros_manuales!$H$22="Todos",datos_base!$G$11,0))*parametros_manuales!$K$107+parametros_manuales!$G$22*(datos_base!$G$5+IF(parametros_manuales!$H$22="Todos",datos_base!$G$12,0))*parametros_manuales!$K$112)*parametros_manuales!$I$22*parametros_manuales!$J$22</f>
        <v>21925.33738753</v>
      </c>
      <c r="L145" s="14" t="n">
        <f aca="false">(parametros_manuales!$D$22*(datos_base!$G$2+IF(parametros_manuales!$H$22="Todos",datos_base!$G$9,0))*parametros_manuales!$L$97+parametros_manuales!$E$22*(datos_base!$G$3+IF(parametros_manuales!$H$22="Todos",datos_base!$G$10,0))*parametros_manuales!$L$102+parametros_manuales!$F$22*(datos_base!$G$4+IF(parametros_manuales!$H$22="Todos",datos_base!$G$11,0))*parametros_manuales!$L$107+parametros_manuales!$G$22*(datos_base!$G$5+IF(parametros_manuales!$H$22="Todos",datos_base!$G$12,0))*parametros_manuales!$L$112)*parametros_manuales!$I$22*parametros_manuales!$J$22</f>
        <v>22290.70537782</v>
      </c>
      <c r="M145" s="14" t="n">
        <f aca="false">(parametros_manuales!$D$22*(datos_base!$G$2+IF(parametros_manuales!$H$22="Todos",datos_base!$G$9,0))*parametros_manuales!$M$97+parametros_manuales!$E$22*(datos_base!$G$3+IF(parametros_manuales!$H$22="Todos",datos_base!$G$10,0))*parametros_manuales!$M$102+parametros_manuales!$F$22*(datos_base!$G$4+IF(parametros_manuales!$H$22="Todos",datos_base!$G$11,0))*parametros_manuales!$M$107+parametros_manuales!$G$22*(datos_base!$G$5+IF(parametros_manuales!$H$22="Todos",datos_base!$G$12,0))*parametros_manuales!$M$112)*parametros_manuales!$I$22*parametros_manuales!$J$22</f>
        <v>22290.70537782</v>
      </c>
      <c r="N145" s="14" t="n">
        <f aca="false">SUM(B145:M145)</f>
        <v>247674.504198</v>
      </c>
      <c r="O145" s="14" t="n">
        <f aca="false">MAX(B145:M145)</f>
        <v>22290.70537782</v>
      </c>
      <c r="P145" s="57" t="n">
        <f aca="false">O145/(parametros_manuales!$B$7)</f>
        <v>148.6047025188</v>
      </c>
      <c r="Q145" s="13" t="str">
        <f aca="false">IF(O145=0,"-",INDEX($B$141:$M$141,MATCH(O145,B145:M145,0)))</f>
        <v>Ene</v>
      </c>
    </row>
    <row r="146" customFormat="false" ht="14.25" hidden="false" customHeight="true" outlineLevel="0" collapsed="false">
      <c r="A146" s="13" t="str">
        <f aca="false">parametros_manuales!$B$23</f>
        <v>Preparación de cuello</v>
      </c>
      <c r="B146" s="14" t="n">
        <f aca="false">(parametros_manuales!$D$23*(datos_base!$G$2+IF(parametros_manuales!$H$23="Todos",datos_base!$G$9,0))*parametros_manuales!$B$97+parametros_manuales!$E$23*(datos_base!$G$3+IF(parametros_manuales!$H$23="Todos",datos_base!$G$10,0))*parametros_manuales!$B$102+parametros_manuales!$F$23*(datos_base!$G$4+IF(parametros_manuales!$H$23="Todos",datos_base!$G$11,0))*parametros_manuales!$B$107+parametros_manuales!$G$23*(datos_base!$G$5+IF(parametros_manuales!$H$23="Todos",datos_base!$G$12,0))*parametros_manuales!$B$112)*parametros_manuales!$I$23*parametros_manuales!$J$23</f>
        <v>11145.35268891</v>
      </c>
      <c r="C146" s="14" t="n">
        <f aca="false">(parametros_manuales!$D$23*(datos_base!$G$2+IF(parametros_manuales!$H$23="Todos",datos_base!$G$9,0))*parametros_manuales!$C$97+parametros_manuales!$E$23*(datos_base!$G$3+IF(parametros_manuales!$H$23="Todos",datos_base!$G$10,0))*parametros_manuales!$C$102+parametros_manuales!$F$23*(datos_base!$G$4+IF(parametros_manuales!$H$23="Todos",datos_base!$G$11,0))*parametros_manuales!$C$107+parametros_manuales!$G$23*(datos_base!$G$5+IF(parametros_manuales!$H$23="Todos",datos_base!$G$12,0))*parametros_manuales!$C$112)*parametros_manuales!$I$23*parametros_manuales!$J$23</f>
        <v>10779.98469862</v>
      </c>
      <c r="D146" s="14" t="n">
        <f aca="false">(parametros_manuales!$D$23*(datos_base!$G$2+IF(parametros_manuales!$H$23="Todos",datos_base!$G$9,0))*parametros_manuales!$D$97+parametros_manuales!$E$23*(datos_base!$G$3+IF(parametros_manuales!$H$23="Todos",datos_base!$G$10,0))*parametros_manuales!$D$102+parametros_manuales!$F$23*(datos_base!$G$4+IF(parametros_manuales!$H$23="Todos",datos_base!$G$11,0))*parametros_manuales!$D$107+parametros_manuales!$G$23*(datos_base!$G$5+IF(parametros_manuales!$H$23="Todos",datos_base!$G$12,0))*parametros_manuales!$D$112)*parametros_manuales!$I$23*parametros_manuales!$J$23</f>
        <v>10089.664163065</v>
      </c>
      <c r="E146" s="14" t="n">
        <f aca="false">(parametros_manuales!$D$23*(datos_base!$G$2+IF(parametros_manuales!$H$23="Todos",datos_base!$G$9,0))*parametros_manuales!$E$97+parametros_manuales!$E$23*(datos_base!$G$3+IF(parametros_manuales!$H$23="Todos",datos_base!$G$10,0))*parametros_manuales!$E$102+parametros_manuales!$F$23*(datos_base!$G$4+IF(parametros_manuales!$H$23="Todos",datos_base!$G$11,0))*parametros_manuales!$E$107+parametros_manuales!$G$23*(datos_base!$G$5+IF(parametros_manuales!$H$23="Todos",datos_base!$G$12,0))*parametros_manuales!$E$112)*parametros_manuales!$I$23*parametros_manuales!$J$23</f>
        <v>9653.161897715</v>
      </c>
      <c r="F146" s="14" t="n">
        <f aca="false">(parametros_manuales!$D$23*(datos_base!$G$2+IF(parametros_manuales!$H$23="Todos",datos_base!$G$9,0))*parametros_manuales!$F$97+parametros_manuales!$E$23*(datos_base!$G$3+IF(parametros_manuales!$H$23="Todos",datos_base!$G$10,0))*parametros_manuales!$F$102+parametros_manuales!$F$23*(datos_base!$G$4+IF(parametros_manuales!$H$23="Todos",datos_base!$G$11,0))*parametros_manuales!$F$107+parametros_manuales!$G$23*(datos_base!$G$5+IF(parametros_manuales!$H$23="Todos",datos_base!$G$12,0))*parametros_manuales!$F$112)*parametros_manuales!$I$23*parametros_manuales!$J$23</f>
        <v>9033.97563722</v>
      </c>
      <c r="G146" s="14" t="n">
        <f aca="false">(parametros_manuales!$D$23*(datos_base!$G$2+IF(parametros_manuales!$H$23="Todos",datos_base!$G$9,0))*parametros_manuales!$G$97+parametros_manuales!$E$23*(datos_base!$G$3+IF(parametros_manuales!$H$23="Todos",datos_base!$G$10,0))*parametros_manuales!$G$102+parametros_manuales!$F$23*(datos_base!$G$4+IF(parametros_manuales!$H$23="Todos",datos_base!$G$11,0))*parametros_manuales!$G$107+parametros_manuales!$G$23*(datos_base!$G$5+IF(parametros_manuales!$H$23="Todos",datos_base!$G$12,0))*parametros_manuales!$G$112)*parametros_manuales!$I$23*parametros_manuales!$J$23</f>
        <v>8851.291642075</v>
      </c>
      <c r="H146" s="14" t="n">
        <f aca="false">(parametros_manuales!$D$23*(datos_base!$G$2+IF(parametros_manuales!$H$23="Todos",datos_base!$G$9,0))*parametros_manuales!$H$97+parametros_manuales!$E$23*(datos_base!$G$3+IF(parametros_manuales!$H$23="Todos",datos_base!$G$10,0))*parametros_manuales!$H$102+parametros_manuales!$F$23*(datos_base!$G$4+IF(parametros_manuales!$H$23="Todos",datos_base!$G$11,0))*parametros_manuales!$H$107+parametros_manuales!$G$23*(datos_base!$G$5+IF(parametros_manuales!$H$23="Todos",datos_base!$G$12,0))*parametros_manuales!$H$112)*parametros_manuales!$I$23*parametros_manuales!$J$23</f>
        <v>9470.47790257</v>
      </c>
      <c r="I146" s="14" t="n">
        <f aca="false">(parametros_manuales!$D$23*(datos_base!$G$2+IF(parametros_manuales!$H$23="Todos",datos_base!$G$9,0))*parametros_manuales!$I$97+parametros_manuales!$E$23*(datos_base!$G$3+IF(parametros_manuales!$H$23="Todos",datos_base!$G$10,0))*parametros_manuales!$I$102+parametros_manuales!$F$23*(datos_base!$G$4+IF(parametros_manuales!$H$23="Todos",datos_base!$G$11,0))*parametros_manuales!$I$107+parametros_manuales!$G$23*(datos_base!$G$5+IF(parametros_manuales!$H$23="Todos",datos_base!$G$12,0))*parametros_manuales!$I$112)*parametros_manuales!$I$23*parametros_manuales!$J$23</f>
        <v>10779.98469862</v>
      </c>
      <c r="J146" s="14" t="n">
        <f aca="false">(parametros_manuales!$D$23*(datos_base!$G$2+IF(parametros_manuales!$H$23="Todos",datos_base!$G$9,0))*parametros_manuales!$J$97+parametros_manuales!$E$23*(datos_base!$G$3+IF(parametros_manuales!$H$23="Todos",datos_base!$G$10,0))*parametros_manuales!$J$102+parametros_manuales!$F$23*(datos_base!$G$4+IF(parametros_manuales!$H$23="Todos",datos_base!$G$11,0))*parametros_manuales!$J$107+parametros_manuales!$G$23*(datos_base!$G$5+IF(parametros_manuales!$H$23="Todos",datos_base!$G$12,0))*parametros_manuales!$J$112)*parametros_manuales!$I$23*parametros_manuales!$J$23</f>
        <v>10779.98469862</v>
      </c>
      <c r="K146" s="14" t="n">
        <f aca="false">(parametros_manuales!$D$23*(datos_base!$G$2+IF(parametros_manuales!$H$23="Todos",datos_base!$G$9,0))*parametros_manuales!$K$97+parametros_manuales!$E$23*(datos_base!$G$3+IF(parametros_manuales!$H$23="Todos",datos_base!$G$10,0))*parametros_manuales!$K$102+parametros_manuales!$F$23*(datos_base!$G$4+IF(parametros_manuales!$H$23="Todos",datos_base!$G$11,0))*parametros_manuales!$K$107+parametros_manuales!$G$23*(datos_base!$G$5+IF(parametros_manuales!$H$23="Todos",datos_base!$G$12,0))*parametros_manuales!$K$112)*parametros_manuales!$I$23*parametros_manuales!$J$23</f>
        <v>10962.668693765</v>
      </c>
      <c r="L146" s="14" t="n">
        <f aca="false">(parametros_manuales!$D$23*(datos_base!$G$2+IF(parametros_manuales!$H$23="Todos",datos_base!$G$9,0))*parametros_manuales!$L$97+parametros_manuales!$E$23*(datos_base!$G$3+IF(parametros_manuales!$H$23="Todos",datos_base!$G$10,0))*parametros_manuales!$L$102+parametros_manuales!$F$23*(datos_base!$G$4+IF(parametros_manuales!$H$23="Todos",datos_base!$G$11,0))*parametros_manuales!$L$107+parametros_manuales!$G$23*(datos_base!$G$5+IF(parametros_manuales!$H$23="Todos",datos_base!$G$12,0))*parametros_manuales!$L$112)*parametros_manuales!$I$23*parametros_manuales!$J$23</f>
        <v>11145.35268891</v>
      </c>
      <c r="M146" s="14" t="n">
        <f aca="false">(parametros_manuales!$D$23*(datos_base!$G$2+IF(parametros_manuales!$H$23="Todos",datos_base!$G$9,0))*parametros_manuales!$M$97+parametros_manuales!$E$23*(datos_base!$G$3+IF(parametros_manuales!$H$23="Todos",datos_base!$G$10,0))*parametros_manuales!$M$102+parametros_manuales!$F$23*(datos_base!$G$4+IF(parametros_manuales!$H$23="Todos",datos_base!$G$11,0))*parametros_manuales!$M$107+parametros_manuales!$G$23*(datos_base!$G$5+IF(parametros_manuales!$H$23="Todos",datos_base!$G$12,0))*parametros_manuales!$M$112)*parametros_manuales!$I$23*parametros_manuales!$J$23</f>
        <v>11145.35268891</v>
      </c>
      <c r="N146" s="14" t="n">
        <f aca="false">SUM(B146:M146)</f>
        <v>123837.252099</v>
      </c>
      <c r="O146" s="14" t="n">
        <f aca="false">MAX(B146:M146)</f>
        <v>11145.35268891</v>
      </c>
      <c r="P146" s="57" t="n">
        <f aca="false">O146/(parametros_manuales!$B$7)</f>
        <v>74.3023512594</v>
      </c>
      <c r="Q146" s="13" t="str">
        <f aca="false">IF(O146=0,"-",INDEX($B$141:$M$141,MATCH(O146,B146:M146,0)))</f>
        <v>Ene</v>
      </c>
    </row>
    <row r="147" customFormat="false" ht="14.25" hidden="false" customHeight="true" outlineLevel="0" collapsed="false">
      <c r="A147" s="13" t="str">
        <f aca="false">parametros_manuales!$B$24</f>
        <v>Numerado de cúpula</v>
      </c>
      <c r="B147" s="14" t="n">
        <f aca="false">(parametros_manuales!$D$24*(datos_base!$G$2+IF(parametros_manuales!$H$24="Todos",datos_base!$G$9,0))*parametros_manuales!$B$97+parametros_manuales!$E$24*(datos_base!$G$3+IF(parametros_manuales!$H$24="Todos",datos_base!$G$10,0))*parametros_manuales!$B$102+parametros_manuales!$F$24*(datos_base!$G$4+IF(parametros_manuales!$H$24="Todos",datos_base!$G$11,0))*parametros_manuales!$B$107+parametros_manuales!$G$24*(datos_base!$G$5+IF(parametros_manuales!$H$24="Todos",datos_base!$G$12,0))*parametros_manuales!$B$112)*parametros_manuales!$I$24*parametros_manuales!$J$24</f>
        <v>11145.35268891</v>
      </c>
      <c r="C147" s="14" t="n">
        <f aca="false">(parametros_manuales!$D$24*(datos_base!$G$2+IF(parametros_manuales!$H$24="Todos",datos_base!$G$9,0))*parametros_manuales!$C$97+parametros_manuales!$E$24*(datos_base!$G$3+IF(parametros_manuales!$H$24="Todos",datos_base!$G$10,0))*parametros_manuales!$C$102+parametros_manuales!$F$24*(datos_base!$G$4+IF(parametros_manuales!$H$24="Todos",datos_base!$G$11,0))*parametros_manuales!$C$107+parametros_manuales!$G$24*(datos_base!$G$5+IF(parametros_manuales!$H$24="Todos",datos_base!$G$12,0))*parametros_manuales!$C$112)*parametros_manuales!$I$24*parametros_manuales!$J$24</f>
        <v>10779.98469862</v>
      </c>
      <c r="D147" s="14" t="n">
        <f aca="false">(parametros_manuales!$D$24*(datos_base!$G$2+IF(parametros_manuales!$H$24="Todos",datos_base!$G$9,0))*parametros_manuales!$D$97+parametros_manuales!$E$24*(datos_base!$G$3+IF(parametros_manuales!$H$24="Todos",datos_base!$G$10,0))*parametros_manuales!$D$102+parametros_manuales!$F$24*(datos_base!$G$4+IF(parametros_manuales!$H$24="Todos",datos_base!$G$11,0))*parametros_manuales!$D$107+parametros_manuales!$G$24*(datos_base!$G$5+IF(parametros_manuales!$H$24="Todos",datos_base!$G$12,0))*parametros_manuales!$D$112)*parametros_manuales!$I$24*parametros_manuales!$J$24</f>
        <v>10089.664163065</v>
      </c>
      <c r="E147" s="14" t="n">
        <f aca="false">(parametros_manuales!$D$24*(datos_base!$G$2+IF(parametros_manuales!$H$24="Todos",datos_base!$G$9,0))*parametros_manuales!$E$97+parametros_manuales!$E$24*(datos_base!$G$3+IF(parametros_manuales!$H$24="Todos",datos_base!$G$10,0))*parametros_manuales!$E$102+parametros_manuales!$F$24*(datos_base!$G$4+IF(parametros_manuales!$H$24="Todos",datos_base!$G$11,0))*parametros_manuales!$E$107+parametros_manuales!$G$24*(datos_base!$G$5+IF(parametros_manuales!$H$24="Todos",datos_base!$G$12,0))*parametros_manuales!$E$112)*parametros_manuales!$I$24*parametros_manuales!$J$24</f>
        <v>9653.161897715</v>
      </c>
      <c r="F147" s="14" t="n">
        <f aca="false">(parametros_manuales!$D$24*(datos_base!$G$2+IF(parametros_manuales!$H$24="Todos",datos_base!$G$9,0))*parametros_manuales!$F$97+parametros_manuales!$E$24*(datos_base!$G$3+IF(parametros_manuales!$H$24="Todos",datos_base!$G$10,0))*parametros_manuales!$F$102+parametros_manuales!$F$24*(datos_base!$G$4+IF(parametros_manuales!$H$24="Todos",datos_base!$G$11,0))*parametros_manuales!$F$107+parametros_manuales!$G$24*(datos_base!$G$5+IF(parametros_manuales!$H$24="Todos",datos_base!$G$12,0))*parametros_manuales!$F$112)*parametros_manuales!$I$24*parametros_manuales!$J$24</f>
        <v>9033.97563722</v>
      </c>
      <c r="G147" s="14" t="n">
        <f aca="false">(parametros_manuales!$D$24*(datos_base!$G$2+IF(parametros_manuales!$H$24="Todos",datos_base!$G$9,0))*parametros_manuales!$G$97+parametros_manuales!$E$24*(datos_base!$G$3+IF(parametros_manuales!$H$24="Todos",datos_base!$G$10,0))*parametros_manuales!$G$102+parametros_manuales!$F$24*(datos_base!$G$4+IF(parametros_manuales!$H$24="Todos",datos_base!$G$11,0))*parametros_manuales!$G$107+parametros_manuales!$G$24*(datos_base!$G$5+IF(parametros_manuales!$H$24="Todos",datos_base!$G$12,0))*parametros_manuales!$G$112)*parametros_manuales!$I$24*parametros_manuales!$J$24</f>
        <v>8851.291642075</v>
      </c>
      <c r="H147" s="14" t="n">
        <f aca="false">(parametros_manuales!$D$24*(datos_base!$G$2+IF(parametros_manuales!$H$24="Todos",datos_base!$G$9,0))*parametros_manuales!$H$97+parametros_manuales!$E$24*(datos_base!$G$3+IF(parametros_manuales!$H$24="Todos",datos_base!$G$10,0))*parametros_manuales!$H$102+parametros_manuales!$F$24*(datos_base!$G$4+IF(parametros_manuales!$H$24="Todos",datos_base!$G$11,0))*parametros_manuales!$H$107+parametros_manuales!$G$24*(datos_base!$G$5+IF(parametros_manuales!$H$24="Todos",datos_base!$G$12,0))*parametros_manuales!$H$112)*parametros_manuales!$I$24*parametros_manuales!$J$24</f>
        <v>9470.47790257</v>
      </c>
      <c r="I147" s="14" t="n">
        <f aca="false">(parametros_manuales!$D$24*(datos_base!$G$2+IF(parametros_manuales!$H$24="Todos",datos_base!$G$9,0))*parametros_manuales!$I$97+parametros_manuales!$E$24*(datos_base!$G$3+IF(parametros_manuales!$H$24="Todos",datos_base!$G$10,0))*parametros_manuales!$I$102+parametros_manuales!$F$24*(datos_base!$G$4+IF(parametros_manuales!$H$24="Todos",datos_base!$G$11,0))*parametros_manuales!$I$107+parametros_manuales!$G$24*(datos_base!$G$5+IF(parametros_manuales!$H$24="Todos",datos_base!$G$12,0))*parametros_manuales!$I$112)*parametros_manuales!$I$24*parametros_manuales!$J$24</f>
        <v>10779.98469862</v>
      </c>
      <c r="J147" s="14" t="n">
        <f aca="false">(parametros_manuales!$D$24*(datos_base!$G$2+IF(parametros_manuales!$H$24="Todos",datos_base!$G$9,0))*parametros_manuales!$J$97+parametros_manuales!$E$24*(datos_base!$G$3+IF(parametros_manuales!$H$24="Todos",datos_base!$G$10,0))*parametros_manuales!$J$102+parametros_manuales!$F$24*(datos_base!$G$4+IF(parametros_manuales!$H$24="Todos",datos_base!$G$11,0))*parametros_manuales!$J$107+parametros_manuales!$G$24*(datos_base!$G$5+IF(parametros_manuales!$H$24="Todos",datos_base!$G$12,0))*parametros_manuales!$J$112)*parametros_manuales!$I$24*parametros_manuales!$J$24</f>
        <v>10779.98469862</v>
      </c>
      <c r="K147" s="14" t="n">
        <f aca="false">(parametros_manuales!$D$24*(datos_base!$G$2+IF(parametros_manuales!$H$24="Todos",datos_base!$G$9,0))*parametros_manuales!$K$97+parametros_manuales!$E$24*(datos_base!$G$3+IF(parametros_manuales!$H$24="Todos",datos_base!$G$10,0))*parametros_manuales!$K$102+parametros_manuales!$F$24*(datos_base!$G$4+IF(parametros_manuales!$H$24="Todos",datos_base!$G$11,0))*parametros_manuales!$K$107+parametros_manuales!$G$24*(datos_base!$G$5+IF(parametros_manuales!$H$24="Todos",datos_base!$G$12,0))*parametros_manuales!$K$112)*parametros_manuales!$I$24*parametros_manuales!$J$24</f>
        <v>10962.668693765</v>
      </c>
      <c r="L147" s="14" t="n">
        <f aca="false">(parametros_manuales!$D$24*(datos_base!$G$2+IF(parametros_manuales!$H$24="Todos",datos_base!$G$9,0))*parametros_manuales!$L$97+parametros_manuales!$E$24*(datos_base!$G$3+IF(parametros_manuales!$H$24="Todos",datos_base!$G$10,0))*parametros_manuales!$L$102+parametros_manuales!$F$24*(datos_base!$G$4+IF(parametros_manuales!$H$24="Todos",datos_base!$G$11,0))*parametros_manuales!$L$107+parametros_manuales!$G$24*(datos_base!$G$5+IF(parametros_manuales!$H$24="Todos",datos_base!$G$12,0))*parametros_manuales!$L$112)*parametros_manuales!$I$24*parametros_manuales!$J$24</f>
        <v>11145.35268891</v>
      </c>
      <c r="M147" s="14" t="n">
        <f aca="false">(parametros_manuales!$D$24*(datos_base!$G$2+IF(parametros_manuales!$H$24="Todos",datos_base!$G$9,0))*parametros_manuales!$M$97+parametros_manuales!$E$24*(datos_base!$G$3+IF(parametros_manuales!$H$24="Todos",datos_base!$G$10,0))*parametros_manuales!$M$102+parametros_manuales!$F$24*(datos_base!$G$4+IF(parametros_manuales!$H$24="Todos",datos_base!$G$11,0))*parametros_manuales!$M$107+parametros_manuales!$G$24*(datos_base!$G$5+IF(parametros_manuales!$H$24="Todos",datos_base!$G$12,0))*parametros_manuales!$M$112)*parametros_manuales!$I$24*parametros_manuales!$J$24</f>
        <v>11145.35268891</v>
      </c>
      <c r="N147" s="14" t="n">
        <f aca="false">SUM(B147:M147)</f>
        <v>123837.252099</v>
      </c>
      <c r="O147" s="14" t="n">
        <f aca="false">MAX(B147:M147)</f>
        <v>11145.35268891</v>
      </c>
      <c r="P147" s="57" t="n">
        <f aca="false">O147/(parametros_manuales!$B$7)</f>
        <v>74.3023512594</v>
      </c>
      <c r="Q147" s="13" t="str">
        <f aca="false">IF(O147=0,"-",INDEX($B$141:$M$141,MATCH(O147,B147:M147,0)))</f>
        <v>Ene</v>
      </c>
    </row>
    <row r="148" customFormat="false" ht="14.25" hidden="false" customHeight="true" outlineLevel="0" collapsed="false">
      <c r="A148" s="13" t="str">
        <f aca="false">parametros_manuales!$B$25</f>
        <v>Soldadura del cuello a la cúpula</v>
      </c>
      <c r="B148" s="14" t="n">
        <f aca="false">(parametros_manuales!$D$25*(datos_base!$G$2+IF(parametros_manuales!$H$25="Todos",datos_base!$G$9,0))*parametros_manuales!$B$97+parametros_manuales!$E$25*(datos_base!$G$3+IF(parametros_manuales!$H$25="Todos",datos_base!$G$10,0))*parametros_manuales!$B$102+parametros_manuales!$F$25*(datos_base!$G$4+IF(parametros_manuales!$H$25="Todos",datos_base!$G$11,0))*parametros_manuales!$B$107+parametros_manuales!$G$25*(datos_base!$G$5+IF(parametros_manuales!$H$25="Todos",datos_base!$G$12,0))*parametros_manuales!$B$112)*parametros_manuales!$I$25*parametros_manuales!$J$25</f>
        <v>11145.35268891</v>
      </c>
      <c r="C148" s="14" t="n">
        <f aca="false">(parametros_manuales!$D$25*(datos_base!$G$2+IF(parametros_manuales!$H$25="Todos",datos_base!$G$9,0))*parametros_manuales!$C$97+parametros_manuales!$E$25*(datos_base!$G$3+IF(parametros_manuales!$H$25="Todos",datos_base!$G$10,0))*parametros_manuales!$C$102+parametros_manuales!$F$25*(datos_base!$G$4+IF(parametros_manuales!$H$25="Todos",datos_base!$G$11,0))*parametros_manuales!$C$107+parametros_manuales!$G$25*(datos_base!$G$5+IF(parametros_manuales!$H$25="Todos",datos_base!$G$12,0))*parametros_manuales!$C$112)*parametros_manuales!$I$25*parametros_manuales!$J$25</f>
        <v>10779.98469862</v>
      </c>
      <c r="D148" s="14" t="n">
        <f aca="false">(parametros_manuales!$D$25*(datos_base!$G$2+IF(parametros_manuales!$H$25="Todos",datos_base!$G$9,0))*parametros_manuales!$D$97+parametros_manuales!$E$25*(datos_base!$G$3+IF(parametros_manuales!$H$25="Todos",datos_base!$G$10,0))*parametros_manuales!$D$102+parametros_manuales!$F$25*(datos_base!$G$4+IF(parametros_manuales!$H$25="Todos",datos_base!$G$11,0))*parametros_manuales!$D$107+parametros_manuales!$G$25*(datos_base!$G$5+IF(parametros_manuales!$H$25="Todos",datos_base!$G$12,0))*parametros_manuales!$D$112)*parametros_manuales!$I$25*parametros_manuales!$J$25</f>
        <v>10089.664163065</v>
      </c>
      <c r="E148" s="14" t="n">
        <f aca="false">(parametros_manuales!$D$25*(datos_base!$G$2+IF(parametros_manuales!$H$25="Todos",datos_base!$G$9,0))*parametros_manuales!$E$97+parametros_manuales!$E$25*(datos_base!$G$3+IF(parametros_manuales!$H$25="Todos",datos_base!$G$10,0))*parametros_manuales!$E$102+parametros_manuales!$F$25*(datos_base!$G$4+IF(parametros_manuales!$H$25="Todos",datos_base!$G$11,0))*parametros_manuales!$E$107+parametros_manuales!$G$25*(datos_base!$G$5+IF(parametros_manuales!$H$25="Todos",datos_base!$G$12,0))*parametros_manuales!$E$112)*parametros_manuales!$I$25*parametros_manuales!$J$25</f>
        <v>9653.161897715</v>
      </c>
      <c r="F148" s="14" t="n">
        <f aca="false">(parametros_manuales!$D$25*(datos_base!$G$2+IF(parametros_manuales!$H$25="Todos",datos_base!$G$9,0))*parametros_manuales!$F$97+parametros_manuales!$E$25*(datos_base!$G$3+IF(parametros_manuales!$H$25="Todos",datos_base!$G$10,0))*parametros_manuales!$F$102+parametros_manuales!$F$25*(datos_base!$G$4+IF(parametros_manuales!$H$25="Todos",datos_base!$G$11,0))*parametros_manuales!$F$107+parametros_manuales!$G$25*(datos_base!$G$5+IF(parametros_manuales!$H$25="Todos",datos_base!$G$12,0))*parametros_manuales!$F$112)*parametros_manuales!$I$25*parametros_manuales!$J$25</f>
        <v>9033.97563722</v>
      </c>
      <c r="G148" s="14" t="n">
        <f aca="false">(parametros_manuales!$D$25*(datos_base!$G$2+IF(parametros_manuales!$H$25="Todos",datos_base!$G$9,0))*parametros_manuales!$G$97+parametros_manuales!$E$25*(datos_base!$G$3+IF(parametros_manuales!$H$25="Todos",datos_base!$G$10,0))*parametros_manuales!$G$102+parametros_manuales!$F$25*(datos_base!$G$4+IF(parametros_manuales!$H$25="Todos",datos_base!$G$11,0))*parametros_manuales!$G$107+parametros_manuales!$G$25*(datos_base!$G$5+IF(parametros_manuales!$H$25="Todos",datos_base!$G$12,0))*parametros_manuales!$G$112)*parametros_manuales!$I$25*parametros_manuales!$J$25</f>
        <v>8851.291642075</v>
      </c>
      <c r="H148" s="14" t="n">
        <f aca="false">(parametros_manuales!$D$25*(datos_base!$G$2+IF(parametros_manuales!$H$25="Todos",datos_base!$G$9,0))*parametros_manuales!$H$97+parametros_manuales!$E$25*(datos_base!$G$3+IF(parametros_manuales!$H$25="Todos",datos_base!$G$10,0))*parametros_manuales!$H$102+parametros_manuales!$F$25*(datos_base!$G$4+IF(parametros_manuales!$H$25="Todos",datos_base!$G$11,0))*parametros_manuales!$H$107+parametros_manuales!$G$25*(datos_base!$G$5+IF(parametros_manuales!$H$25="Todos",datos_base!$G$12,0))*parametros_manuales!$H$112)*parametros_manuales!$I$25*parametros_manuales!$J$25</f>
        <v>9470.47790257</v>
      </c>
      <c r="I148" s="14" t="n">
        <f aca="false">(parametros_manuales!$D$25*(datos_base!$G$2+IF(parametros_manuales!$H$25="Todos",datos_base!$G$9,0))*parametros_manuales!$I$97+parametros_manuales!$E$25*(datos_base!$G$3+IF(parametros_manuales!$H$25="Todos",datos_base!$G$10,0))*parametros_manuales!$I$102+parametros_manuales!$F$25*(datos_base!$G$4+IF(parametros_manuales!$H$25="Todos",datos_base!$G$11,0))*parametros_manuales!$I$107+parametros_manuales!$G$25*(datos_base!$G$5+IF(parametros_manuales!$H$25="Todos",datos_base!$G$12,0))*parametros_manuales!$I$112)*parametros_manuales!$I$25*parametros_manuales!$J$25</f>
        <v>10779.98469862</v>
      </c>
      <c r="J148" s="14" t="n">
        <f aca="false">(parametros_manuales!$D$25*(datos_base!$G$2+IF(parametros_manuales!$H$25="Todos",datos_base!$G$9,0))*parametros_manuales!$J$97+parametros_manuales!$E$25*(datos_base!$G$3+IF(parametros_manuales!$H$25="Todos",datos_base!$G$10,0))*parametros_manuales!$J$102+parametros_manuales!$F$25*(datos_base!$G$4+IF(parametros_manuales!$H$25="Todos",datos_base!$G$11,0))*parametros_manuales!$J$107+parametros_manuales!$G$25*(datos_base!$G$5+IF(parametros_manuales!$H$25="Todos",datos_base!$G$12,0))*parametros_manuales!$J$112)*parametros_manuales!$I$25*parametros_manuales!$J$25</f>
        <v>10779.98469862</v>
      </c>
      <c r="K148" s="14" t="n">
        <f aca="false">(parametros_manuales!$D$25*(datos_base!$G$2+IF(parametros_manuales!$H$25="Todos",datos_base!$G$9,0))*parametros_manuales!$K$97+parametros_manuales!$E$25*(datos_base!$G$3+IF(parametros_manuales!$H$25="Todos",datos_base!$G$10,0))*parametros_manuales!$K$102+parametros_manuales!$F$25*(datos_base!$G$4+IF(parametros_manuales!$H$25="Todos",datos_base!$G$11,0))*parametros_manuales!$K$107+parametros_manuales!$G$25*(datos_base!$G$5+IF(parametros_manuales!$H$25="Todos",datos_base!$G$12,0))*parametros_manuales!$K$112)*parametros_manuales!$I$25*parametros_manuales!$J$25</f>
        <v>10962.668693765</v>
      </c>
      <c r="L148" s="14" t="n">
        <f aca="false">(parametros_manuales!$D$25*(datos_base!$G$2+IF(parametros_manuales!$H$25="Todos",datos_base!$G$9,0))*parametros_manuales!$L$97+parametros_manuales!$E$25*(datos_base!$G$3+IF(parametros_manuales!$H$25="Todos",datos_base!$G$10,0))*parametros_manuales!$L$102+parametros_manuales!$F$25*(datos_base!$G$4+IF(parametros_manuales!$H$25="Todos",datos_base!$G$11,0))*parametros_manuales!$L$107+parametros_manuales!$G$25*(datos_base!$G$5+IF(parametros_manuales!$H$25="Todos",datos_base!$G$12,0))*parametros_manuales!$L$112)*parametros_manuales!$I$25*parametros_manuales!$J$25</f>
        <v>11145.35268891</v>
      </c>
      <c r="M148" s="14" t="n">
        <f aca="false">(parametros_manuales!$D$25*(datos_base!$G$2+IF(parametros_manuales!$H$25="Todos",datos_base!$G$9,0))*parametros_manuales!$M$97+parametros_manuales!$E$25*(datos_base!$G$3+IF(parametros_manuales!$H$25="Todos",datos_base!$G$10,0))*parametros_manuales!$M$102+parametros_manuales!$F$25*(datos_base!$G$4+IF(parametros_manuales!$H$25="Todos",datos_base!$G$11,0))*parametros_manuales!$M$107+parametros_manuales!$G$25*(datos_base!$G$5+IF(parametros_manuales!$H$25="Todos",datos_base!$G$12,0))*parametros_manuales!$M$112)*parametros_manuales!$I$25*parametros_manuales!$J$25</f>
        <v>11145.35268891</v>
      </c>
      <c r="N148" s="14" t="n">
        <f aca="false">SUM(B148:M148)</f>
        <v>123837.252099</v>
      </c>
      <c r="O148" s="14" t="n">
        <f aca="false">MAX(B148:M148)</f>
        <v>11145.35268891</v>
      </c>
      <c r="P148" s="57" t="n">
        <f aca="false">O148/(parametros_manuales!$B$7)</f>
        <v>74.3023512594</v>
      </c>
      <c r="Q148" s="13" t="str">
        <f aca="false">IF(O148=0,"-",INDEX($B$141:$M$141,MATCH(O148,B148:M148,0)))</f>
        <v>Ene</v>
      </c>
    </row>
    <row r="149" customFormat="false" ht="14.25" hidden="false" customHeight="true" outlineLevel="0" collapsed="false">
      <c r="A149" s="13" t="str">
        <f aca="false">parametros_manuales!$B$26</f>
        <v>Cilindrado</v>
      </c>
      <c r="B149" s="14" t="n">
        <f aca="false">(parametros_manuales!$D$26*(datos_base!$G$2+IF(parametros_manuales!$H$26="Todos",datos_base!$G$9,0))*parametros_manuales!$B$97+parametros_manuales!$E$26*(datos_base!$G$3+IF(parametros_manuales!$H$26="Todos",datos_base!$G$10,0))*parametros_manuales!$B$102+parametros_manuales!$F$26*(datos_base!$G$4+IF(parametros_manuales!$H$26="Todos",datos_base!$G$11,0))*parametros_manuales!$B$107+parametros_manuales!$G$26*(datos_base!$G$5+IF(parametros_manuales!$H$26="Todos",datos_base!$G$12,0))*parametros_manuales!$B$112)*parametros_manuales!$I$26*parametros_manuales!$J$26</f>
        <v>11145.35268891</v>
      </c>
      <c r="C149" s="14" t="n">
        <f aca="false">(parametros_manuales!$D$26*(datos_base!$G$2+IF(parametros_manuales!$H$26="Todos",datos_base!$G$9,0))*parametros_manuales!$C$97+parametros_manuales!$E$26*(datos_base!$G$3+IF(parametros_manuales!$H$26="Todos",datos_base!$G$10,0))*parametros_manuales!$C$102+parametros_manuales!$F$26*(datos_base!$G$4+IF(parametros_manuales!$H$26="Todos",datos_base!$G$11,0))*parametros_manuales!$C$107+parametros_manuales!$G$26*(datos_base!$G$5+IF(parametros_manuales!$H$26="Todos",datos_base!$G$12,0))*parametros_manuales!$C$112)*parametros_manuales!$I$26*parametros_manuales!$J$26</f>
        <v>10779.98469862</v>
      </c>
      <c r="D149" s="14" t="n">
        <f aca="false">(parametros_manuales!$D$26*(datos_base!$G$2+IF(parametros_manuales!$H$26="Todos",datos_base!$G$9,0))*parametros_manuales!$D$97+parametros_manuales!$E$26*(datos_base!$G$3+IF(parametros_manuales!$H$26="Todos",datos_base!$G$10,0))*parametros_manuales!$D$102+parametros_manuales!$F$26*(datos_base!$G$4+IF(parametros_manuales!$H$26="Todos",datos_base!$G$11,0))*parametros_manuales!$D$107+parametros_manuales!$G$26*(datos_base!$G$5+IF(parametros_manuales!$H$26="Todos",datos_base!$G$12,0))*parametros_manuales!$D$112)*parametros_manuales!$I$26*parametros_manuales!$J$26</f>
        <v>10089.664163065</v>
      </c>
      <c r="E149" s="14" t="n">
        <f aca="false">(parametros_manuales!$D$26*(datos_base!$G$2+IF(parametros_manuales!$H$26="Todos",datos_base!$G$9,0))*parametros_manuales!$E$97+parametros_manuales!$E$26*(datos_base!$G$3+IF(parametros_manuales!$H$26="Todos",datos_base!$G$10,0))*parametros_manuales!$E$102+parametros_manuales!$F$26*(datos_base!$G$4+IF(parametros_manuales!$H$26="Todos",datos_base!$G$11,0))*parametros_manuales!$E$107+parametros_manuales!$G$26*(datos_base!$G$5+IF(parametros_manuales!$H$26="Todos",datos_base!$G$12,0))*parametros_manuales!$E$112)*parametros_manuales!$I$26*parametros_manuales!$J$26</f>
        <v>9653.161897715</v>
      </c>
      <c r="F149" s="14" t="n">
        <f aca="false">(parametros_manuales!$D$26*(datos_base!$G$2+IF(parametros_manuales!$H$26="Todos",datos_base!$G$9,0))*parametros_manuales!$F$97+parametros_manuales!$E$26*(datos_base!$G$3+IF(parametros_manuales!$H$26="Todos",datos_base!$G$10,0))*parametros_manuales!$F$102+parametros_manuales!$F$26*(datos_base!$G$4+IF(parametros_manuales!$H$26="Todos",datos_base!$G$11,0))*parametros_manuales!$F$107+parametros_manuales!$G$26*(datos_base!$G$5+IF(parametros_manuales!$H$26="Todos",datos_base!$G$12,0))*parametros_manuales!$F$112)*parametros_manuales!$I$26*parametros_manuales!$J$26</f>
        <v>9033.97563722</v>
      </c>
      <c r="G149" s="14" t="n">
        <f aca="false">(parametros_manuales!$D$26*(datos_base!$G$2+IF(parametros_manuales!$H$26="Todos",datos_base!$G$9,0))*parametros_manuales!$G$97+parametros_manuales!$E$26*(datos_base!$G$3+IF(parametros_manuales!$H$26="Todos",datos_base!$G$10,0))*parametros_manuales!$G$102+parametros_manuales!$F$26*(datos_base!$G$4+IF(parametros_manuales!$H$26="Todos",datos_base!$G$11,0))*parametros_manuales!$G$107+parametros_manuales!$G$26*(datos_base!$G$5+IF(parametros_manuales!$H$26="Todos",datos_base!$G$12,0))*parametros_manuales!$G$112)*parametros_manuales!$I$26*parametros_manuales!$J$26</f>
        <v>8851.291642075</v>
      </c>
      <c r="H149" s="14" t="n">
        <f aca="false">(parametros_manuales!$D$26*(datos_base!$G$2+IF(parametros_manuales!$H$26="Todos",datos_base!$G$9,0))*parametros_manuales!$H$97+parametros_manuales!$E$26*(datos_base!$G$3+IF(parametros_manuales!$H$26="Todos",datos_base!$G$10,0))*parametros_manuales!$H$102+parametros_manuales!$F$26*(datos_base!$G$4+IF(parametros_manuales!$H$26="Todos",datos_base!$G$11,0))*parametros_manuales!$H$107+parametros_manuales!$G$26*(datos_base!$G$5+IF(parametros_manuales!$H$26="Todos",datos_base!$G$12,0))*parametros_manuales!$H$112)*parametros_manuales!$I$26*parametros_manuales!$J$26</f>
        <v>9470.47790257</v>
      </c>
      <c r="I149" s="14" t="n">
        <f aca="false">(parametros_manuales!$D$26*(datos_base!$G$2+IF(parametros_manuales!$H$26="Todos",datos_base!$G$9,0))*parametros_manuales!$I$97+parametros_manuales!$E$26*(datos_base!$G$3+IF(parametros_manuales!$H$26="Todos",datos_base!$G$10,0))*parametros_manuales!$I$102+parametros_manuales!$F$26*(datos_base!$G$4+IF(parametros_manuales!$H$26="Todos",datos_base!$G$11,0))*parametros_manuales!$I$107+parametros_manuales!$G$26*(datos_base!$G$5+IF(parametros_manuales!$H$26="Todos",datos_base!$G$12,0))*parametros_manuales!$I$112)*parametros_manuales!$I$26*parametros_manuales!$J$26</f>
        <v>10779.98469862</v>
      </c>
      <c r="J149" s="14" t="n">
        <f aca="false">(parametros_manuales!$D$26*(datos_base!$G$2+IF(parametros_manuales!$H$26="Todos",datos_base!$G$9,0))*parametros_manuales!$J$97+parametros_manuales!$E$26*(datos_base!$G$3+IF(parametros_manuales!$H$26="Todos",datos_base!$G$10,0))*parametros_manuales!$J$102+parametros_manuales!$F$26*(datos_base!$G$4+IF(parametros_manuales!$H$26="Todos",datos_base!$G$11,0))*parametros_manuales!$J$107+parametros_manuales!$G$26*(datos_base!$G$5+IF(parametros_manuales!$H$26="Todos",datos_base!$G$12,0))*parametros_manuales!$J$112)*parametros_manuales!$I$26*parametros_manuales!$J$26</f>
        <v>10779.98469862</v>
      </c>
      <c r="K149" s="14" t="n">
        <f aca="false">(parametros_manuales!$D$26*(datos_base!$G$2+IF(parametros_manuales!$H$26="Todos",datos_base!$G$9,0))*parametros_manuales!$K$97+parametros_manuales!$E$26*(datos_base!$G$3+IF(parametros_manuales!$H$26="Todos",datos_base!$G$10,0))*parametros_manuales!$K$102+parametros_manuales!$F$26*(datos_base!$G$4+IF(parametros_manuales!$H$26="Todos",datos_base!$G$11,0))*parametros_manuales!$K$107+parametros_manuales!$G$26*(datos_base!$G$5+IF(parametros_manuales!$H$26="Todos",datos_base!$G$12,0))*parametros_manuales!$K$112)*parametros_manuales!$I$26*parametros_manuales!$J$26</f>
        <v>10962.668693765</v>
      </c>
      <c r="L149" s="14" t="n">
        <f aca="false">(parametros_manuales!$D$26*(datos_base!$G$2+IF(parametros_manuales!$H$26="Todos",datos_base!$G$9,0))*parametros_manuales!$L$97+parametros_manuales!$E$26*(datos_base!$G$3+IF(parametros_manuales!$H$26="Todos",datos_base!$G$10,0))*parametros_manuales!$L$102+parametros_manuales!$F$26*(datos_base!$G$4+IF(parametros_manuales!$H$26="Todos",datos_base!$G$11,0))*parametros_manuales!$L$107+parametros_manuales!$G$26*(datos_base!$G$5+IF(parametros_manuales!$H$26="Todos",datos_base!$G$12,0))*parametros_manuales!$L$112)*parametros_manuales!$I$26*parametros_manuales!$J$26</f>
        <v>11145.35268891</v>
      </c>
      <c r="M149" s="14" t="n">
        <f aca="false">(parametros_manuales!$D$26*(datos_base!$G$2+IF(parametros_manuales!$H$26="Todos",datos_base!$G$9,0))*parametros_manuales!$M$97+parametros_manuales!$E$26*(datos_base!$G$3+IF(parametros_manuales!$H$26="Todos",datos_base!$G$10,0))*parametros_manuales!$M$102+parametros_manuales!$F$26*(datos_base!$G$4+IF(parametros_manuales!$H$26="Todos",datos_base!$G$11,0))*parametros_manuales!$M$107+parametros_manuales!$G$26*(datos_base!$G$5+IF(parametros_manuales!$H$26="Todos",datos_base!$G$12,0))*parametros_manuales!$M$112)*parametros_manuales!$I$26*parametros_manuales!$J$26</f>
        <v>11145.35268891</v>
      </c>
      <c r="N149" s="14" t="n">
        <f aca="false">SUM(B149:M149)</f>
        <v>123837.252099</v>
      </c>
      <c r="O149" s="14" t="n">
        <f aca="false">MAX(B149:M149)</f>
        <v>11145.35268891</v>
      </c>
      <c r="P149" s="57" t="n">
        <f aca="false">O149/(parametros_manuales!$B$7)</f>
        <v>74.3023512594</v>
      </c>
      <c r="Q149" s="13" t="str">
        <f aca="false">IF(O149=0,"-",INDEX($B$141:$M$141,MATCH(O149,B149:M149,0)))</f>
        <v>Ene</v>
      </c>
    </row>
    <row r="150" customFormat="false" ht="14.25" hidden="false" customHeight="true" outlineLevel="0" collapsed="false">
      <c r="A150" s="13" t="str">
        <f aca="false">parametros_manuales!$B$27</f>
        <v>Soldadura longitudinal — 2,5 a 10 kg</v>
      </c>
      <c r="B150" s="14" t="n">
        <f aca="false">(parametros_manuales!$D$27*(datos_base!$G$2+IF(parametros_manuales!$H$27="Todos",datos_base!$G$9,0))*parametros_manuales!$B$97+parametros_manuales!$E$27*(datos_base!$G$3+IF(parametros_manuales!$H$27="Todos",datos_base!$G$10,0))*parametros_manuales!$B$102+parametros_manuales!$F$27*(datos_base!$G$4+IF(parametros_manuales!$H$27="Todos",datos_base!$G$11,0))*parametros_manuales!$B$107+parametros_manuales!$G$27*(datos_base!$G$5+IF(parametros_manuales!$H$27="Todos",datos_base!$G$12,0))*parametros_manuales!$B$112)*parametros_manuales!$I$27*parametros_manuales!$J$27</f>
        <v>3288.31191261</v>
      </c>
      <c r="C150" s="14" t="n">
        <f aca="false">(parametros_manuales!$D$27*(datos_base!$G$2+IF(parametros_manuales!$H$27="Todos",datos_base!$G$9,0))*parametros_manuales!$C$97+parametros_manuales!$E$27*(datos_base!$G$3+IF(parametros_manuales!$H$27="Todos",datos_base!$G$10,0))*parametros_manuales!$C$102+parametros_manuales!$F$27*(datos_base!$G$4+IF(parametros_manuales!$H$27="Todos",datos_base!$G$11,0))*parametros_manuales!$C$107+parametros_manuales!$G$27*(datos_base!$G$5+IF(parametros_manuales!$H$27="Todos",datos_base!$G$12,0))*parametros_manuales!$C$112)*parametros_manuales!$I$27*parametros_manuales!$J$27</f>
        <v>2922.94392232</v>
      </c>
      <c r="D150" s="14" t="n">
        <f aca="false">(parametros_manuales!$D$27*(datos_base!$G$2+IF(parametros_manuales!$H$27="Todos",datos_base!$G$9,0))*parametros_manuales!$D$97+parametros_manuales!$E$27*(datos_base!$G$3+IF(parametros_manuales!$H$27="Todos",datos_base!$G$10,0))*parametros_manuales!$D$102+parametros_manuales!$F$27*(datos_base!$G$4+IF(parametros_manuales!$H$27="Todos",datos_base!$G$11,0))*parametros_manuales!$D$107+parametros_manuales!$G$27*(datos_base!$G$5+IF(parametros_manuales!$H$27="Todos",datos_base!$G$12,0))*parametros_manuales!$D$112)*parametros_manuales!$I$27*parametros_manuales!$J$27</f>
        <v>3105.627917465</v>
      </c>
      <c r="E150" s="14" t="n">
        <f aca="false">(parametros_manuales!$D$27*(datos_base!$G$2+IF(parametros_manuales!$H$27="Todos",datos_base!$G$9,0))*parametros_manuales!$E$97+parametros_manuales!$E$27*(datos_base!$G$3+IF(parametros_manuales!$H$27="Todos",datos_base!$G$10,0))*parametros_manuales!$E$102+parametros_manuales!$F$27*(datos_base!$G$4+IF(parametros_manuales!$H$27="Todos",datos_base!$G$11,0))*parametros_manuales!$E$107+parametros_manuales!$G$27*(datos_base!$G$5+IF(parametros_manuales!$H$27="Todos",datos_base!$G$12,0))*parametros_manuales!$E$112)*parametros_manuales!$I$27*parametros_manuales!$J$27</f>
        <v>3105.627917465</v>
      </c>
      <c r="F150" s="14" t="n">
        <f aca="false">(parametros_manuales!$D$27*(datos_base!$G$2+IF(parametros_manuales!$H$27="Todos",datos_base!$G$9,0))*parametros_manuales!$F$97+parametros_manuales!$E$27*(datos_base!$G$3+IF(parametros_manuales!$H$27="Todos",datos_base!$G$10,0))*parametros_manuales!$F$102+parametros_manuales!$F$27*(datos_base!$G$4+IF(parametros_manuales!$H$27="Todos",datos_base!$G$11,0))*parametros_manuales!$F$107+parametros_manuales!$G$27*(datos_base!$G$5+IF(parametros_manuales!$H$27="Todos",datos_base!$G$12,0))*parametros_manuales!$F$112)*parametros_manuales!$I$27*parametros_manuales!$J$27</f>
        <v>2922.94392232</v>
      </c>
      <c r="G150" s="14" t="n">
        <f aca="false">(parametros_manuales!$D$27*(datos_base!$G$2+IF(parametros_manuales!$H$27="Todos",datos_base!$G$9,0))*parametros_manuales!$G$97+parametros_manuales!$E$27*(datos_base!$G$3+IF(parametros_manuales!$H$27="Todos",datos_base!$G$10,0))*parametros_manuales!$G$102+parametros_manuales!$F$27*(datos_base!$G$4+IF(parametros_manuales!$H$27="Todos",datos_base!$G$11,0))*parametros_manuales!$G$107+parametros_manuales!$G$27*(datos_base!$G$5+IF(parametros_manuales!$H$27="Todos",datos_base!$G$12,0))*parametros_manuales!$G$112)*parametros_manuales!$I$27*parametros_manuales!$J$27</f>
        <v>2740.259927175</v>
      </c>
      <c r="H150" s="14" t="n">
        <f aca="false">(parametros_manuales!$D$27*(datos_base!$G$2+IF(parametros_manuales!$H$27="Todos",datos_base!$G$9,0))*parametros_manuales!$H$97+parametros_manuales!$E$27*(datos_base!$G$3+IF(parametros_manuales!$H$27="Todos",datos_base!$G$10,0))*parametros_manuales!$H$102+parametros_manuales!$F$27*(datos_base!$G$4+IF(parametros_manuales!$H$27="Todos",datos_base!$G$11,0))*parametros_manuales!$H$107+parametros_manuales!$G$27*(datos_base!$G$5+IF(parametros_manuales!$H$27="Todos",datos_base!$G$12,0))*parametros_manuales!$H$112)*parametros_manuales!$I$27*parametros_manuales!$J$27</f>
        <v>2922.94392232</v>
      </c>
      <c r="I150" s="14" t="n">
        <f aca="false">(parametros_manuales!$D$27*(datos_base!$G$2+IF(parametros_manuales!$H$27="Todos",datos_base!$G$9,0))*parametros_manuales!$I$97+parametros_manuales!$E$27*(datos_base!$G$3+IF(parametros_manuales!$H$27="Todos",datos_base!$G$10,0))*parametros_manuales!$I$102+parametros_manuales!$F$27*(datos_base!$G$4+IF(parametros_manuales!$H$27="Todos",datos_base!$G$11,0))*parametros_manuales!$I$107+parametros_manuales!$G$27*(datos_base!$G$5+IF(parametros_manuales!$H$27="Todos",datos_base!$G$12,0))*parametros_manuales!$I$112)*parametros_manuales!$I$27*parametros_manuales!$J$27</f>
        <v>2922.94392232</v>
      </c>
      <c r="J150" s="14" t="n">
        <f aca="false">(parametros_manuales!$D$27*(datos_base!$G$2+IF(parametros_manuales!$H$27="Todos",datos_base!$G$9,0))*parametros_manuales!$J$97+parametros_manuales!$E$27*(datos_base!$G$3+IF(parametros_manuales!$H$27="Todos",datos_base!$G$10,0))*parametros_manuales!$J$102+parametros_manuales!$F$27*(datos_base!$G$4+IF(parametros_manuales!$H$27="Todos",datos_base!$G$11,0))*parametros_manuales!$J$107+parametros_manuales!$G$27*(datos_base!$G$5+IF(parametros_manuales!$H$27="Todos",datos_base!$G$12,0))*parametros_manuales!$J$112)*parametros_manuales!$I$27*parametros_manuales!$J$27</f>
        <v>2922.94392232</v>
      </c>
      <c r="K150" s="14" t="n">
        <f aca="false">(parametros_manuales!$D$27*(datos_base!$G$2+IF(parametros_manuales!$H$27="Todos",datos_base!$G$9,0))*parametros_manuales!$K$97+parametros_manuales!$E$27*(datos_base!$G$3+IF(parametros_manuales!$H$27="Todos",datos_base!$G$10,0))*parametros_manuales!$K$102+parametros_manuales!$F$27*(datos_base!$G$4+IF(parametros_manuales!$H$27="Todos",datos_base!$G$11,0))*parametros_manuales!$K$107+parametros_manuales!$G$27*(datos_base!$G$5+IF(parametros_manuales!$H$27="Todos",datos_base!$G$12,0))*parametros_manuales!$K$112)*parametros_manuales!$I$27*parametros_manuales!$J$27</f>
        <v>3105.627917465</v>
      </c>
      <c r="L150" s="14" t="n">
        <f aca="false">(parametros_manuales!$D$27*(datos_base!$G$2+IF(parametros_manuales!$H$27="Todos",datos_base!$G$9,0))*parametros_manuales!$L$97+parametros_manuales!$E$27*(datos_base!$G$3+IF(parametros_manuales!$H$27="Todos",datos_base!$G$10,0))*parametros_manuales!$L$102+parametros_manuales!$F$27*(datos_base!$G$4+IF(parametros_manuales!$H$27="Todos",datos_base!$G$11,0))*parametros_manuales!$L$107+parametros_manuales!$G$27*(datos_base!$G$5+IF(parametros_manuales!$H$27="Todos",datos_base!$G$12,0))*parametros_manuales!$L$112)*parametros_manuales!$I$27*parametros_manuales!$J$27</f>
        <v>3288.31191261</v>
      </c>
      <c r="M150" s="14" t="n">
        <f aca="false">(parametros_manuales!$D$27*(datos_base!$G$2+IF(parametros_manuales!$H$27="Todos",datos_base!$G$9,0))*parametros_manuales!$M$97+parametros_manuales!$E$27*(datos_base!$G$3+IF(parametros_manuales!$H$27="Todos",datos_base!$G$10,0))*parametros_manuales!$M$102+parametros_manuales!$F$27*(datos_base!$G$4+IF(parametros_manuales!$H$27="Todos",datos_base!$G$11,0))*parametros_manuales!$M$107+parametros_manuales!$G$27*(datos_base!$G$5+IF(parametros_manuales!$H$27="Todos",datos_base!$G$12,0))*parametros_manuales!$M$112)*parametros_manuales!$I$27*parametros_manuales!$J$27</f>
        <v>3288.31191261</v>
      </c>
      <c r="N150" s="14" t="n">
        <f aca="false">SUM(B150:M150)</f>
        <v>36536.799029</v>
      </c>
      <c r="O150" s="14" t="n">
        <f aca="false">MAX(B150:M150)</f>
        <v>3288.31191261</v>
      </c>
      <c r="P150" s="57" t="n">
        <f aca="false">O150/(parametros_manuales!$B$7)</f>
        <v>21.9220794174</v>
      </c>
      <c r="Q150" s="13" t="str">
        <f aca="false">IF(O150=0,"-",INDEX($B$141:$M$141,MATCH(O150,B150:M150,0)))</f>
        <v>Ene</v>
      </c>
    </row>
    <row r="151" customFormat="false" ht="14.25" hidden="false" customHeight="true" outlineLevel="0" collapsed="false">
      <c r="A151" s="13" t="str">
        <f aca="false">parametros_manuales!$B$28</f>
        <v>Soldadura longitudinal TIG — 1 kg</v>
      </c>
      <c r="B151" s="14" t="n">
        <f aca="false">(parametros_manuales!$D$28*(datos_base!$G$2+IF(parametros_manuales!$H$28="Todos",datos_base!$G$9,0))*parametros_manuales!$B$97+parametros_manuales!$E$28*(datos_base!$G$3+IF(parametros_manuales!$H$28="Todos",datos_base!$G$10,0))*parametros_manuales!$B$102+parametros_manuales!$F$28*(datos_base!$G$4+IF(parametros_manuales!$H$28="Todos",datos_base!$G$11,0))*parametros_manuales!$B$107+parametros_manuales!$G$28*(datos_base!$G$5+IF(parametros_manuales!$H$28="Todos",datos_base!$G$12,0))*parametros_manuales!$B$112)*parametros_manuales!$I$28*parametros_manuales!$J$28</f>
        <v>7857.0407763</v>
      </c>
      <c r="C151" s="14" t="n">
        <f aca="false">(parametros_manuales!$D$28*(datos_base!$G$2+IF(parametros_manuales!$H$28="Todos",datos_base!$G$9,0))*parametros_manuales!$C$97+parametros_manuales!$E$28*(datos_base!$G$3+IF(parametros_manuales!$H$28="Todos",datos_base!$G$10,0))*parametros_manuales!$C$102+parametros_manuales!$F$28*(datos_base!$G$4+IF(parametros_manuales!$H$28="Todos",datos_base!$G$11,0))*parametros_manuales!$C$107+parametros_manuales!$G$28*(datos_base!$G$5+IF(parametros_manuales!$H$28="Todos",datos_base!$G$12,0))*parametros_manuales!$C$112)*parametros_manuales!$I$28*parametros_manuales!$J$28</f>
        <v>7857.0407763</v>
      </c>
      <c r="D151" s="14" t="n">
        <f aca="false">(parametros_manuales!$D$28*(datos_base!$G$2+IF(parametros_manuales!$H$28="Todos",datos_base!$G$9,0))*parametros_manuales!$D$97+parametros_manuales!$E$28*(datos_base!$G$3+IF(parametros_manuales!$H$28="Todos",datos_base!$G$10,0))*parametros_manuales!$D$102+parametros_manuales!$F$28*(datos_base!$G$4+IF(parametros_manuales!$H$28="Todos",datos_base!$G$11,0))*parametros_manuales!$D$107+parametros_manuales!$G$28*(datos_base!$G$5+IF(parametros_manuales!$H$28="Todos",datos_base!$G$12,0))*parametros_manuales!$D$112)*parametros_manuales!$I$28*parametros_manuales!$J$28</f>
        <v>6984.0362456</v>
      </c>
      <c r="E151" s="14" t="n">
        <f aca="false">(parametros_manuales!$D$28*(datos_base!$G$2+IF(parametros_manuales!$H$28="Todos",datos_base!$G$9,0))*parametros_manuales!$E$97+parametros_manuales!$E$28*(datos_base!$G$3+IF(parametros_manuales!$H$28="Todos",datos_base!$G$10,0))*parametros_manuales!$E$102+parametros_manuales!$F$28*(datos_base!$G$4+IF(parametros_manuales!$H$28="Todos",datos_base!$G$11,0))*parametros_manuales!$E$107+parametros_manuales!$G$28*(datos_base!$G$5+IF(parametros_manuales!$H$28="Todos",datos_base!$G$12,0))*parametros_manuales!$E$112)*parametros_manuales!$I$28*parametros_manuales!$J$28</f>
        <v>6547.53398025</v>
      </c>
      <c r="F151" s="14" t="n">
        <f aca="false">(parametros_manuales!$D$28*(datos_base!$G$2+IF(parametros_manuales!$H$28="Todos",datos_base!$G$9,0))*parametros_manuales!$F$97+parametros_manuales!$E$28*(datos_base!$G$3+IF(parametros_manuales!$H$28="Todos",datos_base!$G$10,0))*parametros_manuales!$F$102+parametros_manuales!$F$28*(datos_base!$G$4+IF(parametros_manuales!$H$28="Todos",datos_base!$G$11,0))*parametros_manuales!$F$107+parametros_manuales!$G$28*(datos_base!$G$5+IF(parametros_manuales!$H$28="Todos",datos_base!$G$12,0))*parametros_manuales!$F$112)*parametros_manuales!$I$28*parametros_manuales!$J$28</f>
        <v>6111.0317149</v>
      </c>
      <c r="G151" s="14" t="n">
        <f aca="false">(parametros_manuales!$D$28*(datos_base!$G$2+IF(parametros_manuales!$H$28="Todos",datos_base!$G$9,0))*parametros_manuales!$G$97+parametros_manuales!$E$28*(datos_base!$G$3+IF(parametros_manuales!$H$28="Todos",datos_base!$G$10,0))*parametros_manuales!$G$102+parametros_manuales!$F$28*(datos_base!$G$4+IF(parametros_manuales!$H$28="Todos",datos_base!$G$11,0))*parametros_manuales!$G$107+parametros_manuales!$G$28*(datos_base!$G$5+IF(parametros_manuales!$H$28="Todos",datos_base!$G$12,0))*parametros_manuales!$G$112)*parametros_manuales!$I$28*parametros_manuales!$J$28</f>
        <v>6111.0317149</v>
      </c>
      <c r="H151" s="14" t="n">
        <f aca="false">(parametros_manuales!$D$28*(datos_base!$G$2+IF(parametros_manuales!$H$28="Todos",datos_base!$G$9,0))*parametros_manuales!$H$97+parametros_manuales!$E$28*(datos_base!$G$3+IF(parametros_manuales!$H$28="Todos",datos_base!$G$10,0))*parametros_manuales!$H$102+parametros_manuales!$F$28*(datos_base!$G$4+IF(parametros_manuales!$H$28="Todos",datos_base!$G$11,0))*parametros_manuales!$H$107+parametros_manuales!$G$28*(datos_base!$G$5+IF(parametros_manuales!$H$28="Todos",datos_base!$G$12,0))*parametros_manuales!$H$112)*parametros_manuales!$I$28*parametros_manuales!$J$28</f>
        <v>6547.53398025</v>
      </c>
      <c r="I151" s="14" t="n">
        <f aca="false">(parametros_manuales!$D$28*(datos_base!$G$2+IF(parametros_manuales!$H$28="Todos",datos_base!$G$9,0))*parametros_manuales!$I$97+parametros_manuales!$E$28*(datos_base!$G$3+IF(parametros_manuales!$H$28="Todos",datos_base!$G$10,0))*parametros_manuales!$I$102+parametros_manuales!$F$28*(datos_base!$G$4+IF(parametros_manuales!$H$28="Todos",datos_base!$G$11,0))*parametros_manuales!$I$107+parametros_manuales!$G$28*(datos_base!$G$5+IF(parametros_manuales!$H$28="Todos",datos_base!$G$12,0))*parametros_manuales!$I$112)*parametros_manuales!$I$28*parametros_manuales!$J$28</f>
        <v>7857.04077629999</v>
      </c>
      <c r="J151" s="14" t="n">
        <f aca="false">(parametros_manuales!$D$28*(datos_base!$G$2+IF(parametros_manuales!$H$28="Todos",datos_base!$G$9,0))*parametros_manuales!$J$97+parametros_manuales!$E$28*(datos_base!$G$3+IF(parametros_manuales!$H$28="Todos",datos_base!$G$10,0))*parametros_manuales!$J$102+parametros_manuales!$F$28*(datos_base!$G$4+IF(parametros_manuales!$H$28="Todos",datos_base!$G$11,0))*parametros_manuales!$J$107+parametros_manuales!$G$28*(datos_base!$G$5+IF(parametros_manuales!$H$28="Todos",datos_base!$G$12,0))*parametros_manuales!$J$112)*parametros_manuales!$I$28*parametros_manuales!$J$28</f>
        <v>7857.0407763</v>
      </c>
      <c r="K151" s="14" t="n">
        <f aca="false">(parametros_manuales!$D$28*(datos_base!$G$2+IF(parametros_manuales!$H$28="Todos",datos_base!$G$9,0))*parametros_manuales!$K$97+parametros_manuales!$E$28*(datos_base!$G$3+IF(parametros_manuales!$H$28="Todos",datos_base!$G$10,0))*parametros_manuales!$K$102+parametros_manuales!$F$28*(datos_base!$G$4+IF(parametros_manuales!$H$28="Todos",datos_base!$G$11,0))*parametros_manuales!$K$107+parametros_manuales!$G$28*(datos_base!$G$5+IF(parametros_manuales!$H$28="Todos",datos_base!$G$12,0))*parametros_manuales!$K$112)*parametros_manuales!$I$28*parametros_manuales!$J$28</f>
        <v>7857.0407763</v>
      </c>
      <c r="L151" s="14" t="n">
        <f aca="false">(parametros_manuales!$D$28*(datos_base!$G$2+IF(parametros_manuales!$H$28="Todos",datos_base!$G$9,0))*parametros_manuales!$L$97+parametros_manuales!$E$28*(datos_base!$G$3+IF(parametros_manuales!$H$28="Todos",datos_base!$G$10,0))*parametros_manuales!$L$102+parametros_manuales!$F$28*(datos_base!$G$4+IF(parametros_manuales!$H$28="Todos",datos_base!$G$11,0))*parametros_manuales!$L$107+parametros_manuales!$G$28*(datos_base!$G$5+IF(parametros_manuales!$H$28="Todos",datos_base!$G$12,0))*parametros_manuales!$L$112)*parametros_manuales!$I$28*parametros_manuales!$J$28</f>
        <v>7857.0407763</v>
      </c>
      <c r="M151" s="14" t="n">
        <f aca="false">(parametros_manuales!$D$28*(datos_base!$G$2+IF(parametros_manuales!$H$28="Todos",datos_base!$G$9,0))*parametros_manuales!$M$97+parametros_manuales!$E$28*(datos_base!$G$3+IF(parametros_manuales!$H$28="Todos",datos_base!$G$10,0))*parametros_manuales!$M$102+parametros_manuales!$F$28*(datos_base!$G$4+IF(parametros_manuales!$H$28="Todos",datos_base!$G$11,0))*parametros_manuales!$M$107+parametros_manuales!$G$28*(datos_base!$G$5+IF(parametros_manuales!$H$28="Todos",datos_base!$G$12,0))*parametros_manuales!$M$112)*parametros_manuales!$I$28*parametros_manuales!$J$28</f>
        <v>7857.0407763</v>
      </c>
      <c r="N151" s="14" t="n">
        <f aca="false">SUM(B151:M151)</f>
        <v>87300.45307</v>
      </c>
      <c r="O151" s="14" t="n">
        <f aca="false">MAX(B151:M151)</f>
        <v>7857.0407763</v>
      </c>
      <c r="P151" s="57" t="n">
        <f aca="false">O151/(parametros_manuales!$B$7)</f>
        <v>52.380271842</v>
      </c>
      <c r="Q151" s="13" t="str">
        <f aca="false">IF(O151=0,"-",INDEX($B$141:$M$141,MATCH(O151,B151:M151,0)))</f>
        <v>Ene</v>
      </c>
    </row>
    <row r="152" customFormat="false" ht="14.25" hidden="false" customHeight="true" outlineLevel="0" collapsed="false">
      <c r="A152" s="13" t="str">
        <f aca="false">parametros_manuales!$B$29</f>
        <v>Encastre de fondo</v>
      </c>
      <c r="B152" s="14" t="n">
        <f aca="false">(parametros_manuales!$D$29*(datos_base!$G$2+IF(parametros_manuales!$H$29="Todos",datos_base!$G$9,0))*parametros_manuales!$B$97+parametros_manuales!$E$29*(datos_base!$G$3+IF(parametros_manuales!$H$29="Todos",datos_base!$G$10,0))*parametros_manuales!$B$102+parametros_manuales!$F$29*(datos_base!$G$4+IF(parametros_manuales!$H$29="Todos",datos_base!$G$11,0))*parametros_manuales!$B$107+parametros_manuales!$G$29*(datos_base!$G$5+IF(parametros_manuales!$H$29="Todos",datos_base!$G$12,0))*parametros_manuales!$B$112)*parametros_manuales!$I$29*parametros_manuales!$J$29</f>
        <v>11145.35268891</v>
      </c>
      <c r="C152" s="14" t="n">
        <f aca="false">(parametros_manuales!$D$29*(datos_base!$G$2+IF(parametros_manuales!$H$29="Todos",datos_base!$G$9,0))*parametros_manuales!$C$97+parametros_manuales!$E$29*(datos_base!$G$3+IF(parametros_manuales!$H$29="Todos",datos_base!$G$10,0))*parametros_manuales!$C$102+parametros_manuales!$F$29*(datos_base!$G$4+IF(parametros_manuales!$H$29="Todos",datos_base!$G$11,0))*parametros_manuales!$C$107+parametros_manuales!$G$29*(datos_base!$G$5+IF(parametros_manuales!$H$29="Todos",datos_base!$G$12,0))*parametros_manuales!$C$112)*parametros_manuales!$I$29*parametros_manuales!$J$29</f>
        <v>10779.98469862</v>
      </c>
      <c r="D152" s="14" t="n">
        <f aca="false">(parametros_manuales!$D$29*(datos_base!$G$2+IF(parametros_manuales!$H$29="Todos",datos_base!$G$9,0))*parametros_manuales!$D$97+parametros_manuales!$E$29*(datos_base!$G$3+IF(parametros_manuales!$H$29="Todos",datos_base!$G$10,0))*parametros_manuales!$D$102+parametros_manuales!$F$29*(datos_base!$G$4+IF(parametros_manuales!$H$29="Todos",datos_base!$G$11,0))*parametros_manuales!$D$107+parametros_manuales!$G$29*(datos_base!$G$5+IF(parametros_manuales!$H$29="Todos",datos_base!$G$12,0))*parametros_manuales!$D$112)*parametros_manuales!$I$29*parametros_manuales!$J$29</f>
        <v>10089.664163065</v>
      </c>
      <c r="E152" s="14" t="n">
        <f aca="false">(parametros_manuales!$D$29*(datos_base!$G$2+IF(parametros_manuales!$H$29="Todos",datos_base!$G$9,0))*parametros_manuales!$E$97+parametros_manuales!$E$29*(datos_base!$G$3+IF(parametros_manuales!$H$29="Todos",datos_base!$G$10,0))*parametros_manuales!$E$102+parametros_manuales!$F$29*(datos_base!$G$4+IF(parametros_manuales!$H$29="Todos",datos_base!$G$11,0))*parametros_manuales!$E$107+parametros_manuales!$G$29*(datos_base!$G$5+IF(parametros_manuales!$H$29="Todos",datos_base!$G$12,0))*parametros_manuales!$E$112)*parametros_manuales!$I$29*parametros_manuales!$J$29</f>
        <v>9653.161897715</v>
      </c>
      <c r="F152" s="14" t="n">
        <f aca="false">(parametros_manuales!$D$29*(datos_base!$G$2+IF(parametros_manuales!$H$29="Todos",datos_base!$G$9,0))*parametros_manuales!$F$97+parametros_manuales!$E$29*(datos_base!$G$3+IF(parametros_manuales!$H$29="Todos",datos_base!$G$10,0))*parametros_manuales!$F$102+parametros_manuales!$F$29*(datos_base!$G$4+IF(parametros_manuales!$H$29="Todos",datos_base!$G$11,0))*parametros_manuales!$F$107+parametros_manuales!$G$29*(datos_base!$G$5+IF(parametros_manuales!$H$29="Todos",datos_base!$G$12,0))*parametros_manuales!$F$112)*parametros_manuales!$I$29*parametros_manuales!$J$29</f>
        <v>9033.97563722</v>
      </c>
      <c r="G152" s="14" t="n">
        <f aca="false">(parametros_manuales!$D$29*(datos_base!$G$2+IF(parametros_manuales!$H$29="Todos",datos_base!$G$9,0))*parametros_manuales!$G$97+parametros_manuales!$E$29*(datos_base!$G$3+IF(parametros_manuales!$H$29="Todos",datos_base!$G$10,0))*parametros_manuales!$G$102+parametros_manuales!$F$29*(datos_base!$G$4+IF(parametros_manuales!$H$29="Todos",datos_base!$G$11,0))*parametros_manuales!$G$107+parametros_manuales!$G$29*(datos_base!$G$5+IF(parametros_manuales!$H$29="Todos",datos_base!$G$12,0))*parametros_manuales!$G$112)*parametros_manuales!$I$29*parametros_manuales!$J$29</f>
        <v>8851.291642075</v>
      </c>
      <c r="H152" s="14" t="n">
        <f aca="false">(parametros_manuales!$D$29*(datos_base!$G$2+IF(parametros_manuales!$H$29="Todos",datos_base!$G$9,0))*parametros_manuales!$H$97+parametros_manuales!$E$29*(datos_base!$G$3+IF(parametros_manuales!$H$29="Todos",datos_base!$G$10,0))*parametros_manuales!$H$102+parametros_manuales!$F$29*(datos_base!$G$4+IF(parametros_manuales!$H$29="Todos",datos_base!$G$11,0))*parametros_manuales!$H$107+parametros_manuales!$G$29*(datos_base!$G$5+IF(parametros_manuales!$H$29="Todos",datos_base!$G$12,0))*parametros_manuales!$H$112)*parametros_manuales!$I$29*parametros_manuales!$J$29</f>
        <v>9470.47790257</v>
      </c>
      <c r="I152" s="14" t="n">
        <f aca="false">(parametros_manuales!$D$29*(datos_base!$G$2+IF(parametros_manuales!$H$29="Todos",datos_base!$G$9,0))*parametros_manuales!$I$97+parametros_manuales!$E$29*(datos_base!$G$3+IF(parametros_manuales!$H$29="Todos",datos_base!$G$10,0))*parametros_manuales!$I$102+parametros_manuales!$F$29*(datos_base!$G$4+IF(parametros_manuales!$H$29="Todos",datos_base!$G$11,0))*parametros_manuales!$I$107+parametros_manuales!$G$29*(datos_base!$G$5+IF(parametros_manuales!$H$29="Todos",datos_base!$G$12,0))*parametros_manuales!$I$112)*parametros_manuales!$I$29*parametros_manuales!$J$29</f>
        <v>10779.98469862</v>
      </c>
      <c r="J152" s="14" t="n">
        <f aca="false">(parametros_manuales!$D$29*(datos_base!$G$2+IF(parametros_manuales!$H$29="Todos",datos_base!$G$9,0))*parametros_manuales!$J$97+parametros_manuales!$E$29*(datos_base!$G$3+IF(parametros_manuales!$H$29="Todos",datos_base!$G$10,0))*parametros_manuales!$J$102+parametros_manuales!$F$29*(datos_base!$G$4+IF(parametros_manuales!$H$29="Todos",datos_base!$G$11,0))*parametros_manuales!$J$107+parametros_manuales!$G$29*(datos_base!$G$5+IF(parametros_manuales!$H$29="Todos",datos_base!$G$12,0))*parametros_manuales!$J$112)*parametros_manuales!$I$29*parametros_manuales!$J$29</f>
        <v>10779.98469862</v>
      </c>
      <c r="K152" s="14" t="n">
        <f aca="false">(parametros_manuales!$D$29*(datos_base!$G$2+IF(parametros_manuales!$H$29="Todos",datos_base!$G$9,0))*parametros_manuales!$K$97+parametros_manuales!$E$29*(datos_base!$G$3+IF(parametros_manuales!$H$29="Todos",datos_base!$G$10,0))*parametros_manuales!$K$102+parametros_manuales!$F$29*(datos_base!$G$4+IF(parametros_manuales!$H$29="Todos",datos_base!$G$11,0))*parametros_manuales!$K$107+parametros_manuales!$G$29*(datos_base!$G$5+IF(parametros_manuales!$H$29="Todos",datos_base!$G$12,0))*parametros_manuales!$K$112)*parametros_manuales!$I$29*parametros_manuales!$J$29</f>
        <v>10962.668693765</v>
      </c>
      <c r="L152" s="14" t="n">
        <f aca="false">(parametros_manuales!$D$29*(datos_base!$G$2+IF(parametros_manuales!$H$29="Todos",datos_base!$G$9,0))*parametros_manuales!$L$97+parametros_manuales!$E$29*(datos_base!$G$3+IF(parametros_manuales!$H$29="Todos",datos_base!$G$10,0))*parametros_manuales!$L$102+parametros_manuales!$F$29*(datos_base!$G$4+IF(parametros_manuales!$H$29="Todos",datos_base!$G$11,0))*parametros_manuales!$L$107+parametros_manuales!$G$29*(datos_base!$G$5+IF(parametros_manuales!$H$29="Todos",datos_base!$G$12,0))*parametros_manuales!$L$112)*parametros_manuales!$I$29*parametros_manuales!$J$29</f>
        <v>11145.35268891</v>
      </c>
      <c r="M152" s="14" t="n">
        <f aca="false">(parametros_manuales!$D$29*(datos_base!$G$2+IF(parametros_manuales!$H$29="Todos",datos_base!$G$9,0))*parametros_manuales!$M$97+parametros_manuales!$E$29*(datos_base!$G$3+IF(parametros_manuales!$H$29="Todos",datos_base!$G$10,0))*parametros_manuales!$M$102+parametros_manuales!$F$29*(datos_base!$G$4+IF(parametros_manuales!$H$29="Todos",datos_base!$G$11,0))*parametros_manuales!$M$107+parametros_manuales!$G$29*(datos_base!$G$5+IF(parametros_manuales!$H$29="Todos",datos_base!$G$12,0))*parametros_manuales!$M$112)*parametros_manuales!$I$29*parametros_manuales!$J$29</f>
        <v>11145.35268891</v>
      </c>
      <c r="N152" s="14" t="n">
        <f aca="false">SUM(B152:M152)</f>
        <v>123837.252099</v>
      </c>
      <c r="O152" s="14" t="n">
        <f aca="false">MAX(B152:M152)</f>
        <v>11145.35268891</v>
      </c>
      <c r="P152" s="57" t="n">
        <f aca="false">O152/(parametros_manuales!$B$7)</f>
        <v>74.3023512594</v>
      </c>
      <c r="Q152" s="13" t="str">
        <f aca="false">IF(O152=0,"-",INDEX($B$141:$M$141,MATCH(O152,B152:M152,0)))</f>
        <v>Ene</v>
      </c>
    </row>
    <row r="153" customFormat="false" ht="14.25" hidden="false" customHeight="true" outlineLevel="0" collapsed="false">
      <c r="A153" s="13" t="str">
        <f aca="false">parametros_manuales!$B$30</f>
        <v>Bordoneado</v>
      </c>
      <c r="B153" s="14" t="n">
        <f aca="false">(parametros_manuales!$D$30*(datos_base!$G$2+IF(parametros_manuales!$H$30="Todos",datos_base!$G$9,0))*parametros_manuales!$B$97+parametros_manuales!$E$30*(datos_base!$G$3+IF(parametros_manuales!$H$30="Todos",datos_base!$G$10,0))*parametros_manuales!$B$102+parametros_manuales!$F$30*(datos_base!$G$4+IF(parametros_manuales!$H$30="Todos",datos_base!$G$11,0))*parametros_manuales!$B$107+parametros_manuales!$G$30*(datos_base!$G$5+IF(parametros_manuales!$H$30="Todos",datos_base!$G$12,0))*parametros_manuales!$B$112)*parametros_manuales!$I$30*parametros_manuales!$J$30</f>
        <v>11145.35268891</v>
      </c>
      <c r="C153" s="14" t="n">
        <f aca="false">(parametros_manuales!$D$30*(datos_base!$G$2+IF(parametros_manuales!$H$30="Todos",datos_base!$G$9,0))*parametros_manuales!$C$97+parametros_manuales!$E$30*(datos_base!$G$3+IF(parametros_manuales!$H$30="Todos",datos_base!$G$10,0))*parametros_manuales!$C$102+parametros_manuales!$F$30*(datos_base!$G$4+IF(parametros_manuales!$H$30="Todos",datos_base!$G$11,0))*parametros_manuales!$C$107+parametros_manuales!$G$30*(datos_base!$G$5+IF(parametros_manuales!$H$30="Todos",datos_base!$G$12,0))*parametros_manuales!$C$112)*parametros_manuales!$I$30*parametros_manuales!$J$30</f>
        <v>10779.98469862</v>
      </c>
      <c r="D153" s="14" t="n">
        <f aca="false">(parametros_manuales!$D$30*(datos_base!$G$2+IF(parametros_manuales!$H$30="Todos",datos_base!$G$9,0))*parametros_manuales!$D$97+parametros_manuales!$E$30*(datos_base!$G$3+IF(parametros_manuales!$H$30="Todos",datos_base!$G$10,0))*parametros_manuales!$D$102+parametros_manuales!$F$30*(datos_base!$G$4+IF(parametros_manuales!$H$30="Todos",datos_base!$G$11,0))*parametros_manuales!$D$107+parametros_manuales!$G$30*(datos_base!$G$5+IF(parametros_manuales!$H$30="Todos",datos_base!$G$12,0))*parametros_manuales!$D$112)*parametros_manuales!$I$30*parametros_manuales!$J$30</f>
        <v>10089.664163065</v>
      </c>
      <c r="E153" s="14" t="n">
        <f aca="false">(parametros_manuales!$D$30*(datos_base!$G$2+IF(parametros_manuales!$H$30="Todos",datos_base!$G$9,0))*parametros_manuales!$E$97+parametros_manuales!$E$30*(datos_base!$G$3+IF(parametros_manuales!$H$30="Todos",datos_base!$G$10,0))*parametros_manuales!$E$102+parametros_manuales!$F$30*(datos_base!$G$4+IF(parametros_manuales!$H$30="Todos",datos_base!$G$11,0))*parametros_manuales!$E$107+parametros_manuales!$G$30*(datos_base!$G$5+IF(parametros_manuales!$H$30="Todos",datos_base!$G$12,0))*parametros_manuales!$E$112)*parametros_manuales!$I$30*parametros_manuales!$J$30</f>
        <v>9653.161897715</v>
      </c>
      <c r="F153" s="14" t="n">
        <f aca="false">(parametros_manuales!$D$30*(datos_base!$G$2+IF(parametros_manuales!$H$30="Todos",datos_base!$G$9,0))*parametros_manuales!$F$97+parametros_manuales!$E$30*(datos_base!$G$3+IF(parametros_manuales!$H$30="Todos",datos_base!$G$10,0))*parametros_manuales!$F$102+parametros_manuales!$F$30*(datos_base!$G$4+IF(parametros_manuales!$H$30="Todos",datos_base!$G$11,0))*parametros_manuales!$F$107+parametros_manuales!$G$30*(datos_base!$G$5+IF(parametros_manuales!$H$30="Todos",datos_base!$G$12,0))*parametros_manuales!$F$112)*parametros_manuales!$I$30*parametros_manuales!$J$30</f>
        <v>9033.97563722</v>
      </c>
      <c r="G153" s="14" t="n">
        <f aca="false">(parametros_manuales!$D$30*(datos_base!$G$2+IF(parametros_manuales!$H$30="Todos",datos_base!$G$9,0))*parametros_manuales!$G$97+parametros_manuales!$E$30*(datos_base!$G$3+IF(parametros_manuales!$H$30="Todos",datos_base!$G$10,0))*parametros_manuales!$G$102+parametros_manuales!$F$30*(datos_base!$G$4+IF(parametros_manuales!$H$30="Todos",datos_base!$G$11,0))*parametros_manuales!$G$107+parametros_manuales!$G$30*(datos_base!$G$5+IF(parametros_manuales!$H$30="Todos",datos_base!$G$12,0))*parametros_manuales!$G$112)*parametros_manuales!$I$30*parametros_manuales!$J$30</f>
        <v>8851.291642075</v>
      </c>
      <c r="H153" s="14" t="n">
        <f aca="false">(parametros_manuales!$D$30*(datos_base!$G$2+IF(parametros_manuales!$H$30="Todos",datos_base!$G$9,0))*parametros_manuales!$H$97+parametros_manuales!$E$30*(datos_base!$G$3+IF(parametros_manuales!$H$30="Todos",datos_base!$G$10,0))*parametros_manuales!$H$102+parametros_manuales!$F$30*(datos_base!$G$4+IF(parametros_manuales!$H$30="Todos",datos_base!$G$11,0))*parametros_manuales!$H$107+parametros_manuales!$G$30*(datos_base!$G$5+IF(parametros_manuales!$H$30="Todos",datos_base!$G$12,0))*parametros_manuales!$H$112)*parametros_manuales!$I$30*parametros_manuales!$J$30</f>
        <v>9470.47790257</v>
      </c>
      <c r="I153" s="14" t="n">
        <f aca="false">(parametros_manuales!$D$30*(datos_base!$G$2+IF(parametros_manuales!$H$30="Todos",datos_base!$G$9,0))*parametros_manuales!$I$97+parametros_manuales!$E$30*(datos_base!$G$3+IF(parametros_manuales!$H$30="Todos",datos_base!$G$10,0))*parametros_manuales!$I$102+parametros_manuales!$F$30*(datos_base!$G$4+IF(parametros_manuales!$H$30="Todos",datos_base!$G$11,0))*parametros_manuales!$I$107+parametros_manuales!$G$30*(datos_base!$G$5+IF(parametros_manuales!$H$30="Todos",datos_base!$G$12,0))*parametros_manuales!$I$112)*parametros_manuales!$I$30*parametros_manuales!$J$30</f>
        <v>10779.98469862</v>
      </c>
      <c r="J153" s="14" t="n">
        <f aca="false">(parametros_manuales!$D$30*(datos_base!$G$2+IF(parametros_manuales!$H$30="Todos",datos_base!$G$9,0))*parametros_manuales!$J$97+parametros_manuales!$E$30*(datos_base!$G$3+IF(parametros_manuales!$H$30="Todos",datos_base!$G$10,0))*parametros_manuales!$J$102+parametros_manuales!$F$30*(datos_base!$G$4+IF(parametros_manuales!$H$30="Todos",datos_base!$G$11,0))*parametros_manuales!$J$107+parametros_manuales!$G$30*(datos_base!$G$5+IF(parametros_manuales!$H$30="Todos",datos_base!$G$12,0))*parametros_manuales!$J$112)*parametros_manuales!$I$30*parametros_manuales!$J$30</f>
        <v>10779.98469862</v>
      </c>
      <c r="K153" s="14" t="n">
        <f aca="false">(parametros_manuales!$D$30*(datos_base!$G$2+IF(parametros_manuales!$H$30="Todos",datos_base!$G$9,0))*parametros_manuales!$K$97+parametros_manuales!$E$30*(datos_base!$G$3+IF(parametros_manuales!$H$30="Todos",datos_base!$G$10,0))*parametros_manuales!$K$102+parametros_manuales!$F$30*(datos_base!$G$4+IF(parametros_manuales!$H$30="Todos",datos_base!$G$11,0))*parametros_manuales!$K$107+parametros_manuales!$G$30*(datos_base!$G$5+IF(parametros_manuales!$H$30="Todos",datos_base!$G$12,0))*parametros_manuales!$K$112)*parametros_manuales!$I$30*parametros_manuales!$J$30</f>
        <v>10962.668693765</v>
      </c>
      <c r="L153" s="14" t="n">
        <f aca="false">(parametros_manuales!$D$30*(datos_base!$G$2+IF(parametros_manuales!$H$30="Todos",datos_base!$G$9,0))*parametros_manuales!$L$97+parametros_manuales!$E$30*(datos_base!$G$3+IF(parametros_manuales!$H$30="Todos",datos_base!$G$10,0))*parametros_manuales!$L$102+parametros_manuales!$F$30*(datos_base!$G$4+IF(parametros_manuales!$H$30="Todos",datos_base!$G$11,0))*parametros_manuales!$L$107+parametros_manuales!$G$30*(datos_base!$G$5+IF(parametros_manuales!$H$30="Todos",datos_base!$G$12,0))*parametros_manuales!$L$112)*parametros_manuales!$I$30*parametros_manuales!$J$30</f>
        <v>11145.35268891</v>
      </c>
      <c r="M153" s="14" t="n">
        <f aca="false">(parametros_manuales!$D$30*(datos_base!$G$2+IF(parametros_manuales!$H$30="Todos",datos_base!$G$9,0))*parametros_manuales!$M$97+parametros_manuales!$E$30*(datos_base!$G$3+IF(parametros_manuales!$H$30="Todos",datos_base!$G$10,0))*parametros_manuales!$M$102+parametros_manuales!$F$30*(datos_base!$G$4+IF(parametros_manuales!$H$30="Todos",datos_base!$G$11,0))*parametros_manuales!$M$107+parametros_manuales!$G$30*(datos_base!$G$5+IF(parametros_manuales!$H$30="Todos",datos_base!$G$12,0))*parametros_manuales!$M$112)*parametros_manuales!$I$30*parametros_manuales!$J$30</f>
        <v>11145.35268891</v>
      </c>
      <c r="N153" s="14" t="n">
        <f aca="false">SUM(B153:M153)</f>
        <v>123837.252099</v>
      </c>
      <c r="O153" s="14" t="n">
        <f aca="false">MAX(B153:M153)</f>
        <v>11145.35268891</v>
      </c>
      <c r="P153" s="57" t="n">
        <f aca="false">O153/(parametros_manuales!$B$7)</f>
        <v>74.3023512594</v>
      </c>
      <c r="Q153" s="13" t="str">
        <f aca="false">IF(O153=0,"-",INDEX($B$141:$M$141,MATCH(O153,B153:M153,0)))</f>
        <v>Ene</v>
      </c>
    </row>
    <row r="154" customFormat="false" ht="14.25" hidden="false" customHeight="true" outlineLevel="0" collapsed="false">
      <c r="A154" s="13" t="str">
        <f aca="false">parametros_manuales!$B$31</f>
        <v>Soldadura circunferencial de cúpula y fondo</v>
      </c>
      <c r="B154" s="14" t="n">
        <f aca="false">(parametros_manuales!$D$31*(datos_base!$G$2+IF(parametros_manuales!$H$31="Todos",datos_base!$G$9,0))*parametros_manuales!$B$97+parametros_manuales!$E$31*(datos_base!$G$3+IF(parametros_manuales!$H$31="Todos",datos_base!$G$10,0))*parametros_manuales!$B$102+parametros_manuales!$F$31*(datos_base!$G$4+IF(parametros_manuales!$H$31="Todos",datos_base!$G$11,0))*parametros_manuales!$B$107+parametros_manuales!$G$31*(datos_base!$G$5+IF(parametros_manuales!$H$31="Todos",datos_base!$G$12,0))*parametros_manuales!$B$112)*parametros_manuales!$I$31*parametros_manuales!$J$31</f>
        <v>11145.35268891</v>
      </c>
      <c r="C154" s="14" t="n">
        <f aca="false">(parametros_manuales!$D$31*(datos_base!$G$2+IF(parametros_manuales!$H$31="Todos",datos_base!$G$9,0))*parametros_manuales!$C$97+parametros_manuales!$E$31*(datos_base!$G$3+IF(parametros_manuales!$H$31="Todos",datos_base!$G$10,0))*parametros_manuales!$C$102+parametros_manuales!$F$31*(datos_base!$G$4+IF(parametros_manuales!$H$31="Todos",datos_base!$G$11,0))*parametros_manuales!$C$107+parametros_manuales!$G$31*(datos_base!$G$5+IF(parametros_manuales!$H$31="Todos",datos_base!$G$12,0))*parametros_manuales!$C$112)*parametros_manuales!$I$31*parametros_manuales!$J$31</f>
        <v>10779.98469862</v>
      </c>
      <c r="D154" s="14" t="n">
        <f aca="false">(parametros_manuales!$D$31*(datos_base!$G$2+IF(parametros_manuales!$H$31="Todos",datos_base!$G$9,0))*parametros_manuales!$D$97+parametros_manuales!$E$31*(datos_base!$G$3+IF(parametros_manuales!$H$31="Todos",datos_base!$G$10,0))*parametros_manuales!$D$102+parametros_manuales!$F$31*(datos_base!$G$4+IF(parametros_manuales!$H$31="Todos",datos_base!$G$11,0))*parametros_manuales!$D$107+parametros_manuales!$G$31*(datos_base!$G$5+IF(parametros_manuales!$H$31="Todos",datos_base!$G$12,0))*parametros_manuales!$D$112)*parametros_manuales!$I$31*parametros_manuales!$J$31</f>
        <v>10089.664163065</v>
      </c>
      <c r="E154" s="14" t="n">
        <f aca="false">(parametros_manuales!$D$31*(datos_base!$G$2+IF(parametros_manuales!$H$31="Todos",datos_base!$G$9,0))*parametros_manuales!$E$97+parametros_manuales!$E$31*(datos_base!$G$3+IF(parametros_manuales!$H$31="Todos",datos_base!$G$10,0))*parametros_manuales!$E$102+parametros_manuales!$F$31*(datos_base!$G$4+IF(parametros_manuales!$H$31="Todos",datos_base!$G$11,0))*parametros_manuales!$E$107+parametros_manuales!$G$31*(datos_base!$G$5+IF(parametros_manuales!$H$31="Todos",datos_base!$G$12,0))*parametros_manuales!$E$112)*parametros_manuales!$I$31*parametros_manuales!$J$31</f>
        <v>9653.161897715</v>
      </c>
      <c r="F154" s="14" t="n">
        <f aca="false">(parametros_manuales!$D$31*(datos_base!$G$2+IF(parametros_manuales!$H$31="Todos",datos_base!$G$9,0))*parametros_manuales!$F$97+parametros_manuales!$E$31*(datos_base!$G$3+IF(parametros_manuales!$H$31="Todos",datos_base!$G$10,0))*parametros_manuales!$F$102+parametros_manuales!$F$31*(datos_base!$G$4+IF(parametros_manuales!$H$31="Todos",datos_base!$G$11,0))*parametros_manuales!$F$107+parametros_manuales!$G$31*(datos_base!$G$5+IF(parametros_manuales!$H$31="Todos",datos_base!$G$12,0))*parametros_manuales!$F$112)*parametros_manuales!$I$31*parametros_manuales!$J$31</f>
        <v>9033.97563722</v>
      </c>
      <c r="G154" s="14" t="n">
        <f aca="false">(parametros_manuales!$D$31*(datos_base!$G$2+IF(parametros_manuales!$H$31="Todos",datos_base!$G$9,0))*parametros_manuales!$G$97+parametros_manuales!$E$31*(datos_base!$G$3+IF(parametros_manuales!$H$31="Todos",datos_base!$G$10,0))*parametros_manuales!$G$102+parametros_manuales!$F$31*(datos_base!$G$4+IF(parametros_manuales!$H$31="Todos",datos_base!$G$11,0))*parametros_manuales!$G$107+parametros_manuales!$G$31*(datos_base!$G$5+IF(parametros_manuales!$H$31="Todos",datos_base!$G$12,0))*parametros_manuales!$G$112)*parametros_manuales!$I$31*parametros_manuales!$J$31</f>
        <v>8851.291642075</v>
      </c>
      <c r="H154" s="14" t="n">
        <f aca="false">(parametros_manuales!$D$31*(datos_base!$G$2+IF(parametros_manuales!$H$31="Todos",datos_base!$G$9,0))*parametros_manuales!$H$97+parametros_manuales!$E$31*(datos_base!$G$3+IF(parametros_manuales!$H$31="Todos",datos_base!$G$10,0))*parametros_manuales!$H$102+parametros_manuales!$F$31*(datos_base!$G$4+IF(parametros_manuales!$H$31="Todos",datos_base!$G$11,0))*parametros_manuales!$H$107+parametros_manuales!$G$31*(datos_base!$G$5+IF(parametros_manuales!$H$31="Todos",datos_base!$G$12,0))*parametros_manuales!$H$112)*parametros_manuales!$I$31*parametros_manuales!$J$31</f>
        <v>9470.47790257</v>
      </c>
      <c r="I154" s="14" t="n">
        <f aca="false">(parametros_manuales!$D$31*(datos_base!$G$2+IF(parametros_manuales!$H$31="Todos",datos_base!$G$9,0))*parametros_manuales!$I$97+parametros_manuales!$E$31*(datos_base!$G$3+IF(parametros_manuales!$H$31="Todos",datos_base!$G$10,0))*parametros_manuales!$I$102+parametros_manuales!$F$31*(datos_base!$G$4+IF(parametros_manuales!$H$31="Todos",datos_base!$G$11,0))*parametros_manuales!$I$107+parametros_manuales!$G$31*(datos_base!$G$5+IF(parametros_manuales!$H$31="Todos",datos_base!$G$12,0))*parametros_manuales!$I$112)*parametros_manuales!$I$31*parametros_manuales!$J$31</f>
        <v>10779.98469862</v>
      </c>
      <c r="J154" s="14" t="n">
        <f aca="false">(parametros_manuales!$D$31*(datos_base!$G$2+IF(parametros_manuales!$H$31="Todos",datos_base!$G$9,0))*parametros_manuales!$J$97+parametros_manuales!$E$31*(datos_base!$G$3+IF(parametros_manuales!$H$31="Todos",datos_base!$G$10,0))*parametros_manuales!$J$102+parametros_manuales!$F$31*(datos_base!$G$4+IF(parametros_manuales!$H$31="Todos",datos_base!$G$11,0))*parametros_manuales!$J$107+parametros_manuales!$G$31*(datos_base!$G$5+IF(parametros_manuales!$H$31="Todos",datos_base!$G$12,0))*parametros_manuales!$J$112)*parametros_manuales!$I$31*parametros_manuales!$J$31</f>
        <v>10779.98469862</v>
      </c>
      <c r="K154" s="14" t="n">
        <f aca="false">(parametros_manuales!$D$31*(datos_base!$G$2+IF(parametros_manuales!$H$31="Todos",datos_base!$G$9,0))*parametros_manuales!$K$97+parametros_manuales!$E$31*(datos_base!$G$3+IF(parametros_manuales!$H$31="Todos",datos_base!$G$10,0))*parametros_manuales!$K$102+parametros_manuales!$F$31*(datos_base!$G$4+IF(parametros_manuales!$H$31="Todos",datos_base!$G$11,0))*parametros_manuales!$K$107+parametros_manuales!$G$31*(datos_base!$G$5+IF(parametros_manuales!$H$31="Todos",datos_base!$G$12,0))*parametros_manuales!$K$112)*parametros_manuales!$I$31*parametros_manuales!$J$31</f>
        <v>10962.668693765</v>
      </c>
      <c r="L154" s="14" t="n">
        <f aca="false">(parametros_manuales!$D$31*(datos_base!$G$2+IF(parametros_manuales!$H$31="Todos",datos_base!$G$9,0))*parametros_manuales!$L$97+parametros_manuales!$E$31*(datos_base!$G$3+IF(parametros_manuales!$H$31="Todos",datos_base!$G$10,0))*parametros_manuales!$L$102+parametros_manuales!$F$31*(datos_base!$G$4+IF(parametros_manuales!$H$31="Todos",datos_base!$G$11,0))*parametros_manuales!$L$107+parametros_manuales!$G$31*(datos_base!$G$5+IF(parametros_manuales!$H$31="Todos",datos_base!$G$12,0))*parametros_manuales!$L$112)*parametros_manuales!$I$31*parametros_manuales!$J$31</f>
        <v>11145.35268891</v>
      </c>
      <c r="M154" s="14" t="n">
        <f aca="false">(parametros_manuales!$D$31*(datos_base!$G$2+IF(parametros_manuales!$H$31="Todos",datos_base!$G$9,0))*parametros_manuales!$M$97+parametros_manuales!$E$31*(datos_base!$G$3+IF(parametros_manuales!$H$31="Todos",datos_base!$G$10,0))*parametros_manuales!$M$102+parametros_manuales!$F$31*(datos_base!$G$4+IF(parametros_manuales!$H$31="Todos",datos_base!$G$11,0))*parametros_manuales!$M$107+parametros_manuales!$G$31*(datos_base!$G$5+IF(parametros_manuales!$H$31="Todos",datos_base!$G$12,0))*parametros_manuales!$M$112)*parametros_manuales!$I$31*parametros_manuales!$J$31</f>
        <v>11145.35268891</v>
      </c>
      <c r="N154" s="14" t="n">
        <f aca="false">SUM(B154:M154)</f>
        <v>123837.252099</v>
      </c>
      <c r="O154" s="14" t="n">
        <f aca="false">MAX(B154:M154)</f>
        <v>11145.35268891</v>
      </c>
      <c r="P154" s="57" t="n">
        <f aca="false">O154/(parametros_manuales!$B$7)</f>
        <v>74.3023512594</v>
      </c>
      <c r="Q154" s="13" t="str">
        <f aca="false">IF(O154=0,"-",INDEX($B$141:$M$141,MATCH(O154,B154:M154,0)))</f>
        <v>Ene</v>
      </c>
    </row>
    <row r="155" customFormat="false" ht="14.25" hidden="false" customHeight="true" outlineLevel="0" collapsed="false">
      <c r="A155" s="13" t="str">
        <f aca="false">parametros_manuales!$B$32</f>
        <v>Control de calidad — Espesor</v>
      </c>
      <c r="B155" s="14" t="n">
        <f aca="false">(parametros_manuales!$D$32*(datos_base!$G$2+IF(parametros_manuales!$H$32="Todos",datos_base!$G$9,0))*parametros_manuales!$B$97+parametros_manuales!$E$32*(datos_base!$G$3+IF(parametros_manuales!$H$32="Todos",datos_base!$G$10,0))*parametros_manuales!$B$102+parametros_manuales!$F$32*(datos_base!$G$4+IF(parametros_manuales!$H$32="Todos",datos_base!$G$11,0))*parametros_manuales!$B$107+parametros_manuales!$G$32*(datos_base!$G$5+IF(parametros_manuales!$H$32="Todos",datos_base!$G$12,0))*parametros_manuales!$B$112)*parametros_manuales!$I$32*parametros_manuales!$J$32</f>
        <v>222.9070537782</v>
      </c>
      <c r="C155" s="14" t="n">
        <f aca="false">(parametros_manuales!$D$32*(datos_base!$G$2+IF(parametros_manuales!$H$32="Todos",datos_base!$G$9,0))*parametros_manuales!$C$97+parametros_manuales!$E$32*(datos_base!$G$3+IF(parametros_manuales!$H$32="Todos",datos_base!$G$10,0))*parametros_manuales!$C$102+parametros_manuales!$F$32*(datos_base!$G$4+IF(parametros_manuales!$H$32="Todos",datos_base!$G$11,0))*parametros_manuales!$C$107+parametros_manuales!$G$32*(datos_base!$G$5+IF(parametros_manuales!$H$32="Todos",datos_base!$G$12,0))*parametros_manuales!$C$112)*parametros_manuales!$I$32*parametros_manuales!$J$32</f>
        <v>215.5996939724</v>
      </c>
      <c r="D155" s="14" t="n">
        <f aca="false">(parametros_manuales!$D$32*(datos_base!$G$2+IF(parametros_manuales!$H$32="Todos",datos_base!$G$9,0))*parametros_manuales!$D$97+parametros_manuales!$E$32*(datos_base!$G$3+IF(parametros_manuales!$H$32="Todos",datos_base!$G$10,0))*parametros_manuales!$D$102+parametros_manuales!$F$32*(datos_base!$G$4+IF(parametros_manuales!$H$32="Todos",datos_base!$G$11,0))*parametros_manuales!$D$107+parametros_manuales!$G$32*(datos_base!$G$5+IF(parametros_manuales!$H$32="Todos",datos_base!$G$12,0))*parametros_manuales!$D$112)*parametros_manuales!$I$32*parametros_manuales!$J$32</f>
        <v>201.7932832613</v>
      </c>
      <c r="E155" s="14" t="n">
        <f aca="false">(parametros_manuales!$D$32*(datos_base!$G$2+IF(parametros_manuales!$H$32="Todos",datos_base!$G$9,0))*parametros_manuales!$E$97+parametros_manuales!$E$32*(datos_base!$G$3+IF(parametros_manuales!$H$32="Todos",datos_base!$G$10,0))*parametros_manuales!$E$102+parametros_manuales!$F$32*(datos_base!$G$4+IF(parametros_manuales!$H$32="Todos",datos_base!$G$11,0))*parametros_manuales!$E$107+parametros_manuales!$G$32*(datos_base!$G$5+IF(parametros_manuales!$H$32="Todos",datos_base!$G$12,0))*parametros_manuales!$E$112)*parametros_manuales!$I$32*parametros_manuales!$J$32</f>
        <v>193.0632379543</v>
      </c>
      <c r="F155" s="14" t="n">
        <f aca="false">(parametros_manuales!$D$32*(datos_base!$G$2+IF(parametros_manuales!$H$32="Todos",datos_base!$G$9,0))*parametros_manuales!$F$97+parametros_manuales!$E$32*(datos_base!$G$3+IF(parametros_manuales!$H$32="Todos",datos_base!$G$10,0))*parametros_manuales!$F$102+parametros_manuales!$F$32*(datos_base!$G$4+IF(parametros_manuales!$H$32="Todos",datos_base!$G$11,0))*parametros_manuales!$F$107+parametros_manuales!$G$32*(datos_base!$G$5+IF(parametros_manuales!$H$32="Todos",datos_base!$G$12,0))*parametros_manuales!$F$112)*parametros_manuales!$I$32*parametros_manuales!$J$32</f>
        <v>180.6795127444</v>
      </c>
      <c r="G155" s="14" t="n">
        <f aca="false">(parametros_manuales!$D$32*(datos_base!$G$2+IF(parametros_manuales!$H$32="Todos",datos_base!$G$9,0))*parametros_manuales!$G$97+parametros_manuales!$E$32*(datos_base!$G$3+IF(parametros_manuales!$H$32="Todos",datos_base!$G$10,0))*parametros_manuales!$G$102+parametros_manuales!$F$32*(datos_base!$G$4+IF(parametros_manuales!$H$32="Todos",datos_base!$G$11,0))*parametros_manuales!$G$107+parametros_manuales!$G$32*(datos_base!$G$5+IF(parametros_manuales!$H$32="Todos",datos_base!$G$12,0))*parametros_manuales!$G$112)*parametros_manuales!$I$32*parametros_manuales!$J$32</f>
        <v>177.0258328415</v>
      </c>
      <c r="H155" s="14" t="n">
        <f aca="false">(parametros_manuales!$D$32*(datos_base!$G$2+IF(parametros_manuales!$H$32="Todos",datos_base!$G$9,0))*parametros_manuales!$H$97+parametros_manuales!$E$32*(datos_base!$G$3+IF(parametros_manuales!$H$32="Todos",datos_base!$G$10,0))*parametros_manuales!$H$102+parametros_manuales!$F$32*(datos_base!$G$4+IF(parametros_manuales!$H$32="Todos",datos_base!$G$11,0))*parametros_manuales!$H$107+parametros_manuales!$G$32*(datos_base!$G$5+IF(parametros_manuales!$H$32="Todos",datos_base!$G$12,0))*parametros_manuales!$H$112)*parametros_manuales!$I$32*parametros_manuales!$J$32</f>
        <v>189.4095580514</v>
      </c>
      <c r="I155" s="14" t="n">
        <f aca="false">(parametros_manuales!$D$32*(datos_base!$G$2+IF(parametros_manuales!$H$32="Todos",datos_base!$G$9,0))*parametros_manuales!$I$97+parametros_manuales!$E$32*(datos_base!$G$3+IF(parametros_manuales!$H$32="Todos",datos_base!$G$10,0))*parametros_manuales!$I$102+parametros_manuales!$F$32*(datos_base!$G$4+IF(parametros_manuales!$H$32="Todos",datos_base!$G$11,0))*parametros_manuales!$I$107+parametros_manuales!$G$32*(datos_base!$G$5+IF(parametros_manuales!$H$32="Todos",datos_base!$G$12,0))*parametros_manuales!$I$112)*parametros_manuales!$I$32*parametros_manuales!$J$32</f>
        <v>215.5996939724</v>
      </c>
      <c r="J155" s="14" t="n">
        <f aca="false">(parametros_manuales!$D$32*(datos_base!$G$2+IF(parametros_manuales!$H$32="Todos",datos_base!$G$9,0))*parametros_manuales!$J$97+parametros_manuales!$E$32*(datos_base!$G$3+IF(parametros_manuales!$H$32="Todos",datos_base!$G$10,0))*parametros_manuales!$J$102+parametros_manuales!$F$32*(datos_base!$G$4+IF(parametros_manuales!$H$32="Todos",datos_base!$G$11,0))*parametros_manuales!$J$107+parametros_manuales!$G$32*(datos_base!$G$5+IF(parametros_manuales!$H$32="Todos",datos_base!$G$12,0))*parametros_manuales!$J$112)*parametros_manuales!$I$32*parametros_manuales!$J$32</f>
        <v>215.5996939724</v>
      </c>
      <c r="K155" s="14" t="n">
        <f aca="false">(parametros_manuales!$D$32*(datos_base!$G$2+IF(parametros_manuales!$H$32="Todos",datos_base!$G$9,0))*parametros_manuales!$K$97+parametros_manuales!$E$32*(datos_base!$G$3+IF(parametros_manuales!$H$32="Todos",datos_base!$G$10,0))*parametros_manuales!$K$102+parametros_manuales!$F$32*(datos_base!$G$4+IF(parametros_manuales!$H$32="Todos",datos_base!$G$11,0))*parametros_manuales!$K$107+parametros_manuales!$G$32*(datos_base!$G$5+IF(parametros_manuales!$H$32="Todos",datos_base!$G$12,0))*parametros_manuales!$K$112)*parametros_manuales!$I$32*parametros_manuales!$J$32</f>
        <v>219.2533738753</v>
      </c>
      <c r="L155" s="14" t="n">
        <f aca="false">(parametros_manuales!$D$32*(datos_base!$G$2+IF(parametros_manuales!$H$32="Todos",datos_base!$G$9,0))*parametros_manuales!$L$97+parametros_manuales!$E$32*(datos_base!$G$3+IF(parametros_manuales!$H$32="Todos",datos_base!$G$10,0))*parametros_manuales!$L$102+parametros_manuales!$F$32*(datos_base!$G$4+IF(parametros_manuales!$H$32="Todos",datos_base!$G$11,0))*parametros_manuales!$L$107+parametros_manuales!$G$32*(datos_base!$G$5+IF(parametros_manuales!$H$32="Todos",datos_base!$G$12,0))*parametros_manuales!$L$112)*parametros_manuales!$I$32*parametros_manuales!$J$32</f>
        <v>222.9070537782</v>
      </c>
      <c r="M155" s="14" t="n">
        <f aca="false">(parametros_manuales!$D$32*(datos_base!$G$2+IF(parametros_manuales!$H$32="Todos",datos_base!$G$9,0))*parametros_manuales!$M$97+parametros_manuales!$E$32*(datos_base!$G$3+IF(parametros_manuales!$H$32="Todos",datos_base!$G$10,0))*parametros_manuales!$M$102+parametros_manuales!$F$32*(datos_base!$G$4+IF(parametros_manuales!$H$32="Todos",datos_base!$G$11,0))*parametros_manuales!$M$107+parametros_manuales!$G$32*(datos_base!$G$5+IF(parametros_manuales!$H$32="Todos",datos_base!$G$12,0))*parametros_manuales!$M$112)*parametros_manuales!$I$32*parametros_manuales!$J$32</f>
        <v>222.9070537782</v>
      </c>
      <c r="N155" s="14" t="n">
        <f aca="false">SUM(B155:M155)</f>
        <v>2476.74504198</v>
      </c>
      <c r="O155" s="14" t="n">
        <f aca="false">MAX(B155:M155)</f>
        <v>222.9070537782</v>
      </c>
      <c r="P155" s="57" t="n">
        <f aca="false">O155/(parametros_manuales!$B$7)</f>
        <v>1.486047025188</v>
      </c>
      <c r="Q155" s="13" t="str">
        <f aca="false">IF(O155=0,"-",INDEX($B$141:$M$141,MATCH(O155,B155:M155,0)))</f>
        <v>Ene</v>
      </c>
    </row>
    <row r="156" customFormat="false" ht="14.25" hidden="false" customHeight="true" outlineLevel="0" collapsed="false">
      <c r="A156" s="13" t="str">
        <f aca="false">parametros_manuales!$B$33</f>
        <v>Prueba hidráulica</v>
      </c>
      <c r="B156" s="14" t="n">
        <f aca="false">(parametros_manuales!$D$33*(datos_base!$G$2+IF(parametros_manuales!$H$33="Todos",datos_base!$G$9,0))*parametros_manuales!$B$97+parametros_manuales!$E$33*(datos_base!$G$3+IF(parametros_manuales!$H$33="Todos",datos_base!$G$10,0))*parametros_manuales!$B$102+parametros_manuales!$F$33*(datos_base!$G$4+IF(parametros_manuales!$H$33="Todos",datos_base!$G$11,0))*parametros_manuales!$B$107+parametros_manuales!$G$33*(datos_base!$G$5+IF(parametros_manuales!$H$33="Todos",datos_base!$G$12,0))*parametros_manuales!$B$112)*parametros_manuales!$I$33*parametros_manuales!$J$33</f>
        <v>11145.35268891</v>
      </c>
      <c r="C156" s="14" t="n">
        <f aca="false">(parametros_manuales!$D$33*(datos_base!$G$2+IF(parametros_manuales!$H$33="Todos",datos_base!$G$9,0))*parametros_manuales!$C$97+parametros_manuales!$E$33*(datos_base!$G$3+IF(parametros_manuales!$H$33="Todos",datos_base!$G$10,0))*parametros_manuales!$C$102+parametros_manuales!$F$33*(datos_base!$G$4+IF(parametros_manuales!$H$33="Todos",datos_base!$G$11,0))*parametros_manuales!$C$107+parametros_manuales!$G$33*(datos_base!$G$5+IF(parametros_manuales!$H$33="Todos",datos_base!$G$12,0))*parametros_manuales!$C$112)*parametros_manuales!$I$33*parametros_manuales!$J$33</f>
        <v>10779.98469862</v>
      </c>
      <c r="D156" s="14" t="n">
        <f aca="false">(parametros_manuales!$D$33*(datos_base!$G$2+IF(parametros_manuales!$H$33="Todos",datos_base!$G$9,0))*parametros_manuales!$D$97+parametros_manuales!$E$33*(datos_base!$G$3+IF(parametros_manuales!$H$33="Todos",datos_base!$G$10,0))*parametros_manuales!$D$102+parametros_manuales!$F$33*(datos_base!$G$4+IF(parametros_manuales!$H$33="Todos",datos_base!$G$11,0))*parametros_manuales!$D$107+parametros_manuales!$G$33*(datos_base!$G$5+IF(parametros_manuales!$H$33="Todos",datos_base!$G$12,0))*parametros_manuales!$D$112)*parametros_manuales!$I$33*parametros_manuales!$J$33</f>
        <v>10089.664163065</v>
      </c>
      <c r="E156" s="14" t="n">
        <f aca="false">(parametros_manuales!$D$33*(datos_base!$G$2+IF(parametros_manuales!$H$33="Todos",datos_base!$G$9,0))*parametros_manuales!$E$97+parametros_manuales!$E$33*(datos_base!$G$3+IF(parametros_manuales!$H$33="Todos",datos_base!$G$10,0))*parametros_manuales!$E$102+parametros_manuales!$F$33*(datos_base!$G$4+IF(parametros_manuales!$H$33="Todos",datos_base!$G$11,0))*parametros_manuales!$E$107+parametros_manuales!$G$33*(datos_base!$G$5+IF(parametros_manuales!$H$33="Todos",datos_base!$G$12,0))*parametros_manuales!$E$112)*parametros_manuales!$I$33*parametros_manuales!$J$33</f>
        <v>9653.161897715</v>
      </c>
      <c r="F156" s="14" t="n">
        <f aca="false">(parametros_manuales!$D$33*(datos_base!$G$2+IF(parametros_manuales!$H$33="Todos",datos_base!$G$9,0))*parametros_manuales!$F$97+parametros_manuales!$E$33*(datos_base!$G$3+IF(parametros_manuales!$H$33="Todos",datos_base!$G$10,0))*parametros_manuales!$F$102+parametros_manuales!$F$33*(datos_base!$G$4+IF(parametros_manuales!$H$33="Todos",datos_base!$G$11,0))*parametros_manuales!$F$107+parametros_manuales!$G$33*(datos_base!$G$5+IF(parametros_manuales!$H$33="Todos",datos_base!$G$12,0))*parametros_manuales!$F$112)*parametros_manuales!$I$33*parametros_manuales!$J$33</f>
        <v>9033.97563722</v>
      </c>
      <c r="G156" s="14" t="n">
        <f aca="false">(parametros_manuales!$D$33*(datos_base!$G$2+IF(parametros_manuales!$H$33="Todos",datos_base!$G$9,0))*parametros_manuales!$G$97+parametros_manuales!$E$33*(datos_base!$G$3+IF(parametros_manuales!$H$33="Todos",datos_base!$G$10,0))*parametros_manuales!$G$102+parametros_manuales!$F$33*(datos_base!$G$4+IF(parametros_manuales!$H$33="Todos",datos_base!$G$11,0))*parametros_manuales!$G$107+parametros_manuales!$G$33*(datos_base!$G$5+IF(parametros_manuales!$H$33="Todos",datos_base!$G$12,0))*parametros_manuales!$G$112)*parametros_manuales!$I$33*parametros_manuales!$J$33</f>
        <v>8851.291642075</v>
      </c>
      <c r="H156" s="14" t="n">
        <f aca="false">(parametros_manuales!$D$33*(datos_base!$G$2+IF(parametros_manuales!$H$33="Todos",datos_base!$G$9,0))*parametros_manuales!$H$97+parametros_manuales!$E$33*(datos_base!$G$3+IF(parametros_manuales!$H$33="Todos",datos_base!$G$10,0))*parametros_manuales!$H$102+parametros_manuales!$F$33*(datos_base!$G$4+IF(parametros_manuales!$H$33="Todos",datos_base!$G$11,0))*parametros_manuales!$H$107+parametros_manuales!$G$33*(datos_base!$G$5+IF(parametros_manuales!$H$33="Todos",datos_base!$G$12,0))*parametros_manuales!$H$112)*parametros_manuales!$I$33*parametros_manuales!$J$33</f>
        <v>9470.47790257</v>
      </c>
      <c r="I156" s="14" t="n">
        <f aca="false">(parametros_manuales!$D$33*(datos_base!$G$2+IF(parametros_manuales!$H$33="Todos",datos_base!$G$9,0))*parametros_manuales!$I$97+parametros_manuales!$E$33*(datos_base!$G$3+IF(parametros_manuales!$H$33="Todos",datos_base!$G$10,0))*parametros_manuales!$I$102+parametros_manuales!$F$33*(datos_base!$G$4+IF(parametros_manuales!$H$33="Todos",datos_base!$G$11,0))*parametros_manuales!$I$107+parametros_manuales!$G$33*(datos_base!$G$5+IF(parametros_manuales!$H$33="Todos",datos_base!$G$12,0))*parametros_manuales!$I$112)*parametros_manuales!$I$33*parametros_manuales!$J$33</f>
        <v>10779.98469862</v>
      </c>
      <c r="J156" s="14" t="n">
        <f aca="false">(parametros_manuales!$D$33*(datos_base!$G$2+IF(parametros_manuales!$H$33="Todos",datos_base!$G$9,0))*parametros_manuales!$J$97+parametros_manuales!$E$33*(datos_base!$G$3+IF(parametros_manuales!$H$33="Todos",datos_base!$G$10,0))*parametros_manuales!$J$102+parametros_manuales!$F$33*(datos_base!$G$4+IF(parametros_manuales!$H$33="Todos",datos_base!$G$11,0))*parametros_manuales!$J$107+parametros_manuales!$G$33*(datos_base!$G$5+IF(parametros_manuales!$H$33="Todos",datos_base!$G$12,0))*parametros_manuales!$J$112)*parametros_manuales!$I$33*parametros_manuales!$J$33</f>
        <v>10779.98469862</v>
      </c>
      <c r="K156" s="14" t="n">
        <f aca="false">(parametros_manuales!$D$33*(datos_base!$G$2+IF(parametros_manuales!$H$33="Todos",datos_base!$G$9,0))*parametros_manuales!$K$97+parametros_manuales!$E$33*(datos_base!$G$3+IF(parametros_manuales!$H$33="Todos",datos_base!$G$10,0))*parametros_manuales!$K$102+parametros_manuales!$F$33*(datos_base!$G$4+IF(parametros_manuales!$H$33="Todos",datos_base!$G$11,0))*parametros_manuales!$K$107+parametros_manuales!$G$33*(datos_base!$G$5+IF(parametros_manuales!$H$33="Todos",datos_base!$G$12,0))*parametros_manuales!$K$112)*parametros_manuales!$I$33*parametros_manuales!$J$33</f>
        <v>10962.668693765</v>
      </c>
      <c r="L156" s="14" t="n">
        <f aca="false">(parametros_manuales!$D$33*(datos_base!$G$2+IF(parametros_manuales!$H$33="Todos",datos_base!$G$9,0))*parametros_manuales!$L$97+parametros_manuales!$E$33*(datos_base!$G$3+IF(parametros_manuales!$H$33="Todos",datos_base!$G$10,0))*parametros_manuales!$L$102+parametros_manuales!$F$33*(datos_base!$G$4+IF(parametros_manuales!$H$33="Todos",datos_base!$G$11,0))*parametros_manuales!$L$107+parametros_manuales!$G$33*(datos_base!$G$5+IF(parametros_manuales!$H$33="Todos",datos_base!$G$12,0))*parametros_manuales!$L$112)*parametros_manuales!$I$33*parametros_manuales!$J$33</f>
        <v>11145.35268891</v>
      </c>
      <c r="M156" s="14" t="n">
        <f aca="false">(parametros_manuales!$D$33*(datos_base!$G$2+IF(parametros_manuales!$H$33="Todos",datos_base!$G$9,0))*parametros_manuales!$M$97+parametros_manuales!$E$33*(datos_base!$G$3+IF(parametros_manuales!$H$33="Todos",datos_base!$G$10,0))*parametros_manuales!$M$102+parametros_manuales!$F$33*(datos_base!$G$4+IF(parametros_manuales!$H$33="Todos",datos_base!$G$11,0))*parametros_manuales!$M$107+parametros_manuales!$G$33*(datos_base!$G$5+IF(parametros_manuales!$H$33="Todos",datos_base!$G$12,0))*parametros_manuales!$M$112)*parametros_manuales!$I$33*parametros_manuales!$J$33</f>
        <v>11145.35268891</v>
      </c>
      <c r="N156" s="14" t="n">
        <f aca="false">SUM(B156:M156)</f>
        <v>123837.252099</v>
      </c>
      <c r="O156" s="14" t="n">
        <f aca="false">MAX(B156:M156)</f>
        <v>11145.35268891</v>
      </c>
      <c r="P156" s="57" t="n">
        <f aca="false">O156/(parametros_manuales!$B$7)</f>
        <v>74.3023512594</v>
      </c>
      <c r="Q156" s="13" t="str">
        <f aca="false">IF(O156=0,"-",INDEX($B$141:$M$141,MATCH(O156,B156:M156,0)))</f>
        <v>Ene</v>
      </c>
    </row>
    <row r="157" customFormat="false" ht="14.25" hidden="false" customHeight="true" outlineLevel="0" collapsed="false">
      <c r="A157" s="13" t="str">
        <f aca="false">parametros_manuales!$B$34</f>
        <v>Secado</v>
      </c>
      <c r="B157" s="14" t="n">
        <f aca="false">(parametros_manuales!$D$34*(datos_base!$G$2+IF(parametros_manuales!$H$34="Todos",datos_base!$G$9,0))*parametros_manuales!$B$97+parametros_manuales!$E$34*(datos_base!$G$3+IF(parametros_manuales!$H$34="Todos",datos_base!$G$10,0))*parametros_manuales!$B$102+parametros_manuales!$F$34*(datos_base!$G$4+IF(parametros_manuales!$H$34="Todos",datos_base!$G$11,0))*parametros_manuales!$B$107+parametros_manuales!$G$34*(datos_base!$G$5+IF(parametros_manuales!$H$34="Todos",datos_base!$G$12,0))*parametros_manuales!$B$112)*parametros_manuales!$I$34*parametros_manuales!$J$34</f>
        <v>11145.35268891</v>
      </c>
      <c r="C157" s="14" t="n">
        <f aca="false">(parametros_manuales!$D$34*(datos_base!$G$2+IF(parametros_manuales!$H$34="Todos",datos_base!$G$9,0))*parametros_manuales!$C$97+parametros_manuales!$E$34*(datos_base!$G$3+IF(parametros_manuales!$H$34="Todos",datos_base!$G$10,0))*parametros_manuales!$C$102+parametros_manuales!$F$34*(datos_base!$G$4+IF(parametros_manuales!$H$34="Todos",datos_base!$G$11,0))*parametros_manuales!$C$107+parametros_manuales!$G$34*(datos_base!$G$5+IF(parametros_manuales!$H$34="Todos",datos_base!$G$12,0))*parametros_manuales!$C$112)*parametros_manuales!$I$34*parametros_manuales!$J$34</f>
        <v>10779.98469862</v>
      </c>
      <c r="D157" s="14" t="n">
        <f aca="false">(parametros_manuales!$D$34*(datos_base!$G$2+IF(parametros_manuales!$H$34="Todos",datos_base!$G$9,0))*parametros_manuales!$D$97+parametros_manuales!$E$34*(datos_base!$G$3+IF(parametros_manuales!$H$34="Todos",datos_base!$G$10,0))*parametros_manuales!$D$102+parametros_manuales!$F$34*(datos_base!$G$4+IF(parametros_manuales!$H$34="Todos",datos_base!$G$11,0))*parametros_manuales!$D$107+parametros_manuales!$G$34*(datos_base!$G$5+IF(parametros_manuales!$H$34="Todos",datos_base!$G$12,0))*parametros_manuales!$D$112)*parametros_manuales!$I$34*parametros_manuales!$J$34</f>
        <v>10089.664163065</v>
      </c>
      <c r="E157" s="14" t="n">
        <f aca="false">(parametros_manuales!$D$34*(datos_base!$G$2+IF(parametros_manuales!$H$34="Todos",datos_base!$G$9,0))*parametros_manuales!$E$97+parametros_manuales!$E$34*(datos_base!$G$3+IF(parametros_manuales!$H$34="Todos",datos_base!$G$10,0))*parametros_manuales!$E$102+parametros_manuales!$F$34*(datos_base!$G$4+IF(parametros_manuales!$H$34="Todos",datos_base!$G$11,0))*parametros_manuales!$E$107+parametros_manuales!$G$34*(datos_base!$G$5+IF(parametros_manuales!$H$34="Todos",datos_base!$G$12,0))*parametros_manuales!$E$112)*parametros_manuales!$I$34*parametros_manuales!$J$34</f>
        <v>9653.161897715</v>
      </c>
      <c r="F157" s="14" t="n">
        <f aca="false">(parametros_manuales!$D$34*(datos_base!$G$2+IF(parametros_manuales!$H$34="Todos",datos_base!$G$9,0))*parametros_manuales!$F$97+parametros_manuales!$E$34*(datos_base!$G$3+IF(parametros_manuales!$H$34="Todos",datos_base!$G$10,0))*parametros_manuales!$F$102+parametros_manuales!$F$34*(datos_base!$G$4+IF(parametros_manuales!$H$34="Todos",datos_base!$G$11,0))*parametros_manuales!$F$107+parametros_manuales!$G$34*(datos_base!$G$5+IF(parametros_manuales!$H$34="Todos",datos_base!$G$12,0))*parametros_manuales!$F$112)*parametros_manuales!$I$34*parametros_manuales!$J$34</f>
        <v>9033.97563722</v>
      </c>
      <c r="G157" s="14" t="n">
        <f aca="false">(parametros_manuales!$D$34*(datos_base!$G$2+IF(parametros_manuales!$H$34="Todos",datos_base!$G$9,0))*parametros_manuales!$G$97+parametros_manuales!$E$34*(datos_base!$G$3+IF(parametros_manuales!$H$34="Todos",datos_base!$G$10,0))*parametros_manuales!$G$102+parametros_manuales!$F$34*(datos_base!$G$4+IF(parametros_manuales!$H$34="Todos",datos_base!$G$11,0))*parametros_manuales!$G$107+parametros_manuales!$G$34*(datos_base!$G$5+IF(parametros_manuales!$H$34="Todos",datos_base!$G$12,0))*parametros_manuales!$G$112)*parametros_manuales!$I$34*parametros_manuales!$J$34</f>
        <v>8851.291642075</v>
      </c>
      <c r="H157" s="14" t="n">
        <f aca="false">(parametros_manuales!$D$34*(datos_base!$G$2+IF(parametros_manuales!$H$34="Todos",datos_base!$G$9,0))*parametros_manuales!$H$97+parametros_manuales!$E$34*(datos_base!$G$3+IF(parametros_manuales!$H$34="Todos",datos_base!$G$10,0))*parametros_manuales!$H$102+parametros_manuales!$F$34*(datos_base!$G$4+IF(parametros_manuales!$H$34="Todos",datos_base!$G$11,0))*parametros_manuales!$H$107+parametros_manuales!$G$34*(datos_base!$G$5+IF(parametros_manuales!$H$34="Todos",datos_base!$G$12,0))*parametros_manuales!$H$112)*parametros_manuales!$I$34*parametros_manuales!$J$34</f>
        <v>9470.47790257</v>
      </c>
      <c r="I157" s="14" t="n">
        <f aca="false">(parametros_manuales!$D$34*(datos_base!$G$2+IF(parametros_manuales!$H$34="Todos",datos_base!$G$9,0))*parametros_manuales!$I$97+parametros_manuales!$E$34*(datos_base!$G$3+IF(parametros_manuales!$H$34="Todos",datos_base!$G$10,0))*parametros_manuales!$I$102+parametros_manuales!$F$34*(datos_base!$G$4+IF(parametros_manuales!$H$34="Todos",datos_base!$G$11,0))*parametros_manuales!$I$107+parametros_manuales!$G$34*(datos_base!$G$5+IF(parametros_manuales!$H$34="Todos",datos_base!$G$12,0))*parametros_manuales!$I$112)*parametros_manuales!$I$34*parametros_manuales!$J$34</f>
        <v>10779.98469862</v>
      </c>
      <c r="J157" s="14" t="n">
        <f aca="false">(parametros_manuales!$D$34*(datos_base!$G$2+IF(parametros_manuales!$H$34="Todos",datos_base!$G$9,0))*parametros_manuales!$J$97+parametros_manuales!$E$34*(datos_base!$G$3+IF(parametros_manuales!$H$34="Todos",datos_base!$G$10,0))*parametros_manuales!$J$102+parametros_manuales!$F$34*(datos_base!$G$4+IF(parametros_manuales!$H$34="Todos",datos_base!$G$11,0))*parametros_manuales!$J$107+parametros_manuales!$G$34*(datos_base!$G$5+IF(parametros_manuales!$H$34="Todos",datos_base!$G$12,0))*parametros_manuales!$J$112)*parametros_manuales!$I$34*parametros_manuales!$J$34</f>
        <v>10779.98469862</v>
      </c>
      <c r="K157" s="14" t="n">
        <f aca="false">(parametros_manuales!$D$34*(datos_base!$G$2+IF(parametros_manuales!$H$34="Todos",datos_base!$G$9,0))*parametros_manuales!$K$97+parametros_manuales!$E$34*(datos_base!$G$3+IF(parametros_manuales!$H$34="Todos",datos_base!$G$10,0))*parametros_manuales!$K$102+parametros_manuales!$F$34*(datos_base!$G$4+IF(parametros_manuales!$H$34="Todos",datos_base!$G$11,0))*parametros_manuales!$K$107+parametros_manuales!$G$34*(datos_base!$G$5+IF(parametros_manuales!$H$34="Todos",datos_base!$G$12,0))*parametros_manuales!$K$112)*parametros_manuales!$I$34*parametros_manuales!$J$34</f>
        <v>10962.668693765</v>
      </c>
      <c r="L157" s="14" t="n">
        <f aca="false">(parametros_manuales!$D$34*(datos_base!$G$2+IF(parametros_manuales!$H$34="Todos",datos_base!$G$9,0))*parametros_manuales!$L$97+parametros_manuales!$E$34*(datos_base!$G$3+IF(parametros_manuales!$H$34="Todos",datos_base!$G$10,0))*parametros_manuales!$L$102+parametros_manuales!$F$34*(datos_base!$G$4+IF(parametros_manuales!$H$34="Todos",datos_base!$G$11,0))*parametros_manuales!$L$107+parametros_manuales!$G$34*(datos_base!$G$5+IF(parametros_manuales!$H$34="Todos",datos_base!$G$12,0))*parametros_manuales!$L$112)*parametros_manuales!$I$34*parametros_manuales!$J$34</f>
        <v>11145.35268891</v>
      </c>
      <c r="M157" s="14" t="n">
        <f aca="false">(parametros_manuales!$D$34*(datos_base!$G$2+IF(parametros_manuales!$H$34="Todos",datos_base!$G$9,0))*parametros_manuales!$M$97+parametros_manuales!$E$34*(datos_base!$G$3+IF(parametros_manuales!$H$34="Todos",datos_base!$G$10,0))*parametros_manuales!$M$102+parametros_manuales!$F$34*(datos_base!$G$4+IF(parametros_manuales!$H$34="Todos",datos_base!$G$11,0))*parametros_manuales!$M$107+parametros_manuales!$G$34*(datos_base!$G$5+IF(parametros_manuales!$H$34="Todos",datos_base!$G$12,0))*parametros_manuales!$M$112)*parametros_manuales!$I$34*parametros_manuales!$J$34</f>
        <v>11145.35268891</v>
      </c>
      <c r="N157" s="14" t="n">
        <f aca="false">SUM(B157:M157)</f>
        <v>123837.252099</v>
      </c>
      <c r="O157" s="14" t="n">
        <f aca="false">MAX(B157:M157)</f>
        <v>11145.35268891</v>
      </c>
      <c r="P157" s="57" t="n">
        <f aca="false">O157/(parametros_manuales!$B$7)</f>
        <v>74.3023512594</v>
      </c>
      <c r="Q157" s="13" t="str">
        <f aca="false">IF(O157=0,"-",INDEX($B$141:$M$141,MATCH(O157,B157:M157,0)))</f>
        <v>Ene</v>
      </c>
    </row>
    <row r="158" customFormat="false" ht="14.25" hidden="false" customHeight="true" outlineLevel="0" collapsed="false">
      <c r="A158" s="13" t="str">
        <f aca="false">parametros_manuales!$B$35</f>
        <v>Granallado</v>
      </c>
      <c r="B158" s="14" t="n">
        <f aca="false">(parametros_manuales!$D$35*(datos_base!$G$2+IF(parametros_manuales!$H$35="Todos",datos_base!$G$9,0))*parametros_manuales!$B$97+parametros_manuales!$E$35*(datos_base!$G$3+IF(parametros_manuales!$H$35="Todos",datos_base!$G$10,0))*parametros_manuales!$B$102+parametros_manuales!$F$35*(datos_base!$G$4+IF(parametros_manuales!$H$35="Todos",datos_base!$G$11,0))*parametros_manuales!$B$107+parametros_manuales!$G$35*(datos_base!$G$5+IF(parametros_manuales!$H$35="Todos",datos_base!$G$12,0))*parametros_manuales!$B$112)*parametros_manuales!$I$35*parametros_manuales!$J$35</f>
        <v>11145.35268891</v>
      </c>
      <c r="C158" s="14" t="n">
        <f aca="false">(parametros_manuales!$D$35*(datos_base!$G$2+IF(parametros_manuales!$H$35="Todos",datos_base!$G$9,0))*parametros_manuales!$C$97+parametros_manuales!$E$35*(datos_base!$G$3+IF(parametros_manuales!$H$35="Todos",datos_base!$G$10,0))*parametros_manuales!$C$102+parametros_manuales!$F$35*(datos_base!$G$4+IF(parametros_manuales!$H$35="Todos",datos_base!$G$11,0))*parametros_manuales!$C$107+parametros_manuales!$G$35*(datos_base!$G$5+IF(parametros_manuales!$H$35="Todos",datos_base!$G$12,0))*parametros_manuales!$C$112)*parametros_manuales!$I$35*parametros_manuales!$J$35</f>
        <v>10779.98469862</v>
      </c>
      <c r="D158" s="14" t="n">
        <f aca="false">(parametros_manuales!$D$35*(datos_base!$G$2+IF(parametros_manuales!$H$35="Todos",datos_base!$G$9,0))*parametros_manuales!$D$97+parametros_manuales!$E$35*(datos_base!$G$3+IF(parametros_manuales!$H$35="Todos",datos_base!$G$10,0))*parametros_manuales!$D$102+parametros_manuales!$F$35*(datos_base!$G$4+IF(parametros_manuales!$H$35="Todos",datos_base!$G$11,0))*parametros_manuales!$D$107+parametros_manuales!$G$35*(datos_base!$G$5+IF(parametros_manuales!$H$35="Todos",datos_base!$G$12,0))*parametros_manuales!$D$112)*parametros_manuales!$I$35*parametros_manuales!$J$35</f>
        <v>10089.664163065</v>
      </c>
      <c r="E158" s="14" t="n">
        <f aca="false">(parametros_manuales!$D$35*(datos_base!$G$2+IF(parametros_manuales!$H$35="Todos",datos_base!$G$9,0))*parametros_manuales!$E$97+parametros_manuales!$E$35*(datos_base!$G$3+IF(parametros_manuales!$H$35="Todos",datos_base!$G$10,0))*parametros_manuales!$E$102+parametros_manuales!$F$35*(datos_base!$G$4+IF(parametros_manuales!$H$35="Todos",datos_base!$G$11,0))*parametros_manuales!$E$107+parametros_manuales!$G$35*(datos_base!$G$5+IF(parametros_manuales!$H$35="Todos",datos_base!$G$12,0))*parametros_manuales!$E$112)*parametros_manuales!$I$35*parametros_manuales!$J$35</f>
        <v>9653.161897715</v>
      </c>
      <c r="F158" s="14" t="n">
        <f aca="false">(parametros_manuales!$D$35*(datos_base!$G$2+IF(parametros_manuales!$H$35="Todos",datos_base!$G$9,0))*parametros_manuales!$F$97+parametros_manuales!$E$35*(datos_base!$G$3+IF(parametros_manuales!$H$35="Todos",datos_base!$G$10,0))*parametros_manuales!$F$102+parametros_manuales!$F$35*(datos_base!$G$4+IF(parametros_manuales!$H$35="Todos",datos_base!$G$11,0))*parametros_manuales!$F$107+parametros_manuales!$G$35*(datos_base!$G$5+IF(parametros_manuales!$H$35="Todos",datos_base!$G$12,0))*parametros_manuales!$F$112)*parametros_manuales!$I$35*parametros_manuales!$J$35</f>
        <v>9033.97563722</v>
      </c>
      <c r="G158" s="14" t="n">
        <f aca="false">(parametros_manuales!$D$35*(datos_base!$G$2+IF(parametros_manuales!$H$35="Todos",datos_base!$G$9,0))*parametros_manuales!$G$97+parametros_manuales!$E$35*(datos_base!$G$3+IF(parametros_manuales!$H$35="Todos",datos_base!$G$10,0))*parametros_manuales!$G$102+parametros_manuales!$F$35*(datos_base!$G$4+IF(parametros_manuales!$H$35="Todos",datos_base!$G$11,0))*parametros_manuales!$G$107+parametros_manuales!$G$35*(datos_base!$G$5+IF(parametros_manuales!$H$35="Todos",datos_base!$G$12,0))*parametros_manuales!$G$112)*parametros_manuales!$I$35*parametros_manuales!$J$35</f>
        <v>8851.291642075</v>
      </c>
      <c r="H158" s="14" t="n">
        <f aca="false">(parametros_manuales!$D$35*(datos_base!$G$2+IF(parametros_manuales!$H$35="Todos",datos_base!$G$9,0))*parametros_manuales!$H$97+parametros_manuales!$E$35*(datos_base!$G$3+IF(parametros_manuales!$H$35="Todos",datos_base!$G$10,0))*parametros_manuales!$H$102+parametros_manuales!$F$35*(datos_base!$G$4+IF(parametros_manuales!$H$35="Todos",datos_base!$G$11,0))*parametros_manuales!$H$107+parametros_manuales!$G$35*(datos_base!$G$5+IF(parametros_manuales!$H$35="Todos",datos_base!$G$12,0))*parametros_manuales!$H$112)*parametros_manuales!$I$35*parametros_manuales!$J$35</f>
        <v>9470.47790257</v>
      </c>
      <c r="I158" s="14" t="n">
        <f aca="false">(parametros_manuales!$D$35*(datos_base!$G$2+IF(parametros_manuales!$H$35="Todos",datos_base!$G$9,0))*parametros_manuales!$I$97+parametros_manuales!$E$35*(datos_base!$G$3+IF(parametros_manuales!$H$35="Todos",datos_base!$G$10,0))*parametros_manuales!$I$102+parametros_manuales!$F$35*(datos_base!$G$4+IF(parametros_manuales!$H$35="Todos",datos_base!$G$11,0))*parametros_manuales!$I$107+parametros_manuales!$G$35*(datos_base!$G$5+IF(parametros_manuales!$H$35="Todos",datos_base!$G$12,0))*parametros_manuales!$I$112)*parametros_manuales!$I$35*parametros_manuales!$J$35</f>
        <v>10779.98469862</v>
      </c>
      <c r="J158" s="14" t="n">
        <f aca="false">(parametros_manuales!$D$35*(datos_base!$G$2+IF(parametros_manuales!$H$35="Todos",datos_base!$G$9,0))*parametros_manuales!$J$97+parametros_manuales!$E$35*(datos_base!$G$3+IF(parametros_manuales!$H$35="Todos",datos_base!$G$10,0))*parametros_manuales!$J$102+parametros_manuales!$F$35*(datos_base!$G$4+IF(parametros_manuales!$H$35="Todos",datos_base!$G$11,0))*parametros_manuales!$J$107+parametros_manuales!$G$35*(datos_base!$G$5+IF(parametros_manuales!$H$35="Todos",datos_base!$G$12,0))*parametros_manuales!$J$112)*parametros_manuales!$I$35*parametros_manuales!$J$35</f>
        <v>10779.98469862</v>
      </c>
      <c r="K158" s="14" t="n">
        <f aca="false">(parametros_manuales!$D$35*(datos_base!$G$2+IF(parametros_manuales!$H$35="Todos",datos_base!$G$9,0))*parametros_manuales!$K$97+parametros_manuales!$E$35*(datos_base!$G$3+IF(parametros_manuales!$H$35="Todos",datos_base!$G$10,0))*parametros_manuales!$K$102+parametros_manuales!$F$35*(datos_base!$G$4+IF(parametros_manuales!$H$35="Todos",datos_base!$G$11,0))*parametros_manuales!$K$107+parametros_manuales!$G$35*(datos_base!$G$5+IF(parametros_manuales!$H$35="Todos",datos_base!$G$12,0))*parametros_manuales!$K$112)*parametros_manuales!$I$35*parametros_manuales!$J$35</f>
        <v>10962.668693765</v>
      </c>
      <c r="L158" s="14" t="n">
        <f aca="false">(parametros_manuales!$D$35*(datos_base!$G$2+IF(parametros_manuales!$H$35="Todos",datos_base!$G$9,0))*parametros_manuales!$L$97+parametros_manuales!$E$35*(datos_base!$G$3+IF(parametros_manuales!$H$35="Todos",datos_base!$G$10,0))*parametros_manuales!$L$102+parametros_manuales!$F$35*(datos_base!$G$4+IF(parametros_manuales!$H$35="Todos",datos_base!$G$11,0))*parametros_manuales!$L$107+parametros_manuales!$G$35*(datos_base!$G$5+IF(parametros_manuales!$H$35="Todos",datos_base!$G$12,0))*parametros_manuales!$L$112)*parametros_manuales!$I$35*parametros_manuales!$J$35</f>
        <v>11145.35268891</v>
      </c>
      <c r="M158" s="14" t="n">
        <f aca="false">(parametros_manuales!$D$35*(datos_base!$G$2+IF(parametros_manuales!$H$35="Todos",datos_base!$G$9,0))*parametros_manuales!$M$97+parametros_manuales!$E$35*(datos_base!$G$3+IF(parametros_manuales!$H$35="Todos",datos_base!$G$10,0))*parametros_manuales!$M$102+parametros_manuales!$F$35*(datos_base!$G$4+IF(parametros_manuales!$H$35="Todos",datos_base!$G$11,0))*parametros_manuales!$M$107+parametros_manuales!$G$35*(datos_base!$G$5+IF(parametros_manuales!$H$35="Todos",datos_base!$G$12,0))*parametros_manuales!$M$112)*parametros_manuales!$I$35*parametros_manuales!$J$35</f>
        <v>11145.35268891</v>
      </c>
      <c r="N158" s="14" t="n">
        <f aca="false">SUM(B158:M158)</f>
        <v>123837.252099</v>
      </c>
      <c r="O158" s="14" t="n">
        <f aca="false">MAX(B158:M158)</f>
        <v>11145.35268891</v>
      </c>
      <c r="P158" s="57" t="n">
        <f aca="false">O158/(parametros_manuales!$B$7)</f>
        <v>74.3023512594</v>
      </c>
      <c r="Q158" s="13" t="str">
        <f aca="false">IF(O158=0,"-",INDEX($B$141:$M$141,MATCH(O158,B158:M158,0)))</f>
        <v>Ene</v>
      </c>
    </row>
    <row r="159" customFormat="false" ht="14.25" hidden="false" customHeight="true" outlineLevel="0" collapsed="false">
      <c r="A159" s="13" t="str">
        <f aca="false">parametros_manuales!$B$36</f>
        <v>Detección de defectos</v>
      </c>
      <c r="B159" s="14" t="n">
        <f aca="false">(parametros_manuales!$D$36*(datos_base!$G$2+IF(parametros_manuales!$H$36="Todos",datos_base!$G$9,0))*parametros_manuales!$B$97+parametros_manuales!$E$36*(datos_base!$G$3+IF(parametros_manuales!$H$36="Todos",datos_base!$G$10,0))*parametros_manuales!$B$102+parametros_manuales!$F$36*(datos_base!$G$4+IF(parametros_manuales!$H$36="Todos",datos_base!$G$11,0))*parametros_manuales!$B$107+parametros_manuales!$G$36*(datos_base!$G$5+IF(parametros_manuales!$H$36="Todos",datos_base!$G$12,0))*parametros_manuales!$B$112)*parametros_manuales!$I$36*parametros_manuales!$J$36</f>
        <v>11145.35268891</v>
      </c>
      <c r="C159" s="14" t="n">
        <f aca="false">(parametros_manuales!$D$36*(datos_base!$G$2+IF(parametros_manuales!$H$36="Todos",datos_base!$G$9,0))*parametros_manuales!$C$97+parametros_manuales!$E$36*(datos_base!$G$3+IF(parametros_manuales!$H$36="Todos",datos_base!$G$10,0))*parametros_manuales!$C$102+parametros_manuales!$F$36*(datos_base!$G$4+IF(parametros_manuales!$H$36="Todos",datos_base!$G$11,0))*parametros_manuales!$C$107+parametros_manuales!$G$36*(datos_base!$G$5+IF(parametros_manuales!$H$36="Todos",datos_base!$G$12,0))*parametros_manuales!$C$112)*parametros_manuales!$I$36*parametros_manuales!$J$36</f>
        <v>10779.98469862</v>
      </c>
      <c r="D159" s="14" t="n">
        <f aca="false">(parametros_manuales!$D$36*(datos_base!$G$2+IF(parametros_manuales!$H$36="Todos",datos_base!$G$9,0))*parametros_manuales!$D$97+parametros_manuales!$E$36*(datos_base!$G$3+IF(parametros_manuales!$H$36="Todos",datos_base!$G$10,0))*parametros_manuales!$D$102+parametros_manuales!$F$36*(datos_base!$G$4+IF(parametros_manuales!$H$36="Todos",datos_base!$G$11,0))*parametros_manuales!$D$107+parametros_manuales!$G$36*(datos_base!$G$5+IF(parametros_manuales!$H$36="Todos",datos_base!$G$12,0))*parametros_manuales!$D$112)*parametros_manuales!$I$36*parametros_manuales!$J$36</f>
        <v>10089.664163065</v>
      </c>
      <c r="E159" s="14" t="n">
        <f aca="false">(parametros_manuales!$D$36*(datos_base!$G$2+IF(parametros_manuales!$H$36="Todos",datos_base!$G$9,0))*parametros_manuales!$E$97+parametros_manuales!$E$36*(datos_base!$G$3+IF(parametros_manuales!$H$36="Todos",datos_base!$G$10,0))*parametros_manuales!$E$102+parametros_manuales!$F$36*(datos_base!$G$4+IF(parametros_manuales!$H$36="Todos",datos_base!$G$11,0))*parametros_manuales!$E$107+parametros_manuales!$G$36*(datos_base!$G$5+IF(parametros_manuales!$H$36="Todos",datos_base!$G$12,0))*parametros_manuales!$E$112)*parametros_manuales!$I$36*parametros_manuales!$J$36</f>
        <v>9653.161897715</v>
      </c>
      <c r="F159" s="14" t="n">
        <f aca="false">(parametros_manuales!$D$36*(datos_base!$G$2+IF(parametros_manuales!$H$36="Todos",datos_base!$G$9,0))*parametros_manuales!$F$97+parametros_manuales!$E$36*(datos_base!$G$3+IF(parametros_manuales!$H$36="Todos",datos_base!$G$10,0))*parametros_manuales!$F$102+parametros_manuales!$F$36*(datos_base!$G$4+IF(parametros_manuales!$H$36="Todos",datos_base!$G$11,0))*parametros_manuales!$F$107+parametros_manuales!$G$36*(datos_base!$G$5+IF(parametros_manuales!$H$36="Todos",datos_base!$G$12,0))*parametros_manuales!$F$112)*parametros_manuales!$I$36*parametros_manuales!$J$36</f>
        <v>9033.97563722</v>
      </c>
      <c r="G159" s="14" t="n">
        <f aca="false">(parametros_manuales!$D$36*(datos_base!$G$2+IF(parametros_manuales!$H$36="Todos",datos_base!$G$9,0))*parametros_manuales!$G$97+parametros_manuales!$E$36*(datos_base!$G$3+IF(parametros_manuales!$H$36="Todos",datos_base!$G$10,0))*parametros_manuales!$G$102+parametros_manuales!$F$36*(datos_base!$G$4+IF(parametros_manuales!$H$36="Todos",datos_base!$G$11,0))*parametros_manuales!$G$107+parametros_manuales!$G$36*(datos_base!$G$5+IF(parametros_manuales!$H$36="Todos",datos_base!$G$12,0))*parametros_manuales!$G$112)*parametros_manuales!$I$36*parametros_manuales!$J$36</f>
        <v>8851.291642075</v>
      </c>
      <c r="H159" s="14" t="n">
        <f aca="false">(parametros_manuales!$D$36*(datos_base!$G$2+IF(parametros_manuales!$H$36="Todos",datos_base!$G$9,0))*parametros_manuales!$H$97+parametros_manuales!$E$36*(datos_base!$G$3+IF(parametros_manuales!$H$36="Todos",datos_base!$G$10,0))*parametros_manuales!$H$102+parametros_manuales!$F$36*(datos_base!$G$4+IF(parametros_manuales!$H$36="Todos",datos_base!$G$11,0))*parametros_manuales!$H$107+parametros_manuales!$G$36*(datos_base!$G$5+IF(parametros_manuales!$H$36="Todos",datos_base!$G$12,0))*parametros_manuales!$H$112)*parametros_manuales!$I$36*parametros_manuales!$J$36</f>
        <v>9470.47790257</v>
      </c>
      <c r="I159" s="14" t="n">
        <f aca="false">(parametros_manuales!$D$36*(datos_base!$G$2+IF(parametros_manuales!$H$36="Todos",datos_base!$G$9,0))*parametros_manuales!$I$97+parametros_manuales!$E$36*(datos_base!$G$3+IF(parametros_manuales!$H$36="Todos",datos_base!$G$10,0))*parametros_manuales!$I$102+parametros_manuales!$F$36*(datos_base!$G$4+IF(parametros_manuales!$H$36="Todos",datos_base!$G$11,0))*parametros_manuales!$I$107+parametros_manuales!$G$36*(datos_base!$G$5+IF(parametros_manuales!$H$36="Todos",datos_base!$G$12,0))*parametros_manuales!$I$112)*parametros_manuales!$I$36*parametros_manuales!$J$36</f>
        <v>10779.98469862</v>
      </c>
      <c r="J159" s="14" t="n">
        <f aca="false">(parametros_manuales!$D$36*(datos_base!$G$2+IF(parametros_manuales!$H$36="Todos",datos_base!$G$9,0))*parametros_manuales!$J$97+parametros_manuales!$E$36*(datos_base!$G$3+IF(parametros_manuales!$H$36="Todos",datos_base!$G$10,0))*parametros_manuales!$J$102+parametros_manuales!$F$36*(datos_base!$G$4+IF(parametros_manuales!$H$36="Todos",datos_base!$G$11,0))*parametros_manuales!$J$107+parametros_manuales!$G$36*(datos_base!$G$5+IF(parametros_manuales!$H$36="Todos",datos_base!$G$12,0))*parametros_manuales!$J$112)*parametros_manuales!$I$36*parametros_manuales!$J$36</f>
        <v>10779.98469862</v>
      </c>
      <c r="K159" s="14" t="n">
        <f aca="false">(parametros_manuales!$D$36*(datos_base!$G$2+IF(parametros_manuales!$H$36="Todos",datos_base!$G$9,0))*parametros_manuales!$K$97+parametros_manuales!$E$36*(datos_base!$G$3+IF(parametros_manuales!$H$36="Todos",datos_base!$G$10,0))*parametros_manuales!$K$102+parametros_manuales!$F$36*(datos_base!$G$4+IF(parametros_manuales!$H$36="Todos",datos_base!$G$11,0))*parametros_manuales!$K$107+parametros_manuales!$G$36*(datos_base!$G$5+IF(parametros_manuales!$H$36="Todos",datos_base!$G$12,0))*parametros_manuales!$K$112)*parametros_manuales!$I$36*parametros_manuales!$J$36</f>
        <v>10962.668693765</v>
      </c>
      <c r="L159" s="14" t="n">
        <f aca="false">(parametros_manuales!$D$36*(datos_base!$G$2+IF(parametros_manuales!$H$36="Todos",datos_base!$G$9,0))*parametros_manuales!$L$97+parametros_manuales!$E$36*(datos_base!$G$3+IF(parametros_manuales!$H$36="Todos",datos_base!$G$10,0))*parametros_manuales!$L$102+parametros_manuales!$F$36*(datos_base!$G$4+IF(parametros_manuales!$H$36="Todos",datos_base!$G$11,0))*parametros_manuales!$L$107+parametros_manuales!$G$36*(datos_base!$G$5+IF(parametros_manuales!$H$36="Todos",datos_base!$G$12,0))*parametros_manuales!$L$112)*parametros_manuales!$I$36*parametros_manuales!$J$36</f>
        <v>11145.35268891</v>
      </c>
      <c r="M159" s="14" t="n">
        <f aca="false">(parametros_manuales!$D$36*(datos_base!$G$2+IF(parametros_manuales!$H$36="Todos",datos_base!$G$9,0))*parametros_manuales!$M$97+parametros_manuales!$E$36*(datos_base!$G$3+IF(parametros_manuales!$H$36="Todos",datos_base!$G$10,0))*parametros_manuales!$M$102+parametros_manuales!$F$36*(datos_base!$G$4+IF(parametros_manuales!$H$36="Todos",datos_base!$G$11,0))*parametros_manuales!$M$107+parametros_manuales!$G$36*(datos_base!$G$5+IF(parametros_manuales!$H$36="Todos",datos_base!$G$12,0))*parametros_manuales!$M$112)*parametros_manuales!$I$36*parametros_manuales!$J$36</f>
        <v>11145.35268891</v>
      </c>
      <c r="N159" s="14" t="n">
        <f aca="false">SUM(B159:M159)</f>
        <v>123837.252099</v>
      </c>
      <c r="O159" s="14" t="n">
        <f aca="false">MAX(B159:M159)</f>
        <v>11145.35268891</v>
      </c>
      <c r="P159" s="57" t="n">
        <f aca="false">O159/(parametros_manuales!$B$7)</f>
        <v>74.3023512594</v>
      </c>
      <c r="Q159" s="13" t="str">
        <f aca="false">IF(O159=0,"-",INDEX($B$141:$M$141,MATCH(O159,B159:M159,0)))</f>
        <v>Ene</v>
      </c>
    </row>
    <row r="160" customFormat="false" ht="14.25" hidden="false" customHeight="true" outlineLevel="0" collapsed="false">
      <c r="A160" s="13" t="str">
        <f aca="false">parametros_manuales!$B$37</f>
        <v>Corrección de defectos</v>
      </c>
      <c r="B160" s="14" t="n">
        <f aca="false">(parametros_manuales!$D$37*(datos_base!$G$2+IF(parametros_manuales!$H$37="Todos",datos_base!$G$9,0))*parametros_manuales!$B$97+parametros_manuales!$E$37*(datos_base!$G$3+IF(parametros_manuales!$H$37="Todos",datos_base!$G$10,0))*parametros_manuales!$B$102+parametros_manuales!$F$37*(datos_base!$G$4+IF(parametros_manuales!$H$37="Todos",datos_base!$G$11,0))*parametros_manuales!$B$107+parametros_manuales!$G$37*(datos_base!$G$5+IF(parametros_manuales!$H$37="Todos",datos_base!$G$12,0))*parametros_manuales!$B$112)*parametros_manuales!$I$37*parametros_manuales!$J$37</f>
        <v>557.2676344455</v>
      </c>
      <c r="C160" s="14" t="n">
        <f aca="false">(parametros_manuales!$D$37*(datos_base!$G$2+IF(parametros_manuales!$H$37="Todos",datos_base!$G$9,0))*parametros_manuales!$C$97+parametros_manuales!$E$37*(datos_base!$G$3+IF(parametros_manuales!$H$37="Todos",datos_base!$G$10,0))*parametros_manuales!$C$102+parametros_manuales!$F$37*(datos_base!$G$4+IF(parametros_manuales!$H$37="Todos",datos_base!$G$11,0))*parametros_manuales!$C$107+parametros_manuales!$G$37*(datos_base!$G$5+IF(parametros_manuales!$H$37="Todos",datos_base!$G$12,0))*parametros_manuales!$C$112)*parametros_manuales!$I$37*parametros_manuales!$J$37</f>
        <v>538.999234931</v>
      </c>
      <c r="D160" s="14" t="n">
        <f aca="false">(parametros_manuales!$D$37*(datos_base!$G$2+IF(parametros_manuales!$H$37="Todos",datos_base!$G$9,0))*parametros_manuales!$D$97+parametros_manuales!$E$37*(datos_base!$G$3+IF(parametros_manuales!$H$37="Todos",datos_base!$G$10,0))*parametros_manuales!$D$102+parametros_manuales!$F$37*(datos_base!$G$4+IF(parametros_manuales!$H$37="Todos",datos_base!$G$11,0))*parametros_manuales!$D$107+parametros_manuales!$G$37*(datos_base!$G$5+IF(parametros_manuales!$H$37="Todos",datos_base!$G$12,0))*parametros_manuales!$D$112)*parametros_manuales!$I$37*parametros_manuales!$J$37</f>
        <v>504.48320815325</v>
      </c>
      <c r="E160" s="14" t="n">
        <f aca="false">(parametros_manuales!$D$37*(datos_base!$G$2+IF(parametros_manuales!$H$37="Todos",datos_base!$G$9,0))*parametros_manuales!$E$97+parametros_manuales!$E$37*(datos_base!$G$3+IF(parametros_manuales!$H$37="Todos",datos_base!$G$10,0))*parametros_manuales!$E$102+parametros_manuales!$F$37*(datos_base!$G$4+IF(parametros_manuales!$H$37="Todos",datos_base!$G$11,0))*parametros_manuales!$E$107+parametros_manuales!$G$37*(datos_base!$G$5+IF(parametros_manuales!$H$37="Todos",datos_base!$G$12,0))*parametros_manuales!$E$112)*parametros_manuales!$I$37*parametros_manuales!$J$37</f>
        <v>482.65809488575</v>
      </c>
      <c r="F160" s="14" t="n">
        <f aca="false">(parametros_manuales!$D$37*(datos_base!$G$2+IF(parametros_manuales!$H$37="Todos",datos_base!$G$9,0))*parametros_manuales!$F$97+parametros_manuales!$E$37*(datos_base!$G$3+IF(parametros_manuales!$H$37="Todos",datos_base!$G$10,0))*parametros_manuales!$F$102+parametros_manuales!$F$37*(datos_base!$G$4+IF(parametros_manuales!$H$37="Todos",datos_base!$G$11,0))*parametros_manuales!$F$107+parametros_manuales!$G$37*(datos_base!$G$5+IF(parametros_manuales!$H$37="Todos",datos_base!$G$12,0))*parametros_manuales!$F$112)*parametros_manuales!$I$37*parametros_manuales!$J$37</f>
        <v>451.698781861</v>
      </c>
      <c r="G160" s="14" t="n">
        <f aca="false">(parametros_manuales!$D$37*(datos_base!$G$2+IF(parametros_manuales!$H$37="Todos",datos_base!$G$9,0))*parametros_manuales!$G$97+parametros_manuales!$E$37*(datos_base!$G$3+IF(parametros_manuales!$H$37="Todos",datos_base!$G$10,0))*parametros_manuales!$G$102+parametros_manuales!$F$37*(datos_base!$G$4+IF(parametros_manuales!$H$37="Todos",datos_base!$G$11,0))*parametros_manuales!$G$107+parametros_manuales!$G$37*(datos_base!$G$5+IF(parametros_manuales!$H$37="Todos",datos_base!$G$12,0))*parametros_manuales!$G$112)*parametros_manuales!$I$37*parametros_manuales!$J$37</f>
        <v>442.56458210375</v>
      </c>
      <c r="H160" s="14" t="n">
        <f aca="false">(parametros_manuales!$D$37*(datos_base!$G$2+IF(parametros_manuales!$H$37="Todos",datos_base!$G$9,0))*parametros_manuales!$H$97+parametros_manuales!$E$37*(datos_base!$G$3+IF(parametros_manuales!$H$37="Todos",datos_base!$G$10,0))*parametros_manuales!$H$102+parametros_manuales!$F$37*(datos_base!$G$4+IF(parametros_manuales!$H$37="Todos",datos_base!$G$11,0))*parametros_manuales!$H$107+parametros_manuales!$G$37*(datos_base!$G$5+IF(parametros_manuales!$H$37="Todos",datos_base!$G$12,0))*parametros_manuales!$H$112)*parametros_manuales!$I$37*parametros_manuales!$J$37</f>
        <v>473.5238951285</v>
      </c>
      <c r="I160" s="14" t="n">
        <f aca="false">(parametros_manuales!$D$37*(datos_base!$G$2+IF(parametros_manuales!$H$37="Todos",datos_base!$G$9,0))*parametros_manuales!$I$97+parametros_manuales!$E$37*(datos_base!$G$3+IF(parametros_manuales!$H$37="Todos",datos_base!$G$10,0))*parametros_manuales!$I$102+parametros_manuales!$F$37*(datos_base!$G$4+IF(parametros_manuales!$H$37="Todos",datos_base!$G$11,0))*parametros_manuales!$I$107+parametros_manuales!$G$37*(datos_base!$G$5+IF(parametros_manuales!$H$37="Todos",datos_base!$G$12,0))*parametros_manuales!$I$112)*parametros_manuales!$I$37*parametros_manuales!$J$37</f>
        <v>538.999234931</v>
      </c>
      <c r="J160" s="14" t="n">
        <f aca="false">(parametros_manuales!$D$37*(datos_base!$G$2+IF(parametros_manuales!$H$37="Todos",datos_base!$G$9,0))*parametros_manuales!$J$97+parametros_manuales!$E$37*(datos_base!$G$3+IF(parametros_manuales!$H$37="Todos",datos_base!$G$10,0))*parametros_manuales!$J$102+parametros_manuales!$F$37*(datos_base!$G$4+IF(parametros_manuales!$H$37="Todos",datos_base!$G$11,0))*parametros_manuales!$J$107+parametros_manuales!$G$37*(datos_base!$G$5+IF(parametros_manuales!$H$37="Todos",datos_base!$G$12,0))*parametros_manuales!$J$112)*parametros_manuales!$I$37*parametros_manuales!$J$37</f>
        <v>538.999234931</v>
      </c>
      <c r="K160" s="14" t="n">
        <f aca="false">(parametros_manuales!$D$37*(datos_base!$G$2+IF(parametros_manuales!$H$37="Todos",datos_base!$G$9,0))*parametros_manuales!$K$97+parametros_manuales!$E$37*(datos_base!$G$3+IF(parametros_manuales!$H$37="Todos",datos_base!$G$10,0))*parametros_manuales!$K$102+parametros_manuales!$F$37*(datos_base!$G$4+IF(parametros_manuales!$H$37="Todos",datos_base!$G$11,0))*parametros_manuales!$K$107+parametros_manuales!$G$37*(datos_base!$G$5+IF(parametros_manuales!$H$37="Todos",datos_base!$G$12,0))*parametros_manuales!$K$112)*parametros_manuales!$I$37*parametros_manuales!$J$37</f>
        <v>548.13343468825</v>
      </c>
      <c r="L160" s="14" t="n">
        <f aca="false">(parametros_manuales!$D$37*(datos_base!$G$2+IF(parametros_manuales!$H$37="Todos",datos_base!$G$9,0))*parametros_manuales!$L$97+parametros_manuales!$E$37*(datos_base!$G$3+IF(parametros_manuales!$H$37="Todos",datos_base!$G$10,0))*parametros_manuales!$L$102+parametros_manuales!$F$37*(datos_base!$G$4+IF(parametros_manuales!$H$37="Todos",datos_base!$G$11,0))*parametros_manuales!$L$107+parametros_manuales!$G$37*(datos_base!$G$5+IF(parametros_manuales!$H$37="Todos",datos_base!$G$12,0))*parametros_manuales!$L$112)*parametros_manuales!$I$37*parametros_manuales!$J$37</f>
        <v>557.2676344455</v>
      </c>
      <c r="M160" s="14" t="n">
        <f aca="false">(parametros_manuales!$D$37*(datos_base!$G$2+IF(parametros_manuales!$H$37="Todos",datos_base!$G$9,0))*parametros_manuales!$M$97+parametros_manuales!$E$37*(datos_base!$G$3+IF(parametros_manuales!$H$37="Todos",datos_base!$G$10,0))*parametros_manuales!$M$102+parametros_manuales!$F$37*(datos_base!$G$4+IF(parametros_manuales!$H$37="Todos",datos_base!$G$11,0))*parametros_manuales!$M$107+parametros_manuales!$G$37*(datos_base!$G$5+IF(parametros_manuales!$H$37="Todos",datos_base!$G$12,0))*parametros_manuales!$M$112)*parametros_manuales!$I$37*parametros_manuales!$J$37</f>
        <v>557.2676344455</v>
      </c>
      <c r="N160" s="14" t="n">
        <f aca="false">SUM(B160:M160)</f>
        <v>6191.86260495</v>
      </c>
      <c r="O160" s="14" t="n">
        <f aca="false">MAX(B160:M160)</f>
        <v>557.2676344455</v>
      </c>
      <c r="P160" s="57" t="n">
        <f aca="false">O160/(parametros_manuales!$B$7)</f>
        <v>3.71511756297</v>
      </c>
      <c r="Q160" s="13" t="str">
        <f aca="false">IF(O160=0,"-",INDEX($B$141:$M$141,MATCH(O160,B160:M160,0)))</f>
        <v>Ene</v>
      </c>
    </row>
    <row r="161" customFormat="false" ht="14.25" hidden="false" customHeight="true" outlineLevel="0" collapsed="false">
      <c r="A161" s="13" t="str">
        <f aca="false">parametros_manuales!$B$38</f>
        <v>Pintura en polvo + horno</v>
      </c>
      <c r="B161" s="14" t="n">
        <f aca="false">(parametros_manuales!$D$38*(datos_base!$G$2+IF(parametros_manuales!$H$38="Todos",datos_base!$G$9,0))*parametros_manuales!$B$97+parametros_manuales!$E$38*(datos_base!$G$3+IF(parametros_manuales!$H$38="Todos",datos_base!$G$10,0))*parametros_manuales!$B$102+parametros_manuales!$F$38*(datos_base!$G$4+IF(parametros_manuales!$H$38="Todos",datos_base!$G$11,0))*parametros_manuales!$B$107+parametros_manuales!$G$38*(datos_base!$G$5+IF(parametros_manuales!$H$38="Todos",datos_base!$G$12,0))*parametros_manuales!$B$112)*parametros_manuales!$I$38*parametros_manuales!$J$38</f>
        <v>11145.35268891</v>
      </c>
      <c r="C161" s="14" t="n">
        <f aca="false">(parametros_manuales!$D$38*(datos_base!$G$2+IF(parametros_manuales!$H$38="Todos",datos_base!$G$9,0))*parametros_manuales!$C$97+parametros_manuales!$E$38*(datos_base!$G$3+IF(parametros_manuales!$H$38="Todos",datos_base!$G$10,0))*parametros_manuales!$C$102+parametros_manuales!$F$38*(datos_base!$G$4+IF(parametros_manuales!$H$38="Todos",datos_base!$G$11,0))*parametros_manuales!$C$107+parametros_manuales!$G$38*(datos_base!$G$5+IF(parametros_manuales!$H$38="Todos",datos_base!$G$12,0))*parametros_manuales!$C$112)*parametros_manuales!$I$38*parametros_manuales!$J$38</f>
        <v>10779.98469862</v>
      </c>
      <c r="D161" s="14" t="n">
        <f aca="false">(parametros_manuales!$D$38*(datos_base!$G$2+IF(parametros_manuales!$H$38="Todos",datos_base!$G$9,0))*parametros_manuales!$D$97+parametros_manuales!$E$38*(datos_base!$G$3+IF(parametros_manuales!$H$38="Todos",datos_base!$G$10,0))*parametros_manuales!$D$102+parametros_manuales!$F$38*(datos_base!$G$4+IF(parametros_manuales!$H$38="Todos",datos_base!$G$11,0))*parametros_manuales!$D$107+parametros_manuales!$G$38*(datos_base!$G$5+IF(parametros_manuales!$H$38="Todos",datos_base!$G$12,0))*parametros_manuales!$D$112)*parametros_manuales!$I$38*parametros_manuales!$J$38</f>
        <v>10089.664163065</v>
      </c>
      <c r="E161" s="14" t="n">
        <f aca="false">(parametros_manuales!$D$38*(datos_base!$G$2+IF(parametros_manuales!$H$38="Todos",datos_base!$G$9,0))*parametros_manuales!$E$97+parametros_manuales!$E$38*(datos_base!$G$3+IF(parametros_manuales!$H$38="Todos",datos_base!$G$10,0))*parametros_manuales!$E$102+parametros_manuales!$F$38*(datos_base!$G$4+IF(parametros_manuales!$H$38="Todos",datos_base!$G$11,0))*parametros_manuales!$E$107+parametros_manuales!$G$38*(datos_base!$G$5+IF(parametros_manuales!$H$38="Todos",datos_base!$G$12,0))*parametros_manuales!$E$112)*parametros_manuales!$I$38*parametros_manuales!$J$38</f>
        <v>9653.161897715</v>
      </c>
      <c r="F161" s="14" t="n">
        <f aca="false">(parametros_manuales!$D$38*(datos_base!$G$2+IF(parametros_manuales!$H$38="Todos",datos_base!$G$9,0))*parametros_manuales!$F$97+parametros_manuales!$E$38*(datos_base!$G$3+IF(parametros_manuales!$H$38="Todos",datos_base!$G$10,0))*parametros_manuales!$F$102+parametros_manuales!$F$38*(datos_base!$G$4+IF(parametros_manuales!$H$38="Todos",datos_base!$G$11,0))*parametros_manuales!$F$107+parametros_manuales!$G$38*(datos_base!$G$5+IF(parametros_manuales!$H$38="Todos",datos_base!$G$12,0))*parametros_manuales!$F$112)*parametros_manuales!$I$38*parametros_manuales!$J$38</f>
        <v>9033.97563722</v>
      </c>
      <c r="G161" s="14" t="n">
        <f aca="false">(parametros_manuales!$D$38*(datos_base!$G$2+IF(parametros_manuales!$H$38="Todos",datos_base!$G$9,0))*parametros_manuales!$G$97+parametros_manuales!$E$38*(datos_base!$G$3+IF(parametros_manuales!$H$38="Todos",datos_base!$G$10,0))*parametros_manuales!$G$102+parametros_manuales!$F$38*(datos_base!$G$4+IF(parametros_manuales!$H$38="Todos",datos_base!$G$11,0))*parametros_manuales!$G$107+parametros_manuales!$G$38*(datos_base!$G$5+IF(parametros_manuales!$H$38="Todos",datos_base!$G$12,0))*parametros_manuales!$G$112)*parametros_manuales!$I$38*parametros_manuales!$J$38</f>
        <v>8851.291642075</v>
      </c>
      <c r="H161" s="14" t="n">
        <f aca="false">(parametros_manuales!$D$38*(datos_base!$G$2+IF(parametros_manuales!$H$38="Todos",datos_base!$G$9,0))*parametros_manuales!$H$97+parametros_manuales!$E$38*(datos_base!$G$3+IF(parametros_manuales!$H$38="Todos",datos_base!$G$10,0))*parametros_manuales!$H$102+parametros_manuales!$F$38*(datos_base!$G$4+IF(parametros_manuales!$H$38="Todos",datos_base!$G$11,0))*parametros_manuales!$H$107+parametros_manuales!$G$38*(datos_base!$G$5+IF(parametros_manuales!$H$38="Todos",datos_base!$G$12,0))*parametros_manuales!$H$112)*parametros_manuales!$I$38*parametros_manuales!$J$38</f>
        <v>9470.47790257</v>
      </c>
      <c r="I161" s="14" t="n">
        <f aca="false">(parametros_manuales!$D$38*(datos_base!$G$2+IF(parametros_manuales!$H$38="Todos",datos_base!$G$9,0))*parametros_manuales!$I$97+parametros_manuales!$E$38*(datos_base!$G$3+IF(parametros_manuales!$H$38="Todos",datos_base!$G$10,0))*parametros_manuales!$I$102+parametros_manuales!$F$38*(datos_base!$G$4+IF(parametros_manuales!$H$38="Todos",datos_base!$G$11,0))*parametros_manuales!$I$107+parametros_manuales!$G$38*(datos_base!$G$5+IF(parametros_manuales!$H$38="Todos",datos_base!$G$12,0))*parametros_manuales!$I$112)*parametros_manuales!$I$38*parametros_manuales!$J$38</f>
        <v>10779.98469862</v>
      </c>
      <c r="J161" s="14" t="n">
        <f aca="false">(parametros_manuales!$D$38*(datos_base!$G$2+IF(parametros_manuales!$H$38="Todos",datos_base!$G$9,0))*parametros_manuales!$J$97+parametros_manuales!$E$38*(datos_base!$G$3+IF(parametros_manuales!$H$38="Todos",datos_base!$G$10,0))*parametros_manuales!$J$102+parametros_manuales!$F$38*(datos_base!$G$4+IF(parametros_manuales!$H$38="Todos",datos_base!$G$11,0))*parametros_manuales!$J$107+parametros_manuales!$G$38*(datos_base!$G$5+IF(parametros_manuales!$H$38="Todos",datos_base!$G$12,0))*parametros_manuales!$J$112)*parametros_manuales!$I$38*parametros_manuales!$J$38</f>
        <v>10779.98469862</v>
      </c>
      <c r="K161" s="14" t="n">
        <f aca="false">(parametros_manuales!$D$38*(datos_base!$G$2+IF(parametros_manuales!$H$38="Todos",datos_base!$G$9,0))*parametros_manuales!$K$97+parametros_manuales!$E$38*(datos_base!$G$3+IF(parametros_manuales!$H$38="Todos",datos_base!$G$10,0))*parametros_manuales!$K$102+parametros_manuales!$F$38*(datos_base!$G$4+IF(parametros_manuales!$H$38="Todos",datos_base!$G$11,0))*parametros_manuales!$K$107+parametros_manuales!$G$38*(datos_base!$G$5+IF(parametros_manuales!$H$38="Todos",datos_base!$G$12,0))*parametros_manuales!$K$112)*parametros_manuales!$I$38*parametros_manuales!$J$38</f>
        <v>10962.668693765</v>
      </c>
      <c r="L161" s="14" t="n">
        <f aca="false">(parametros_manuales!$D$38*(datos_base!$G$2+IF(parametros_manuales!$H$38="Todos",datos_base!$G$9,0))*parametros_manuales!$L$97+parametros_manuales!$E$38*(datos_base!$G$3+IF(parametros_manuales!$H$38="Todos",datos_base!$G$10,0))*parametros_manuales!$L$102+parametros_manuales!$F$38*(datos_base!$G$4+IF(parametros_manuales!$H$38="Todos",datos_base!$G$11,0))*parametros_manuales!$L$107+parametros_manuales!$G$38*(datos_base!$G$5+IF(parametros_manuales!$H$38="Todos",datos_base!$G$12,0))*parametros_manuales!$L$112)*parametros_manuales!$I$38*parametros_manuales!$J$38</f>
        <v>11145.35268891</v>
      </c>
      <c r="M161" s="14" t="n">
        <f aca="false">(parametros_manuales!$D$38*(datos_base!$G$2+IF(parametros_manuales!$H$38="Todos",datos_base!$G$9,0))*parametros_manuales!$M$97+parametros_manuales!$E$38*(datos_base!$G$3+IF(parametros_manuales!$H$38="Todos",datos_base!$G$10,0))*parametros_manuales!$M$102+parametros_manuales!$F$38*(datos_base!$G$4+IF(parametros_manuales!$H$38="Todos",datos_base!$G$11,0))*parametros_manuales!$M$107+parametros_manuales!$G$38*(datos_base!$G$5+IF(parametros_manuales!$H$38="Todos",datos_base!$G$12,0))*parametros_manuales!$M$112)*parametros_manuales!$I$38*parametros_manuales!$J$38</f>
        <v>11145.35268891</v>
      </c>
      <c r="N161" s="14" t="n">
        <f aca="false">SUM(B161:M161)</f>
        <v>123837.252099</v>
      </c>
      <c r="O161" s="14" t="n">
        <f aca="false">MAX(B161:M161)</f>
        <v>11145.35268891</v>
      </c>
      <c r="P161" s="57" t="n">
        <f aca="false">O161/(parametros_manuales!$B$7)</f>
        <v>74.3023512594</v>
      </c>
      <c r="Q161" s="13" t="str">
        <f aca="false">IF(O161=0,"-",INDEX($B$141:$M$141,MATCH(O161,B161:M161,0)))</f>
        <v>Ene</v>
      </c>
    </row>
    <row r="162" customFormat="false" ht="14.25" hidden="false" customHeight="true" outlineLevel="0" collapsed="false">
      <c r="A162" s="13" t="str">
        <f aca="false">parametros_manuales!$B$39</f>
        <v>Carga de polvo</v>
      </c>
      <c r="B162" s="14" t="n">
        <f aca="false">(parametros_manuales!$D$39*(datos_base!$G$2+IF(parametros_manuales!$H$39="Todos",datos_base!$G$9,0))*parametros_manuales!$B$97+parametros_manuales!$E$39*(datos_base!$G$3+IF(parametros_manuales!$H$39="Todos",datos_base!$G$10,0))*parametros_manuales!$B$102+parametros_manuales!$F$39*(datos_base!$G$4+IF(parametros_manuales!$H$39="Todos",datos_base!$G$11,0))*parametros_manuales!$B$107+parametros_manuales!$G$39*(datos_base!$G$5+IF(parametros_manuales!$H$39="Todos",datos_base!$G$12,0))*parametros_manuales!$B$112)*parametros_manuales!$I$39*parametros_manuales!$J$39</f>
        <v>3101.62068891</v>
      </c>
      <c r="C162" s="14" t="n">
        <f aca="false">(parametros_manuales!$D$39*(datos_base!$G$2+IF(parametros_manuales!$H$39="Todos",datos_base!$G$9,0))*parametros_manuales!$C$97+parametros_manuales!$E$39*(datos_base!$G$3+IF(parametros_manuales!$H$39="Todos",datos_base!$G$10,0))*parametros_manuales!$C$102+parametros_manuales!$F$39*(datos_base!$G$4+IF(parametros_manuales!$H$39="Todos",datos_base!$G$11,0))*parametros_manuales!$C$107+parametros_manuales!$G$39*(datos_base!$G$5+IF(parametros_manuales!$H$39="Todos",datos_base!$G$12,0))*parametros_manuales!$C$112)*parametros_manuales!$I$39*parametros_manuales!$J$39</f>
        <v>2913.19869862</v>
      </c>
      <c r="D162" s="14" t="n">
        <f aca="false">(parametros_manuales!$D$39*(datos_base!$G$2+IF(parametros_manuales!$H$39="Todos",datos_base!$G$9,0))*parametros_manuales!$D$97+parametros_manuales!$E$39*(datos_base!$G$3+IF(parametros_manuales!$H$39="Todos",datos_base!$G$10,0))*parametros_manuales!$D$102+parametros_manuales!$F$39*(datos_base!$G$4+IF(parametros_manuales!$H$39="Todos",datos_base!$G$11,0))*parametros_manuales!$D$107+parametros_manuales!$G$39*(datos_base!$G$5+IF(parametros_manuales!$H$39="Todos",datos_base!$G$12,0))*parametros_manuales!$D$112)*parametros_manuales!$I$39*parametros_manuales!$J$39</f>
        <v>2851.207163065</v>
      </c>
      <c r="E162" s="14" t="n">
        <f aca="false">(parametros_manuales!$D$39*(datos_base!$G$2+IF(parametros_manuales!$H$39="Todos",datos_base!$G$9,0))*parametros_manuales!$E$97+parametros_manuales!$E$39*(datos_base!$G$3+IF(parametros_manuales!$H$39="Todos",datos_base!$G$10,0))*parametros_manuales!$E$102+parametros_manuales!$F$39*(datos_base!$G$4+IF(parametros_manuales!$H$39="Todos",datos_base!$G$11,0))*parametros_manuales!$E$107+parametros_manuales!$G$39*(datos_base!$G$5+IF(parametros_manuales!$H$39="Todos",datos_base!$G$12,0))*parametros_manuales!$E$112)*parametros_manuales!$I$39*parametros_manuales!$J$39</f>
        <v>2773.105897715</v>
      </c>
      <c r="F162" s="14" t="n">
        <f aca="false">(parametros_manuales!$D$39*(datos_base!$G$2+IF(parametros_manuales!$H$39="Todos",datos_base!$G$9,0))*parametros_manuales!$F$97+parametros_manuales!$E$39*(datos_base!$G$3+IF(parametros_manuales!$H$39="Todos",datos_base!$G$10,0))*parametros_manuales!$F$102+parametros_manuales!$F$39*(datos_base!$G$4+IF(parametros_manuales!$H$39="Todos",datos_base!$G$11,0))*parametros_manuales!$F$107+parametros_manuales!$G$39*(datos_base!$G$5+IF(parametros_manuales!$H$39="Todos",datos_base!$G$12,0))*parametros_manuales!$F$112)*parametros_manuales!$I$39*parametros_manuales!$J$39</f>
        <v>2600.79363722</v>
      </c>
      <c r="G162" s="14" t="n">
        <f aca="false">(parametros_manuales!$D$39*(datos_base!$G$2+IF(parametros_manuales!$H$39="Todos",datos_base!$G$9,0))*parametros_manuales!$G$97+parametros_manuales!$E$39*(datos_base!$G$3+IF(parametros_manuales!$H$39="Todos",datos_base!$G$10,0))*parametros_manuales!$G$102+parametros_manuales!$F$39*(datos_base!$G$4+IF(parametros_manuales!$H$39="Todos",datos_base!$G$11,0))*parametros_manuales!$G$107+parametros_manuales!$G$39*(datos_base!$G$5+IF(parametros_manuales!$H$39="Todos",datos_base!$G$12,0))*parametros_manuales!$G$112)*parametros_manuales!$I$39*parametros_manuales!$J$39</f>
        <v>2506.582642075</v>
      </c>
      <c r="H162" s="14" t="n">
        <f aca="false">(parametros_manuales!$D$39*(datos_base!$G$2+IF(parametros_manuales!$H$39="Todos",datos_base!$G$9,0))*parametros_manuales!$H$97+parametros_manuales!$E$39*(datos_base!$G$3+IF(parametros_manuales!$H$39="Todos",datos_base!$G$10,0))*parametros_manuales!$H$102+parametros_manuales!$F$39*(datos_base!$G$4+IF(parametros_manuales!$H$39="Todos",datos_base!$G$11,0))*parametros_manuales!$H$107+parametros_manuales!$G$39*(datos_base!$G$5+IF(parametros_manuales!$H$39="Todos",datos_base!$G$12,0))*parametros_manuales!$H$112)*parametros_manuales!$I$39*parametros_manuales!$J$39</f>
        <v>2678.89490257</v>
      </c>
      <c r="I162" s="14" t="n">
        <f aca="false">(parametros_manuales!$D$39*(datos_base!$G$2+IF(parametros_manuales!$H$39="Todos",datos_base!$G$9,0))*parametros_manuales!$I$97+parametros_manuales!$E$39*(datos_base!$G$3+IF(parametros_manuales!$H$39="Todos",datos_base!$G$10,0))*parametros_manuales!$I$102+parametros_manuales!$F$39*(datos_base!$G$4+IF(parametros_manuales!$H$39="Todos",datos_base!$G$11,0))*parametros_manuales!$I$107+parametros_manuales!$G$39*(datos_base!$G$5+IF(parametros_manuales!$H$39="Todos",datos_base!$G$12,0))*parametros_manuales!$I$112)*parametros_manuales!$I$39*parametros_manuales!$J$39</f>
        <v>2913.19869862</v>
      </c>
      <c r="J162" s="14" t="n">
        <f aca="false">(parametros_manuales!$D$39*(datos_base!$G$2+IF(parametros_manuales!$H$39="Todos",datos_base!$G$9,0))*parametros_manuales!$J$97+parametros_manuales!$E$39*(datos_base!$G$3+IF(parametros_manuales!$H$39="Todos",datos_base!$G$10,0))*parametros_manuales!$J$102+parametros_manuales!$F$39*(datos_base!$G$4+IF(parametros_manuales!$H$39="Todos",datos_base!$G$11,0))*parametros_manuales!$J$107+parametros_manuales!$G$39*(datos_base!$G$5+IF(parametros_manuales!$H$39="Todos",datos_base!$G$12,0))*parametros_manuales!$J$112)*parametros_manuales!$I$39*parametros_manuales!$J$39</f>
        <v>2913.19869862</v>
      </c>
      <c r="K162" s="14" t="n">
        <f aca="false">(parametros_manuales!$D$39*(datos_base!$G$2+IF(parametros_manuales!$H$39="Todos",datos_base!$G$9,0))*parametros_manuales!$K$97+parametros_manuales!$E$39*(datos_base!$G$3+IF(parametros_manuales!$H$39="Todos",datos_base!$G$10,0))*parametros_manuales!$K$102+parametros_manuales!$F$39*(datos_base!$G$4+IF(parametros_manuales!$H$39="Todos",datos_base!$G$11,0))*parametros_manuales!$K$107+parametros_manuales!$G$39*(datos_base!$G$5+IF(parametros_manuales!$H$39="Todos",datos_base!$G$12,0))*parametros_manuales!$K$112)*parametros_manuales!$I$39*parametros_manuales!$J$39</f>
        <v>3007.409693765</v>
      </c>
      <c r="L162" s="14" t="n">
        <f aca="false">(parametros_manuales!$D$39*(datos_base!$G$2+IF(parametros_manuales!$H$39="Todos",datos_base!$G$9,0))*parametros_manuales!$L$97+parametros_manuales!$E$39*(datos_base!$G$3+IF(parametros_manuales!$H$39="Todos",datos_base!$G$10,0))*parametros_manuales!$L$102+parametros_manuales!$F$39*(datos_base!$G$4+IF(parametros_manuales!$H$39="Todos",datos_base!$G$11,0))*parametros_manuales!$L$107+parametros_manuales!$G$39*(datos_base!$G$5+IF(parametros_manuales!$H$39="Todos",datos_base!$G$12,0))*parametros_manuales!$L$112)*parametros_manuales!$I$39*parametros_manuales!$J$39</f>
        <v>3101.62068891</v>
      </c>
      <c r="M162" s="14" t="n">
        <f aca="false">(parametros_manuales!$D$39*(datos_base!$G$2+IF(parametros_manuales!$H$39="Todos",datos_base!$G$9,0))*parametros_manuales!$M$97+parametros_manuales!$E$39*(datos_base!$G$3+IF(parametros_manuales!$H$39="Todos",datos_base!$G$10,0))*parametros_manuales!$M$102+parametros_manuales!$F$39*(datos_base!$G$4+IF(parametros_manuales!$H$39="Todos",datos_base!$G$11,0))*parametros_manuales!$M$107+parametros_manuales!$G$39*(datos_base!$G$5+IF(parametros_manuales!$H$39="Todos",datos_base!$G$12,0))*parametros_manuales!$M$112)*parametros_manuales!$I$39*parametros_manuales!$J$39</f>
        <v>3101.62068891</v>
      </c>
      <c r="N162" s="14" t="n">
        <f aca="false">SUM(B162:M162)</f>
        <v>34462.452099</v>
      </c>
      <c r="O162" s="14" t="n">
        <f aca="false">MAX(B162:M162)</f>
        <v>3101.62068891</v>
      </c>
      <c r="P162" s="57" t="n">
        <f aca="false">O162/(parametros_manuales!$B$7)</f>
        <v>20.6774712594</v>
      </c>
      <c r="Q162" s="13" t="str">
        <f aca="false">IF(O162=0,"-",INDEX($B$141:$M$141,MATCH(O162,B162:M162,0)))</f>
        <v>Ene</v>
      </c>
    </row>
    <row r="163" customFormat="false" ht="14.25" hidden="false" customHeight="true" outlineLevel="0" collapsed="false">
      <c r="A163" s="13" t="str">
        <f aca="false">parametros_manuales!$B$40</f>
        <v>Ensamblaje</v>
      </c>
      <c r="B163" s="14" t="n">
        <f aca="false">(parametros_manuales!$D$40*(datos_base!$G$2+IF(parametros_manuales!$H$40="Todos",datos_base!$G$9,0))*parametros_manuales!$B$97+parametros_manuales!$E$40*(datos_base!$G$3+IF(parametros_manuales!$H$40="Todos",datos_base!$G$10,0))*parametros_manuales!$B$102+parametros_manuales!$F$40*(datos_base!$G$4+IF(parametros_manuales!$H$40="Todos",datos_base!$G$11,0))*parametros_manuales!$B$107+parametros_manuales!$G$40*(datos_base!$G$5+IF(parametros_manuales!$H$40="Todos",datos_base!$G$12,0))*parametros_manuales!$B$112)*parametros_manuales!$I$40*parametros_manuales!$J$40</f>
        <v>3101.62068891</v>
      </c>
      <c r="C163" s="14" t="n">
        <f aca="false">(parametros_manuales!$D$40*(datos_base!$G$2+IF(parametros_manuales!$H$40="Todos",datos_base!$G$9,0))*parametros_manuales!$C$97+parametros_manuales!$E$40*(datos_base!$G$3+IF(parametros_manuales!$H$40="Todos",datos_base!$G$10,0))*parametros_manuales!$C$102+parametros_manuales!$F$40*(datos_base!$G$4+IF(parametros_manuales!$H$40="Todos",datos_base!$G$11,0))*parametros_manuales!$C$107+parametros_manuales!$G$40*(datos_base!$G$5+IF(parametros_manuales!$H$40="Todos",datos_base!$G$12,0))*parametros_manuales!$C$112)*parametros_manuales!$I$40*parametros_manuales!$J$40</f>
        <v>2913.19869862</v>
      </c>
      <c r="D163" s="14" t="n">
        <f aca="false">(parametros_manuales!$D$40*(datos_base!$G$2+IF(parametros_manuales!$H$40="Todos",datos_base!$G$9,0))*parametros_manuales!$D$97+parametros_manuales!$E$40*(datos_base!$G$3+IF(parametros_manuales!$H$40="Todos",datos_base!$G$10,0))*parametros_manuales!$D$102+parametros_manuales!$F$40*(datos_base!$G$4+IF(parametros_manuales!$H$40="Todos",datos_base!$G$11,0))*parametros_manuales!$D$107+parametros_manuales!$G$40*(datos_base!$G$5+IF(parametros_manuales!$H$40="Todos",datos_base!$G$12,0))*parametros_manuales!$D$112)*parametros_manuales!$I$40*parametros_manuales!$J$40</f>
        <v>2851.207163065</v>
      </c>
      <c r="E163" s="14" t="n">
        <f aca="false">(parametros_manuales!$D$40*(datos_base!$G$2+IF(parametros_manuales!$H$40="Todos",datos_base!$G$9,0))*parametros_manuales!$E$97+parametros_manuales!$E$40*(datos_base!$G$3+IF(parametros_manuales!$H$40="Todos",datos_base!$G$10,0))*parametros_manuales!$E$102+parametros_manuales!$F$40*(datos_base!$G$4+IF(parametros_manuales!$H$40="Todos",datos_base!$G$11,0))*parametros_manuales!$E$107+parametros_manuales!$G$40*(datos_base!$G$5+IF(parametros_manuales!$H$40="Todos",datos_base!$G$12,0))*parametros_manuales!$E$112)*parametros_manuales!$I$40*parametros_manuales!$J$40</f>
        <v>2773.105897715</v>
      </c>
      <c r="F163" s="14" t="n">
        <f aca="false">(parametros_manuales!$D$40*(datos_base!$G$2+IF(parametros_manuales!$H$40="Todos",datos_base!$G$9,0))*parametros_manuales!$F$97+parametros_manuales!$E$40*(datos_base!$G$3+IF(parametros_manuales!$H$40="Todos",datos_base!$G$10,0))*parametros_manuales!$F$102+parametros_manuales!$F$40*(datos_base!$G$4+IF(parametros_manuales!$H$40="Todos",datos_base!$G$11,0))*parametros_manuales!$F$107+parametros_manuales!$G$40*(datos_base!$G$5+IF(parametros_manuales!$H$40="Todos",datos_base!$G$12,0))*parametros_manuales!$F$112)*parametros_manuales!$I$40*parametros_manuales!$J$40</f>
        <v>2600.79363722</v>
      </c>
      <c r="G163" s="14" t="n">
        <f aca="false">(parametros_manuales!$D$40*(datos_base!$G$2+IF(parametros_manuales!$H$40="Todos",datos_base!$G$9,0))*parametros_manuales!$G$97+parametros_manuales!$E$40*(datos_base!$G$3+IF(parametros_manuales!$H$40="Todos",datos_base!$G$10,0))*parametros_manuales!$G$102+parametros_manuales!$F$40*(datos_base!$G$4+IF(parametros_manuales!$H$40="Todos",datos_base!$G$11,0))*parametros_manuales!$G$107+parametros_manuales!$G$40*(datos_base!$G$5+IF(parametros_manuales!$H$40="Todos",datos_base!$G$12,0))*parametros_manuales!$G$112)*parametros_manuales!$I$40*parametros_manuales!$J$40</f>
        <v>2506.582642075</v>
      </c>
      <c r="H163" s="14" t="n">
        <f aca="false">(parametros_manuales!$D$40*(datos_base!$G$2+IF(parametros_manuales!$H$40="Todos",datos_base!$G$9,0))*parametros_manuales!$H$97+parametros_manuales!$E$40*(datos_base!$G$3+IF(parametros_manuales!$H$40="Todos",datos_base!$G$10,0))*parametros_manuales!$H$102+parametros_manuales!$F$40*(datos_base!$G$4+IF(parametros_manuales!$H$40="Todos",datos_base!$G$11,0))*parametros_manuales!$H$107+parametros_manuales!$G$40*(datos_base!$G$5+IF(parametros_manuales!$H$40="Todos",datos_base!$G$12,0))*parametros_manuales!$H$112)*parametros_manuales!$I$40*parametros_manuales!$J$40</f>
        <v>2678.89490257</v>
      </c>
      <c r="I163" s="14" t="n">
        <f aca="false">(parametros_manuales!$D$40*(datos_base!$G$2+IF(parametros_manuales!$H$40="Todos",datos_base!$G$9,0))*parametros_manuales!$I$97+parametros_manuales!$E$40*(datos_base!$G$3+IF(parametros_manuales!$H$40="Todos",datos_base!$G$10,0))*parametros_manuales!$I$102+parametros_manuales!$F$40*(datos_base!$G$4+IF(parametros_manuales!$H$40="Todos",datos_base!$G$11,0))*parametros_manuales!$I$107+parametros_manuales!$G$40*(datos_base!$G$5+IF(parametros_manuales!$H$40="Todos",datos_base!$G$12,0))*parametros_manuales!$I$112)*parametros_manuales!$I$40*parametros_manuales!$J$40</f>
        <v>2913.19869862</v>
      </c>
      <c r="J163" s="14" t="n">
        <f aca="false">(parametros_manuales!$D$40*(datos_base!$G$2+IF(parametros_manuales!$H$40="Todos",datos_base!$G$9,0))*parametros_manuales!$J$97+parametros_manuales!$E$40*(datos_base!$G$3+IF(parametros_manuales!$H$40="Todos",datos_base!$G$10,0))*parametros_manuales!$J$102+parametros_manuales!$F$40*(datos_base!$G$4+IF(parametros_manuales!$H$40="Todos",datos_base!$G$11,0))*parametros_manuales!$J$107+parametros_manuales!$G$40*(datos_base!$G$5+IF(parametros_manuales!$H$40="Todos",datos_base!$G$12,0))*parametros_manuales!$J$112)*parametros_manuales!$I$40*parametros_manuales!$J$40</f>
        <v>2913.19869862</v>
      </c>
      <c r="K163" s="14" t="n">
        <f aca="false">(parametros_manuales!$D$40*(datos_base!$G$2+IF(parametros_manuales!$H$40="Todos",datos_base!$G$9,0))*parametros_manuales!$K$97+parametros_manuales!$E$40*(datos_base!$G$3+IF(parametros_manuales!$H$40="Todos",datos_base!$G$10,0))*parametros_manuales!$K$102+parametros_manuales!$F$40*(datos_base!$G$4+IF(parametros_manuales!$H$40="Todos",datos_base!$G$11,0))*parametros_manuales!$K$107+parametros_manuales!$G$40*(datos_base!$G$5+IF(parametros_manuales!$H$40="Todos",datos_base!$G$12,0))*parametros_manuales!$K$112)*parametros_manuales!$I$40*parametros_manuales!$J$40</f>
        <v>3007.409693765</v>
      </c>
      <c r="L163" s="14" t="n">
        <f aca="false">(parametros_manuales!$D$40*(datos_base!$G$2+IF(parametros_manuales!$H$40="Todos",datos_base!$G$9,0))*parametros_manuales!$L$97+parametros_manuales!$E$40*(datos_base!$G$3+IF(parametros_manuales!$H$40="Todos",datos_base!$G$10,0))*parametros_manuales!$L$102+parametros_manuales!$F$40*(datos_base!$G$4+IF(parametros_manuales!$H$40="Todos",datos_base!$G$11,0))*parametros_manuales!$L$107+parametros_manuales!$G$40*(datos_base!$G$5+IF(parametros_manuales!$H$40="Todos",datos_base!$G$12,0))*parametros_manuales!$L$112)*parametros_manuales!$I$40*parametros_manuales!$J$40</f>
        <v>3101.62068891</v>
      </c>
      <c r="M163" s="14" t="n">
        <f aca="false">(parametros_manuales!$D$40*(datos_base!$G$2+IF(parametros_manuales!$H$40="Todos",datos_base!$G$9,0))*parametros_manuales!$M$97+parametros_manuales!$E$40*(datos_base!$G$3+IF(parametros_manuales!$H$40="Todos",datos_base!$G$10,0))*parametros_manuales!$M$102+parametros_manuales!$F$40*(datos_base!$G$4+IF(parametros_manuales!$H$40="Todos",datos_base!$G$11,0))*parametros_manuales!$M$107+parametros_manuales!$G$40*(datos_base!$G$5+IF(parametros_manuales!$H$40="Todos",datos_base!$G$12,0))*parametros_manuales!$M$112)*parametros_manuales!$I$40*parametros_manuales!$J$40</f>
        <v>3101.62068891</v>
      </c>
      <c r="N163" s="14" t="n">
        <f aca="false">SUM(B163:M163)</f>
        <v>34462.452099</v>
      </c>
      <c r="O163" s="14" t="n">
        <f aca="false">MAX(B163:M163)</f>
        <v>3101.62068891</v>
      </c>
      <c r="P163" s="57" t="n">
        <f aca="false">O163/(parametros_manuales!$B$7)</f>
        <v>20.6774712594</v>
      </c>
      <c r="Q163" s="13" t="str">
        <f aca="false">IF(O163=0,"-",INDEX($B$141:$M$141,MATCH(O163,B163:M163,0)))</f>
        <v>Ene</v>
      </c>
    </row>
    <row r="164" customFormat="false" ht="14.25" hidden="false" customHeight="true" outlineLevel="0" collapsed="false">
      <c r="A164" s="13" t="str">
        <f aca="false">parametros_manuales!$B$41</f>
        <v>Presurización</v>
      </c>
      <c r="B164" s="14" t="n">
        <f aca="false">(parametros_manuales!$D$41*(datos_base!$G$2+IF(parametros_manuales!$H$41="Todos",datos_base!$G$9,0))*parametros_manuales!$B$97+parametros_manuales!$E$41*(datos_base!$G$3+IF(parametros_manuales!$H$41="Todos",datos_base!$G$10,0))*parametros_manuales!$B$102+parametros_manuales!$F$41*(datos_base!$G$4+IF(parametros_manuales!$H$41="Todos",datos_base!$G$11,0))*parametros_manuales!$B$107+parametros_manuales!$G$41*(datos_base!$G$5+IF(parametros_manuales!$H$41="Todos",datos_base!$G$12,0))*parametros_manuales!$B$112)*parametros_manuales!$I$41*parametros_manuales!$J$41</f>
        <v>3101.62068891</v>
      </c>
      <c r="C164" s="14" t="n">
        <f aca="false">(parametros_manuales!$D$41*(datos_base!$G$2+IF(parametros_manuales!$H$41="Todos",datos_base!$G$9,0))*parametros_manuales!$C$97+parametros_manuales!$E$41*(datos_base!$G$3+IF(parametros_manuales!$H$41="Todos",datos_base!$G$10,0))*parametros_manuales!$C$102+parametros_manuales!$F$41*(datos_base!$G$4+IF(parametros_manuales!$H$41="Todos",datos_base!$G$11,0))*parametros_manuales!$C$107+parametros_manuales!$G$41*(datos_base!$G$5+IF(parametros_manuales!$H$41="Todos",datos_base!$G$12,0))*parametros_manuales!$C$112)*parametros_manuales!$I$41*parametros_manuales!$J$41</f>
        <v>2913.19869862</v>
      </c>
      <c r="D164" s="14" t="n">
        <f aca="false">(parametros_manuales!$D$41*(datos_base!$G$2+IF(parametros_manuales!$H$41="Todos",datos_base!$G$9,0))*parametros_manuales!$D$97+parametros_manuales!$E$41*(datos_base!$G$3+IF(parametros_manuales!$H$41="Todos",datos_base!$G$10,0))*parametros_manuales!$D$102+parametros_manuales!$F$41*(datos_base!$G$4+IF(parametros_manuales!$H$41="Todos",datos_base!$G$11,0))*parametros_manuales!$D$107+parametros_manuales!$G$41*(datos_base!$G$5+IF(parametros_manuales!$H$41="Todos",datos_base!$G$12,0))*parametros_manuales!$D$112)*parametros_manuales!$I$41*parametros_manuales!$J$41</f>
        <v>2851.207163065</v>
      </c>
      <c r="E164" s="14" t="n">
        <f aca="false">(parametros_manuales!$D$41*(datos_base!$G$2+IF(parametros_manuales!$H$41="Todos",datos_base!$G$9,0))*parametros_manuales!$E$97+parametros_manuales!$E$41*(datos_base!$G$3+IF(parametros_manuales!$H$41="Todos",datos_base!$G$10,0))*parametros_manuales!$E$102+parametros_manuales!$F$41*(datos_base!$G$4+IF(parametros_manuales!$H$41="Todos",datos_base!$G$11,0))*parametros_manuales!$E$107+parametros_manuales!$G$41*(datos_base!$G$5+IF(parametros_manuales!$H$41="Todos",datos_base!$G$12,0))*parametros_manuales!$E$112)*parametros_manuales!$I$41*parametros_manuales!$J$41</f>
        <v>2773.105897715</v>
      </c>
      <c r="F164" s="14" t="n">
        <f aca="false">(parametros_manuales!$D$41*(datos_base!$G$2+IF(parametros_manuales!$H$41="Todos",datos_base!$G$9,0))*parametros_manuales!$F$97+parametros_manuales!$E$41*(datos_base!$G$3+IF(parametros_manuales!$H$41="Todos",datos_base!$G$10,0))*parametros_manuales!$F$102+parametros_manuales!$F$41*(datos_base!$G$4+IF(parametros_manuales!$H$41="Todos",datos_base!$G$11,0))*parametros_manuales!$F$107+parametros_manuales!$G$41*(datos_base!$G$5+IF(parametros_manuales!$H$41="Todos",datos_base!$G$12,0))*parametros_manuales!$F$112)*parametros_manuales!$I$41*parametros_manuales!$J$41</f>
        <v>2600.79363722</v>
      </c>
      <c r="G164" s="14" t="n">
        <f aca="false">(parametros_manuales!$D$41*(datos_base!$G$2+IF(parametros_manuales!$H$41="Todos",datos_base!$G$9,0))*parametros_manuales!$G$97+parametros_manuales!$E$41*(datos_base!$G$3+IF(parametros_manuales!$H$41="Todos",datos_base!$G$10,0))*parametros_manuales!$G$102+parametros_manuales!$F$41*(datos_base!$G$4+IF(parametros_manuales!$H$41="Todos",datos_base!$G$11,0))*parametros_manuales!$G$107+parametros_manuales!$G$41*(datos_base!$G$5+IF(parametros_manuales!$H$41="Todos",datos_base!$G$12,0))*parametros_manuales!$G$112)*parametros_manuales!$I$41*parametros_manuales!$J$41</f>
        <v>2506.582642075</v>
      </c>
      <c r="H164" s="14" t="n">
        <f aca="false">(parametros_manuales!$D$41*(datos_base!$G$2+IF(parametros_manuales!$H$41="Todos",datos_base!$G$9,0))*parametros_manuales!$H$97+parametros_manuales!$E$41*(datos_base!$G$3+IF(parametros_manuales!$H$41="Todos",datos_base!$G$10,0))*parametros_manuales!$H$102+parametros_manuales!$F$41*(datos_base!$G$4+IF(parametros_manuales!$H$41="Todos",datos_base!$G$11,0))*parametros_manuales!$H$107+parametros_manuales!$G$41*(datos_base!$G$5+IF(parametros_manuales!$H$41="Todos",datos_base!$G$12,0))*parametros_manuales!$H$112)*parametros_manuales!$I$41*parametros_manuales!$J$41</f>
        <v>2678.89490257</v>
      </c>
      <c r="I164" s="14" t="n">
        <f aca="false">(parametros_manuales!$D$41*(datos_base!$G$2+IF(parametros_manuales!$H$41="Todos",datos_base!$G$9,0))*parametros_manuales!$I$97+parametros_manuales!$E$41*(datos_base!$G$3+IF(parametros_manuales!$H$41="Todos",datos_base!$G$10,0))*parametros_manuales!$I$102+parametros_manuales!$F$41*(datos_base!$G$4+IF(parametros_manuales!$H$41="Todos",datos_base!$G$11,0))*parametros_manuales!$I$107+parametros_manuales!$G$41*(datos_base!$G$5+IF(parametros_manuales!$H$41="Todos",datos_base!$G$12,0))*parametros_manuales!$I$112)*parametros_manuales!$I$41*parametros_manuales!$J$41</f>
        <v>2913.19869862</v>
      </c>
      <c r="J164" s="14" t="n">
        <f aca="false">(parametros_manuales!$D$41*(datos_base!$G$2+IF(parametros_manuales!$H$41="Todos",datos_base!$G$9,0))*parametros_manuales!$J$97+parametros_manuales!$E$41*(datos_base!$G$3+IF(parametros_manuales!$H$41="Todos",datos_base!$G$10,0))*parametros_manuales!$J$102+parametros_manuales!$F$41*(datos_base!$G$4+IF(parametros_manuales!$H$41="Todos",datos_base!$G$11,0))*parametros_manuales!$J$107+parametros_manuales!$G$41*(datos_base!$G$5+IF(parametros_manuales!$H$41="Todos",datos_base!$G$12,0))*parametros_manuales!$J$112)*parametros_manuales!$I$41*parametros_manuales!$J$41</f>
        <v>2913.19869862</v>
      </c>
      <c r="K164" s="14" t="n">
        <f aca="false">(parametros_manuales!$D$41*(datos_base!$G$2+IF(parametros_manuales!$H$41="Todos",datos_base!$G$9,0))*parametros_manuales!$K$97+parametros_manuales!$E$41*(datos_base!$G$3+IF(parametros_manuales!$H$41="Todos",datos_base!$G$10,0))*parametros_manuales!$K$102+parametros_manuales!$F$41*(datos_base!$G$4+IF(parametros_manuales!$H$41="Todos",datos_base!$G$11,0))*parametros_manuales!$K$107+parametros_manuales!$G$41*(datos_base!$G$5+IF(parametros_manuales!$H$41="Todos",datos_base!$G$12,0))*parametros_manuales!$K$112)*parametros_manuales!$I$41*parametros_manuales!$J$41</f>
        <v>3007.409693765</v>
      </c>
      <c r="L164" s="14" t="n">
        <f aca="false">(parametros_manuales!$D$41*(datos_base!$G$2+IF(parametros_manuales!$H$41="Todos",datos_base!$G$9,0))*parametros_manuales!$L$97+parametros_manuales!$E$41*(datos_base!$G$3+IF(parametros_manuales!$H$41="Todos",datos_base!$G$10,0))*parametros_manuales!$L$102+parametros_manuales!$F$41*(datos_base!$G$4+IF(parametros_manuales!$H$41="Todos",datos_base!$G$11,0))*parametros_manuales!$L$107+parametros_manuales!$G$41*(datos_base!$G$5+IF(parametros_manuales!$H$41="Todos",datos_base!$G$12,0))*parametros_manuales!$L$112)*parametros_manuales!$I$41*parametros_manuales!$J$41</f>
        <v>3101.62068891</v>
      </c>
      <c r="M164" s="14" t="n">
        <f aca="false">(parametros_manuales!$D$41*(datos_base!$G$2+IF(parametros_manuales!$H$41="Todos",datos_base!$G$9,0))*parametros_manuales!$M$97+parametros_manuales!$E$41*(datos_base!$G$3+IF(parametros_manuales!$H$41="Todos",datos_base!$G$10,0))*parametros_manuales!$M$102+parametros_manuales!$F$41*(datos_base!$G$4+IF(parametros_manuales!$H$41="Todos",datos_base!$G$11,0))*parametros_manuales!$M$107+parametros_manuales!$G$41*(datos_base!$G$5+IF(parametros_manuales!$H$41="Todos",datos_base!$G$12,0))*parametros_manuales!$M$112)*parametros_manuales!$I$41*parametros_manuales!$J$41</f>
        <v>3101.62068891</v>
      </c>
      <c r="N164" s="14" t="n">
        <f aca="false">SUM(B164:M164)</f>
        <v>34462.452099</v>
      </c>
      <c r="O164" s="14" t="n">
        <f aca="false">MAX(B164:M164)</f>
        <v>3101.62068891</v>
      </c>
      <c r="P164" s="57" t="n">
        <f aca="false">O164/(parametros_manuales!$B$7)</f>
        <v>20.6774712594</v>
      </c>
      <c r="Q164" s="13" t="str">
        <f aca="false">IF(O164=0,"-",INDEX($B$141:$M$141,MATCH(O164,B164:M164,0)))</f>
        <v>Ene</v>
      </c>
    </row>
    <row r="165" customFormat="false" ht="14.25" hidden="false" customHeight="true" outlineLevel="0" collapsed="false">
      <c r="A165" s="13" t="str">
        <f aca="false">parametros_manuales!$B$42</f>
        <v>Control de calidad — Ensayo de pérdidas</v>
      </c>
      <c r="B165" s="14" t="n">
        <f aca="false">(parametros_manuales!$D$42*(datos_base!$G$2+IF(parametros_manuales!$H$42="Todos",datos_base!$G$9,0))*parametros_manuales!$B$97+parametros_manuales!$E$42*(datos_base!$G$3+IF(parametros_manuales!$H$42="Todos",datos_base!$G$10,0))*parametros_manuales!$B$102+parametros_manuales!$F$42*(datos_base!$G$4+IF(parametros_manuales!$H$42="Todos",datos_base!$G$11,0))*parametros_manuales!$B$107+parametros_manuales!$G$42*(datos_base!$G$5+IF(parametros_manuales!$H$42="Todos",datos_base!$G$12,0))*parametros_manuales!$B$112)*parametros_manuales!$I$42*parametros_manuales!$J$42</f>
        <v>3101.62068891</v>
      </c>
      <c r="C165" s="14" t="n">
        <f aca="false">(parametros_manuales!$D$42*(datos_base!$G$2+IF(parametros_manuales!$H$42="Todos",datos_base!$G$9,0))*parametros_manuales!$C$97+parametros_manuales!$E$42*(datos_base!$G$3+IF(parametros_manuales!$H$42="Todos",datos_base!$G$10,0))*parametros_manuales!$C$102+parametros_manuales!$F$42*(datos_base!$G$4+IF(parametros_manuales!$H$42="Todos",datos_base!$G$11,0))*parametros_manuales!$C$107+parametros_manuales!$G$42*(datos_base!$G$5+IF(parametros_manuales!$H$42="Todos",datos_base!$G$12,0))*parametros_manuales!$C$112)*parametros_manuales!$I$42*parametros_manuales!$J$42</f>
        <v>2913.19869862</v>
      </c>
      <c r="D165" s="14" t="n">
        <f aca="false">(parametros_manuales!$D$42*(datos_base!$G$2+IF(parametros_manuales!$H$42="Todos",datos_base!$G$9,0))*parametros_manuales!$D$97+parametros_manuales!$E$42*(datos_base!$G$3+IF(parametros_manuales!$H$42="Todos",datos_base!$G$10,0))*parametros_manuales!$D$102+parametros_manuales!$F$42*(datos_base!$G$4+IF(parametros_manuales!$H$42="Todos",datos_base!$G$11,0))*parametros_manuales!$D$107+parametros_manuales!$G$42*(datos_base!$G$5+IF(parametros_manuales!$H$42="Todos",datos_base!$G$12,0))*parametros_manuales!$D$112)*parametros_manuales!$I$42*parametros_manuales!$J$42</f>
        <v>2851.207163065</v>
      </c>
      <c r="E165" s="14" t="n">
        <f aca="false">(parametros_manuales!$D$42*(datos_base!$G$2+IF(parametros_manuales!$H$42="Todos",datos_base!$G$9,0))*parametros_manuales!$E$97+parametros_manuales!$E$42*(datos_base!$G$3+IF(parametros_manuales!$H$42="Todos",datos_base!$G$10,0))*parametros_manuales!$E$102+parametros_manuales!$F$42*(datos_base!$G$4+IF(parametros_manuales!$H$42="Todos",datos_base!$G$11,0))*parametros_manuales!$E$107+parametros_manuales!$G$42*(datos_base!$G$5+IF(parametros_manuales!$H$42="Todos",datos_base!$G$12,0))*parametros_manuales!$E$112)*parametros_manuales!$I$42*parametros_manuales!$J$42</f>
        <v>2773.105897715</v>
      </c>
      <c r="F165" s="14" t="n">
        <f aca="false">(parametros_manuales!$D$42*(datos_base!$G$2+IF(parametros_manuales!$H$42="Todos",datos_base!$G$9,0))*parametros_manuales!$F$97+parametros_manuales!$E$42*(datos_base!$G$3+IF(parametros_manuales!$H$42="Todos",datos_base!$G$10,0))*parametros_manuales!$F$102+parametros_manuales!$F$42*(datos_base!$G$4+IF(parametros_manuales!$H$42="Todos",datos_base!$G$11,0))*parametros_manuales!$F$107+parametros_manuales!$G$42*(datos_base!$G$5+IF(parametros_manuales!$H$42="Todos",datos_base!$G$12,0))*parametros_manuales!$F$112)*parametros_manuales!$I$42*parametros_manuales!$J$42</f>
        <v>2600.79363722</v>
      </c>
      <c r="G165" s="14" t="n">
        <f aca="false">(parametros_manuales!$D$42*(datos_base!$G$2+IF(parametros_manuales!$H$42="Todos",datos_base!$G$9,0))*parametros_manuales!$G$97+parametros_manuales!$E$42*(datos_base!$G$3+IF(parametros_manuales!$H$42="Todos",datos_base!$G$10,0))*parametros_manuales!$G$102+parametros_manuales!$F$42*(datos_base!$G$4+IF(parametros_manuales!$H$42="Todos",datos_base!$G$11,0))*parametros_manuales!$G$107+parametros_manuales!$G$42*(datos_base!$G$5+IF(parametros_manuales!$H$42="Todos",datos_base!$G$12,0))*parametros_manuales!$G$112)*parametros_manuales!$I$42*parametros_manuales!$J$42</f>
        <v>2506.582642075</v>
      </c>
      <c r="H165" s="14" t="n">
        <f aca="false">(parametros_manuales!$D$42*(datos_base!$G$2+IF(parametros_manuales!$H$42="Todos",datos_base!$G$9,0))*parametros_manuales!$H$97+parametros_manuales!$E$42*(datos_base!$G$3+IF(parametros_manuales!$H$42="Todos",datos_base!$G$10,0))*parametros_manuales!$H$102+parametros_manuales!$F$42*(datos_base!$G$4+IF(parametros_manuales!$H$42="Todos",datos_base!$G$11,0))*parametros_manuales!$H$107+parametros_manuales!$G$42*(datos_base!$G$5+IF(parametros_manuales!$H$42="Todos",datos_base!$G$12,0))*parametros_manuales!$H$112)*parametros_manuales!$I$42*parametros_manuales!$J$42</f>
        <v>2678.89490257</v>
      </c>
      <c r="I165" s="14" t="n">
        <f aca="false">(parametros_manuales!$D$42*(datos_base!$G$2+IF(parametros_manuales!$H$42="Todos",datos_base!$G$9,0))*parametros_manuales!$I$97+parametros_manuales!$E$42*(datos_base!$G$3+IF(parametros_manuales!$H$42="Todos",datos_base!$G$10,0))*parametros_manuales!$I$102+parametros_manuales!$F$42*(datos_base!$G$4+IF(parametros_manuales!$H$42="Todos",datos_base!$G$11,0))*parametros_manuales!$I$107+parametros_manuales!$G$42*(datos_base!$G$5+IF(parametros_manuales!$H$42="Todos",datos_base!$G$12,0))*parametros_manuales!$I$112)*parametros_manuales!$I$42*parametros_manuales!$J$42</f>
        <v>2913.19869862</v>
      </c>
      <c r="J165" s="14" t="n">
        <f aca="false">(parametros_manuales!$D$42*(datos_base!$G$2+IF(parametros_manuales!$H$42="Todos",datos_base!$G$9,0))*parametros_manuales!$J$97+parametros_manuales!$E$42*(datos_base!$G$3+IF(parametros_manuales!$H$42="Todos",datos_base!$G$10,0))*parametros_manuales!$J$102+parametros_manuales!$F$42*(datos_base!$G$4+IF(parametros_manuales!$H$42="Todos",datos_base!$G$11,0))*parametros_manuales!$J$107+parametros_manuales!$G$42*(datos_base!$G$5+IF(parametros_manuales!$H$42="Todos",datos_base!$G$12,0))*parametros_manuales!$J$112)*parametros_manuales!$I$42*parametros_manuales!$J$42</f>
        <v>2913.19869862</v>
      </c>
      <c r="K165" s="14" t="n">
        <f aca="false">(parametros_manuales!$D$42*(datos_base!$G$2+IF(parametros_manuales!$H$42="Todos",datos_base!$G$9,0))*parametros_manuales!$K$97+parametros_manuales!$E$42*(datos_base!$G$3+IF(parametros_manuales!$H$42="Todos",datos_base!$G$10,0))*parametros_manuales!$K$102+parametros_manuales!$F$42*(datos_base!$G$4+IF(parametros_manuales!$H$42="Todos",datos_base!$G$11,0))*parametros_manuales!$K$107+parametros_manuales!$G$42*(datos_base!$G$5+IF(parametros_manuales!$H$42="Todos",datos_base!$G$12,0))*parametros_manuales!$K$112)*parametros_manuales!$I$42*parametros_manuales!$J$42</f>
        <v>3007.409693765</v>
      </c>
      <c r="L165" s="14" t="n">
        <f aca="false">(parametros_manuales!$D$42*(datos_base!$G$2+IF(parametros_manuales!$H$42="Todos",datos_base!$G$9,0))*parametros_manuales!$L$97+parametros_manuales!$E$42*(datos_base!$G$3+IF(parametros_manuales!$H$42="Todos",datos_base!$G$10,0))*parametros_manuales!$L$102+parametros_manuales!$F$42*(datos_base!$G$4+IF(parametros_manuales!$H$42="Todos",datos_base!$G$11,0))*parametros_manuales!$L$107+parametros_manuales!$G$42*(datos_base!$G$5+IF(parametros_manuales!$H$42="Todos",datos_base!$G$12,0))*parametros_manuales!$L$112)*parametros_manuales!$I$42*parametros_manuales!$J$42</f>
        <v>3101.62068891</v>
      </c>
      <c r="M165" s="14" t="n">
        <f aca="false">(parametros_manuales!$D$42*(datos_base!$G$2+IF(parametros_manuales!$H$42="Todos",datos_base!$G$9,0))*parametros_manuales!$M$97+parametros_manuales!$E$42*(datos_base!$G$3+IF(parametros_manuales!$H$42="Todos",datos_base!$G$10,0))*parametros_manuales!$M$102+parametros_manuales!$F$42*(datos_base!$G$4+IF(parametros_manuales!$H$42="Todos",datos_base!$G$11,0))*parametros_manuales!$M$107+parametros_manuales!$G$42*(datos_base!$G$5+IF(parametros_manuales!$H$42="Todos",datos_base!$G$12,0))*parametros_manuales!$M$112)*parametros_manuales!$I$42*parametros_manuales!$J$42</f>
        <v>3101.62068891</v>
      </c>
      <c r="N165" s="14" t="n">
        <f aca="false">SUM(B165:M165)</f>
        <v>34462.452099</v>
      </c>
      <c r="O165" s="14" t="n">
        <f aca="false">MAX(B165:M165)</f>
        <v>3101.62068891</v>
      </c>
      <c r="P165" s="57" t="n">
        <f aca="false">O165/(parametros_manuales!$B$7)</f>
        <v>20.6774712594</v>
      </c>
      <c r="Q165" s="13" t="str">
        <f aca="false">IF(O165=0,"-",INDEX($B$141:$M$141,MATCH(O165,B165:M165,0)))</f>
        <v>Ene</v>
      </c>
    </row>
    <row r="166" customFormat="false" ht="14.25" hidden="false" customHeight="true" outlineLevel="0" collapsed="false">
      <c r="A166" s="13" t="str">
        <f aca="false">parametros_manuales!$B$43</f>
        <v>Etiquetado</v>
      </c>
      <c r="B166" s="14" t="n">
        <f aca="false">(parametros_manuales!$D$43*(datos_base!$G$2+IF(parametros_manuales!$H$43="Todos",datos_base!$G$9,0))*parametros_manuales!$B$97+parametros_manuales!$E$43*(datos_base!$G$3+IF(parametros_manuales!$H$43="Todos",datos_base!$G$10,0))*parametros_manuales!$B$102+parametros_manuales!$F$43*(datos_base!$G$4+IF(parametros_manuales!$H$43="Todos",datos_base!$G$11,0))*parametros_manuales!$B$107+parametros_manuales!$G$43*(datos_base!$G$5+IF(parametros_manuales!$H$43="Todos",datos_base!$G$12,0))*parametros_manuales!$B$112)*parametros_manuales!$I$43*parametros_manuales!$J$43</f>
        <v>3101.62068891</v>
      </c>
      <c r="C166" s="14" t="n">
        <f aca="false">(parametros_manuales!$D$43*(datos_base!$G$2+IF(parametros_manuales!$H$43="Todos",datos_base!$G$9,0))*parametros_manuales!$C$97+parametros_manuales!$E$43*(datos_base!$G$3+IF(parametros_manuales!$H$43="Todos",datos_base!$G$10,0))*parametros_manuales!$C$102+parametros_manuales!$F$43*(datos_base!$G$4+IF(parametros_manuales!$H$43="Todos",datos_base!$G$11,0))*parametros_manuales!$C$107+parametros_manuales!$G$43*(datos_base!$G$5+IF(parametros_manuales!$H$43="Todos",datos_base!$G$12,0))*parametros_manuales!$C$112)*parametros_manuales!$I$43*parametros_manuales!$J$43</f>
        <v>2913.19869862</v>
      </c>
      <c r="D166" s="14" t="n">
        <f aca="false">(parametros_manuales!$D$43*(datos_base!$G$2+IF(parametros_manuales!$H$43="Todos",datos_base!$G$9,0))*parametros_manuales!$D$97+parametros_manuales!$E$43*(datos_base!$G$3+IF(parametros_manuales!$H$43="Todos",datos_base!$G$10,0))*parametros_manuales!$D$102+parametros_manuales!$F$43*(datos_base!$G$4+IF(parametros_manuales!$H$43="Todos",datos_base!$G$11,0))*parametros_manuales!$D$107+parametros_manuales!$G$43*(datos_base!$G$5+IF(parametros_manuales!$H$43="Todos",datos_base!$G$12,0))*parametros_manuales!$D$112)*parametros_manuales!$I$43*parametros_manuales!$J$43</f>
        <v>2851.207163065</v>
      </c>
      <c r="E166" s="14" t="n">
        <f aca="false">(parametros_manuales!$D$43*(datos_base!$G$2+IF(parametros_manuales!$H$43="Todos",datos_base!$G$9,0))*parametros_manuales!$E$97+parametros_manuales!$E$43*(datos_base!$G$3+IF(parametros_manuales!$H$43="Todos",datos_base!$G$10,0))*parametros_manuales!$E$102+parametros_manuales!$F$43*(datos_base!$G$4+IF(parametros_manuales!$H$43="Todos",datos_base!$G$11,0))*parametros_manuales!$E$107+parametros_manuales!$G$43*(datos_base!$G$5+IF(parametros_manuales!$H$43="Todos",datos_base!$G$12,0))*parametros_manuales!$E$112)*parametros_manuales!$I$43*parametros_manuales!$J$43</f>
        <v>2773.105897715</v>
      </c>
      <c r="F166" s="14" t="n">
        <f aca="false">(parametros_manuales!$D$43*(datos_base!$G$2+IF(parametros_manuales!$H$43="Todos",datos_base!$G$9,0))*parametros_manuales!$F$97+parametros_manuales!$E$43*(datos_base!$G$3+IF(parametros_manuales!$H$43="Todos",datos_base!$G$10,0))*parametros_manuales!$F$102+parametros_manuales!$F$43*(datos_base!$G$4+IF(parametros_manuales!$H$43="Todos",datos_base!$G$11,0))*parametros_manuales!$F$107+parametros_manuales!$G$43*(datos_base!$G$5+IF(parametros_manuales!$H$43="Todos",datos_base!$G$12,0))*parametros_manuales!$F$112)*parametros_manuales!$I$43*parametros_manuales!$J$43</f>
        <v>2600.79363722</v>
      </c>
      <c r="G166" s="14" t="n">
        <f aca="false">(parametros_manuales!$D$43*(datos_base!$G$2+IF(parametros_manuales!$H$43="Todos",datos_base!$G$9,0))*parametros_manuales!$G$97+parametros_manuales!$E$43*(datos_base!$G$3+IF(parametros_manuales!$H$43="Todos",datos_base!$G$10,0))*parametros_manuales!$G$102+parametros_manuales!$F$43*(datos_base!$G$4+IF(parametros_manuales!$H$43="Todos",datos_base!$G$11,0))*parametros_manuales!$G$107+parametros_manuales!$G$43*(datos_base!$G$5+IF(parametros_manuales!$H$43="Todos",datos_base!$G$12,0))*parametros_manuales!$G$112)*parametros_manuales!$I$43*parametros_manuales!$J$43</f>
        <v>2506.582642075</v>
      </c>
      <c r="H166" s="14" t="n">
        <f aca="false">(parametros_manuales!$D$43*(datos_base!$G$2+IF(parametros_manuales!$H$43="Todos",datos_base!$G$9,0))*parametros_manuales!$H$97+parametros_manuales!$E$43*(datos_base!$G$3+IF(parametros_manuales!$H$43="Todos",datos_base!$G$10,0))*parametros_manuales!$H$102+parametros_manuales!$F$43*(datos_base!$G$4+IF(parametros_manuales!$H$43="Todos",datos_base!$G$11,0))*parametros_manuales!$H$107+parametros_manuales!$G$43*(datos_base!$G$5+IF(parametros_manuales!$H$43="Todos",datos_base!$G$12,0))*parametros_manuales!$H$112)*parametros_manuales!$I$43*parametros_manuales!$J$43</f>
        <v>2678.89490257</v>
      </c>
      <c r="I166" s="14" t="n">
        <f aca="false">(parametros_manuales!$D$43*(datos_base!$G$2+IF(parametros_manuales!$H$43="Todos",datos_base!$G$9,0))*parametros_manuales!$I$97+parametros_manuales!$E$43*(datos_base!$G$3+IF(parametros_manuales!$H$43="Todos",datos_base!$G$10,0))*parametros_manuales!$I$102+parametros_manuales!$F$43*(datos_base!$G$4+IF(parametros_manuales!$H$43="Todos",datos_base!$G$11,0))*parametros_manuales!$I$107+parametros_manuales!$G$43*(datos_base!$G$5+IF(parametros_manuales!$H$43="Todos",datos_base!$G$12,0))*parametros_manuales!$I$112)*parametros_manuales!$I$43*parametros_manuales!$J$43</f>
        <v>2913.19869862</v>
      </c>
      <c r="J166" s="14" t="n">
        <f aca="false">(parametros_manuales!$D$43*(datos_base!$G$2+IF(parametros_manuales!$H$43="Todos",datos_base!$G$9,0))*parametros_manuales!$J$97+parametros_manuales!$E$43*(datos_base!$G$3+IF(parametros_manuales!$H$43="Todos",datos_base!$G$10,0))*parametros_manuales!$J$102+parametros_manuales!$F$43*(datos_base!$G$4+IF(parametros_manuales!$H$43="Todos",datos_base!$G$11,0))*parametros_manuales!$J$107+parametros_manuales!$G$43*(datos_base!$G$5+IF(parametros_manuales!$H$43="Todos",datos_base!$G$12,0))*parametros_manuales!$J$112)*parametros_manuales!$I$43*parametros_manuales!$J$43</f>
        <v>2913.19869862</v>
      </c>
      <c r="K166" s="14" t="n">
        <f aca="false">(parametros_manuales!$D$43*(datos_base!$G$2+IF(parametros_manuales!$H$43="Todos",datos_base!$G$9,0))*parametros_manuales!$K$97+parametros_manuales!$E$43*(datos_base!$G$3+IF(parametros_manuales!$H$43="Todos",datos_base!$G$10,0))*parametros_manuales!$K$102+parametros_manuales!$F$43*(datos_base!$G$4+IF(parametros_manuales!$H$43="Todos",datos_base!$G$11,0))*parametros_manuales!$K$107+parametros_manuales!$G$43*(datos_base!$G$5+IF(parametros_manuales!$H$43="Todos",datos_base!$G$12,0))*parametros_manuales!$K$112)*parametros_manuales!$I$43*parametros_manuales!$J$43</f>
        <v>3007.409693765</v>
      </c>
      <c r="L166" s="14" t="n">
        <f aca="false">(parametros_manuales!$D$43*(datos_base!$G$2+IF(parametros_manuales!$H$43="Todos",datos_base!$G$9,0))*parametros_manuales!$L$97+parametros_manuales!$E$43*(datos_base!$G$3+IF(parametros_manuales!$H$43="Todos",datos_base!$G$10,0))*parametros_manuales!$L$102+parametros_manuales!$F$43*(datos_base!$G$4+IF(parametros_manuales!$H$43="Todos",datos_base!$G$11,0))*parametros_manuales!$L$107+parametros_manuales!$G$43*(datos_base!$G$5+IF(parametros_manuales!$H$43="Todos",datos_base!$G$12,0))*parametros_manuales!$L$112)*parametros_manuales!$I$43*parametros_manuales!$J$43</f>
        <v>3101.62068891</v>
      </c>
      <c r="M166" s="14" t="n">
        <f aca="false">(parametros_manuales!$D$43*(datos_base!$G$2+IF(parametros_manuales!$H$43="Todos",datos_base!$G$9,0))*parametros_manuales!$M$97+parametros_manuales!$E$43*(datos_base!$G$3+IF(parametros_manuales!$H$43="Todos",datos_base!$G$10,0))*parametros_manuales!$M$102+parametros_manuales!$F$43*(datos_base!$G$4+IF(parametros_manuales!$H$43="Todos",datos_base!$G$11,0))*parametros_manuales!$M$107+parametros_manuales!$G$43*(datos_base!$G$5+IF(parametros_manuales!$H$43="Todos",datos_base!$G$12,0))*parametros_manuales!$M$112)*parametros_manuales!$I$43*parametros_manuales!$J$43</f>
        <v>3101.62068891</v>
      </c>
      <c r="N166" s="14" t="n">
        <f aca="false">SUM(B166:M166)</f>
        <v>34462.452099</v>
      </c>
      <c r="O166" s="14" t="n">
        <f aca="false">MAX(B166:M166)</f>
        <v>3101.62068891</v>
      </c>
      <c r="P166" s="57" t="n">
        <f aca="false">O166/(parametros_manuales!$B$7)</f>
        <v>20.6774712594</v>
      </c>
      <c r="Q166" s="13" t="str">
        <f aca="false">IF(O166=0,"-",INDEX($B$141:$M$141,MATCH(O166,B166:M166,0)))</f>
        <v>Ene</v>
      </c>
    </row>
    <row r="167" customFormat="false" ht="14.25" hidden="false" customHeight="true" outlineLevel="0" collapsed="false">
      <c r="A167" s="13" t="str">
        <f aca="false">parametros_manuales!$B$44</f>
        <v>Embalaje y paletizado</v>
      </c>
      <c r="B167" s="14" t="n">
        <f aca="false">(parametros_manuales!$D$44*(datos_base!$G$2+IF(parametros_manuales!$H$44="Todos",datos_base!$G$9,0))*parametros_manuales!$B$97+parametros_manuales!$E$44*(datos_base!$G$3+IF(parametros_manuales!$H$44="Todos",datos_base!$G$10,0))*parametros_manuales!$B$102+parametros_manuales!$F$44*(datos_base!$G$4+IF(parametros_manuales!$H$44="Todos",datos_base!$G$11,0))*parametros_manuales!$B$107+parametros_manuales!$G$44*(datos_base!$G$5+IF(parametros_manuales!$H$44="Todos",datos_base!$G$12,0))*parametros_manuales!$B$112)*parametros_manuales!$I$44*parametros_manuales!$J$44</f>
        <v>11145.35268891</v>
      </c>
      <c r="C167" s="14" t="n">
        <f aca="false">(parametros_manuales!$D$44*(datos_base!$G$2+IF(parametros_manuales!$H$44="Todos",datos_base!$G$9,0))*parametros_manuales!$C$97+parametros_manuales!$E$44*(datos_base!$G$3+IF(parametros_manuales!$H$44="Todos",datos_base!$G$10,0))*parametros_manuales!$C$102+parametros_manuales!$F$44*(datos_base!$G$4+IF(parametros_manuales!$H$44="Todos",datos_base!$G$11,0))*parametros_manuales!$C$107+parametros_manuales!$G$44*(datos_base!$G$5+IF(parametros_manuales!$H$44="Todos",datos_base!$G$12,0))*parametros_manuales!$C$112)*parametros_manuales!$I$44*parametros_manuales!$J$44</f>
        <v>10779.98469862</v>
      </c>
      <c r="D167" s="14" t="n">
        <f aca="false">(parametros_manuales!$D$44*(datos_base!$G$2+IF(parametros_manuales!$H$44="Todos",datos_base!$G$9,0))*parametros_manuales!$D$97+parametros_manuales!$E$44*(datos_base!$G$3+IF(parametros_manuales!$H$44="Todos",datos_base!$G$10,0))*parametros_manuales!$D$102+parametros_manuales!$F$44*(datos_base!$G$4+IF(parametros_manuales!$H$44="Todos",datos_base!$G$11,0))*parametros_manuales!$D$107+parametros_manuales!$G$44*(datos_base!$G$5+IF(parametros_manuales!$H$44="Todos",datos_base!$G$12,0))*parametros_manuales!$D$112)*parametros_manuales!$I$44*parametros_manuales!$J$44</f>
        <v>10089.664163065</v>
      </c>
      <c r="E167" s="14" t="n">
        <f aca="false">(parametros_manuales!$D$44*(datos_base!$G$2+IF(parametros_manuales!$H$44="Todos",datos_base!$G$9,0))*parametros_manuales!$E$97+parametros_manuales!$E$44*(datos_base!$G$3+IF(parametros_manuales!$H$44="Todos",datos_base!$G$10,0))*parametros_manuales!$E$102+parametros_manuales!$F$44*(datos_base!$G$4+IF(parametros_manuales!$H$44="Todos",datos_base!$G$11,0))*parametros_manuales!$E$107+parametros_manuales!$G$44*(datos_base!$G$5+IF(parametros_manuales!$H$44="Todos",datos_base!$G$12,0))*parametros_manuales!$E$112)*parametros_manuales!$I$44*parametros_manuales!$J$44</f>
        <v>9653.161897715</v>
      </c>
      <c r="F167" s="14" t="n">
        <f aca="false">(parametros_manuales!$D$44*(datos_base!$G$2+IF(parametros_manuales!$H$44="Todos",datos_base!$G$9,0))*parametros_manuales!$F$97+parametros_manuales!$E$44*(datos_base!$G$3+IF(parametros_manuales!$H$44="Todos",datos_base!$G$10,0))*parametros_manuales!$F$102+parametros_manuales!$F$44*(datos_base!$G$4+IF(parametros_manuales!$H$44="Todos",datos_base!$G$11,0))*parametros_manuales!$F$107+parametros_manuales!$G$44*(datos_base!$G$5+IF(parametros_manuales!$H$44="Todos",datos_base!$G$12,0))*parametros_manuales!$F$112)*parametros_manuales!$I$44*parametros_manuales!$J$44</f>
        <v>9033.97563722</v>
      </c>
      <c r="G167" s="14" t="n">
        <f aca="false">(parametros_manuales!$D$44*(datos_base!$G$2+IF(parametros_manuales!$H$44="Todos",datos_base!$G$9,0))*parametros_manuales!$G$97+parametros_manuales!$E$44*(datos_base!$G$3+IF(parametros_manuales!$H$44="Todos",datos_base!$G$10,0))*parametros_manuales!$G$102+parametros_manuales!$F$44*(datos_base!$G$4+IF(parametros_manuales!$H$44="Todos",datos_base!$G$11,0))*parametros_manuales!$G$107+parametros_manuales!$G$44*(datos_base!$G$5+IF(parametros_manuales!$H$44="Todos",datos_base!$G$12,0))*parametros_manuales!$G$112)*parametros_manuales!$I$44*parametros_manuales!$J$44</f>
        <v>8851.291642075</v>
      </c>
      <c r="H167" s="14" t="n">
        <f aca="false">(parametros_manuales!$D$44*(datos_base!$G$2+IF(parametros_manuales!$H$44="Todos",datos_base!$G$9,0))*parametros_manuales!$H$97+parametros_manuales!$E$44*(datos_base!$G$3+IF(parametros_manuales!$H$44="Todos",datos_base!$G$10,0))*parametros_manuales!$H$102+parametros_manuales!$F$44*(datos_base!$G$4+IF(parametros_manuales!$H$44="Todos",datos_base!$G$11,0))*parametros_manuales!$H$107+parametros_manuales!$G$44*(datos_base!$G$5+IF(parametros_manuales!$H$44="Todos",datos_base!$G$12,0))*parametros_manuales!$H$112)*parametros_manuales!$I$44*parametros_manuales!$J$44</f>
        <v>9470.47790257</v>
      </c>
      <c r="I167" s="14" t="n">
        <f aca="false">(parametros_manuales!$D$44*(datos_base!$G$2+IF(parametros_manuales!$H$44="Todos",datos_base!$G$9,0))*parametros_manuales!$I$97+parametros_manuales!$E$44*(datos_base!$G$3+IF(parametros_manuales!$H$44="Todos",datos_base!$G$10,0))*parametros_manuales!$I$102+parametros_manuales!$F$44*(datos_base!$G$4+IF(parametros_manuales!$H$44="Todos",datos_base!$G$11,0))*parametros_manuales!$I$107+parametros_manuales!$G$44*(datos_base!$G$5+IF(parametros_manuales!$H$44="Todos",datos_base!$G$12,0))*parametros_manuales!$I$112)*parametros_manuales!$I$44*parametros_manuales!$J$44</f>
        <v>10779.98469862</v>
      </c>
      <c r="J167" s="14" t="n">
        <f aca="false">(parametros_manuales!$D$44*(datos_base!$G$2+IF(parametros_manuales!$H$44="Todos",datos_base!$G$9,0))*parametros_manuales!$J$97+parametros_manuales!$E$44*(datos_base!$G$3+IF(parametros_manuales!$H$44="Todos",datos_base!$G$10,0))*parametros_manuales!$J$102+parametros_manuales!$F$44*(datos_base!$G$4+IF(parametros_manuales!$H$44="Todos",datos_base!$G$11,0))*parametros_manuales!$J$107+parametros_manuales!$G$44*(datos_base!$G$5+IF(parametros_manuales!$H$44="Todos",datos_base!$G$12,0))*parametros_manuales!$J$112)*parametros_manuales!$I$44*parametros_manuales!$J$44</f>
        <v>10779.98469862</v>
      </c>
      <c r="K167" s="14" t="n">
        <f aca="false">(parametros_manuales!$D$44*(datos_base!$G$2+IF(parametros_manuales!$H$44="Todos",datos_base!$G$9,0))*parametros_manuales!$K$97+parametros_manuales!$E$44*(datos_base!$G$3+IF(parametros_manuales!$H$44="Todos",datos_base!$G$10,0))*parametros_manuales!$K$102+parametros_manuales!$F$44*(datos_base!$G$4+IF(parametros_manuales!$H$44="Todos",datos_base!$G$11,0))*parametros_manuales!$K$107+parametros_manuales!$G$44*(datos_base!$G$5+IF(parametros_manuales!$H$44="Todos",datos_base!$G$12,0))*parametros_manuales!$K$112)*parametros_manuales!$I$44*parametros_manuales!$J$44</f>
        <v>10962.668693765</v>
      </c>
      <c r="L167" s="14" t="n">
        <f aca="false">(parametros_manuales!$D$44*(datos_base!$G$2+IF(parametros_manuales!$H$44="Todos",datos_base!$G$9,0))*parametros_manuales!$L$97+parametros_manuales!$E$44*(datos_base!$G$3+IF(parametros_manuales!$H$44="Todos",datos_base!$G$10,0))*parametros_manuales!$L$102+parametros_manuales!$F$44*(datos_base!$G$4+IF(parametros_manuales!$H$44="Todos",datos_base!$G$11,0))*parametros_manuales!$L$107+parametros_manuales!$G$44*(datos_base!$G$5+IF(parametros_manuales!$H$44="Todos",datos_base!$G$12,0))*parametros_manuales!$L$112)*parametros_manuales!$I$44*parametros_manuales!$J$44</f>
        <v>11145.35268891</v>
      </c>
      <c r="M167" s="14" t="n">
        <f aca="false">(parametros_manuales!$D$44*(datos_base!$G$2+IF(parametros_manuales!$H$44="Todos",datos_base!$G$9,0))*parametros_manuales!$M$97+parametros_manuales!$E$44*(datos_base!$G$3+IF(parametros_manuales!$H$44="Todos",datos_base!$G$10,0))*parametros_manuales!$M$102+parametros_manuales!$F$44*(datos_base!$G$4+IF(parametros_manuales!$H$44="Todos",datos_base!$G$11,0))*parametros_manuales!$M$107+parametros_manuales!$G$44*(datos_base!$G$5+IF(parametros_manuales!$H$44="Todos",datos_base!$G$12,0))*parametros_manuales!$M$112)*parametros_manuales!$I$44*parametros_manuales!$J$44</f>
        <v>11145.35268891</v>
      </c>
      <c r="N167" s="14" t="n">
        <f aca="false">SUM(B167:M167)</f>
        <v>123837.252099</v>
      </c>
      <c r="O167" s="14" t="n">
        <f aca="false">MAX(B167:M167)</f>
        <v>11145.35268891</v>
      </c>
      <c r="P167" s="57" t="n">
        <f aca="false">O167/(parametros_manuales!$B$7)</f>
        <v>74.3023512594</v>
      </c>
      <c r="Q167" s="13" t="str">
        <f aca="false">IF(O167=0,"-",INDEX($B$141:$M$141,MATCH(O167,B167:M167,0)))</f>
        <v>Ene</v>
      </c>
    </row>
    <row r="168" customFormat="false" ht="14.25" hidden="false" customHeight="true" outlineLevel="0" collapsed="false"/>
    <row r="169" customFormat="false" ht="14.25" hidden="false" customHeight="true" outlineLevel="0" collapsed="false">
      <c r="A169" s="12" t="s">
        <v>274</v>
      </c>
      <c r="B169" s="12" t="s">
        <v>37</v>
      </c>
      <c r="C169" s="12" t="s">
        <v>38</v>
      </c>
      <c r="D169" s="12" t="s">
        <v>39</v>
      </c>
      <c r="E169" s="12" t="s">
        <v>40</v>
      </c>
      <c r="F169" s="12" t="s">
        <v>41</v>
      </c>
      <c r="G169" s="12" t="s">
        <v>42</v>
      </c>
      <c r="H169" s="12" t="s">
        <v>43</v>
      </c>
      <c r="I169" s="12" t="s">
        <v>44</v>
      </c>
      <c r="J169" s="12" t="s">
        <v>45</v>
      </c>
      <c r="K169" s="12" t="s">
        <v>46</v>
      </c>
      <c r="L169" s="12" t="s">
        <v>47</v>
      </c>
      <c r="M169" s="12" t="s">
        <v>48</v>
      </c>
      <c r="N169" s="12" t="s">
        <v>261</v>
      </c>
      <c r="O169" s="12" t="s">
        <v>266</v>
      </c>
      <c r="P169" s="12" t="s">
        <v>267</v>
      </c>
      <c r="Q169" s="12" t="s">
        <v>268</v>
      </c>
    </row>
    <row r="170" customFormat="false" ht="14.25" hidden="false" customHeight="true" outlineLevel="0" collapsed="false">
      <c r="A170" s="13" t="str">
        <f aca="false">parametros_manuales!$B$19</f>
        <v>Recepción de materia prima</v>
      </c>
      <c r="B170" s="14" t="n">
        <f aca="false">(parametros_manuales!$D$19*(datos_base!$H$2+IF(parametros_manuales!$H$19="Todos",datos_base!$H$9,0))*parametros_manuales!$B$97+parametros_manuales!$E$19*(datos_base!$H$3+IF(parametros_manuales!$H$19="Todos",datos_base!$H$10,0))*parametros_manuales!$B$102+parametros_manuales!$F$19*(datos_base!$H$4+IF(parametros_manuales!$H$19="Todos",datos_base!$H$11,0))*parametros_manuales!$B$107+parametros_manuales!$G$19*(datos_base!$H$5+IF(parametros_manuales!$H$19="Todos",datos_base!$H$12,0))*parametros_manuales!$B$112)*parametros_manuales!$I$19*parametros_manuales!$J$19</f>
        <v>15370.15222521</v>
      </c>
      <c r="C170" s="14" t="n">
        <f aca="false">(parametros_manuales!$D$19*(datos_base!$H$2+IF(parametros_manuales!$H$19="Todos",datos_base!$H$9,0))*parametros_manuales!$C$97+parametros_manuales!$E$19*(datos_base!$H$3+IF(parametros_manuales!$H$19="Todos",datos_base!$H$10,0))*parametros_manuales!$C$102+parametros_manuales!$F$19*(datos_base!$H$4+IF(parametros_manuales!$H$19="Todos",datos_base!$H$11,0))*parametros_manuales!$C$107+parametros_manuales!$G$19*(datos_base!$H$5+IF(parametros_manuales!$H$19="Todos",datos_base!$H$12,0))*parametros_manuales!$C$112)*parametros_manuales!$I$19*parametros_manuales!$J$19</f>
        <v>14879.08906612</v>
      </c>
      <c r="D170" s="14" t="n">
        <f aca="false">(parametros_manuales!$D$19*(datos_base!$H$2+IF(parametros_manuales!$H$19="Todos",datos_base!$H$9,0))*parametros_manuales!$D$97+parametros_manuales!$E$19*(datos_base!$H$3+IF(parametros_manuales!$H$19="Todos",datos_base!$H$10,0))*parametros_manuales!$D$102+parametros_manuales!$F$19*(datos_base!$H$4+IF(parametros_manuales!$H$19="Todos",datos_base!$H$11,0))*parametros_manuales!$D$107+parametros_manuales!$G$19*(datos_base!$H$5+IF(parametros_manuales!$H$19="Todos",datos_base!$H$12,0))*parametros_manuales!$D$112)*parametros_manuales!$I$19*parametros_manuales!$J$19</f>
        <v>13907.889113065</v>
      </c>
      <c r="E170" s="14" t="n">
        <f aca="false">(parametros_manuales!$D$19*(datos_base!$H$2+IF(parametros_manuales!$H$19="Todos",datos_base!$H$9,0))*parametros_manuales!$E$97+parametros_manuales!$E$19*(datos_base!$H$3+IF(parametros_manuales!$H$19="Todos",datos_base!$H$10,0))*parametros_manuales!$E$102+parametros_manuales!$F$19*(datos_base!$H$4+IF(parametros_manuales!$H$19="Todos",datos_base!$H$11,0))*parametros_manuales!$E$107+parametros_manuales!$G$19*(datos_base!$H$5+IF(parametros_manuales!$H$19="Todos",datos_base!$H$12,0))*parametros_manuales!$E$112)*parametros_manuales!$I$19*parametros_manuales!$J$19</f>
        <v>13299.523346765</v>
      </c>
      <c r="F170" s="14" t="n">
        <f aca="false">(parametros_manuales!$D$19*(datos_base!$H$2+IF(parametros_manuales!$H$19="Todos",datos_base!$H$9,0))*parametros_manuales!$F$97+parametros_manuales!$E$19*(datos_base!$H$3+IF(parametros_manuales!$H$19="Todos",datos_base!$H$10,0))*parametros_manuales!$F$102+parametros_manuales!$F$19*(datos_base!$H$4+IF(parametros_manuales!$H$19="Todos",datos_base!$H$11,0))*parametros_manuales!$F$107+parametros_manuales!$G$19*(datos_base!$H$5+IF(parametros_manuales!$H$19="Todos",datos_base!$H$12,0))*parametros_manuales!$F$112)*parametros_manuales!$I$19*parametros_manuales!$J$19</f>
        <v>12445.62600092</v>
      </c>
      <c r="G170" s="14" t="n">
        <f aca="false">(parametros_manuales!$D$19*(datos_base!$H$2+IF(parametros_manuales!$H$19="Todos",datos_base!$H$9,0))*parametros_manuales!$G$97+parametros_manuales!$E$19*(datos_base!$H$3+IF(parametros_manuales!$H$19="Todos",datos_base!$H$10,0))*parametros_manuales!$G$102+parametros_manuales!$F$19*(datos_base!$H$4+IF(parametros_manuales!$H$19="Todos",datos_base!$H$11,0))*parametros_manuales!$G$107+parametros_manuales!$G$19*(datos_base!$H$5+IF(parametros_manuales!$H$19="Todos",datos_base!$H$12,0))*parametros_manuales!$G$112)*parametros_manuales!$I$19*parametros_manuales!$J$19</f>
        <v>12200.094421375</v>
      </c>
      <c r="H170" s="14" t="n">
        <f aca="false">(parametros_manuales!$D$19*(datos_base!$H$2+IF(parametros_manuales!$H$19="Todos",datos_base!$H$9,0))*parametros_manuales!$H$97+parametros_manuales!$E$19*(datos_base!$H$3+IF(parametros_manuales!$H$19="Todos",datos_base!$H$10,0))*parametros_manuales!$H$102+parametros_manuales!$F$19*(datos_base!$H$4+IF(parametros_manuales!$H$19="Todos",datos_base!$H$11,0))*parametros_manuales!$H$107+parametros_manuales!$G$19*(datos_base!$H$5+IF(parametros_manuales!$H$19="Todos",datos_base!$H$12,0))*parametros_manuales!$H$112)*parametros_manuales!$I$19*parametros_manuales!$J$19</f>
        <v>13053.99176722</v>
      </c>
      <c r="I170" s="14" t="n">
        <f aca="false">(parametros_manuales!$D$19*(datos_base!$H$2+IF(parametros_manuales!$H$19="Todos",datos_base!$H$9,0))*parametros_manuales!$I$97+parametros_manuales!$E$19*(datos_base!$H$3+IF(parametros_manuales!$H$19="Todos",datos_base!$H$10,0))*parametros_manuales!$I$102+parametros_manuales!$F$19*(datos_base!$H$4+IF(parametros_manuales!$H$19="Todos",datos_base!$H$11,0))*parametros_manuales!$I$107+parametros_manuales!$G$19*(datos_base!$H$5+IF(parametros_manuales!$H$19="Todos",datos_base!$H$12,0))*parametros_manuales!$I$112)*parametros_manuales!$I$19*parametros_manuales!$J$19</f>
        <v>14879.08906612</v>
      </c>
      <c r="J170" s="14" t="n">
        <f aca="false">(parametros_manuales!$D$19*(datos_base!$H$2+IF(parametros_manuales!$H$19="Todos",datos_base!$H$9,0))*parametros_manuales!$J$97+parametros_manuales!$E$19*(datos_base!$H$3+IF(parametros_manuales!$H$19="Todos",datos_base!$H$10,0))*parametros_manuales!$J$102+parametros_manuales!$F$19*(datos_base!$H$4+IF(parametros_manuales!$H$19="Todos",datos_base!$H$11,0))*parametros_manuales!$J$107+parametros_manuales!$G$19*(datos_base!$H$5+IF(parametros_manuales!$H$19="Todos",datos_base!$H$12,0))*parametros_manuales!$J$112)*parametros_manuales!$I$19*parametros_manuales!$J$19</f>
        <v>14879.08906612</v>
      </c>
      <c r="K170" s="14" t="n">
        <f aca="false">(parametros_manuales!$D$19*(datos_base!$H$2+IF(parametros_manuales!$H$19="Todos",datos_base!$H$9,0))*parametros_manuales!$K$97+parametros_manuales!$E$19*(datos_base!$H$3+IF(parametros_manuales!$H$19="Todos",datos_base!$H$10,0))*parametros_manuales!$K$102+parametros_manuales!$F$19*(datos_base!$H$4+IF(parametros_manuales!$H$19="Todos",datos_base!$H$11,0))*parametros_manuales!$K$107+parametros_manuales!$G$19*(datos_base!$H$5+IF(parametros_manuales!$H$19="Todos",datos_base!$H$12,0))*parametros_manuales!$K$112)*parametros_manuales!$I$19*parametros_manuales!$J$19</f>
        <v>15124.620645665</v>
      </c>
      <c r="L170" s="14" t="n">
        <f aca="false">(parametros_manuales!$D$19*(datos_base!$H$2+IF(parametros_manuales!$H$19="Todos",datos_base!$H$9,0))*parametros_manuales!$L$97+parametros_manuales!$E$19*(datos_base!$H$3+IF(parametros_manuales!$H$19="Todos",datos_base!$H$10,0))*parametros_manuales!$L$102+parametros_manuales!$F$19*(datos_base!$H$4+IF(parametros_manuales!$H$19="Todos",datos_base!$H$11,0))*parametros_manuales!$L$107+parametros_manuales!$G$19*(datos_base!$H$5+IF(parametros_manuales!$H$19="Todos",datos_base!$H$12,0))*parametros_manuales!$L$112)*parametros_manuales!$I$19*parametros_manuales!$J$19</f>
        <v>15370.15222521</v>
      </c>
      <c r="M170" s="14" t="n">
        <f aca="false">(parametros_manuales!$D$19*(datos_base!$H$2+IF(parametros_manuales!$H$19="Todos",datos_base!$H$9,0))*parametros_manuales!$M$97+parametros_manuales!$E$19*(datos_base!$H$3+IF(parametros_manuales!$H$19="Todos",datos_base!$H$10,0))*parametros_manuales!$M$102+parametros_manuales!$F$19*(datos_base!$H$4+IF(parametros_manuales!$H$19="Todos",datos_base!$H$11,0))*parametros_manuales!$M$107+parametros_manuales!$G$19*(datos_base!$H$5+IF(parametros_manuales!$H$19="Todos",datos_base!$H$12,0))*parametros_manuales!$M$112)*parametros_manuales!$I$19*parametros_manuales!$J$19</f>
        <v>15370.15222521</v>
      </c>
      <c r="N170" s="14" t="n">
        <f aca="false">SUM(B170:M170)</f>
        <v>170779.469169</v>
      </c>
      <c r="O170" s="14" t="n">
        <f aca="false">MAX(B170:M170)</f>
        <v>15370.15222521</v>
      </c>
      <c r="P170" s="57" t="n">
        <f aca="false">O170/(parametros_manuales!$B$7)</f>
        <v>102.4676815014</v>
      </c>
      <c r="Q170" s="13" t="str">
        <f aca="false">IF(O170=0,"-",INDEX($B$169:$M$169,MATCH(O170,B170:M170,0)))</f>
        <v>Ene</v>
      </c>
    </row>
    <row r="171" customFormat="false" ht="14.25" hidden="false" customHeight="true" outlineLevel="0" collapsed="false">
      <c r="A171" s="13" t="str">
        <f aca="false">parametros_manuales!$B$20</f>
        <v>Corte de chapa — 1.er corte en franjas (guillotina 1, manuales + carros)</v>
      </c>
      <c r="B171" s="14" t="n">
        <f aca="false">(parametros_manuales!$D$20*(datos_base!$H$2+IF(parametros_manuales!$H$20="Todos",datos_base!$H$9,0))*parametros_manuales!$B$97+parametros_manuales!$E$20*(datos_base!$H$3+IF(parametros_manuales!$H$20="Todos",datos_base!$H$10,0))*parametros_manuales!$B$102+parametros_manuales!$F$20*(datos_base!$H$4+IF(parametros_manuales!$H$20="Todos",datos_base!$H$11,0))*parametros_manuales!$B$107+parametros_manuales!$G$20*(datos_base!$H$5+IF(parametros_manuales!$H$20="Todos",datos_base!$H$12,0))*parametros_manuales!$B$112)*parametros_manuales!$I$20*parametros_manuales!$J$20+parametros_manuales!$B$154</f>
        <v>16528.3881130637</v>
      </c>
      <c r="C171" s="14" t="n">
        <f aca="false">(parametros_manuales!$D$20*(datos_base!$H$2+IF(parametros_manuales!$H$20="Todos",datos_base!$H$9,0))*parametros_manuales!$C$97+parametros_manuales!$E$20*(datos_base!$H$3+IF(parametros_manuales!$H$20="Todos",datos_base!$H$10,0))*parametros_manuales!$C$102+parametros_manuales!$F$20*(datos_base!$H$4+IF(parametros_manuales!$H$20="Todos",datos_base!$H$11,0))*parametros_manuales!$C$107+parametros_manuales!$G$20*(datos_base!$H$5+IF(parametros_manuales!$H$20="Todos",datos_base!$H$12,0))*parametros_manuales!$C$112)*parametros_manuales!$I$20*parametros_manuales!$J$20+parametros_manuales!$C$154</f>
        <v>15901.0619083438</v>
      </c>
      <c r="D171" s="14" t="n">
        <f aca="false">(parametros_manuales!$D$20*(datos_base!$H$2+IF(parametros_manuales!$H$20="Todos",datos_base!$H$9,0))*parametros_manuales!$D$97+parametros_manuales!$E$20*(datos_base!$H$3+IF(parametros_manuales!$H$20="Todos",datos_base!$H$10,0))*parametros_manuales!$D$102+parametros_manuales!$F$20*(datos_base!$H$4+IF(parametros_manuales!$H$20="Todos",datos_base!$H$11,0))*parametros_manuales!$D$107+parametros_manuales!$G$20*(datos_base!$H$5+IF(parametros_manuales!$H$20="Todos",datos_base!$H$12,0))*parametros_manuales!$D$112)*parametros_manuales!$I$20*parametros_manuales!$J$20+parametros_manuales!$D$154</f>
        <v>15134.2565237336</v>
      </c>
      <c r="E171" s="14" t="n">
        <f aca="false">(parametros_manuales!$D$20*(datos_base!$H$2+IF(parametros_manuales!$H$20="Todos",datos_base!$H$9,0))*parametros_manuales!$E$97+parametros_manuales!$E$20*(datos_base!$H$3+IF(parametros_manuales!$H$20="Todos",datos_base!$H$10,0))*parametros_manuales!$E$102+parametros_manuales!$F$20*(datos_base!$H$4+IF(parametros_manuales!$H$20="Todos",datos_base!$H$11,0))*parametros_manuales!$E$107+parametros_manuales!$G$20*(datos_base!$H$5+IF(parametros_manuales!$H$20="Todos",datos_base!$H$12,0))*parametros_manuales!$E$112)*parametros_manuales!$I$20*parametros_manuales!$J$20+parametros_manuales!$E$154</f>
        <v>14525.8907574336</v>
      </c>
      <c r="F171" s="14" t="n">
        <f aca="false">(parametros_manuales!$D$20*(datos_base!$H$2+IF(parametros_manuales!$H$20="Todos",datos_base!$H$9,0))*parametros_manuales!$F$97+parametros_manuales!$E$20*(datos_base!$H$3+IF(parametros_manuales!$H$20="Todos",datos_base!$H$10,0))*parametros_manuales!$F$102+parametros_manuales!$F$20*(datos_base!$H$4+IF(parametros_manuales!$H$20="Todos",datos_base!$H$11,0))*parametros_manuales!$F$107+parametros_manuales!$G$20*(datos_base!$H$5+IF(parametros_manuales!$H$20="Todos",datos_base!$H$12,0))*parametros_manuales!$F$112)*parametros_manuales!$I$20*parametros_manuales!$J$20+parametros_manuales!$F$154</f>
        <v>13671.9934115886</v>
      </c>
      <c r="G171" s="14" t="n">
        <f aca="false">(parametros_manuales!$D$20*(datos_base!$H$2+IF(parametros_manuales!$H$20="Todos",datos_base!$H$9,0))*parametros_manuales!$G$97+parametros_manuales!$E$20*(datos_base!$H$3+IF(parametros_manuales!$H$20="Todos",datos_base!$H$10,0))*parametros_manuales!$G$102+parametros_manuales!$F$20*(datos_base!$H$4+IF(parametros_manuales!$H$20="Todos",datos_base!$H$11,0))*parametros_manuales!$G$107+parametros_manuales!$G$20*(datos_base!$H$5+IF(parametros_manuales!$H$20="Todos",datos_base!$H$12,0))*parametros_manuales!$G$112)*parametros_manuales!$I$20*parametros_manuales!$J$20+parametros_manuales!$G$154</f>
        <v>13290.1987864137</v>
      </c>
      <c r="H171" s="14" t="n">
        <f aca="false">(parametros_manuales!$D$20*(datos_base!$H$2+IF(parametros_manuales!$H$20="Todos",datos_base!$H$9,0))*parametros_manuales!$H$97+parametros_manuales!$E$20*(datos_base!$H$3+IF(parametros_manuales!$H$20="Todos",datos_base!$H$10,0))*parametros_manuales!$H$102+parametros_manuales!$F$20*(datos_base!$H$4+IF(parametros_manuales!$H$20="Todos",datos_base!$H$11,0))*parametros_manuales!$H$107+parametros_manuales!$G$20*(datos_base!$H$5+IF(parametros_manuales!$H$20="Todos",datos_base!$H$12,0))*parametros_manuales!$H$112)*parametros_manuales!$I$20*parametros_manuales!$J$20+parametros_manuales!$H$154</f>
        <v>14280.3591778886</v>
      </c>
      <c r="I171" s="14" t="n">
        <f aca="false">(parametros_manuales!$D$20*(datos_base!$H$2+IF(parametros_manuales!$H$20="Todos",datos_base!$H$9,0))*parametros_manuales!$I$97+parametros_manuales!$E$20*(datos_base!$H$3+IF(parametros_manuales!$H$20="Todos",datos_base!$H$10,0))*parametros_manuales!$I$102+parametros_manuales!$F$20*(datos_base!$H$4+IF(parametros_manuales!$H$20="Todos",datos_base!$H$11,0))*parametros_manuales!$I$107+parametros_manuales!$G$20*(datos_base!$H$5+IF(parametros_manuales!$H$20="Todos",datos_base!$H$12,0))*parametros_manuales!$I$112)*parametros_manuales!$I$20*parametros_manuales!$J$20+parametros_manuales!$I$154</f>
        <v>16105.4564767886</v>
      </c>
      <c r="J171" s="14" t="n">
        <f aca="false">(parametros_manuales!$D$20*(datos_base!$H$2+IF(parametros_manuales!$H$20="Todos",datos_base!$H$9,0))*parametros_manuales!$J$97+parametros_manuales!$E$20*(datos_base!$H$3+IF(parametros_manuales!$H$20="Todos",datos_base!$H$10,0))*parametros_manuales!$J$102+parametros_manuales!$F$20*(datos_base!$H$4+IF(parametros_manuales!$H$20="Todos",datos_base!$H$11,0))*parametros_manuales!$J$107+parametros_manuales!$G$20*(datos_base!$H$5+IF(parametros_manuales!$H$20="Todos",datos_base!$H$12,0))*parametros_manuales!$J$112)*parametros_manuales!$I$20*parametros_manuales!$J$20+parametros_manuales!$J$154</f>
        <v>16037.3249539737</v>
      </c>
      <c r="K171" s="14" t="n">
        <f aca="false">(parametros_manuales!$D$20*(datos_base!$H$2+IF(parametros_manuales!$H$20="Todos",datos_base!$H$9,0))*parametros_manuales!$K$97+parametros_manuales!$E$20*(datos_base!$H$3+IF(parametros_manuales!$H$20="Todos",datos_base!$H$10,0))*parametros_manuales!$K$102+parametros_manuales!$F$20*(datos_base!$H$4+IF(parametros_manuales!$H$20="Todos",datos_base!$H$11,0))*parametros_manuales!$K$107+parametros_manuales!$G$20*(datos_base!$H$5+IF(parametros_manuales!$H$20="Todos",datos_base!$H$12,0))*parametros_manuales!$K$112)*parametros_manuales!$I$20*parametros_manuales!$J$20+parametros_manuales!$K$154</f>
        <v>16146.5934878888</v>
      </c>
      <c r="L171" s="14" t="n">
        <f aca="false">(parametros_manuales!$D$20*(datos_base!$H$2+IF(parametros_manuales!$H$20="Todos",datos_base!$H$9,0))*parametros_manuales!$L$97+parametros_manuales!$E$20*(datos_base!$H$3+IF(parametros_manuales!$H$20="Todos",datos_base!$H$10,0))*parametros_manuales!$L$102+parametros_manuales!$F$20*(datos_base!$H$4+IF(parametros_manuales!$H$20="Todos",datos_base!$H$11,0))*parametros_manuales!$L$107+parametros_manuales!$G$20*(datos_base!$H$5+IF(parametros_manuales!$H$20="Todos",datos_base!$H$12,0))*parametros_manuales!$L$112)*parametros_manuales!$I$20*parametros_manuales!$J$20+parametros_manuales!$L$154</f>
        <v>16323.9935446189</v>
      </c>
      <c r="M171" s="14" t="n">
        <f aca="false">(parametros_manuales!$D$20*(datos_base!$H$2+IF(parametros_manuales!$H$20="Todos",datos_base!$H$9,0))*parametros_manuales!$M$97+parametros_manuales!$E$20*(datos_base!$H$3+IF(parametros_manuales!$H$20="Todos",datos_base!$H$10,0))*parametros_manuales!$M$102+parametros_manuales!$F$20*(datos_base!$H$4+IF(parametros_manuales!$H$20="Todos",datos_base!$H$11,0))*parametros_manuales!$M$107+parametros_manuales!$G$20*(datos_base!$H$5+IF(parametros_manuales!$H$20="Todos",datos_base!$H$12,0))*parametros_manuales!$M$112)*parametros_manuales!$I$20*parametros_manuales!$J$20+parametros_manuales!$M$154</f>
        <v>16460.2565902487</v>
      </c>
      <c r="N171" s="14" t="n">
        <f aca="false">SUM(B171:M171)</f>
        <v>184405.773731984</v>
      </c>
      <c r="O171" s="14" t="n">
        <f aca="false">MAX(B171:M171)</f>
        <v>16528.3881130637</v>
      </c>
      <c r="P171" s="57" t="n">
        <f aca="false">O171/(parametros_manuales!$B$7)</f>
        <v>110.189254087091</v>
      </c>
      <c r="Q171" s="13" t="str">
        <f aca="false">IF(O171=0,"-",INDEX($B$169:$M$169,MATCH(O171,B171:M171,0)))</f>
        <v>Ene</v>
      </c>
    </row>
    <row r="172" customFormat="false" ht="14.25" hidden="false" customHeight="true" outlineLevel="0" collapsed="false">
      <c r="A172" s="13" t="str">
        <f aca="false">parametros_manuales!$B$21</f>
        <v>Corte de chapa — 2.º corte en piezas (guillotina 2, manuales + carros)</v>
      </c>
      <c r="B172" s="14" t="n">
        <f aca="false">(parametros_manuales!$D$21*(datos_base!$H$2+IF(parametros_manuales!$H$21="Todos",datos_base!$H$9,0))*parametros_manuales!$B$97+parametros_manuales!$E$21*(datos_base!$H$3+IF(parametros_manuales!$H$21="Todos",datos_base!$H$10,0))*parametros_manuales!$B$102+parametros_manuales!$F$21*(datos_base!$H$4+IF(parametros_manuales!$H$21="Todos",datos_base!$H$11,0))*parametros_manuales!$B$107+parametros_manuales!$G$21*(datos_base!$H$5+IF(parametros_manuales!$H$21="Todos",datos_base!$H$12,0))*parametros_manuales!$B$112)*parametros_manuales!$I$21*parametros_manuales!$J$21+parametros_manuales!$B$166</f>
        <v>16873.365349172</v>
      </c>
      <c r="C172" s="14" t="n">
        <f aca="false">(parametros_manuales!$D$21*(datos_base!$H$2+IF(parametros_manuales!$H$21="Todos",datos_base!$H$9,0))*parametros_manuales!$C$97+parametros_manuales!$E$21*(datos_base!$H$3+IF(parametros_manuales!$H$21="Todos",datos_base!$H$10,0))*parametros_manuales!$C$102+parametros_manuales!$F$21*(datos_base!$H$4+IF(parametros_manuales!$H$21="Todos",datos_base!$H$11,0))*parametros_manuales!$C$107+parametros_manuales!$G$21*(datos_base!$H$5+IF(parametros_manuales!$H$21="Todos",datos_base!$H$12,0))*parametros_manuales!$C$112)*parametros_manuales!$I$21*parametros_manuales!$J$21+parametros_manuales!$C$166</f>
        <v>16205.4535872629</v>
      </c>
      <c r="D172" s="14" t="n">
        <f aca="false">(parametros_manuales!$D$21*(datos_base!$H$2+IF(parametros_manuales!$H$21="Todos",datos_base!$H$9,0))*parametros_manuales!$D$97+parametros_manuales!$E$21*(datos_base!$H$3+IF(parametros_manuales!$H$21="Todos",datos_base!$H$10,0))*parametros_manuales!$D$102+parametros_manuales!$F$21*(datos_base!$H$4+IF(parametros_manuales!$H$21="Todos",datos_base!$H$11,0))*parametros_manuales!$D$107+parametros_manuales!$G$21*(datos_base!$H$5+IF(parametros_manuales!$H$21="Todos",datos_base!$H$12,0))*parametros_manuales!$D$112)*parametros_manuales!$I$21*parametros_manuales!$J$21+parametros_manuales!$D$166</f>
        <v>15499.5265384365</v>
      </c>
      <c r="E172" s="14" t="n">
        <f aca="false">(parametros_manuales!$D$21*(datos_base!$H$2+IF(parametros_manuales!$H$21="Todos",datos_base!$H$9,0))*parametros_manuales!$E$97+parametros_manuales!$E$21*(datos_base!$H$3+IF(parametros_manuales!$H$21="Todos",datos_base!$H$10,0))*parametros_manuales!$E$102+parametros_manuales!$F$21*(datos_base!$H$4+IF(parametros_manuales!$H$21="Todos",datos_base!$H$11,0))*parametros_manuales!$E$107+parametros_manuales!$G$21*(datos_base!$H$5+IF(parametros_manuales!$H$21="Todos",datos_base!$H$12,0))*parametros_manuales!$E$112)*parametros_manuales!$I$21*parametros_manuales!$J$21+parametros_manuales!$E$166</f>
        <v>14891.1607721365</v>
      </c>
      <c r="F172" s="14" t="n">
        <f aca="false">(parametros_manuales!$D$21*(datos_base!$H$2+IF(parametros_manuales!$H$21="Todos",datos_base!$H$9,0))*parametros_manuales!$F$97+parametros_manuales!$E$21*(datos_base!$H$3+IF(parametros_manuales!$H$21="Todos",datos_base!$H$10,0))*parametros_manuales!$F$102+parametros_manuales!$F$21*(datos_base!$H$4+IF(parametros_manuales!$H$21="Todos",datos_base!$H$11,0))*parametros_manuales!$F$107+parametros_manuales!$G$21*(datos_base!$H$5+IF(parametros_manuales!$H$21="Todos",datos_base!$H$12,0))*parametros_manuales!$F$112)*parametros_manuales!$I$21*parametros_manuales!$J$21+parametros_manuales!$F$166</f>
        <v>14037.2634262915</v>
      </c>
      <c r="G172" s="14" t="n">
        <f aca="false">(parametros_manuales!$D$21*(datos_base!$H$2+IF(parametros_manuales!$H$21="Todos",datos_base!$H$9,0))*parametros_manuales!$G$97+parametros_manuales!$E$21*(datos_base!$H$3+IF(parametros_manuales!$H$21="Todos",datos_base!$H$10,0))*parametros_manuales!$G$102+parametros_manuales!$F$21*(datos_base!$H$4+IF(parametros_manuales!$H$21="Todos",datos_base!$H$11,0))*parametros_manuales!$G$107+parametros_manuales!$G$21*(datos_base!$H$5+IF(parametros_manuales!$H$21="Todos",datos_base!$H$12,0))*parametros_manuales!$G$112)*parametros_manuales!$I$21*parametros_manuales!$J$21+parametros_manuales!$G$166</f>
        <v>13614.8832439274</v>
      </c>
      <c r="H172" s="14" t="n">
        <f aca="false">(parametros_manuales!$D$21*(datos_base!$H$2+IF(parametros_manuales!$H$21="Todos",datos_base!$H$9,0))*parametros_manuales!$H$97+parametros_manuales!$E$21*(datos_base!$H$3+IF(parametros_manuales!$H$21="Todos",datos_base!$H$10,0))*parametros_manuales!$H$102+parametros_manuales!$F$21*(datos_base!$H$4+IF(parametros_manuales!$H$21="Todos",datos_base!$H$11,0))*parametros_manuales!$H$107+parametros_manuales!$G$21*(datos_base!$H$5+IF(parametros_manuales!$H$21="Todos",datos_base!$H$12,0))*parametros_manuales!$H$112)*parametros_manuales!$I$21*parametros_manuales!$J$21+parametros_manuales!$H$166</f>
        <v>14645.6291925915</v>
      </c>
      <c r="I172" s="14" t="n">
        <f aca="false">(parametros_manuales!$D$21*(datos_base!$H$2+IF(parametros_manuales!$H$21="Todos",datos_base!$H$9,0))*parametros_manuales!$I$97+parametros_manuales!$E$21*(datos_base!$H$3+IF(parametros_manuales!$H$21="Todos",datos_base!$H$10,0))*parametros_manuales!$I$102+parametros_manuales!$F$21*(datos_base!$H$4+IF(parametros_manuales!$H$21="Todos",datos_base!$H$11,0))*parametros_manuales!$I$107+parametros_manuales!$G$21*(datos_base!$H$5+IF(parametros_manuales!$H$21="Todos",datos_base!$H$12,0))*parametros_manuales!$I$112)*parametros_manuales!$I$21*parametros_manuales!$J$21+parametros_manuales!$I$166</f>
        <v>16470.7264914915</v>
      </c>
      <c r="J172" s="14" t="n">
        <f aca="false">(parametros_manuales!$D$21*(datos_base!$H$2+IF(parametros_manuales!$H$21="Todos",datos_base!$H$9,0))*parametros_manuales!$J$97+parametros_manuales!$E$21*(datos_base!$H$3+IF(parametros_manuales!$H$21="Todos",datos_base!$H$10,0))*parametros_manuales!$J$102+parametros_manuales!$F$21*(datos_base!$H$4+IF(parametros_manuales!$H$21="Todos",datos_base!$H$11,0))*parametros_manuales!$J$107+parametros_manuales!$G$21*(datos_base!$H$5+IF(parametros_manuales!$H$21="Todos",datos_base!$H$12,0))*parametros_manuales!$J$112)*parametros_manuales!$I$21*parametros_manuales!$J$21+parametros_manuales!$J$166</f>
        <v>16382.302190082</v>
      </c>
      <c r="K172" s="14" t="n">
        <f aca="false">(parametros_manuales!$D$21*(datos_base!$H$2+IF(parametros_manuales!$H$21="Todos",datos_base!$H$9,0))*parametros_manuales!$K$97+parametros_manuales!$E$21*(datos_base!$H$3+IF(parametros_manuales!$H$21="Todos",datos_base!$H$10,0))*parametros_manuales!$K$102+parametros_manuales!$F$21*(datos_base!$H$4+IF(parametros_manuales!$H$21="Todos",datos_base!$H$11,0))*parametros_manuales!$K$107+parametros_manuales!$G$21*(datos_base!$H$5+IF(parametros_manuales!$H$21="Todos",datos_base!$H$12,0))*parametros_manuales!$K$112)*parametros_manuales!$I$21*parametros_manuales!$J$21+parametros_manuales!$K$166</f>
        <v>16450.9851668079</v>
      </c>
      <c r="L172" s="14" t="n">
        <f aca="false">(parametros_manuales!$D$21*(datos_base!$H$2+IF(parametros_manuales!$H$21="Todos",datos_base!$H$9,0))*parametros_manuales!$L$97+parametros_manuales!$E$21*(datos_base!$H$3+IF(parametros_manuales!$H$21="Todos",datos_base!$H$10,0))*parametros_manuales!$L$102+parametros_manuales!$F$21*(datos_base!$H$4+IF(parametros_manuales!$H$21="Todos",datos_base!$H$11,0))*parametros_manuales!$L$107+parametros_manuales!$G$21*(datos_base!$H$5+IF(parametros_manuales!$H$21="Todos",datos_base!$H$12,0))*parametros_manuales!$L$112)*parametros_manuales!$I$21*parametros_manuales!$J$21+parametros_manuales!$L$166</f>
        <v>16608.0924449434</v>
      </c>
      <c r="M172" s="14" t="n">
        <f aca="false">(parametros_manuales!$D$21*(datos_base!$H$2+IF(parametros_manuales!$H$21="Todos",datos_base!$H$9,0))*parametros_manuales!$M$97+parametros_manuales!$E$21*(datos_base!$H$3+IF(parametros_manuales!$H$21="Todos",datos_base!$H$10,0))*parametros_manuales!$M$102+parametros_manuales!$F$21*(datos_base!$H$4+IF(parametros_manuales!$H$21="Todos",datos_base!$H$11,0))*parametros_manuales!$M$107+parametros_manuales!$G$21*(datos_base!$H$5+IF(parametros_manuales!$H$21="Todos",datos_base!$H$12,0))*parametros_manuales!$M$112)*parametros_manuales!$I$21*parametros_manuales!$J$21+parametros_manuales!$M$166</f>
        <v>16784.9410477624</v>
      </c>
      <c r="N172" s="14" t="n">
        <f aca="false">SUM(B172:M172)</f>
        <v>188464.329450905</v>
      </c>
      <c r="O172" s="14" t="n">
        <f aca="false">MAX(B172:M172)</f>
        <v>16873.365349172</v>
      </c>
      <c r="P172" s="57" t="n">
        <f aca="false">O172/(parametros_manuales!$B$7)</f>
        <v>112.489102327813</v>
      </c>
      <c r="Q172" s="13" t="str">
        <f aca="false">IF(O172=0,"-",INDEX($B$169:$M$169,MATCH(O172,B172:M172,0)))</f>
        <v>Ene</v>
      </c>
    </row>
    <row r="173" customFormat="false" ht="14.25" hidden="false" customHeight="true" outlineLevel="0" collapsed="false">
      <c r="A173" s="13" t="str">
        <f aca="false">parametros_manuales!$B$22</f>
        <v>Corte de disco y embutido (cúpula y fondo)</v>
      </c>
      <c r="B173" s="14" t="n">
        <f aca="false">(parametros_manuales!$D$22*(datos_base!$H$2+IF(parametros_manuales!$H$22="Todos",datos_base!$H$9,0))*parametros_manuales!$B$97+parametros_manuales!$E$22*(datos_base!$H$3+IF(parametros_manuales!$H$22="Todos",datos_base!$H$10,0))*parametros_manuales!$B$102+parametros_manuales!$F$22*(datos_base!$H$4+IF(parametros_manuales!$H$22="Todos",datos_base!$H$11,0))*parametros_manuales!$B$107+parametros_manuales!$G$22*(datos_base!$H$5+IF(parametros_manuales!$H$22="Todos",datos_base!$H$12,0))*parametros_manuales!$B$112)*parametros_manuales!$I$22*parametros_manuales!$J$22</f>
        <v>30740.30445042</v>
      </c>
      <c r="C173" s="14" t="n">
        <f aca="false">(parametros_manuales!$D$22*(datos_base!$H$2+IF(parametros_manuales!$H$22="Todos",datos_base!$H$9,0))*parametros_manuales!$C$97+parametros_manuales!$E$22*(datos_base!$H$3+IF(parametros_manuales!$H$22="Todos",datos_base!$H$10,0))*parametros_manuales!$C$102+parametros_manuales!$F$22*(datos_base!$H$4+IF(parametros_manuales!$H$22="Todos",datos_base!$H$11,0))*parametros_manuales!$C$107+parametros_manuales!$G$22*(datos_base!$H$5+IF(parametros_manuales!$H$22="Todos",datos_base!$H$12,0))*parametros_manuales!$C$112)*parametros_manuales!$I$22*parametros_manuales!$J$22</f>
        <v>29758.17813224</v>
      </c>
      <c r="D173" s="14" t="n">
        <f aca="false">(parametros_manuales!$D$22*(datos_base!$H$2+IF(parametros_manuales!$H$22="Todos",datos_base!$H$9,0))*parametros_manuales!$D$97+parametros_manuales!$E$22*(datos_base!$H$3+IF(parametros_manuales!$H$22="Todos",datos_base!$H$10,0))*parametros_manuales!$D$102+parametros_manuales!$F$22*(datos_base!$H$4+IF(parametros_manuales!$H$22="Todos",datos_base!$H$11,0))*parametros_manuales!$D$107+parametros_manuales!$G$22*(datos_base!$H$5+IF(parametros_manuales!$H$22="Todos",datos_base!$H$12,0))*parametros_manuales!$D$112)*parametros_manuales!$I$22*parametros_manuales!$J$22</f>
        <v>27815.77822613</v>
      </c>
      <c r="E173" s="14" t="n">
        <f aca="false">(parametros_manuales!$D$22*(datos_base!$H$2+IF(parametros_manuales!$H$22="Todos",datos_base!$H$9,0))*parametros_manuales!$E$97+parametros_manuales!$E$22*(datos_base!$H$3+IF(parametros_manuales!$H$22="Todos",datos_base!$H$10,0))*parametros_manuales!$E$102+parametros_manuales!$F$22*(datos_base!$H$4+IF(parametros_manuales!$H$22="Todos",datos_base!$H$11,0))*parametros_manuales!$E$107+parametros_manuales!$G$22*(datos_base!$H$5+IF(parametros_manuales!$H$22="Todos",datos_base!$H$12,0))*parametros_manuales!$E$112)*parametros_manuales!$I$22*parametros_manuales!$J$22</f>
        <v>26599.04669353</v>
      </c>
      <c r="F173" s="14" t="n">
        <f aca="false">(parametros_manuales!$D$22*(datos_base!$H$2+IF(parametros_manuales!$H$22="Todos",datos_base!$H$9,0))*parametros_manuales!$F$97+parametros_manuales!$E$22*(datos_base!$H$3+IF(parametros_manuales!$H$22="Todos",datos_base!$H$10,0))*parametros_manuales!$F$102+parametros_manuales!$F$22*(datos_base!$H$4+IF(parametros_manuales!$H$22="Todos",datos_base!$H$11,0))*parametros_manuales!$F$107+parametros_manuales!$G$22*(datos_base!$H$5+IF(parametros_manuales!$H$22="Todos",datos_base!$H$12,0))*parametros_manuales!$F$112)*parametros_manuales!$I$22*parametros_manuales!$J$22</f>
        <v>24891.25200184</v>
      </c>
      <c r="G173" s="14" t="n">
        <f aca="false">(parametros_manuales!$D$22*(datos_base!$H$2+IF(parametros_manuales!$H$22="Todos",datos_base!$H$9,0))*parametros_manuales!$G$97+parametros_manuales!$E$22*(datos_base!$H$3+IF(parametros_manuales!$H$22="Todos",datos_base!$H$10,0))*parametros_manuales!$G$102+parametros_manuales!$F$22*(datos_base!$H$4+IF(parametros_manuales!$H$22="Todos",datos_base!$H$11,0))*parametros_manuales!$G$107+parametros_manuales!$G$22*(datos_base!$H$5+IF(parametros_manuales!$H$22="Todos",datos_base!$H$12,0))*parametros_manuales!$G$112)*parametros_manuales!$I$22*parametros_manuales!$J$22</f>
        <v>24400.18884275</v>
      </c>
      <c r="H173" s="14" t="n">
        <f aca="false">(parametros_manuales!$D$22*(datos_base!$H$2+IF(parametros_manuales!$H$22="Todos",datos_base!$H$9,0))*parametros_manuales!$H$97+parametros_manuales!$E$22*(datos_base!$H$3+IF(parametros_manuales!$H$22="Todos",datos_base!$H$10,0))*parametros_manuales!$H$102+parametros_manuales!$F$22*(datos_base!$H$4+IF(parametros_manuales!$H$22="Todos",datos_base!$H$11,0))*parametros_manuales!$H$107+parametros_manuales!$G$22*(datos_base!$H$5+IF(parametros_manuales!$H$22="Todos",datos_base!$H$12,0))*parametros_manuales!$H$112)*parametros_manuales!$I$22*parametros_manuales!$J$22</f>
        <v>26107.98353444</v>
      </c>
      <c r="I173" s="14" t="n">
        <f aca="false">(parametros_manuales!$D$22*(datos_base!$H$2+IF(parametros_manuales!$H$22="Todos",datos_base!$H$9,0))*parametros_manuales!$I$97+parametros_manuales!$E$22*(datos_base!$H$3+IF(parametros_manuales!$H$22="Todos",datos_base!$H$10,0))*parametros_manuales!$I$102+parametros_manuales!$F$22*(datos_base!$H$4+IF(parametros_manuales!$H$22="Todos",datos_base!$H$11,0))*parametros_manuales!$I$107+parametros_manuales!$G$22*(datos_base!$H$5+IF(parametros_manuales!$H$22="Todos",datos_base!$H$12,0))*parametros_manuales!$I$112)*parametros_manuales!$I$22*parametros_manuales!$J$22</f>
        <v>29758.17813224</v>
      </c>
      <c r="J173" s="14" t="n">
        <f aca="false">(parametros_manuales!$D$22*(datos_base!$H$2+IF(parametros_manuales!$H$22="Todos",datos_base!$H$9,0))*parametros_manuales!$J$97+parametros_manuales!$E$22*(datos_base!$H$3+IF(parametros_manuales!$H$22="Todos",datos_base!$H$10,0))*parametros_manuales!$J$102+parametros_manuales!$F$22*(datos_base!$H$4+IF(parametros_manuales!$H$22="Todos",datos_base!$H$11,0))*parametros_manuales!$J$107+parametros_manuales!$G$22*(datos_base!$H$5+IF(parametros_manuales!$H$22="Todos",datos_base!$H$12,0))*parametros_manuales!$J$112)*parametros_manuales!$I$22*parametros_manuales!$J$22</f>
        <v>29758.17813224</v>
      </c>
      <c r="K173" s="14" t="n">
        <f aca="false">(parametros_manuales!$D$22*(datos_base!$H$2+IF(parametros_manuales!$H$22="Todos",datos_base!$H$9,0))*parametros_manuales!$K$97+parametros_manuales!$E$22*(datos_base!$H$3+IF(parametros_manuales!$H$22="Todos",datos_base!$H$10,0))*parametros_manuales!$K$102+parametros_manuales!$F$22*(datos_base!$H$4+IF(parametros_manuales!$H$22="Todos",datos_base!$H$11,0))*parametros_manuales!$K$107+parametros_manuales!$G$22*(datos_base!$H$5+IF(parametros_manuales!$H$22="Todos",datos_base!$H$12,0))*parametros_manuales!$K$112)*parametros_manuales!$I$22*parametros_manuales!$J$22</f>
        <v>30249.24129133</v>
      </c>
      <c r="L173" s="14" t="n">
        <f aca="false">(parametros_manuales!$D$22*(datos_base!$H$2+IF(parametros_manuales!$H$22="Todos",datos_base!$H$9,0))*parametros_manuales!$L$97+parametros_manuales!$E$22*(datos_base!$H$3+IF(parametros_manuales!$H$22="Todos",datos_base!$H$10,0))*parametros_manuales!$L$102+parametros_manuales!$F$22*(datos_base!$H$4+IF(parametros_manuales!$H$22="Todos",datos_base!$H$11,0))*parametros_manuales!$L$107+parametros_manuales!$G$22*(datos_base!$H$5+IF(parametros_manuales!$H$22="Todos",datos_base!$H$12,0))*parametros_manuales!$L$112)*parametros_manuales!$I$22*parametros_manuales!$J$22</f>
        <v>30740.30445042</v>
      </c>
      <c r="M173" s="14" t="n">
        <f aca="false">(parametros_manuales!$D$22*(datos_base!$H$2+IF(parametros_manuales!$H$22="Todos",datos_base!$H$9,0))*parametros_manuales!$M$97+parametros_manuales!$E$22*(datos_base!$H$3+IF(parametros_manuales!$H$22="Todos",datos_base!$H$10,0))*parametros_manuales!$M$102+parametros_manuales!$F$22*(datos_base!$H$4+IF(parametros_manuales!$H$22="Todos",datos_base!$H$11,0))*parametros_manuales!$M$107+parametros_manuales!$G$22*(datos_base!$H$5+IF(parametros_manuales!$H$22="Todos",datos_base!$H$12,0))*parametros_manuales!$M$112)*parametros_manuales!$I$22*parametros_manuales!$J$22</f>
        <v>30740.30445042</v>
      </c>
      <c r="N173" s="14" t="n">
        <f aca="false">SUM(B173:M173)</f>
        <v>341558.938338</v>
      </c>
      <c r="O173" s="14" t="n">
        <f aca="false">MAX(B173:M173)</f>
        <v>30740.30445042</v>
      </c>
      <c r="P173" s="57" t="n">
        <f aca="false">O173/(parametros_manuales!$B$7)</f>
        <v>204.9353630028</v>
      </c>
      <c r="Q173" s="13" t="str">
        <f aca="false">IF(O173=0,"-",INDEX($B$169:$M$169,MATCH(O173,B173:M173,0)))</f>
        <v>Ene</v>
      </c>
    </row>
    <row r="174" customFormat="false" ht="14.25" hidden="false" customHeight="true" outlineLevel="0" collapsed="false">
      <c r="A174" s="13" t="str">
        <f aca="false">parametros_manuales!$B$23</f>
        <v>Preparación de cuello</v>
      </c>
      <c r="B174" s="14" t="n">
        <f aca="false">(parametros_manuales!$D$23*(datos_base!$H$2+IF(parametros_manuales!$H$23="Todos",datos_base!$H$9,0))*parametros_manuales!$B$97+parametros_manuales!$E$23*(datos_base!$H$3+IF(parametros_manuales!$H$23="Todos",datos_base!$H$10,0))*parametros_manuales!$B$102+parametros_manuales!$F$23*(datos_base!$H$4+IF(parametros_manuales!$H$23="Todos",datos_base!$H$11,0))*parametros_manuales!$B$107+parametros_manuales!$G$23*(datos_base!$H$5+IF(parametros_manuales!$H$23="Todos",datos_base!$H$12,0))*parametros_manuales!$B$112)*parametros_manuales!$I$23*parametros_manuales!$J$23</f>
        <v>15370.15222521</v>
      </c>
      <c r="C174" s="14" t="n">
        <f aca="false">(parametros_manuales!$D$23*(datos_base!$H$2+IF(parametros_manuales!$H$23="Todos",datos_base!$H$9,0))*parametros_manuales!$C$97+parametros_manuales!$E$23*(datos_base!$H$3+IF(parametros_manuales!$H$23="Todos",datos_base!$H$10,0))*parametros_manuales!$C$102+parametros_manuales!$F$23*(datos_base!$H$4+IF(parametros_manuales!$H$23="Todos",datos_base!$H$11,0))*parametros_manuales!$C$107+parametros_manuales!$G$23*(datos_base!$H$5+IF(parametros_manuales!$H$23="Todos",datos_base!$H$12,0))*parametros_manuales!$C$112)*parametros_manuales!$I$23*parametros_manuales!$J$23</f>
        <v>14879.08906612</v>
      </c>
      <c r="D174" s="14" t="n">
        <f aca="false">(parametros_manuales!$D$23*(datos_base!$H$2+IF(parametros_manuales!$H$23="Todos",datos_base!$H$9,0))*parametros_manuales!$D$97+parametros_manuales!$E$23*(datos_base!$H$3+IF(parametros_manuales!$H$23="Todos",datos_base!$H$10,0))*parametros_manuales!$D$102+parametros_manuales!$F$23*(datos_base!$H$4+IF(parametros_manuales!$H$23="Todos",datos_base!$H$11,0))*parametros_manuales!$D$107+parametros_manuales!$G$23*(datos_base!$H$5+IF(parametros_manuales!$H$23="Todos",datos_base!$H$12,0))*parametros_manuales!$D$112)*parametros_manuales!$I$23*parametros_manuales!$J$23</f>
        <v>13907.889113065</v>
      </c>
      <c r="E174" s="14" t="n">
        <f aca="false">(parametros_manuales!$D$23*(datos_base!$H$2+IF(parametros_manuales!$H$23="Todos",datos_base!$H$9,0))*parametros_manuales!$E$97+parametros_manuales!$E$23*(datos_base!$H$3+IF(parametros_manuales!$H$23="Todos",datos_base!$H$10,0))*parametros_manuales!$E$102+parametros_manuales!$F$23*(datos_base!$H$4+IF(parametros_manuales!$H$23="Todos",datos_base!$H$11,0))*parametros_manuales!$E$107+parametros_manuales!$G$23*(datos_base!$H$5+IF(parametros_manuales!$H$23="Todos",datos_base!$H$12,0))*parametros_manuales!$E$112)*parametros_manuales!$I$23*parametros_manuales!$J$23</f>
        <v>13299.523346765</v>
      </c>
      <c r="F174" s="14" t="n">
        <f aca="false">(parametros_manuales!$D$23*(datos_base!$H$2+IF(parametros_manuales!$H$23="Todos",datos_base!$H$9,0))*parametros_manuales!$F$97+parametros_manuales!$E$23*(datos_base!$H$3+IF(parametros_manuales!$H$23="Todos",datos_base!$H$10,0))*parametros_manuales!$F$102+parametros_manuales!$F$23*(datos_base!$H$4+IF(parametros_manuales!$H$23="Todos",datos_base!$H$11,0))*parametros_manuales!$F$107+parametros_manuales!$G$23*(datos_base!$H$5+IF(parametros_manuales!$H$23="Todos",datos_base!$H$12,0))*parametros_manuales!$F$112)*parametros_manuales!$I$23*parametros_manuales!$J$23</f>
        <v>12445.62600092</v>
      </c>
      <c r="G174" s="14" t="n">
        <f aca="false">(parametros_manuales!$D$23*(datos_base!$H$2+IF(parametros_manuales!$H$23="Todos",datos_base!$H$9,0))*parametros_manuales!$G$97+parametros_manuales!$E$23*(datos_base!$H$3+IF(parametros_manuales!$H$23="Todos",datos_base!$H$10,0))*parametros_manuales!$G$102+parametros_manuales!$F$23*(datos_base!$H$4+IF(parametros_manuales!$H$23="Todos",datos_base!$H$11,0))*parametros_manuales!$G$107+parametros_manuales!$G$23*(datos_base!$H$5+IF(parametros_manuales!$H$23="Todos",datos_base!$H$12,0))*parametros_manuales!$G$112)*parametros_manuales!$I$23*parametros_manuales!$J$23</f>
        <v>12200.094421375</v>
      </c>
      <c r="H174" s="14" t="n">
        <f aca="false">(parametros_manuales!$D$23*(datos_base!$H$2+IF(parametros_manuales!$H$23="Todos",datos_base!$H$9,0))*parametros_manuales!$H$97+parametros_manuales!$E$23*(datos_base!$H$3+IF(parametros_manuales!$H$23="Todos",datos_base!$H$10,0))*parametros_manuales!$H$102+parametros_manuales!$F$23*(datos_base!$H$4+IF(parametros_manuales!$H$23="Todos",datos_base!$H$11,0))*parametros_manuales!$H$107+parametros_manuales!$G$23*(datos_base!$H$5+IF(parametros_manuales!$H$23="Todos",datos_base!$H$12,0))*parametros_manuales!$H$112)*parametros_manuales!$I$23*parametros_manuales!$J$23</f>
        <v>13053.99176722</v>
      </c>
      <c r="I174" s="14" t="n">
        <f aca="false">(parametros_manuales!$D$23*(datos_base!$H$2+IF(parametros_manuales!$H$23="Todos",datos_base!$H$9,0))*parametros_manuales!$I$97+parametros_manuales!$E$23*(datos_base!$H$3+IF(parametros_manuales!$H$23="Todos",datos_base!$H$10,0))*parametros_manuales!$I$102+parametros_manuales!$F$23*(datos_base!$H$4+IF(parametros_manuales!$H$23="Todos",datos_base!$H$11,0))*parametros_manuales!$I$107+parametros_manuales!$G$23*(datos_base!$H$5+IF(parametros_manuales!$H$23="Todos",datos_base!$H$12,0))*parametros_manuales!$I$112)*parametros_manuales!$I$23*parametros_manuales!$J$23</f>
        <v>14879.08906612</v>
      </c>
      <c r="J174" s="14" t="n">
        <f aca="false">(parametros_manuales!$D$23*(datos_base!$H$2+IF(parametros_manuales!$H$23="Todos",datos_base!$H$9,0))*parametros_manuales!$J$97+parametros_manuales!$E$23*(datos_base!$H$3+IF(parametros_manuales!$H$23="Todos",datos_base!$H$10,0))*parametros_manuales!$J$102+parametros_manuales!$F$23*(datos_base!$H$4+IF(parametros_manuales!$H$23="Todos",datos_base!$H$11,0))*parametros_manuales!$J$107+parametros_manuales!$G$23*(datos_base!$H$5+IF(parametros_manuales!$H$23="Todos",datos_base!$H$12,0))*parametros_manuales!$J$112)*parametros_manuales!$I$23*parametros_manuales!$J$23</f>
        <v>14879.08906612</v>
      </c>
      <c r="K174" s="14" t="n">
        <f aca="false">(parametros_manuales!$D$23*(datos_base!$H$2+IF(parametros_manuales!$H$23="Todos",datos_base!$H$9,0))*parametros_manuales!$K$97+parametros_manuales!$E$23*(datos_base!$H$3+IF(parametros_manuales!$H$23="Todos",datos_base!$H$10,0))*parametros_manuales!$K$102+parametros_manuales!$F$23*(datos_base!$H$4+IF(parametros_manuales!$H$23="Todos",datos_base!$H$11,0))*parametros_manuales!$K$107+parametros_manuales!$G$23*(datos_base!$H$5+IF(parametros_manuales!$H$23="Todos",datos_base!$H$12,0))*parametros_manuales!$K$112)*parametros_manuales!$I$23*parametros_manuales!$J$23</f>
        <v>15124.620645665</v>
      </c>
      <c r="L174" s="14" t="n">
        <f aca="false">(parametros_manuales!$D$23*(datos_base!$H$2+IF(parametros_manuales!$H$23="Todos",datos_base!$H$9,0))*parametros_manuales!$L$97+parametros_manuales!$E$23*(datos_base!$H$3+IF(parametros_manuales!$H$23="Todos",datos_base!$H$10,0))*parametros_manuales!$L$102+parametros_manuales!$F$23*(datos_base!$H$4+IF(parametros_manuales!$H$23="Todos",datos_base!$H$11,0))*parametros_manuales!$L$107+parametros_manuales!$G$23*(datos_base!$H$5+IF(parametros_manuales!$H$23="Todos",datos_base!$H$12,0))*parametros_manuales!$L$112)*parametros_manuales!$I$23*parametros_manuales!$J$23</f>
        <v>15370.15222521</v>
      </c>
      <c r="M174" s="14" t="n">
        <f aca="false">(parametros_manuales!$D$23*(datos_base!$H$2+IF(parametros_manuales!$H$23="Todos",datos_base!$H$9,0))*parametros_manuales!$M$97+parametros_manuales!$E$23*(datos_base!$H$3+IF(parametros_manuales!$H$23="Todos",datos_base!$H$10,0))*parametros_manuales!$M$102+parametros_manuales!$F$23*(datos_base!$H$4+IF(parametros_manuales!$H$23="Todos",datos_base!$H$11,0))*parametros_manuales!$M$107+parametros_manuales!$G$23*(datos_base!$H$5+IF(parametros_manuales!$H$23="Todos",datos_base!$H$12,0))*parametros_manuales!$M$112)*parametros_manuales!$I$23*parametros_manuales!$J$23</f>
        <v>15370.15222521</v>
      </c>
      <c r="N174" s="14" t="n">
        <f aca="false">SUM(B174:M174)</f>
        <v>170779.469169</v>
      </c>
      <c r="O174" s="14" t="n">
        <f aca="false">MAX(B174:M174)</f>
        <v>15370.15222521</v>
      </c>
      <c r="P174" s="57" t="n">
        <f aca="false">O174/(parametros_manuales!$B$7)</f>
        <v>102.4676815014</v>
      </c>
      <c r="Q174" s="13" t="str">
        <f aca="false">IF(O174=0,"-",INDEX($B$169:$M$169,MATCH(O174,B174:M174,0)))</f>
        <v>Ene</v>
      </c>
    </row>
    <row r="175" customFormat="false" ht="14.25" hidden="false" customHeight="true" outlineLevel="0" collapsed="false">
      <c r="A175" s="13" t="str">
        <f aca="false">parametros_manuales!$B$24</f>
        <v>Numerado de cúpula</v>
      </c>
      <c r="B175" s="14" t="n">
        <f aca="false">(parametros_manuales!$D$24*(datos_base!$H$2+IF(parametros_manuales!$H$24="Todos",datos_base!$H$9,0))*parametros_manuales!$B$97+parametros_manuales!$E$24*(datos_base!$H$3+IF(parametros_manuales!$H$24="Todos",datos_base!$H$10,0))*parametros_manuales!$B$102+parametros_manuales!$F$24*(datos_base!$H$4+IF(parametros_manuales!$H$24="Todos",datos_base!$H$11,0))*parametros_manuales!$B$107+parametros_manuales!$G$24*(datos_base!$H$5+IF(parametros_manuales!$H$24="Todos",datos_base!$H$12,0))*parametros_manuales!$B$112)*parametros_manuales!$I$24*parametros_manuales!$J$24</f>
        <v>15370.15222521</v>
      </c>
      <c r="C175" s="14" t="n">
        <f aca="false">(parametros_manuales!$D$24*(datos_base!$H$2+IF(parametros_manuales!$H$24="Todos",datos_base!$H$9,0))*parametros_manuales!$C$97+parametros_manuales!$E$24*(datos_base!$H$3+IF(parametros_manuales!$H$24="Todos",datos_base!$H$10,0))*parametros_manuales!$C$102+parametros_manuales!$F$24*(datos_base!$H$4+IF(parametros_manuales!$H$24="Todos",datos_base!$H$11,0))*parametros_manuales!$C$107+parametros_manuales!$G$24*(datos_base!$H$5+IF(parametros_manuales!$H$24="Todos",datos_base!$H$12,0))*parametros_manuales!$C$112)*parametros_manuales!$I$24*parametros_manuales!$J$24</f>
        <v>14879.08906612</v>
      </c>
      <c r="D175" s="14" t="n">
        <f aca="false">(parametros_manuales!$D$24*(datos_base!$H$2+IF(parametros_manuales!$H$24="Todos",datos_base!$H$9,0))*parametros_manuales!$D$97+parametros_manuales!$E$24*(datos_base!$H$3+IF(parametros_manuales!$H$24="Todos",datos_base!$H$10,0))*parametros_manuales!$D$102+parametros_manuales!$F$24*(datos_base!$H$4+IF(parametros_manuales!$H$24="Todos",datos_base!$H$11,0))*parametros_manuales!$D$107+parametros_manuales!$G$24*(datos_base!$H$5+IF(parametros_manuales!$H$24="Todos",datos_base!$H$12,0))*parametros_manuales!$D$112)*parametros_manuales!$I$24*parametros_manuales!$J$24</f>
        <v>13907.889113065</v>
      </c>
      <c r="E175" s="14" t="n">
        <f aca="false">(parametros_manuales!$D$24*(datos_base!$H$2+IF(parametros_manuales!$H$24="Todos",datos_base!$H$9,0))*parametros_manuales!$E$97+parametros_manuales!$E$24*(datos_base!$H$3+IF(parametros_manuales!$H$24="Todos",datos_base!$H$10,0))*parametros_manuales!$E$102+parametros_manuales!$F$24*(datos_base!$H$4+IF(parametros_manuales!$H$24="Todos",datos_base!$H$11,0))*parametros_manuales!$E$107+parametros_manuales!$G$24*(datos_base!$H$5+IF(parametros_manuales!$H$24="Todos",datos_base!$H$12,0))*parametros_manuales!$E$112)*parametros_manuales!$I$24*parametros_manuales!$J$24</f>
        <v>13299.523346765</v>
      </c>
      <c r="F175" s="14" t="n">
        <f aca="false">(parametros_manuales!$D$24*(datos_base!$H$2+IF(parametros_manuales!$H$24="Todos",datos_base!$H$9,0))*parametros_manuales!$F$97+parametros_manuales!$E$24*(datos_base!$H$3+IF(parametros_manuales!$H$24="Todos",datos_base!$H$10,0))*parametros_manuales!$F$102+parametros_manuales!$F$24*(datos_base!$H$4+IF(parametros_manuales!$H$24="Todos",datos_base!$H$11,0))*parametros_manuales!$F$107+parametros_manuales!$G$24*(datos_base!$H$5+IF(parametros_manuales!$H$24="Todos",datos_base!$H$12,0))*parametros_manuales!$F$112)*parametros_manuales!$I$24*parametros_manuales!$J$24</f>
        <v>12445.62600092</v>
      </c>
      <c r="G175" s="14" t="n">
        <f aca="false">(parametros_manuales!$D$24*(datos_base!$H$2+IF(parametros_manuales!$H$24="Todos",datos_base!$H$9,0))*parametros_manuales!$G$97+parametros_manuales!$E$24*(datos_base!$H$3+IF(parametros_manuales!$H$24="Todos",datos_base!$H$10,0))*parametros_manuales!$G$102+parametros_manuales!$F$24*(datos_base!$H$4+IF(parametros_manuales!$H$24="Todos",datos_base!$H$11,0))*parametros_manuales!$G$107+parametros_manuales!$G$24*(datos_base!$H$5+IF(parametros_manuales!$H$24="Todos",datos_base!$H$12,0))*parametros_manuales!$G$112)*parametros_manuales!$I$24*parametros_manuales!$J$24</f>
        <v>12200.094421375</v>
      </c>
      <c r="H175" s="14" t="n">
        <f aca="false">(parametros_manuales!$D$24*(datos_base!$H$2+IF(parametros_manuales!$H$24="Todos",datos_base!$H$9,0))*parametros_manuales!$H$97+parametros_manuales!$E$24*(datos_base!$H$3+IF(parametros_manuales!$H$24="Todos",datos_base!$H$10,0))*parametros_manuales!$H$102+parametros_manuales!$F$24*(datos_base!$H$4+IF(parametros_manuales!$H$24="Todos",datos_base!$H$11,0))*parametros_manuales!$H$107+parametros_manuales!$G$24*(datos_base!$H$5+IF(parametros_manuales!$H$24="Todos",datos_base!$H$12,0))*parametros_manuales!$H$112)*parametros_manuales!$I$24*parametros_manuales!$J$24</f>
        <v>13053.99176722</v>
      </c>
      <c r="I175" s="14" t="n">
        <f aca="false">(parametros_manuales!$D$24*(datos_base!$H$2+IF(parametros_manuales!$H$24="Todos",datos_base!$H$9,0))*parametros_manuales!$I$97+parametros_manuales!$E$24*(datos_base!$H$3+IF(parametros_manuales!$H$24="Todos",datos_base!$H$10,0))*parametros_manuales!$I$102+parametros_manuales!$F$24*(datos_base!$H$4+IF(parametros_manuales!$H$24="Todos",datos_base!$H$11,0))*parametros_manuales!$I$107+parametros_manuales!$G$24*(datos_base!$H$5+IF(parametros_manuales!$H$24="Todos",datos_base!$H$12,0))*parametros_manuales!$I$112)*parametros_manuales!$I$24*parametros_manuales!$J$24</f>
        <v>14879.08906612</v>
      </c>
      <c r="J175" s="14" t="n">
        <f aca="false">(parametros_manuales!$D$24*(datos_base!$H$2+IF(parametros_manuales!$H$24="Todos",datos_base!$H$9,0))*parametros_manuales!$J$97+parametros_manuales!$E$24*(datos_base!$H$3+IF(parametros_manuales!$H$24="Todos",datos_base!$H$10,0))*parametros_manuales!$J$102+parametros_manuales!$F$24*(datos_base!$H$4+IF(parametros_manuales!$H$24="Todos",datos_base!$H$11,0))*parametros_manuales!$J$107+parametros_manuales!$G$24*(datos_base!$H$5+IF(parametros_manuales!$H$24="Todos",datos_base!$H$12,0))*parametros_manuales!$J$112)*parametros_manuales!$I$24*parametros_manuales!$J$24</f>
        <v>14879.08906612</v>
      </c>
      <c r="K175" s="14" t="n">
        <f aca="false">(parametros_manuales!$D$24*(datos_base!$H$2+IF(parametros_manuales!$H$24="Todos",datos_base!$H$9,0))*parametros_manuales!$K$97+parametros_manuales!$E$24*(datos_base!$H$3+IF(parametros_manuales!$H$24="Todos",datos_base!$H$10,0))*parametros_manuales!$K$102+parametros_manuales!$F$24*(datos_base!$H$4+IF(parametros_manuales!$H$24="Todos",datos_base!$H$11,0))*parametros_manuales!$K$107+parametros_manuales!$G$24*(datos_base!$H$5+IF(parametros_manuales!$H$24="Todos",datos_base!$H$12,0))*parametros_manuales!$K$112)*parametros_manuales!$I$24*parametros_manuales!$J$24</f>
        <v>15124.620645665</v>
      </c>
      <c r="L175" s="14" t="n">
        <f aca="false">(parametros_manuales!$D$24*(datos_base!$H$2+IF(parametros_manuales!$H$24="Todos",datos_base!$H$9,0))*parametros_manuales!$L$97+parametros_manuales!$E$24*(datos_base!$H$3+IF(parametros_manuales!$H$24="Todos",datos_base!$H$10,0))*parametros_manuales!$L$102+parametros_manuales!$F$24*(datos_base!$H$4+IF(parametros_manuales!$H$24="Todos",datos_base!$H$11,0))*parametros_manuales!$L$107+parametros_manuales!$G$24*(datos_base!$H$5+IF(parametros_manuales!$H$24="Todos",datos_base!$H$12,0))*parametros_manuales!$L$112)*parametros_manuales!$I$24*parametros_manuales!$J$24</f>
        <v>15370.15222521</v>
      </c>
      <c r="M175" s="14" t="n">
        <f aca="false">(parametros_manuales!$D$24*(datos_base!$H$2+IF(parametros_manuales!$H$24="Todos",datos_base!$H$9,0))*parametros_manuales!$M$97+parametros_manuales!$E$24*(datos_base!$H$3+IF(parametros_manuales!$H$24="Todos",datos_base!$H$10,0))*parametros_manuales!$M$102+parametros_manuales!$F$24*(datos_base!$H$4+IF(parametros_manuales!$H$24="Todos",datos_base!$H$11,0))*parametros_manuales!$M$107+parametros_manuales!$G$24*(datos_base!$H$5+IF(parametros_manuales!$H$24="Todos",datos_base!$H$12,0))*parametros_manuales!$M$112)*parametros_manuales!$I$24*parametros_manuales!$J$24</f>
        <v>15370.15222521</v>
      </c>
      <c r="N175" s="14" t="n">
        <f aca="false">SUM(B175:M175)</f>
        <v>170779.469169</v>
      </c>
      <c r="O175" s="14" t="n">
        <f aca="false">MAX(B175:M175)</f>
        <v>15370.15222521</v>
      </c>
      <c r="P175" s="57" t="n">
        <f aca="false">O175/(parametros_manuales!$B$7)</f>
        <v>102.4676815014</v>
      </c>
      <c r="Q175" s="13" t="str">
        <f aca="false">IF(O175=0,"-",INDEX($B$169:$M$169,MATCH(O175,B175:M175,0)))</f>
        <v>Ene</v>
      </c>
    </row>
    <row r="176" customFormat="false" ht="14.25" hidden="false" customHeight="true" outlineLevel="0" collapsed="false">
      <c r="A176" s="13" t="str">
        <f aca="false">parametros_manuales!$B$25</f>
        <v>Soldadura del cuello a la cúpula</v>
      </c>
      <c r="B176" s="14" t="n">
        <f aca="false">(parametros_manuales!$D$25*(datos_base!$H$2+IF(parametros_manuales!$H$25="Todos",datos_base!$H$9,0))*parametros_manuales!$B$97+parametros_manuales!$E$25*(datos_base!$H$3+IF(parametros_manuales!$H$25="Todos",datos_base!$H$10,0))*parametros_manuales!$B$102+parametros_manuales!$F$25*(datos_base!$H$4+IF(parametros_manuales!$H$25="Todos",datos_base!$H$11,0))*parametros_manuales!$B$107+parametros_manuales!$G$25*(datos_base!$H$5+IF(parametros_manuales!$H$25="Todos",datos_base!$H$12,0))*parametros_manuales!$B$112)*parametros_manuales!$I$25*parametros_manuales!$J$25</f>
        <v>15370.15222521</v>
      </c>
      <c r="C176" s="14" t="n">
        <f aca="false">(parametros_manuales!$D$25*(datos_base!$H$2+IF(parametros_manuales!$H$25="Todos",datos_base!$H$9,0))*parametros_manuales!$C$97+parametros_manuales!$E$25*(datos_base!$H$3+IF(parametros_manuales!$H$25="Todos",datos_base!$H$10,0))*parametros_manuales!$C$102+parametros_manuales!$F$25*(datos_base!$H$4+IF(parametros_manuales!$H$25="Todos",datos_base!$H$11,0))*parametros_manuales!$C$107+parametros_manuales!$G$25*(datos_base!$H$5+IF(parametros_manuales!$H$25="Todos",datos_base!$H$12,0))*parametros_manuales!$C$112)*parametros_manuales!$I$25*parametros_manuales!$J$25</f>
        <v>14879.08906612</v>
      </c>
      <c r="D176" s="14" t="n">
        <f aca="false">(parametros_manuales!$D$25*(datos_base!$H$2+IF(parametros_manuales!$H$25="Todos",datos_base!$H$9,0))*parametros_manuales!$D$97+parametros_manuales!$E$25*(datos_base!$H$3+IF(parametros_manuales!$H$25="Todos",datos_base!$H$10,0))*parametros_manuales!$D$102+parametros_manuales!$F$25*(datos_base!$H$4+IF(parametros_manuales!$H$25="Todos",datos_base!$H$11,0))*parametros_manuales!$D$107+parametros_manuales!$G$25*(datos_base!$H$5+IF(parametros_manuales!$H$25="Todos",datos_base!$H$12,0))*parametros_manuales!$D$112)*parametros_manuales!$I$25*parametros_manuales!$J$25</f>
        <v>13907.889113065</v>
      </c>
      <c r="E176" s="14" t="n">
        <f aca="false">(parametros_manuales!$D$25*(datos_base!$H$2+IF(parametros_manuales!$H$25="Todos",datos_base!$H$9,0))*parametros_manuales!$E$97+parametros_manuales!$E$25*(datos_base!$H$3+IF(parametros_manuales!$H$25="Todos",datos_base!$H$10,0))*parametros_manuales!$E$102+parametros_manuales!$F$25*(datos_base!$H$4+IF(parametros_manuales!$H$25="Todos",datos_base!$H$11,0))*parametros_manuales!$E$107+parametros_manuales!$G$25*(datos_base!$H$5+IF(parametros_manuales!$H$25="Todos",datos_base!$H$12,0))*parametros_manuales!$E$112)*parametros_manuales!$I$25*parametros_manuales!$J$25</f>
        <v>13299.523346765</v>
      </c>
      <c r="F176" s="14" t="n">
        <f aca="false">(parametros_manuales!$D$25*(datos_base!$H$2+IF(parametros_manuales!$H$25="Todos",datos_base!$H$9,0))*parametros_manuales!$F$97+parametros_manuales!$E$25*(datos_base!$H$3+IF(parametros_manuales!$H$25="Todos",datos_base!$H$10,0))*parametros_manuales!$F$102+parametros_manuales!$F$25*(datos_base!$H$4+IF(parametros_manuales!$H$25="Todos",datos_base!$H$11,0))*parametros_manuales!$F$107+parametros_manuales!$G$25*(datos_base!$H$5+IF(parametros_manuales!$H$25="Todos",datos_base!$H$12,0))*parametros_manuales!$F$112)*parametros_manuales!$I$25*parametros_manuales!$J$25</f>
        <v>12445.62600092</v>
      </c>
      <c r="G176" s="14" t="n">
        <f aca="false">(parametros_manuales!$D$25*(datos_base!$H$2+IF(parametros_manuales!$H$25="Todos",datos_base!$H$9,0))*parametros_manuales!$G$97+parametros_manuales!$E$25*(datos_base!$H$3+IF(parametros_manuales!$H$25="Todos",datos_base!$H$10,0))*parametros_manuales!$G$102+parametros_manuales!$F$25*(datos_base!$H$4+IF(parametros_manuales!$H$25="Todos",datos_base!$H$11,0))*parametros_manuales!$G$107+parametros_manuales!$G$25*(datos_base!$H$5+IF(parametros_manuales!$H$25="Todos",datos_base!$H$12,0))*parametros_manuales!$G$112)*parametros_manuales!$I$25*parametros_manuales!$J$25</f>
        <v>12200.094421375</v>
      </c>
      <c r="H176" s="14" t="n">
        <f aca="false">(parametros_manuales!$D$25*(datos_base!$H$2+IF(parametros_manuales!$H$25="Todos",datos_base!$H$9,0))*parametros_manuales!$H$97+parametros_manuales!$E$25*(datos_base!$H$3+IF(parametros_manuales!$H$25="Todos",datos_base!$H$10,0))*parametros_manuales!$H$102+parametros_manuales!$F$25*(datos_base!$H$4+IF(parametros_manuales!$H$25="Todos",datos_base!$H$11,0))*parametros_manuales!$H$107+parametros_manuales!$G$25*(datos_base!$H$5+IF(parametros_manuales!$H$25="Todos",datos_base!$H$12,0))*parametros_manuales!$H$112)*parametros_manuales!$I$25*parametros_manuales!$J$25</f>
        <v>13053.99176722</v>
      </c>
      <c r="I176" s="14" t="n">
        <f aca="false">(parametros_manuales!$D$25*(datos_base!$H$2+IF(parametros_manuales!$H$25="Todos",datos_base!$H$9,0))*parametros_manuales!$I$97+parametros_manuales!$E$25*(datos_base!$H$3+IF(parametros_manuales!$H$25="Todos",datos_base!$H$10,0))*parametros_manuales!$I$102+parametros_manuales!$F$25*(datos_base!$H$4+IF(parametros_manuales!$H$25="Todos",datos_base!$H$11,0))*parametros_manuales!$I$107+parametros_manuales!$G$25*(datos_base!$H$5+IF(parametros_manuales!$H$25="Todos",datos_base!$H$12,0))*parametros_manuales!$I$112)*parametros_manuales!$I$25*parametros_manuales!$J$25</f>
        <v>14879.08906612</v>
      </c>
      <c r="J176" s="14" t="n">
        <f aca="false">(parametros_manuales!$D$25*(datos_base!$H$2+IF(parametros_manuales!$H$25="Todos",datos_base!$H$9,0))*parametros_manuales!$J$97+parametros_manuales!$E$25*(datos_base!$H$3+IF(parametros_manuales!$H$25="Todos",datos_base!$H$10,0))*parametros_manuales!$J$102+parametros_manuales!$F$25*(datos_base!$H$4+IF(parametros_manuales!$H$25="Todos",datos_base!$H$11,0))*parametros_manuales!$J$107+parametros_manuales!$G$25*(datos_base!$H$5+IF(parametros_manuales!$H$25="Todos",datos_base!$H$12,0))*parametros_manuales!$J$112)*parametros_manuales!$I$25*parametros_manuales!$J$25</f>
        <v>14879.08906612</v>
      </c>
      <c r="K176" s="14" t="n">
        <f aca="false">(parametros_manuales!$D$25*(datos_base!$H$2+IF(parametros_manuales!$H$25="Todos",datos_base!$H$9,0))*parametros_manuales!$K$97+parametros_manuales!$E$25*(datos_base!$H$3+IF(parametros_manuales!$H$25="Todos",datos_base!$H$10,0))*parametros_manuales!$K$102+parametros_manuales!$F$25*(datos_base!$H$4+IF(parametros_manuales!$H$25="Todos",datos_base!$H$11,0))*parametros_manuales!$K$107+parametros_manuales!$G$25*(datos_base!$H$5+IF(parametros_manuales!$H$25="Todos",datos_base!$H$12,0))*parametros_manuales!$K$112)*parametros_manuales!$I$25*parametros_manuales!$J$25</f>
        <v>15124.620645665</v>
      </c>
      <c r="L176" s="14" t="n">
        <f aca="false">(parametros_manuales!$D$25*(datos_base!$H$2+IF(parametros_manuales!$H$25="Todos",datos_base!$H$9,0))*parametros_manuales!$L$97+parametros_manuales!$E$25*(datos_base!$H$3+IF(parametros_manuales!$H$25="Todos",datos_base!$H$10,0))*parametros_manuales!$L$102+parametros_manuales!$F$25*(datos_base!$H$4+IF(parametros_manuales!$H$25="Todos",datos_base!$H$11,0))*parametros_manuales!$L$107+parametros_manuales!$G$25*(datos_base!$H$5+IF(parametros_manuales!$H$25="Todos",datos_base!$H$12,0))*parametros_manuales!$L$112)*parametros_manuales!$I$25*parametros_manuales!$J$25</f>
        <v>15370.15222521</v>
      </c>
      <c r="M176" s="14" t="n">
        <f aca="false">(parametros_manuales!$D$25*(datos_base!$H$2+IF(parametros_manuales!$H$25="Todos",datos_base!$H$9,0))*parametros_manuales!$M$97+parametros_manuales!$E$25*(datos_base!$H$3+IF(parametros_manuales!$H$25="Todos",datos_base!$H$10,0))*parametros_manuales!$M$102+parametros_manuales!$F$25*(datos_base!$H$4+IF(parametros_manuales!$H$25="Todos",datos_base!$H$11,0))*parametros_manuales!$M$107+parametros_manuales!$G$25*(datos_base!$H$5+IF(parametros_manuales!$H$25="Todos",datos_base!$H$12,0))*parametros_manuales!$M$112)*parametros_manuales!$I$25*parametros_manuales!$J$25</f>
        <v>15370.15222521</v>
      </c>
      <c r="N176" s="14" t="n">
        <f aca="false">SUM(B176:M176)</f>
        <v>170779.469169</v>
      </c>
      <c r="O176" s="14" t="n">
        <f aca="false">MAX(B176:M176)</f>
        <v>15370.15222521</v>
      </c>
      <c r="P176" s="57" t="n">
        <f aca="false">O176/(parametros_manuales!$B$7)</f>
        <v>102.4676815014</v>
      </c>
      <c r="Q176" s="13" t="str">
        <f aca="false">IF(O176=0,"-",INDEX($B$169:$M$169,MATCH(O176,B176:M176,0)))</f>
        <v>Ene</v>
      </c>
    </row>
    <row r="177" customFormat="false" ht="14.25" hidden="false" customHeight="true" outlineLevel="0" collapsed="false">
      <c r="A177" s="13" t="str">
        <f aca="false">parametros_manuales!$B$26</f>
        <v>Cilindrado</v>
      </c>
      <c r="B177" s="14" t="n">
        <f aca="false">(parametros_manuales!$D$26*(datos_base!$H$2+IF(parametros_manuales!$H$26="Todos",datos_base!$H$9,0))*parametros_manuales!$B$97+parametros_manuales!$E$26*(datos_base!$H$3+IF(parametros_manuales!$H$26="Todos",datos_base!$H$10,0))*parametros_manuales!$B$102+parametros_manuales!$F$26*(datos_base!$H$4+IF(parametros_manuales!$H$26="Todos",datos_base!$H$11,0))*parametros_manuales!$B$107+parametros_manuales!$G$26*(datos_base!$H$5+IF(parametros_manuales!$H$26="Todos",datos_base!$H$12,0))*parametros_manuales!$B$112)*parametros_manuales!$I$26*parametros_manuales!$J$26</f>
        <v>15370.15222521</v>
      </c>
      <c r="C177" s="14" t="n">
        <f aca="false">(parametros_manuales!$D$26*(datos_base!$H$2+IF(parametros_manuales!$H$26="Todos",datos_base!$H$9,0))*parametros_manuales!$C$97+parametros_manuales!$E$26*(datos_base!$H$3+IF(parametros_manuales!$H$26="Todos",datos_base!$H$10,0))*parametros_manuales!$C$102+parametros_manuales!$F$26*(datos_base!$H$4+IF(parametros_manuales!$H$26="Todos",datos_base!$H$11,0))*parametros_manuales!$C$107+parametros_manuales!$G$26*(datos_base!$H$5+IF(parametros_manuales!$H$26="Todos",datos_base!$H$12,0))*parametros_manuales!$C$112)*parametros_manuales!$I$26*parametros_manuales!$J$26</f>
        <v>14879.08906612</v>
      </c>
      <c r="D177" s="14" t="n">
        <f aca="false">(parametros_manuales!$D$26*(datos_base!$H$2+IF(parametros_manuales!$H$26="Todos",datos_base!$H$9,0))*parametros_manuales!$D$97+parametros_manuales!$E$26*(datos_base!$H$3+IF(parametros_manuales!$H$26="Todos",datos_base!$H$10,0))*parametros_manuales!$D$102+parametros_manuales!$F$26*(datos_base!$H$4+IF(parametros_manuales!$H$26="Todos",datos_base!$H$11,0))*parametros_manuales!$D$107+parametros_manuales!$G$26*(datos_base!$H$5+IF(parametros_manuales!$H$26="Todos",datos_base!$H$12,0))*parametros_manuales!$D$112)*parametros_manuales!$I$26*parametros_manuales!$J$26</f>
        <v>13907.889113065</v>
      </c>
      <c r="E177" s="14" t="n">
        <f aca="false">(parametros_manuales!$D$26*(datos_base!$H$2+IF(parametros_manuales!$H$26="Todos",datos_base!$H$9,0))*parametros_manuales!$E$97+parametros_manuales!$E$26*(datos_base!$H$3+IF(parametros_manuales!$H$26="Todos",datos_base!$H$10,0))*parametros_manuales!$E$102+parametros_manuales!$F$26*(datos_base!$H$4+IF(parametros_manuales!$H$26="Todos",datos_base!$H$11,0))*parametros_manuales!$E$107+parametros_manuales!$G$26*(datos_base!$H$5+IF(parametros_manuales!$H$26="Todos",datos_base!$H$12,0))*parametros_manuales!$E$112)*parametros_manuales!$I$26*parametros_manuales!$J$26</f>
        <v>13299.523346765</v>
      </c>
      <c r="F177" s="14" t="n">
        <f aca="false">(parametros_manuales!$D$26*(datos_base!$H$2+IF(parametros_manuales!$H$26="Todos",datos_base!$H$9,0))*parametros_manuales!$F$97+parametros_manuales!$E$26*(datos_base!$H$3+IF(parametros_manuales!$H$26="Todos",datos_base!$H$10,0))*parametros_manuales!$F$102+parametros_manuales!$F$26*(datos_base!$H$4+IF(parametros_manuales!$H$26="Todos",datos_base!$H$11,0))*parametros_manuales!$F$107+parametros_manuales!$G$26*(datos_base!$H$5+IF(parametros_manuales!$H$26="Todos",datos_base!$H$12,0))*parametros_manuales!$F$112)*parametros_manuales!$I$26*parametros_manuales!$J$26</f>
        <v>12445.62600092</v>
      </c>
      <c r="G177" s="14" t="n">
        <f aca="false">(parametros_manuales!$D$26*(datos_base!$H$2+IF(parametros_manuales!$H$26="Todos",datos_base!$H$9,0))*parametros_manuales!$G$97+parametros_manuales!$E$26*(datos_base!$H$3+IF(parametros_manuales!$H$26="Todos",datos_base!$H$10,0))*parametros_manuales!$G$102+parametros_manuales!$F$26*(datos_base!$H$4+IF(parametros_manuales!$H$26="Todos",datos_base!$H$11,0))*parametros_manuales!$G$107+parametros_manuales!$G$26*(datos_base!$H$5+IF(parametros_manuales!$H$26="Todos",datos_base!$H$12,0))*parametros_manuales!$G$112)*parametros_manuales!$I$26*parametros_manuales!$J$26</f>
        <v>12200.094421375</v>
      </c>
      <c r="H177" s="14" t="n">
        <f aca="false">(parametros_manuales!$D$26*(datos_base!$H$2+IF(parametros_manuales!$H$26="Todos",datos_base!$H$9,0))*parametros_manuales!$H$97+parametros_manuales!$E$26*(datos_base!$H$3+IF(parametros_manuales!$H$26="Todos",datos_base!$H$10,0))*parametros_manuales!$H$102+parametros_manuales!$F$26*(datos_base!$H$4+IF(parametros_manuales!$H$26="Todos",datos_base!$H$11,0))*parametros_manuales!$H$107+parametros_manuales!$G$26*(datos_base!$H$5+IF(parametros_manuales!$H$26="Todos",datos_base!$H$12,0))*parametros_manuales!$H$112)*parametros_manuales!$I$26*parametros_manuales!$J$26</f>
        <v>13053.99176722</v>
      </c>
      <c r="I177" s="14" t="n">
        <f aca="false">(parametros_manuales!$D$26*(datos_base!$H$2+IF(parametros_manuales!$H$26="Todos",datos_base!$H$9,0))*parametros_manuales!$I$97+parametros_manuales!$E$26*(datos_base!$H$3+IF(parametros_manuales!$H$26="Todos",datos_base!$H$10,0))*parametros_manuales!$I$102+parametros_manuales!$F$26*(datos_base!$H$4+IF(parametros_manuales!$H$26="Todos",datos_base!$H$11,0))*parametros_manuales!$I$107+parametros_manuales!$G$26*(datos_base!$H$5+IF(parametros_manuales!$H$26="Todos",datos_base!$H$12,0))*parametros_manuales!$I$112)*parametros_manuales!$I$26*parametros_manuales!$J$26</f>
        <v>14879.08906612</v>
      </c>
      <c r="J177" s="14" t="n">
        <f aca="false">(parametros_manuales!$D$26*(datos_base!$H$2+IF(parametros_manuales!$H$26="Todos",datos_base!$H$9,0))*parametros_manuales!$J$97+parametros_manuales!$E$26*(datos_base!$H$3+IF(parametros_manuales!$H$26="Todos",datos_base!$H$10,0))*parametros_manuales!$J$102+parametros_manuales!$F$26*(datos_base!$H$4+IF(parametros_manuales!$H$26="Todos",datos_base!$H$11,0))*parametros_manuales!$J$107+parametros_manuales!$G$26*(datos_base!$H$5+IF(parametros_manuales!$H$26="Todos",datos_base!$H$12,0))*parametros_manuales!$J$112)*parametros_manuales!$I$26*parametros_manuales!$J$26</f>
        <v>14879.08906612</v>
      </c>
      <c r="K177" s="14" t="n">
        <f aca="false">(parametros_manuales!$D$26*(datos_base!$H$2+IF(parametros_manuales!$H$26="Todos",datos_base!$H$9,0))*parametros_manuales!$K$97+parametros_manuales!$E$26*(datos_base!$H$3+IF(parametros_manuales!$H$26="Todos",datos_base!$H$10,0))*parametros_manuales!$K$102+parametros_manuales!$F$26*(datos_base!$H$4+IF(parametros_manuales!$H$26="Todos",datos_base!$H$11,0))*parametros_manuales!$K$107+parametros_manuales!$G$26*(datos_base!$H$5+IF(parametros_manuales!$H$26="Todos",datos_base!$H$12,0))*parametros_manuales!$K$112)*parametros_manuales!$I$26*parametros_manuales!$J$26</f>
        <v>15124.620645665</v>
      </c>
      <c r="L177" s="14" t="n">
        <f aca="false">(parametros_manuales!$D$26*(datos_base!$H$2+IF(parametros_manuales!$H$26="Todos",datos_base!$H$9,0))*parametros_manuales!$L$97+parametros_manuales!$E$26*(datos_base!$H$3+IF(parametros_manuales!$H$26="Todos",datos_base!$H$10,0))*parametros_manuales!$L$102+parametros_manuales!$F$26*(datos_base!$H$4+IF(parametros_manuales!$H$26="Todos",datos_base!$H$11,0))*parametros_manuales!$L$107+parametros_manuales!$G$26*(datos_base!$H$5+IF(parametros_manuales!$H$26="Todos",datos_base!$H$12,0))*parametros_manuales!$L$112)*parametros_manuales!$I$26*parametros_manuales!$J$26</f>
        <v>15370.15222521</v>
      </c>
      <c r="M177" s="14" t="n">
        <f aca="false">(parametros_manuales!$D$26*(datos_base!$H$2+IF(parametros_manuales!$H$26="Todos",datos_base!$H$9,0))*parametros_manuales!$M$97+parametros_manuales!$E$26*(datos_base!$H$3+IF(parametros_manuales!$H$26="Todos",datos_base!$H$10,0))*parametros_manuales!$M$102+parametros_manuales!$F$26*(datos_base!$H$4+IF(parametros_manuales!$H$26="Todos",datos_base!$H$11,0))*parametros_manuales!$M$107+parametros_manuales!$G$26*(datos_base!$H$5+IF(parametros_manuales!$H$26="Todos",datos_base!$H$12,0))*parametros_manuales!$M$112)*parametros_manuales!$I$26*parametros_manuales!$J$26</f>
        <v>15370.15222521</v>
      </c>
      <c r="N177" s="14" t="n">
        <f aca="false">SUM(B177:M177)</f>
        <v>170779.469169</v>
      </c>
      <c r="O177" s="14" t="n">
        <f aca="false">MAX(B177:M177)</f>
        <v>15370.15222521</v>
      </c>
      <c r="P177" s="57" t="n">
        <f aca="false">O177/(parametros_manuales!$B$7)</f>
        <v>102.4676815014</v>
      </c>
      <c r="Q177" s="13" t="str">
        <f aca="false">IF(O177=0,"-",INDEX($B$169:$M$169,MATCH(O177,B177:M177,0)))</f>
        <v>Ene</v>
      </c>
    </row>
    <row r="178" customFormat="false" ht="14.25" hidden="false" customHeight="true" outlineLevel="0" collapsed="false">
      <c r="A178" s="13" t="str">
        <f aca="false">parametros_manuales!$B$27</f>
        <v>Soldadura longitudinal — 2,5 a 10 kg</v>
      </c>
      <c r="B178" s="14" t="n">
        <f aca="false">(parametros_manuales!$D$27*(datos_base!$H$2+IF(parametros_manuales!$H$27="Todos",datos_base!$H$9,0))*parametros_manuales!$B$97+parametros_manuales!$E$27*(datos_base!$H$3+IF(parametros_manuales!$H$27="Todos",datos_base!$H$10,0))*parametros_manuales!$B$102+parametros_manuales!$F$27*(datos_base!$H$4+IF(parametros_manuales!$H$27="Todos",datos_base!$H$11,0))*parametros_manuales!$B$107+parametros_manuales!$G$27*(datos_base!$H$5+IF(parametros_manuales!$H$27="Todos",datos_base!$H$12,0))*parametros_manuales!$B$112)*parametros_manuales!$I$27*parametros_manuales!$J$27</f>
        <v>4419.56843181</v>
      </c>
      <c r="C178" s="14" t="n">
        <f aca="false">(parametros_manuales!$D$27*(datos_base!$H$2+IF(parametros_manuales!$H$27="Todos",datos_base!$H$9,0))*parametros_manuales!$C$97+parametros_manuales!$E$27*(datos_base!$H$3+IF(parametros_manuales!$H$27="Todos",datos_base!$H$10,0))*parametros_manuales!$C$102+parametros_manuales!$F$27*(datos_base!$H$4+IF(parametros_manuales!$H$27="Todos",datos_base!$H$11,0))*parametros_manuales!$C$107+parametros_manuales!$G$27*(datos_base!$H$5+IF(parametros_manuales!$H$27="Todos",datos_base!$H$12,0))*parametros_manuales!$C$112)*parametros_manuales!$I$27*parametros_manuales!$J$27</f>
        <v>3928.50527272</v>
      </c>
      <c r="D178" s="14" t="n">
        <f aca="false">(parametros_manuales!$D$27*(datos_base!$H$2+IF(parametros_manuales!$H$27="Todos",datos_base!$H$9,0))*parametros_manuales!$D$97+parametros_manuales!$E$27*(datos_base!$H$3+IF(parametros_manuales!$H$27="Todos",datos_base!$H$10,0))*parametros_manuales!$D$102+parametros_manuales!$F$27*(datos_base!$H$4+IF(parametros_manuales!$H$27="Todos",datos_base!$H$11,0))*parametros_manuales!$D$107+parametros_manuales!$G$27*(datos_base!$H$5+IF(parametros_manuales!$H$27="Todos",datos_base!$H$12,0))*parametros_manuales!$D$112)*parametros_manuales!$I$27*parametros_manuales!$J$27</f>
        <v>4174.036852265</v>
      </c>
      <c r="E178" s="14" t="n">
        <f aca="false">(parametros_manuales!$D$27*(datos_base!$H$2+IF(parametros_manuales!$H$27="Todos",datos_base!$H$9,0))*parametros_manuales!$E$97+parametros_manuales!$E$27*(datos_base!$H$3+IF(parametros_manuales!$H$27="Todos",datos_base!$H$10,0))*parametros_manuales!$E$102+parametros_manuales!$F$27*(datos_base!$H$4+IF(parametros_manuales!$H$27="Todos",datos_base!$H$11,0))*parametros_manuales!$E$107+parametros_manuales!$G$27*(datos_base!$H$5+IF(parametros_manuales!$H$27="Todos",datos_base!$H$12,0))*parametros_manuales!$E$112)*parametros_manuales!$I$27*parametros_manuales!$J$27</f>
        <v>4174.036852265</v>
      </c>
      <c r="F178" s="14" t="n">
        <f aca="false">(parametros_manuales!$D$27*(datos_base!$H$2+IF(parametros_manuales!$H$27="Todos",datos_base!$H$9,0))*parametros_manuales!$F$97+parametros_manuales!$E$27*(datos_base!$H$3+IF(parametros_manuales!$H$27="Todos",datos_base!$H$10,0))*parametros_manuales!$F$102+parametros_manuales!$F$27*(datos_base!$H$4+IF(parametros_manuales!$H$27="Todos",datos_base!$H$11,0))*parametros_manuales!$F$107+parametros_manuales!$G$27*(datos_base!$H$5+IF(parametros_manuales!$H$27="Todos",datos_base!$H$12,0))*parametros_manuales!$F$112)*parametros_manuales!$I$27*parametros_manuales!$J$27</f>
        <v>3928.50527272</v>
      </c>
      <c r="G178" s="14" t="n">
        <f aca="false">(parametros_manuales!$D$27*(datos_base!$H$2+IF(parametros_manuales!$H$27="Todos",datos_base!$H$9,0))*parametros_manuales!$G$97+parametros_manuales!$E$27*(datos_base!$H$3+IF(parametros_manuales!$H$27="Todos",datos_base!$H$10,0))*parametros_manuales!$G$102+parametros_manuales!$F$27*(datos_base!$H$4+IF(parametros_manuales!$H$27="Todos",datos_base!$H$11,0))*parametros_manuales!$G$107+parametros_manuales!$G$27*(datos_base!$H$5+IF(parametros_manuales!$H$27="Todos",datos_base!$H$12,0))*parametros_manuales!$G$112)*parametros_manuales!$I$27*parametros_manuales!$J$27</f>
        <v>3682.973693175</v>
      </c>
      <c r="H178" s="14" t="n">
        <f aca="false">(parametros_manuales!$D$27*(datos_base!$H$2+IF(parametros_manuales!$H$27="Todos",datos_base!$H$9,0))*parametros_manuales!$H$97+parametros_manuales!$E$27*(datos_base!$H$3+IF(parametros_manuales!$H$27="Todos",datos_base!$H$10,0))*parametros_manuales!$H$102+parametros_manuales!$F$27*(datos_base!$H$4+IF(parametros_manuales!$H$27="Todos",datos_base!$H$11,0))*parametros_manuales!$H$107+parametros_manuales!$G$27*(datos_base!$H$5+IF(parametros_manuales!$H$27="Todos",datos_base!$H$12,0))*parametros_manuales!$H$112)*parametros_manuales!$I$27*parametros_manuales!$J$27</f>
        <v>3928.50527272</v>
      </c>
      <c r="I178" s="14" t="n">
        <f aca="false">(parametros_manuales!$D$27*(datos_base!$H$2+IF(parametros_manuales!$H$27="Todos",datos_base!$H$9,0))*parametros_manuales!$I$97+parametros_manuales!$E$27*(datos_base!$H$3+IF(parametros_manuales!$H$27="Todos",datos_base!$H$10,0))*parametros_manuales!$I$102+parametros_manuales!$F$27*(datos_base!$H$4+IF(parametros_manuales!$H$27="Todos",datos_base!$H$11,0))*parametros_manuales!$I$107+parametros_manuales!$G$27*(datos_base!$H$5+IF(parametros_manuales!$H$27="Todos",datos_base!$H$12,0))*parametros_manuales!$I$112)*parametros_manuales!$I$27*parametros_manuales!$J$27</f>
        <v>3928.50527272</v>
      </c>
      <c r="J178" s="14" t="n">
        <f aca="false">(parametros_manuales!$D$27*(datos_base!$H$2+IF(parametros_manuales!$H$27="Todos",datos_base!$H$9,0))*parametros_manuales!$J$97+parametros_manuales!$E$27*(datos_base!$H$3+IF(parametros_manuales!$H$27="Todos",datos_base!$H$10,0))*parametros_manuales!$J$102+parametros_manuales!$F$27*(datos_base!$H$4+IF(parametros_manuales!$H$27="Todos",datos_base!$H$11,0))*parametros_manuales!$J$107+parametros_manuales!$G$27*(datos_base!$H$5+IF(parametros_manuales!$H$27="Todos",datos_base!$H$12,0))*parametros_manuales!$J$112)*parametros_manuales!$I$27*parametros_manuales!$J$27</f>
        <v>3928.50527272</v>
      </c>
      <c r="K178" s="14" t="n">
        <f aca="false">(parametros_manuales!$D$27*(datos_base!$H$2+IF(parametros_manuales!$H$27="Todos",datos_base!$H$9,0))*parametros_manuales!$K$97+parametros_manuales!$E$27*(datos_base!$H$3+IF(parametros_manuales!$H$27="Todos",datos_base!$H$10,0))*parametros_manuales!$K$102+parametros_manuales!$F$27*(datos_base!$H$4+IF(parametros_manuales!$H$27="Todos",datos_base!$H$11,0))*parametros_manuales!$K$107+parametros_manuales!$G$27*(datos_base!$H$5+IF(parametros_manuales!$H$27="Todos",datos_base!$H$12,0))*parametros_manuales!$K$112)*parametros_manuales!$I$27*parametros_manuales!$J$27</f>
        <v>4174.036852265</v>
      </c>
      <c r="L178" s="14" t="n">
        <f aca="false">(parametros_manuales!$D$27*(datos_base!$H$2+IF(parametros_manuales!$H$27="Todos",datos_base!$H$9,0))*parametros_manuales!$L$97+parametros_manuales!$E$27*(datos_base!$H$3+IF(parametros_manuales!$H$27="Todos",datos_base!$H$10,0))*parametros_manuales!$L$102+parametros_manuales!$F$27*(datos_base!$H$4+IF(parametros_manuales!$H$27="Todos",datos_base!$H$11,0))*parametros_manuales!$L$107+parametros_manuales!$G$27*(datos_base!$H$5+IF(parametros_manuales!$H$27="Todos",datos_base!$H$12,0))*parametros_manuales!$L$112)*parametros_manuales!$I$27*parametros_manuales!$J$27</f>
        <v>4419.56843181</v>
      </c>
      <c r="M178" s="14" t="n">
        <f aca="false">(parametros_manuales!$D$27*(datos_base!$H$2+IF(parametros_manuales!$H$27="Todos",datos_base!$H$9,0))*parametros_manuales!$M$97+parametros_manuales!$E$27*(datos_base!$H$3+IF(parametros_manuales!$H$27="Todos",datos_base!$H$10,0))*parametros_manuales!$M$102+parametros_manuales!$F$27*(datos_base!$H$4+IF(parametros_manuales!$H$27="Todos",datos_base!$H$11,0))*parametros_manuales!$M$107+parametros_manuales!$G$27*(datos_base!$H$5+IF(parametros_manuales!$H$27="Todos",datos_base!$H$12,0))*parametros_manuales!$M$112)*parametros_manuales!$I$27*parametros_manuales!$J$27</f>
        <v>4419.56843181</v>
      </c>
      <c r="N178" s="14" t="n">
        <f aca="false">SUM(B178:M178)</f>
        <v>49106.315909</v>
      </c>
      <c r="O178" s="14" t="n">
        <f aca="false">MAX(B178:M178)</f>
        <v>4419.56843181</v>
      </c>
      <c r="P178" s="57" t="n">
        <f aca="false">O178/(parametros_manuales!$B$7)</f>
        <v>29.4637895454</v>
      </c>
      <c r="Q178" s="13" t="str">
        <f aca="false">IF(O178=0,"-",INDEX($B$169:$M$169,MATCH(O178,B178:M178,0)))</f>
        <v>Ene</v>
      </c>
    </row>
    <row r="179" customFormat="false" ht="14.25" hidden="false" customHeight="true" outlineLevel="0" collapsed="false">
      <c r="A179" s="13" t="str">
        <f aca="false">parametros_manuales!$B$28</f>
        <v>Soldadura longitudinal TIG — 1 kg</v>
      </c>
      <c r="B179" s="14" t="n">
        <f aca="false">(parametros_manuales!$D$28*(datos_base!$H$2+IF(parametros_manuales!$H$28="Todos",datos_base!$H$9,0))*parametros_manuales!$B$97+parametros_manuales!$E$28*(datos_base!$H$3+IF(parametros_manuales!$H$28="Todos",datos_base!$H$10,0))*parametros_manuales!$B$102+parametros_manuales!$F$28*(datos_base!$H$4+IF(parametros_manuales!$H$28="Todos",datos_base!$H$11,0))*parametros_manuales!$B$107+parametros_manuales!$G$28*(datos_base!$H$5+IF(parametros_manuales!$H$28="Todos",datos_base!$H$12,0))*parametros_manuales!$B$112)*parametros_manuales!$I$28*parametros_manuales!$J$28</f>
        <v>10950.5837934</v>
      </c>
      <c r="C179" s="14" t="n">
        <f aca="false">(parametros_manuales!$D$28*(datos_base!$H$2+IF(parametros_manuales!$H$28="Todos",datos_base!$H$9,0))*parametros_manuales!$C$97+parametros_manuales!$E$28*(datos_base!$H$3+IF(parametros_manuales!$H$28="Todos",datos_base!$H$10,0))*parametros_manuales!$C$102+parametros_manuales!$F$28*(datos_base!$H$4+IF(parametros_manuales!$H$28="Todos",datos_base!$H$11,0))*parametros_manuales!$C$107+parametros_manuales!$G$28*(datos_base!$H$5+IF(parametros_manuales!$H$28="Todos",datos_base!$H$12,0))*parametros_manuales!$C$112)*parametros_manuales!$I$28*parametros_manuales!$J$28</f>
        <v>10950.5837934</v>
      </c>
      <c r="D179" s="14" t="n">
        <f aca="false">(parametros_manuales!$D$28*(datos_base!$H$2+IF(parametros_manuales!$H$28="Todos",datos_base!$H$9,0))*parametros_manuales!$D$97+parametros_manuales!$E$28*(datos_base!$H$3+IF(parametros_manuales!$H$28="Todos",datos_base!$H$10,0))*parametros_manuales!$D$102+parametros_manuales!$F$28*(datos_base!$H$4+IF(parametros_manuales!$H$28="Todos",datos_base!$H$11,0))*parametros_manuales!$D$107+parametros_manuales!$G$28*(datos_base!$H$5+IF(parametros_manuales!$H$28="Todos",datos_base!$H$12,0))*parametros_manuales!$D$112)*parametros_manuales!$I$28*parametros_manuales!$J$28</f>
        <v>9733.8522608</v>
      </c>
      <c r="E179" s="14" t="n">
        <f aca="false">(parametros_manuales!$D$28*(datos_base!$H$2+IF(parametros_manuales!$H$28="Todos",datos_base!$H$9,0))*parametros_manuales!$E$97+parametros_manuales!$E$28*(datos_base!$H$3+IF(parametros_manuales!$H$28="Todos",datos_base!$H$10,0))*parametros_manuales!$E$102+parametros_manuales!$F$28*(datos_base!$H$4+IF(parametros_manuales!$H$28="Todos",datos_base!$H$11,0))*parametros_manuales!$E$107+parametros_manuales!$G$28*(datos_base!$H$5+IF(parametros_manuales!$H$28="Todos",datos_base!$H$12,0))*parametros_manuales!$E$112)*parametros_manuales!$I$28*parametros_manuales!$J$28</f>
        <v>9125.4864945</v>
      </c>
      <c r="F179" s="14" t="n">
        <f aca="false">(parametros_manuales!$D$28*(datos_base!$H$2+IF(parametros_manuales!$H$28="Todos",datos_base!$H$9,0))*parametros_manuales!$F$97+parametros_manuales!$E$28*(datos_base!$H$3+IF(parametros_manuales!$H$28="Todos",datos_base!$H$10,0))*parametros_manuales!$F$102+parametros_manuales!$F$28*(datos_base!$H$4+IF(parametros_manuales!$H$28="Todos",datos_base!$H$11,0))*parametros_manuales!$F$107+parametros_manuales!$G$28*(datos_base!$H$5+IF(parametros_manuales!$H$28="Todos",datos_base!$H$12,0))*parametros_manuales!$F$112)*parametros_manuales!$I$28*parametros_manuales!$J$28</f>
        <v>8517.1207282</v>
      </c>
      <c r="G179" s="14" t="n">
        <f aca="false">(parametros_manuales!$D$28*(datos_base!$H$2+IF(parametros_manuales!$H$28="Todos",datos_base!$H$9,0))*parametros_manuales!$G$97+parametros_manuales!$E$28*(datos_base!$H$3+IF(parametros_manuales!$H$28="Todos",datos_base!$H$10,0))*parametros_manuales!$G$102+parametros_manuales!$F$28*(datos_base!$H$4+IF(parametros_manuales!$H$28="Todos",datos_base!$H$11,0))*parametros_manuales!$G$107+parametros_manuales!$G$28*(datos_base!$H$5+IF(parametros_manuales!$H$28="Todos",datos_base!$H$12,0))*parametros_manuales!$G$112)*parametros_manuales!$I$28*parametros_manuales!$J$28</f>
        <v>8517.1207282</v>
      </c>
      <c r="H179" s="14" t="n">
        <f aca="false">(parametros_manuales!$D$28*(datos_base!$H$2+IF(parametros_manuales!$H$28="Todos",datos_base!$H$9,0))*parametros_manuales!$H$97+parametros_manuales!$E$28*(datos_base!$H$3+IF(parametros_manuales!$H$28="Todos",datos_base!$H$10,0))*parametros_manuales!$H$102+parametros_manuales!$F$28*(datos_base!$H$4+IF(parametros_manuales!$H$28="Todos",datos_base!$H$11,0))*parametros_manuales!$H$107+parametros_manuales!$G$28*(datos_base!$H$5+IF(parametros_manuales!$H$28="Todos",datos_base!$H$12,0))*parametros_manuales!$H$112)*parametros_manuales!$I$28*parametros_manuales!$J$28</f>
        <v>9125.4864945</v>
      </c>
      <c r="I179" s="14" t="n">
        <f aca="false">(parametros_manuales!$D$28*(datos_base!$H$2+IF(parametros_manuales!$H$28="Todos",datos_base!$H$9,0))*parametros_manuales!$I$97+parametros_manuales!$E$28*(datos_base!$H$3+IF(parametros_manuales!$H$28="Todos",datos_base!$H$10,0))*parametros_manuales!$I$102+parametros_manuales!$F$28*(datos_base!$H$4+IF(parametros_manuales!$H$28="Todos",datos_base!$H$11,0))*parametros_manuales!$I$107+parametros_manuales!$G$28*(datos_base!$H$5+IF(parametros_manuales!$H$28="Todos",datos_base!$H$12,0))*parametros_manuales!$I$112)*parametros_manuales!$I$28*parametros_manuales!$J$28</f>
        <v>10950.5837934</v>
      </c>
      <c r="J179" s="14" t="n">
        <f aca="false">(parametros_manuales!$D$28*(datos_base!$H$2+IF(parametros_manuales!$H$28="Todos",datos_base!$H$9,0))*parametros_manuales!$J$97+parametros_manuales!$E$28*(datos_base!$H$3+IF(parametros_manuales!$H$28="Todos",datos_base!$H$10,0))*parametros_manuales!$J$102+parametros_manuales!$F$28*(datos_base!$H$4+IF(parametros_manuales!$H$28="Todos",datos_base!$H$11,0))*parametros_manuales!$J$107+parametros_manuales!$G$28*(datos_base!$H$5+IF(parametros_manuales!$H$28="Todos",datos_base!$H$12,0))*parametros_manuales!$J$112)*parametros_manuales!$I$28*parametros_manuales!$J$28</f>
        <v>10950.5837934</v>
      </c>
      <c r="K179" s="14" t="n">
        <f aca="false">(parametros_manuales!$D$28*(datos_base!$H$2+IF(parametros_manuales!$H$28="Todos",datos_base!$H$9,0))*parametros_manuales!$K$97+parametros_manuales!$E$28*(datos_base!$H$3+IF(parametros_manuales!$H$28="Todos",datos_base!$H$10,0))*parametros_manuales!$K$102+parametros_manuales!$F$28*(datos_base!$H$4+IF(parametros_manuales!$H$28="Todos",datos_base!$H$11,0))*parametros_manuales!$K$107+parametros_manuales!$G$28*(datos_base!$H$5+IF(parametros_manuales!$H$28="Todos",datos_base!$H$12,0))*parametros_manuales!$K$112)*parametros_manuales!$I$28*parametros_manuales!$J$28</f>
        <v>10950.5837934</v>
      </c>
      <c r="L179" s="14" t="n">
        <f aca="false">(parametros_manuales!$D$28*(datos_base!$H$2+IF(parametros_manuales!$H$28="Todos",datos_base!$H$9,0))*parametros_manuales!$L$97+parametros_manuales!$E$28*(datos_base!$H$3+IF(parametros_manuales!$H$28="Todos",datos_base!$H$10,0))*parametros_manuales!$L$102+parametros_manuales!$F$28*(datos_base!$H$4+IF(parametros_manuales!$H$28="Todos",datos_base!$H$11,0))*parametros_manuales!$L$107+parametros_manuales!$G$28*(datos_base!$H$5+IF(parametros_manuales!$H$28="Todos",datos_base!$H$12,0))*parametros_manuales!$L$112)*parametros_manuales!$I$28*parametros_manuales!$J$28</f>
        <v>10950.5837934</v>
      </c>
      <c r="M179" s="14" t="n">
        <f aca="false">(parametros_manuales!$D$28*(datos_base!$H$2+IF(parametros_manuales!$H$28="Todos",datos_base!$H$9,0))*parametros_manuales!$M$97+parametros_manuales!$E$28*(datos_base!$H$3+IF(parametros_manuales!$H$28="Todos",datos_base!$H$10,0))*parametros_manuales!$M$102+parametros_manuales!$F$28*(datos_base!$H$4+IF(parametros_manuales!$H$28="Todos",datos_base!$H$11,0))*parametros_manuales!$M$107+parametros_manuales!$G$28*(datos_base!$H$5+IF(parametros_manuales!$H$28="Todos",datos_base!$H$12,0))*parametros_manuales!$M$112)*parametros_manuales!$I$28*parametros_manuales!$J$28</f>
        <v>10950.5837934</v>
      </c>
      <c r="N179" s="14" t="n">
        <f aca="false">SUM(B179:M179)</f>
        <v>121673.15326</v>
      </c>
      <c r="O179" s="14" t="n">
        <f aca="false">MAX(B179:M179)</f>
        <v>10950.5837934</v>
      </c>
      <c r="P179" s="57" t="n">
        <f aca="false">O179/(parametros_manuales!$B$7)</f>
        <v>73.003891956</v>
      </c>
      <c r="Q179" s="13" t="str">
        <f aca="false">IF(O179=0,"-",INDEX($B$169:$M$169,MATCH(O179,B179:M179,0)))</f>
        <v>Ene</v>
      </c>
    </row>
    <row r="180" customFormat="false" ht="14.25" hidden="false" customHeight="true" outlineLevel="0" collapsed="false">
      <c r="A180" s="13" t="str">
        <f aca="false">parametros_manuales!$B$29</f>
        <v>Encastre de fondo</v>
      </c>
      <c r="B180" s="14" t="n">
        <f aca="false">(parametros_manuales!$D$29*(datos_base!$H$2+IF(parametros_manuales!$H$29="Todos",datos_base!$H$9,0))*parametros_manuales!$B$97+parametros_manuales!$E$29*(datos_base!$H$3+IF(parametros_manuales!$H$29="Todos",datos_base!$H$10,0))*parametros_manuales!$B$102+parametros_manuales!$F$29*(datos_base!$H$4+IF(parametros_manuales!$H$29="Todos",datos_base!$H$11,0))*parametros_manuales!$B$107+parametros_manuales!$G$29*(datos_base!$H$5+IF(parametros_manuales!$H$29="Todos",datos_base!$H$12,0))*parametros_manuales!$B$112)*parametros_manuales!$I$29*parametros_manuales!$J$29</f>
        <v>15370.15222521</v>
      </c>
      <c r="C180" s="14" t="n">
        <f aca="false">(parametros_manuales!$D$29*(datos_base!$H$2+IF(parametros_manuales!$H$29="Todos",datos_base!$H$9,0))*parametros_manuales!$C$97+parametros_manuales!$E$29*(datos_base!$H$3+IF(parametros_manuales!$H$29="Todos",datos_base!$H$10,0))*parametros_manuales!$C$102+parametros_manuales!$F$29*(datos_base!$H$4+IF(parametros_manuales!$H$29="Todos",datos_base!$H$11,0))*parametros_manuales!$C$107+parametros_manuales!$G$29*(datos_base!$H$5+IF(parametros_manuales!$H$29="Todos",datos_base!$H$12,0))*parametros_manuales!$C$112)*parametros_manuales!$I$29*parametros_manuales!$J$29</f>
        <v>14879.08906612</v>
      </c>
      <c r="D180" s="14" t="n">
        <f aca="false">(parametros_manuales!$D$29*(datos_base!$H$2+IF(parametros_manuales!$H$29="Todos",datos_base!$H$9,0))*parametros_manuales!$D$97+parametros_manuales!$E$29*(datos_base!$H$3+IF(parametros_manuales!$H$29="Todos",datos_base!$H$10,0))*parametros_manuales!$D$102+parametros_manuales!$F$29*(datos_base!$H$4+IF(parametros_manuales!$H$29="Todos",datos_base!$H$11,0))*parametros_manuales!$D$107+parametros_manuales!$G$29*(datos_base!$H$5+IF(parametros_manuales!$H$29="Todos",datos_base!$H$12,0))*parametros_manuales!$D$112)*parametros_manuales!$I$29*parametros_manuales!$J$29</f>
        <v>13907.889113065</v>
      </c>
      <c r="E180" s="14" t="n">
        <f aca="false">(parametros_manuales!$D$29*(datos_base!$H$2+IF(parametros_manuales!$H$29="Todos",datos_base!$H$9,0))*parametros_manuales!$E$97+parametros_manuales!$E$29*(datos_base!$H$3+IF(parametros_manuales!$H$29="Todos",datos_base!$H$10,0))*parametros_manuales!$E$102+parametros_manuales!$F$29*(datos_base!$H$4+IF(parametros_manuales!$H$29="Todos",datos_base!$H$11,0))*parametros_manuales!$E$107+parametros_manuales!$G$29*(datos_base!$H$5+IF(parametros_manuales!$H$29="Todos",datos_base!$H$12,0))*parametros_manuales!$E$112)*parametros_manuales!$I$29*parametros_manuales!$J$29</f>
        <v>13299.523346765</v>
      </c>
      <c r="F180" s="14" t="n">
        <f aca="false">(parametros_manuales!$D$29*(datos_base!$H$2+IF(parametros_manuales!$H$29="Todos",datos_base!$H$9,0))*parametros_manuales!$F$97+parametros_manuales!$E$29*(datos_base!$H$3+IF(parametros_manuales!$H$29="Todos",datos_base!$H$10,0))*parametros_manuales!$F$102+parametros_manuales!$F$29*(datos_base!$H$4+IF(parametros_manuales!$H$29="Todos",datos_base!$H$11,0))*parametros_manuales!$F$107+parametros_manuales!$G$29*(datos_base!$H$5+IF(parametros_manuales!$H$29="Todos",datos_base!$H$12,0))*parametros_manuales!$F$112)*parametros_manuales!$I$29*parametros_manuales!$J$29</f>
        <v>12445.62600092</v>
      </c>
      <c r="G180" s="14" t="n">
        <f aca="false">(parametros_manuales!$D$29*(datos_base!$H$2+IF(parametros_manuales!$H$29="Todos",datos_base!$H$9,0))*parametros_manuales!$G$97+parametros_manuales!$E$29*(datos_base!$H$3+IF(parametros_manuales!$H$29="Todos",datos_base!$H$10,0))*parametros_manuales!$G$102+parametros_manuales!$F$29*(datos_base!$H$4+IF(parametros_manuales!$H$29="Todos",datos_base!$H$11,0))*parametros_manuales!$G$107+parametros_manuales!$G$29*(datos_base!$H$5+IF(parametros_manuales!$H$29="Todos",datos_base!$H$12,0))*parametros_manuales!$G$112)*parametros_manuales!$I$29*parametros_manuales!$J$29</f>
        <v>12200.094421375</v>
      </c>
      <c r="H180" s="14" t="n">
        <f aca="false">(parametros_manuales!$D$29*(datos_base!$H$2+IF(parametros_manuales!$H$29="Todos",datos_base!$H$9,0))*parametros_manuales!$H$97+parametros_manuales!$E$29*(datos_base!$H$3+IF(parametros_manuales!$H$29="Todos",datos_base!$H$10,0))*parametros_manuales!$H$102+parametros_manuales!$F$29*(datos_base!$H$4+IF(parametros_manuales!$H$29="Todos",datos_base!$H$11,0))*parametros_manuales!$H$107+parametros_manuales!$G$29*(datos_base!$H$5+IF(parametros_manuales!$H$29="Todos",datos_base!$H$12,0))*parametros_manuales!$H$112)*parametros_manuales!$I$29*parametros_manuales!$J$29</f>
        <v>13053.99176722</v>
      </c>
      <c r="I180" s="14" t="n">
        <f aca="false">(parametros_manuales!$D$29*(datos_base!$H$2+IF(parametros_manuales!$H$29="Todos",datos_base!$H$9,0))*parametros_manuales!$I$97+parametros_manuales!$E$29*(datos_base!$H$3+IF(parametros_manuales!$H$29="Todos",datos_base!$H$10,0))*parametros_manuales!$I$102+parametros_manuales!$F$29*(datos_base!$H$4+IF(parametros_manuales!$H$29="Todos",datos_base!$H$11,0))*parametros_manuales!$I$107+parametros_manuales!$G$29*(datos_base!$H$5+IF(parametros_manuales!$H$29="Todos",datos_base!$H$12,0))*parametros_manuales!$I$112)*parametros_manuales!$I$29*parametros_manuales!$J$29</f>
        <v>14879.08906612</v>
      </c>
      <c r="J180" s="14" t="n">
        <f aca="false">(parametros_manuales!$D$29*(datos_base!$H$2+IF(parametros_manuales!$H$29="Todos",datos_base!$H$9,0))*parametros_manuales!$J$97+parametros_manuales!$E$29*(datos_base!$H$3+IF(parametros_manuales!$H$29="Todos",datos_base!$H$10,0))*parametros_manuales!$J$102+parametros_manuales!$F$29*(datos_base!$H$4+IF(parametros_manuales!$H$29="Todos",datos_base!$H$11,0))*parametros_manuales!$J$107+parametros_manuales!$G$29*(datos_base!$H$5+IF(parametros_manuales!$H$29="Todos",datos_base!$H$12,0))*parametros_manuales!$J$112)*parametros_manuales!$I$29*parametros_manuales!$J$29</f>
        <v>14879.08906612</v>
      </c>
      <c r="K180" s="14" t="n">
        <f aca="false">(parametros_manuales!$D$29*(datos_base!$H$2+IF(parametros_manuales!$H$29="Todos",datos_base!$H$9,0))*parametros_manuales!$K$97+parametros_manuales!$E$29*(datos_base!$H$3+IF(parametros_manuales!$H$29="Todos",datos_base!$H$10,0))*parametros_manuales!$K$102+parametros_manuales!$F$29*(datos_base!$H$4+IF(parametros_manuales!$H$29="Todos",datos_base!$H$11,0))*parametros_manuales!$K$107+parametros_manuales!$G$29*(datos_base!$H$5+IF(parametros_manuales!$H$29="Todos",datos_base!$H$12,0))*parametros_manuales!$K$112)*parametros_manuales!$I$29*parametros_manuales!$J$29</f>
        <v>15124.620645665</v>
      </c>
      <c r="L180" s="14" t="n">
        <f aca="false">(parametros_manuales!$D$29*(datos_base!$H$2+IF(parametros_manuales!$H$29="Todos",datos_base!$H$9,0))*parametros_manuales!$L$97+parametros_manuales!$E$29*(datos_base!$H$3+IF(parametros_manuales!$H$29="Todos",datos_base!$H$10,0))*parametros_manuales!$L$102+parametros_manuales!$F$29*(datos_base!$H$4+IF(parametros_manuales!$H$29="Todos",datos_base!$H$11,0))*parametros_manuales!$L$107+parametros_manuales!$G$29*(datos_base!$H$5+IF(parametros_manuales!$H$29="Todos",datos_base!$H$12,0))*parametros_manuales!$L$112)*parametros_manuales!$I$29*parametros_manuales!$J$29</f>
        <v>15370.15222521</v>
      </c>
      <c r="M180" s="14" t="n">
        <f aca="false">(parametros_manuales!$D$29*(datos_base!$H$2+IF(parametros_manuales!$H$29="Todos",datos_base!$H$9,0))*parametros_manuales!$M$97+parametros_manuales!$E$29*(datos_base!$H$3+IF(parametros_manuales!$H$29="Todos",datos_base!$H$10,0))*parametros_manuales!$M$102+parametros_manuales!$F$29*(datos_base!$H$4+IF(parametros_manuales!$H$29="Todos",datos_base!$H$11,0))*parametros_manuales!$M$107+parametros_manuales!$G$29*(datos_base!$H$5+IF(parametros_manuales!$H$29="Todos",datos_base!$H$12,0))*parametros_manuales!$M$112)*parametros_manuales!$I$29*parametros_manuales!$J$29</f>
        <v>15370.15222521</v>
      </c>
      <c r="N180" s="14" t="n">
        <f aca="false">SUM(B180:M180)</f>
        <v>170779.469169</v>
      </c>
      <c r="O180" s="14" t="n">
        <f aca="false">MAX(B180:M180)</f>
        <v>15370.15222521</v>
      </c>
      <c r="P180" s="57" t="n">
        <f aca="false">O180/(parametros_manuales!$B$7)</f>
        <v>102.4676815014</v>
      </c>
      <c r="Q180" s="13" t="str">
        <f aca="false">IF(O180=0,"-",INDEX($B$169:$M$169,MATCH(O180,B180:M180,0)))</f>
        <v>Ene</v>
      </c>
    </row>
    <row r="181" customFormat="false" ht="14.25" hidden="false" customHeight="true" outlineLevel="0" collapsed="false">
      <c r="A181" s="13" t="str">
        <f aca="false">parametros_manuales!$B$30</f>
        <v>Bordoneado</v>
      </c>
      <c r="B181" s="14" t="n">
        <f aca="false">(parametros_manuales!$D$30*(datos_base!$H$2+IF(parametros_manuales!$H$30="Todos",datos_base!$H$9,0))*parametros_manuales!$B$97+parametros_manuales!$E$30*(datos_base!$H$3+IF(parametros_manuales!$H$30="Todos",datos_base!$H$10,0))*parametros_manuales!$B$102+parametros_manuales!$F$30*(datos_base!$H$4+IF(parametros_manuales!$H$30="Todos",datos_base!$H$11,0))*parametros_manuales!$B$107+parametros_manuales!$G$30*(datos_base!$H$5+IF(parametros_manuales!$H$30="Todos",datos_base!$H$12,0))*parametros_manuales!$B$112)*parametros_manuales!$I$30*parametros_manuales!$J$30</f>
        <v>15370.15222521</v>
      </c>
      <c r="C181" s="14" t="n">
        <f aca="false">(parametros_manuales!$D$30*(datos_base!$H$2+IF(parametros_manuales!$H$30="Todos",datos_base!$H$9,0))*parametros_manuales!$C$97+parametros_manuales!$E$30*(datos_base!$H$3+IF(parametros_manuales!$H$30="Todos",datos_base!$H$10,0))*parametros_manuales!$C$102+parametros_manuales!$F$30*(datos_base!$H$4+IF(parametros_manuales!$H$30="Todos",datos_base!$H$11,0))*parametros_manuales!$C$107+parametros_manuales!$G$30*(datos_base!$H$5+IF(parametros_manuales!$H$30="Todos",datos_base!$H$12,0))*parametros_manuales!$C$112)*parametros_manuales!$I$30*parametros_manuales!$J$30</f>
        <v>14879.08906612</v>
      </c>
      <c r="D181" s="14" t="n">
        <f aca="false">(parametros_manuales!$D$30*(datos_base!$H$2+IF(parametros_manuales!$H$30="Todos",datos_base!$H$9,0))*parametros_manuales!$D$97+parametros_manuales!$E$30*(datos_base!$H$3+IF(parametros_manuales!$H$30="Todos",datos_base!$H$10,0))*parametros_manuales!$D$102+parametros_manuales!$F$30*(datos_base!$H$4+IF(parametros_manuales!$H$30="Todos",datos_base!$H$11,0))*parametros_manuales!$D$107+parametros_manuales!$G$30*(datos_base!$H$5+IF(parametros_manuales!$H$30="Todos",datos_base!$H$12,0))*parametros_manuales!$D$112)*parametros_manuales!$I$30*parametros_manuales!$J$30</f>
        <v>13907.889113065</v>
      </c>
      <c r="E181" s="14" t="n">
        <f aca="false">(parametros_manuales!$D$30*(datos_base!$H$2+IF(parametros_manuales!$H$30="Todos",datos_base!$H$9,0))*parametros_manuales!$E$97+parametros_manuales!$E$30*(datos_base!$H$3+IF(parametros_manuales!$H$30="Todos",datos_base!$H$10,0))*parametros_manuales!$E$102+parametros_manuales!$F$30*(datos_base!$H$4+IF(parametros_manuales!$H$30="Todos",datos_base!$H$11,0))*parametros_manuales!$E$107+parametros_manuales!$G$30*(datos_base!$H$5+IF(parametros_manuales!$H$30="Todos",datos_base!$H$12,0))*parametros_manuales!$E$112)*parametros_manuales!$I$30*parametros_manuales!$J$30</f>
        <v>13299.523346765</v>
      </c>
      <c r="F181" s="14" t="n">
        <f aca="false">(parametros_manuales!$D$30*(datos_base!$H$2+IF(parametros_manuales!$H$30="Todos",datos_base!$H$9,0))*parametros_manuales!$F$97+parametros_manuales!$E$30*(datos_base!$H$3+IF(parametros_manuales!$H$30="Todos",datos_base!$H$10,0))*parametros_manuales!$F$102+parametros_manuales!$F$30*(datos_base!$H$4+IF(parametros_manuales!$H$30="Todos",datos_base!$H$11,0))*parametros_manuales!$F$107+parametros_manuales!$G$30*(datos_base!$H$5+IF(parametros_manuales!$H$30="Todos",datos_base!$H$12,0))*parametros_manuales!$F$112)*parametros_manuales!$I$30*parametros_manuales!$J$30</f>
        <v>12445.62600092</v>
      </c>
      <c r="G181" s="14" t="n">
        <f aca="false">(parametros_manuales!$D$30*(datos_base!$H$2+IF(parametros_manuales!$H$30="Todos",datos_base!$H$9,0))*parametros_manuales!$G$97+parametros_manuales!$E$30*(datos_base!$H$3+IF(parametros_manuales!$H$30="Todos",datos_base!$H$10,0))*parametros_manuales!$G$102+parametros_manuales!$F$30*(datos_base!$H$4+IF(parametros_manuales!$H$30="Todos",datos_base!$H$11,0))*parametros_manuales!$G$107+parametros_manuales!$G$30*(datos_base!$H$5+IF(parametros_manuales!$H$30="Todos",datos_base!$H$12,0))*parametros_manuales!$G$112)*parametros_manuales!$I$30*parametros_manuales!$J$30</f>
        <v>12200.094421375</v>
      </c>
      <c r="H181" s="14" t="n">
        <f aca="false">(parametros_manuales!$D$30*(datos_base!$H$2+IF(parametros_manuales!$H$30="Todos",datos_base!$H$9,0))*parametros_manuales!$H$97+parametros_manuales!$E$30*(datos_base!$H$3+IF(parametros_manuales!$H$30="Todos",datos_base!$H$10,0))*parametros_manuales!$H$102+parametros_manuales!$F$30*(datos_base!$H$4+IF(parametros_manuales!$H$30="Todos",datos_base!$H$11,0))*parametros_manuales!$H$107+parametros_manuales!$G$30*(datos_base!$H$5+IF(parametros_manuales!$H$30="Todos",datos_base!$H$12,0))*parametros_manuales!$H$112)*parametros_manuales!$I$30*parametros_manuales!$J$30</f>
        <v>13053.99176722</v>
      </c>
      <c r="I181" s="14" t="n">
        <f aca="false">(parametros_manuales!$D$30*(datos_base!$H$2+IF(parametros_manuales!$H$30="Todos",datos_base!$H$9,0))*parametros_manuales!$I$97+parametros_manuales!$E$30*(datos_base!$H$3+IF(parametros_manuales!$H$30="Todos",datos_base!$H$10,0))*parametros_manuales!$I$102+parametros_manuales!$F$30*(datos_base!$H$4+IF(parametros_manuales!$H$30="Todos",datos_base!$H$11,0))*parametros_manuales!$I$107+parametros_manuales!$G$30*(datos_base!$H$5+IF(parametros_manuales!$H$30="Todos",datos_base!$H$12,0))*parametros_manuales!$I$112)*parametros_manuales!$I$30*parametros_manuales!$J$30</f>
        <v>14879.08906612</v>
      </c>
      <c r="J181" s="14" t="n">
        <f aca="false">(parametros_manuales!$D$30*(datos_base!$H$2+IF(parametros_manuales!$H$30="Todos",datos_base!$H$9,0))*parametros_manuales!$J$97+parametros_manuales!$E$30*(datos_base!$H$3+IF(parametros_manuales!$H$30="Todos",datos_base!$H$10,0))*parametros_manuales!$J$102+parametros_manuales!$F$30*(datos_base!$H$4+IF(parametros_manuales!$H$30="Todos",datos_base!$H$11,0))*parametros_manuales!$J$107+parametros_manuales!$G$30*(datos_base!$H$5+IF(parametros_manuales!$H$30="Todos",datos_base!$H$12,0))*parametros_manuales!$J$112)*parametros_manuales!$I$30*parametros_manuales!$J$30</f>
        <v>14879.08906612</v>
      </c>
      <c r="K181" s="14" t="n">
        <f aca="false">(parametros_manuales!$D$30*(datos_base!$H$2+IF(parametros_manuales!$H$30="Todos",datos_base!$H$9,0))*parametros_manuales!$K$97+parametros_manuales!$E$30*(datos_base!$H$3+IF(parametros_manuales!$H$30="Todos",datos_base!$H$10,0))*parametros_manuales!$K$102+parametros_manuales!$F$30*(datos_base!$H$4+IF(parametros_manuales!$H$30="Todos",datos_base!$H$11,0))*parametros_manuales!$K$107+parametros_manuales!$G$30*(datos_base!$H$5+IF(parametros_manuales!$H$30="Todos",datos_base!$H$12,0))*parametros_manuales!$K$112)*parametros_manuales!$I$30*parametros_manuales!$J$30</f>
        <v>15124.620645665</v>
      </c>
      <c r="L181" s="14" t="n">
        <f aca="false">(parametros_manuales!$D$30*(datos_base!$H$2+IF(parametros_manuales!$H$30="Todos",datos_base!$H$9,0))*parametros_manuales!$L$97+parametros_manuales!$E$30*(datos_base!$H$3+IF(parametros_manuales!$H$30="Todos",datos_base!$H$10,0))*parametros_manuales!$L$102+parametros_manuales!$F$30*(datos_base!$H$4+IF(parametros_manuales!$H$30="Todos",datos_base!$H$11,0))*parametros_manuales!$L$107+parametros_manuales!$G$30*(datos_base!$H$5+IF(parametros_manuales!$H$30="Todos",datos_base!$H$12,0))*parametros_manuales!$L$112)*parametros_manuales!$I$30*parametros_manuales!$J$30</f>
        <v>15370.15222521</v>
      </c>
      <c r="M181" s="14" t="n">
        <f aca="false">(parametros_manuales!$D$30*(datos_base!$H$2+IF(parametros_manuales!$H$30="Todos",datos_base!$H$9,0))*parametros_manuales!$M$97+parametros_manuales!$E$30*(datos_base!$H$3+IF(parametros_manuales!$H$30="Todos",datos_base!$H$10,0))*parametros_manuales!$M$102+parametros_manuales!$F$30*(datos_base!$H$4+IF(parametros_manuales!$H$30="Todos",datos_base!$H$11,0))*parametros_manuales!$M$107+parametros_manuales!$G$30*(datos_base!$H$5+IF(parametros_manuales!$H$30="Todos",datos_base!$H$12,0))*parametros_manuales!$M$112)*parametros_manuales!$I$30*parametros_manuales!$J$30</f>
        <v>15370.15222521</v>
      </c>
      <c r="N181" s="14" t="n">
        <f aca="false">SUM(B181:M181)</f>
        <v>170779.469169</v>
      </c>
      <c r="O181" s="14" t="n">
        <f aca="false">MAX(B181:M181)</f>
        <v>15370.15222521</v>
      </c>
      <c r="P181" s="57" t="n">
        <f aca="false">O181/(parametros_manuales!$B$7)</f>
        <v>102.4676815014</v>
      </c>
      <c r="Q181" s="13" t="str">
        <f aca="false">IF(O181=0,"-",INDEX($B$169:$M$169,MATCH(O181,B181:M181,0)))</f>
        <v>Ene</v>
      </c>
    </row>
    <row r="182" customFormat="false" ht="14.25" hidden="false" customHeight="true" outlineLevel="0" collapsed="false">
      <c r="A182" s="13" t="str">
        <f aca="false">parametros_manuales!$B$31</f>
        <v>Soldadura circunferencial de cúpula y fondo</v>
      </c>
      <c r="B182" s="14" t="n">
        <f aca="false">(parametros_manuales!$D$31*(datos_base!$H$2+IF(parametros_manuales!$H$31="Todos",datos_base!$H$9,0))*parametros_manuales!$B$97+parametros_manuales!$E$31*(datos_base!$H$3+IF(parametros_manuales!$H$31="Todos",datos_base!$H$10,0))*parametros_manuales!$B$102+parametros_manuales!$F$31*(datos_base!$H$4+IF(parametros_manuales!$H$31="Todos",datos_base!$H$11,0))*parametros_manuales!$B$107+parametros_manuales!$G$31*(datos_base!$H$5+IF(parametros_manuales!$H$31="Todos",datos_base!$H$12,0))*parametros_manuales!$B$112)*parametros_manuales!$I$31*parametros_manuales!$J$31</f>
        <v>15370.15222521</v>
      </c>
      <c r="C182" s="14" t="n">
        <f aca="false">(parametros_manuales!$D$31*(datos_base!$H$2+IF(parametros_manuales!$H$31="Todos",datos_base!$H$9,0))*parametros_manuales!$C$97+parametros_manuales!$E$31*(datos_base!$H$3+IF(parametros_manuales!$H$31="Todos",datos_base!$H$10,0))*parametros_manuales!$C$102+parametros_manuales!$F$31*(datos_base!$H$4+IF(parametros_manuales!$H$31="Todos",datos_base!$H$11,0))*parametros_manuales!$C$107+parametros_manuales!$G$31*(datos_base!$H$5+IF(parametros_manuales!$H$31="Todos",datos_base!$H$12,0))*parametros_manuales!$C$112)*parametros_manuales!$I$31*parametros_manuales!$J$31</f>
        <v>14879.08906612</v>
      </c>
      <c r="D182" s="14" t="n">
        <f aca="false">(parametros_manuales!$D$31*(datos_base!$H$2+IF(parametros_manuales!$H$31="Todos",datos_base!$H$9,0))*parametros_manuales!$D$97+parametros_manuales!$E$31*(datos_base!$H$3+IF(parametros_manuales!$H$31="Todos",datos_base!$H$10,0))*parametros_manuales!$D$102+parametros_manuales!$F$31*(datos_base!$H$4+IF(parametros_manuales!$H$31="Todos",datos_base!$H$11,0))*parametros_manuales!$D$107+parametros_manuales!$G$31*(datos_base!$H$5+IF(parametros_manuales!$H$31="Todos",datos_base!$H$12,0))*parametros_manuales!$D$112)*parametros_manuales!$I$31*parametros_manuales!$J$31</f>
        <v>13907.889113065</v>
      </c>
      <c r="E182" s="14" t="n">
        <f aca="false">(parametros_manuales!$D$31*(datos_base!$H$2+IF(parametros_manuales!$H$31="Todos",datos_base!$H$9,0))*parametros_manuales!$E$97+parametros_manuales!$E$31*(datos_base!$H$3+IF(parametros_manuales!$H$31="Todos",datos_base!$H$10,0))*parametros_manuales!$E$102+parametros_manuales!$F$31*(datos_base!$H$4+IF(parametros_manuales!$H$31="Todos",datos_base!$H$11,0))*parametros_manuales!$E$107+parametros_manuales!$G$31*(datos_base!$H$5+IF(parametros_manuales!$H$31="Todos",datos_base!$H$12,0))*parametros_manuales!$E$112)*parametros_manuales!$I$31*parametros_manuales!$J$31</f>
        <v>13299.523346765</v>
      </c>
      <c r="F182" s="14" t="n">
        <f aca="false">(parametros_manuales!$D$31*(datos_base!$H$2+IF(parametros_manuales!$H$31="Todos",datos_base!$H$9,0))*parametros_manuales!$F$97+parametros_manuales!$E$31*(datos_base!$H$3+IF(parametros_manuales!$H$31="Todos",datos_base!$H$10,0))*parametros_manuales!$F$102+parametros_manuales!$F$31*(datos_base!$H$4+IF(parametros_manuales!$H$31="Todos",datos_base!$H$11,0))*parametros_manuales!$F$107+parametros_manuales!$G$31*(datos_base!$H$5+IF(parametros_manuales!$H$31="Todos",datos_base!$H$12,0))*parametros_manuales!$F$112)*parametros_manuales!$I$31*parametros_manuales!$J$31</f>
        <v>12445.62600092</v>
      </c>
      <c r="G182" s="14" t="n">
        <f aca="false">(parametros_manuales!$D$31*(datos_base!$H$2+IF(parametros_manuales!$H$31="Todos",datos_base!$H$9,0))*parametros_manuales!$G$97+parametros_manuales!$E$31*(datos_base!$H$3+IF(parametros_manuales!$H$31="Todos",datos_base!$H$10,0))*parametros_manuales!$G$102+parametros_manuales!$F$31*(datos_base!$H$4+IF(parametros_manuales!$H$31="Todos",datos_base!$H$11,0))*parametros_manuales!$G$107+parametros_manuales!$G$31*(datos_base!$H$5+IF(parametros_manuales!$H$31="Todos",datos_base!$H$12,0))*parametros_manuales!$G$112)*parametros_manuales!$I$31*parametros_manuales!$J$31</f>
        <v>12200.094421375</v>
      </c>
      <c r="H182" s="14" t="n">
        <f aca="false">(parametros_manuales!$D$31*(datos_base!$H$2+IF(parametros_manuales!$H$31="Todos",datos_base!$H$9,0))*parametros_manuales!$H$97+parametros_manuales!$E$31*(datos_base!$H$3+IF(parametros_manuales!$H$31="Todos",datos_base!$H$10,0))*parametros_manuales!$H$102+parametros_manuales!$F$31*(datos_base!$H$4+IF(parametros_manuales!$H$31="Todos",datos_base!$H$11,0))*parametros_manuales!$H$107+parametros_manuales!$G$31*(datos_base!$H$5+IF(parametros_manuales!$H$31="Todos",datos_base!$H$12,0))*parametros_manuales!$H$112)*parametros_manuales!$I$31*parametros_manuales!$J$31</f>
        <v>13053.99176722</v>
      </c>
      <c r="I182" s="14" t="n">
        <f aca="false">(parametros_manuales!$D$31*(datos_base!$H$2+IF(parametros_manuales!$H$31="Todos",datos_base!$H$9,0))*parametros_manuales!$I$97+parametros_manuales!$E$31*(datos_base!$H$3+IF(parametros_manuales!$H$31="Todos",datos_base!$H$10,0))*parametros_manuales!$I$102+parametros_manuales!$F$31*(datos_base!$H$4+IF(parametros_manuales!$H$31="Todos",datos_base!$H$11,0))*parametros_manuales!$I$107+parametros_manuales!$G$31*(datos_base!$H$5+IF(parametros_manuales!$H$31="Todos",datos_base!$H$12,0))*parametros_manuales!$I$112)*parametros_manuales!$I$31*parametros_manuales!$J$31</f>
        <v>14879.08906612</v>
      </c>
      <c r="J182" s="14" t="n">
        <f aca="false">(parametros_manuales!$D$31*(datos_base!$H$2+IF(parametros_manuales!$H$31="Todos",datos_base!$H$9,0))*parametros_manuales!$J$97+parametros_manuales!$E$31*(datos_base!$H$3+IF(parametros_manuales!$H$31="Todos",datos_base!$H$10,0))*parametros_manuales!$J$102+parametros_manuales!$F$31*(datos_base!$H$4+IF(parametros_manuales!$H$31="Todos",datos_base!$H$11,0))*parametros_manuales!$J$107+parametros_manuales!$G$31*(datos_base!$H$5+IF(parametros_manuales!$H$31="Todos",datos_base!$H$12,0))*parametros_manuales!$J$112)*parametros_manuales!$I$31*parametros_manuales!$J$31</f>
        <v>14879.08906612</v>
      </c>
      <c r="K182" s="14" t="n">
        <f aca="false">(parametros_manuales!$D$31*(datos_base!$H$2+IF(parametros_manuales!$H$31="Todos",datos_base!$H$9,0))*parametros_manuales!$K$97+parametros_manuales!$E$31*(datos_base!$H$3+IF(parametros_manuales!$H$31="Todos",datos_base!$H$10,0))*parametros_manuales!$K$102+parametros_manuales!$F$31*(datos_base!$H$4+IF(parametros_manuales!$H$31="Todos",datos_base!$H$11,0))*parametros_manuales!$K$107+parametros_manuales!$G$31*(datos_base!$H$5+IF(parametros_manuales!$H$31="Todos",datos_base!$H$12,0))*parametros_manuales!$K$112)*parametros_manuales!$I$31*parametros_manuales!$J$31</f>
        <v>15124.620645665</v>
      </c>
      <c r="L182" s="14" t="n">
        <f aca="false">(parametros_manuales!$D$31*(datos_base!$H$2+IF(parametros_manuales!$H$31="Todos",datos_base!$H$9,0))*parametros_manuales!$L$97+parametros_manuales!$E$31*(datos_base!$H$3+IF(parametros_manuales!$H$31="Todos",datos_base!$H$10,0))*parametros_manuales!$L$102+parametros_manuales!$F$31*(datos_base!$H$4+IF(parametros_manuales!$H$31="Todos",datos_base!$H$11,0))*parametros_manuales!$L$107+parametros_manuales!$G$31*(datos_base!$H$5+IF(parametros_manuales!$H$31="Todos",datos_base!$H$12,0))*parametros_manuales!$L$112)*parametros_manuales!$I$31*parametros_manuales!$J$31</f>
        <v>15370.15222521</v>
      </c>
      <c r="M182" s="14" t="n">
        <f aca="false">(parametros_manuales!$D$31*(datos_base!$H$2+IF(parametros_manuales!$H$31="Todos",datos_base!$H$9,0))*parametros_manuales!$M$97+parametros_manuales!$E$31*(datos_base!$H$3+IF(parametros_manuales!$H$31="Todos",datos_base!$H$10,0))*parametros_manuales!$M$102+parametros_manuales!$F$31*(datos_base!$H$4+IF(parametros_manuales!$H$31="Todos",datos_base!$H$11,0))*parametros_manuales!$M$107+parametros_manuales!$G$31*(datos_base!$H$5+IF(parametros_manuales!$H$31="Todos",datos_base!$H$12,0))*parametros_manuales!$M$112)*parametros_manuales!$I$31*parametros_manuales!$J$31</f>
        <v>15370.15222521</v>
      </c>
      <c r="N182" s="14" t="n">
        <f aca="false">SUM(B182:M182)</f>
        <v>170779.469169</v>
      </c>
      <c r="O182" s="14" t="n">
        <f aca="false">MAX(B182:M182)</f>
        <v>15370.15222521</v>
      </c>
      <c r="P182" s="57" t="n">
        <f aca="false">O182/(parametros_manuales!$B$7)</f>
        <v>102.4676815014</v>
      </c>
      <c r="Q182" s="13" t="str">
        <f aca="false">IF(O182=0,"-",INDEX($B$169:$M$169,MATCH(O182,B182:M182,0)))</f>
        <v>Ene</v>
      </c>
    </row>
    <row r="183" customFormat="false" ht="14.25" hidden="false" customHeight="true" outlineLevel="0" collapsed="false">
      <c r="A183" s="13" t="str">
        <f aca="false">parametros_manuales!$B$32</f>
        <v>Control de calidad — Espesor</v>
      </c>
      <c r="B183" s="14" t="n">
        <f aca="false">(parametros_manuales!$D$32*(datos_base!$H$2+IF(parametros_manuales!$H$32="Todos",datos_base!$H$9,0))*parametros_manuales!$B$97+parametros_manuales!$E$32*(datos_base!$H$3+IF(parametros_manuales!$H$32="Todos",datos_base!$H$10,0))*parametros_manuales!$B$102+parametros_manuales!$F$32*(datos_base!$H$4+IF(parametros_manuales!$H$32="Todos",datos_base!$H$11,0))*parametros_manuales!$B$107+parametros_manuales!$G$32*(datos_base!$H$5+IF(parametros_manuales!$H$32="Todos",datos_base!$H$12,0))*parametros_manuales!$B$112)*parametros_manuales!$I$32*parametros_manuales!$J$32</f>
        <v>307.4030445042</v>
      </c>
      <c r="C183" s="14" t="n">
        <f aca="false">(parametros_manuales!$D$32*(datos_base!$H$2+IF(parametros_manuales!$H$32="Todos",datos_base!$H$9,0))*parametros_manuales!$C$97+parametros_manuales!$E$32*(datos_base!$H$3+IF(parametros_manuales!$H$32="Todos",datos_base!$H$10,0))*parametros_manuales!$C$102+parametros_manuales!$F$32*(datos_base!$H$4+IF(parametros_manuales!$H$32="Todos",datos_base!$H$11,0))*parametros_manuales!$C$107+parametros_manuales!$G$32*(datos_base!$H$5+IF(parametros_manuales!$H$32="Todos",datos_base!$H$12,0))*parametros_manuales!$C$112)*parametros_manuales!$I$32*parametros_manuales!$J$32</f>
        <v>297.5817813224</v>
      </c>
      <c r="D183" s="14" t="n">
        <f aca="false">(parametros_manuales!$D$32*(datos_base!$H$2+IF(parametros_manuales!$H$32="Todos",datos_base!$H$9,0))*parametros_manuales!$D$97+parametros_manuales!$E$32*(datos_base!$H$3+IF(parametros_manuales!$H$32="Todos",datos_base!$H$10,0))*parametros_manuales!$D$102+parametros_manuales!$F$32*(datos_base!$H$4+IF(parametros_manuales!$H$32="Todos",datos_base!$H$11,0))*parametros_manuales!$D$107+parametros_manuales!$G$32*(datos_base!$H$5+IF(parametros_manuales!$H$32="Todos",datos_base!$H$12,0))*parametros_manuales!$D$112)*parametros_manuales!$I$32*parametros_manuales!$J$32</f>
        <v>278.1577822613</v>
      </c>
      <c r="E183" s="14" t="n">
        <f aca="false">(parametros_manuales!$D$32*(datos_base!$H$2+IF(parametros_manuales!$H$32="Todos",datos_base!$H$9,0))*parametros_manuales!$E$97+parametros_manuales!$E$32*(datos_base!$H$3+IF(parametros_manuales!$H$32="Todos",datos_base!$H$10,0))*parametros_manuales!$E$102+parametros_manuales!$F$32*(datos_base!$H$4+IF(parametros_manuales!$H$32="Todos",datos_base!$H$11,0))*parametros_manuales!$E$107+parametros_manuales!$G$32*(datos_base!$H$5+IF(parametros_manuales!$H$32="Todos",datos_base!$H$12,0))*parametros_manuales!$E$112)*parametros_manuales!$I$32*parametros_manuales!$J$32</f>
        <v>265.9904669353</v>
      </c>
      <c r="F183" s="14" t="n">
        <f aca="false">(parametros_manuales!$D$32*(datos_base!$H$2+IF(parametros_manuales!$H$32="Todos",datos_base!$H$9,0))*parametros_manuales!$F$97+parametros_manuales!$E$32*(datos_base!$H$3+IF(parametros_manuales!$H$32="Todos",datos_base!$H$10,0))*parametros_manuales!$F$102+parametros_manuales!$F$32*(datos_base!$H$4+IF(parametros_manuales!$H$32="Todos",datos_base!$H$11,0))*parametros_manuales!$F$107+parametros_manuales!$G$32*(datos_base!$H$5+IF(parametros_manuales!$H$32="Todos",datos_base!$H$12,0))*parametros_manuales!$F$112)*parametros_manuales!$I$32*parametros_manuales!$J$32</f>
        <v>248.9125200184</v>
      </c>
      <c r="G183" s="14" t="n">
        <f aca="false">(parametros_manuales!$D$32*(datos_base!$H$2+IF(parametros_manuales!$H$32="Todos",datos_base!$H$9,0))*parametros_manuales!$G$97+parametros_manuales!$E$32*(datos_base!$H$3+IF(parametros_manuales!$H$32="Todos",datos_base!$H$10,0))*parametros_manuales!$G$102+parametros_manuales!$F$32*(datos_base!$H$4+IF(parametros_manuales!$H$32="Todos",datos_base!$H$11,0))*parametros_manuales!$G$107+parametros_manuales!$G$32*(datos_base!$H$5+IF(parametros_manuales!$H$32="Todos",datos_base!$H$12,0))*parametros_manuales!$G$112)*parametros_manuales!$I$32*parametros_manuales!$J$32</f>
        <v>244.0018884275</v>
      </c>
      <c r="H183" s="14" t="n">
        <f aca="false">(parametros_manuales!$D$32*(datos_base!$H$2+IF(parametros_manuales!$H$32="Todos",datos_base!$H$9,0))*parametros_manuales!$H$97+parametros_manuales!$E$32*(datos_base!$H$3+IF(parametros_manuales!$H$32="Todos",datos_base!$H$10,0))*parametros_manuales!$H$102+parametros_manuales!$F$32*(datos_base!$H$4+IF(parametros_manuales!$H$32="Todos",datos_base!$H$11,0))*parametros_manuales!$H$107+parametros_manuales!$G$32*(datos_base!$H$5+IF(parametros_manuales!$H$32="Todos",datos_base!$H$12,0))*parametros_manuales!$H$112)*parametros_manuales!$I$32*parametros_manuales!$J$32</f>
        <v>261.0798353444</v>
      </c>
      <c r="I183" s="14" t="n">
        <f aca="false">(parametros_manuales!$D$32*(datos_base!$H$2+IF(parametros_manuales!$H$32="Todos",datos_base!$H$9,0))*parametros_manuales!$I$97+parametros_manuales!$E$32*(datos_base!$H$3+IF(parametros_manuales!$H$32="Todos",datos_base!$H$10,0))*parametros_manuales!$I$102+parametros_manuales!$F$32*(datos_base!$H$4+IF(parametros_manuales!$H$32="Todos",datos_base!$H$11,0))*parametros_manuales!$I$107+parametros_manuales!$G$32*(datos_base!$H$5+IF(parametros_manuales!$H$32="Todos",datos_base!$H$12,0))*parametros_manuales!$I$112)*parametros_manuales!$I$32*parametros_manuales!$J$32</f>
        <v>297.5817813224</v>
      </c>
      <c r="J183" s="14" t="n">
        <f aca="false">(parametros_manuales!$D$32*(datos_base!$H$2+IF(parametros_manuales!$H$32="Todos",datos_base!$H$9,0))*parametros_manuales!$J$97+parametros_manuales!$E$32*(datos_base!$H$3+IF(parametros_manuales!$H$32="Todos",datos_base!$H$10,0))*parametros_manuales!$J$102+parametros_manuales!$F$32*(datos_base!$H$4+IF(parametros_manuales!$H$32="Todos",datos_base!$H$11,0))*parametros_manuales!$J$107+parametros_manuales!$G$32*(datos_base!$H$5+IF(parametros_manuales!$H$32="Todos",datos_base!$H$12,0))*parametros_manuales!$J$112)*parametros_manuales!$I$32*parametros_manuales!$J$32</f>
        <v>297.5817813224</v>
      </c>
      <c r="K183" s="14" t="n">
        <f aca="false">(parametros_manuales!$D$32*(datos_base!$H$2+IF(parametros_manuales!$H$32="Todos",datos_base!$H$9,0))*parametros_manuales!$K$97+parametros_manuales!$E$32*(datos_base!$H$3+IF(parametros_manuales!$H$32="Todos",datos_base!$H$10,0))*parametros_manuales!$K$102+parametros_manuales!$F$32*(datos_base!$H$4+IF(parametros_manuales!$H$32="Todos",datos_base!$H$11,0))*parametros_manuales!$K$107+parametros_manuales!$G$32*(datos_base!$H$5+IF(parametros_manuales!$H$32="Todos",datos_base!$H$12,0))*parametros_manuales!$K$112)*parametros_manuales!$I$32*parametros_manuales!$J$32</f>
        <v>302.4924129133</v>
      </c>
      <c r="L183" s="14" t="n">
        <f aca="false">(parametros_manuales!$D$32*(datos_base!$H$2+IF(parametros_manuales!$H$32="Todos",datos_base!$H$9,0))*parametros_manuales!$L$97+parametros_manuales!$E$32*(datos_base!$H$3+IF(parametros_manuales!$H$32="Todos",datos_base!$H$10,0))*parametros_manuales!$L$102+parametros_manuales!$F$32*(datos_base!$H$4+IF(parametros_manuales!$H$32="Todos",datos_base!$H$11,0))*parametros_manuales!$L$107+parametros_manuales!$G$32*(datos_base!$H$5+IF(parametros_manuales!$H$32="Todos",datos_base!$H$12,0))*parametros_manuales!$L$112)*parametros_manuales!$I$32*parametros_manuales!$J$32</f>
        <v>307.4030445042</v>
      </c>
      <c r="M183" s="14" t="n">
        <f aca="false">(parametros_manuales!$D$32*(datos_base!$H$2+IF(parametros_manuales!$H$32="Todos",datos_base!$H$9,0))*parametros_manuales!$M$97+parametros_manuales!$E$32*(datos_base!$H$3+IF(parametros_manuales!$H$32="Todos",datos_base!$H$10,0))*parametros_manuales!$M$102+parametros_manuales!$F$32*(datos_base!$H$4+IF(parametros_manuales!$H$32="Todos",datos_base!$H$11,0))*parametros_manuales!$M$107+parametros_manuales!$G$32*(datos_base!$H$5+IF(parametros_manuales!$H$32="Todos",datos_base!$H$12,0))*parametros_manuales!$M$112)*parametros_manuales!$I$32*parametros_manuales!$J$32</f>
        <v>307.4030445042</v>
      </c>
      <c r="N183" s="14" t="n">
        <f aca="false">SUM(B183:M183)</f>
        <v>3415.58938338</v>
      </c>
      <c r="O183" s="14" t="n">
        <f aca="false">MAX(B183:M183)</f>
        <v>307.4030445042</v>
      </c>
      <c r="P183" s="57" t="n">
        <f aca="false">O183/(parametros_manuales!$B$7)</f>
        <v>2.049353630028</v>
      </c>
      <c r="Q183" s="13" t="str">
        <f aca="false">IF(O183=0,"-",INDEX($B$169:$M$169,MATCH(O183,B183:M183,0)))</f>
        <v>Ene</v>
      </c>
    </row>
    <row r="184" customFormat="false" ht="14.25" hidden="false" customHeight="true" outlineLevel="0" collapsed="false">
      <c r="A184" s="13" t="str">
        <f aca="false">parametros_manuales!$B$33</f>
        <v>Prueba hidráulica</v>
      </c>
      <c r="B184" s="14" t="n">
        <f aca="false">(parametros_manuales!$D$33*(datos_base!$H$2+IF(parametros_manuales!$H$33="Todos",datos_base!$H$9,0))*parametros_manuales!$B$97+parametros_manuales!$E$33*(datos_base!$H$3+IF(parametros_manuales!$H$33="Todos",datos_base!$H$10,0))*parametros_manuales!$B$102+parametros_manuales!$F$33*(datos_base!$H$4+IF(parametros_manuales!$H$33="Todos",datos_base!$H$11,0))*parametros_manuales!$B$107+parametros_manuales!$G$33*(datos_base!$H$5+IF(parametros_manuales!$H$33="Todos",datos_base!$H$12,0))*parametros_manuales!$B$112)*parametros_manuales!$I$33*parametros_manuales!$J$33</f>
        <v>15370.15222521</v>
      </c>
      <c r="C184" s="14" t="n">
        <f aca="false">(parametros_manuales!$D$33*(datos_base!$H$2+IF(parametros_manuales!$H$33="Todos",datos_base!$H$9,0))*parametros_manuales!$C$97+parametros_manuales!$E$33*(datos_base!$H$3+IF(parametros_manuales!$H$33="Todos",datos_base!$H$10,0))*parametros_manuales!$C$102+parametros_manuales!$F$33*(datos_base!$H$4+IF(parametros_manuales!$H$33="Todos",datos_base!$H$11,0))*parametros_manuales!$C$107+parametros_manuales!$G$33*(datos_base!$H$5+IF(parametros_manuales!$H$33="Todos",datos_base!$H$12,0))*parametros_manuales!$C$112)*parametros_manuales!$I$33*parametros_manuales!$J$33</f>
        <v>14879.08906612</v>
      </c>
      <c r="D184" s="14" t="n">
        <f aca="false">(parametros_manuales!$D$33*(datos_base!$H$2+IF(parametros_manuales!$H$33="Todos",datos_base!$H$9,0))*parametros_manuales!$D$97+parametros_manuales!$E$33*(datos_base!$H$3+IF(parametros_manuales!$H$33="Todos",datos_base!$H$10,0))*parametros_manuales!$D$102+parametros_manuales!$F$33*(datos_base!$H$4+IF(parametros_manuales!$H$33="Todos",datos_base!$H$11,0))*parametros_manuales!$D$107+parametros_manuales!$G$33*(datos_base!$H$5+IF(parametros_manuales!$H$33="Todos",datos_base!$H$12,0))*parametros_manuales!$D$112)*parametros_manuales!$I$33*parametros_manuales!$J$33</f>
        <v>13907.889113065</v>
      </c>
      <c r="E184" s="14" t="n">
        <f aca="false">(parametros_manuales!$D$33*(datos_base!$H$2+IF(parametros_manuales!$H$33="Todos",datos_base!$H$9,0))*parametros_manuales!$E$97+parametros_manuales!$E$33*(datos_base!$H$3+IF(parametros_manuales!$H$33="Todos",datos_base!$H$10,0))*parametros_manuales!$E$102+parametros_manuales!$F$33*(datos_base!$H$4+IF(parametros_manuales!$H$33="Todos",datos_base!$H$11,0))*parametros_manuales!$E$107+parametros_manuales!$G$33*(datos_base!$H$5+IF(parametros_manuales!$H$33="Todos",datos_base!$H$12,0))*parametros_manuales!$E$112)*parametros_manuales!$I$33*parametros_manuales!$J$33</f>
        <v>13299.523346765</v>
      </c>
      <c r="F184" s="14" t="n">
        <f aca="false">(parametros_manuales!$D$33*(datos_base!$H$2+IF(parametros_manuales!$H$33="Todos",datos_base!$H$9,0))*parametros_manuales!$F$97+parametros_manuales!$E$33*(datos_base!$H$3+IF(parametros_manuales!$H$33="Todos",datos_base!$H$10,0))*parametros_manuales!$F$102+parametros_manuales!$F$33*(datos_base!$H$4+IF(parametros_manuales!$H$33="Todos",datos_base!$H$11,0))*parametros_manuales!$F$107+parametros_manuales!$G$33*(datos_base!$H$5+IF(parametros_manuales!$H$33="Todos",datos_base!$H$12,0))*parametros_manuales!$F$112)*parametros_manuales!$I$33*parametros_manuales!$J$33</f>
        <v>12445.62600092</v>
      </c>
      <c r="G184" s="14" t="n">
        <f aca="false">(parametros_manuales!$D$33*(datos_base!$H$2+IF(parametros_manuales!$H$33="Todos",datos_base!$H$9,0))*parametros_manuales!$G$97+parametros_manuales!$E$33*(datos_base!$H$3+IF(parametros_manuales!$H$33="Todos",datos_base!$H$10,0))*parametros_manuales!$G$102+parametros_manuales!$F$33*(datos_base!$H$4+IF(parametros_manuales!$H$33="Todos",datos_base!$H$11,0))*parametros_manuales!$G$107+parametros_manuales!$G$33*(datos_base!$H$5+IF(parametros_manuales!$H$33="Todos",datos_base!$H$12,0))*parametros_manuales!$G$112)*parametros_manuales!$I$33*parametros_manuales!$J$33</f>
        <v>12200.094421375</v>
      </c>
      <c r="H184" s="14" t="n">
        <f aca="false">(parametros_manuales!$D$33*(datos_base!$H$2+IF(parametros_manuales!$H$33="Todos",datos_base!$H$9,0))*parametros_manuales!$H$97+parametros_manuales!$E$33*(datos_base!$H$3+IF(parametros_manuales!$H$33="Todos",datos_base!$H$10,0))*parametros_manuales!$H$102+parametros_manuales!$F$33*(datos_base!$H$4+IF(parametros_manuales!$H$33="Todos",datos_base!$H$11,0))*parametros_manuales!$H$107+parametros_manuales!$G$33*(datos_base!$H$5+IF(parametros_manuales!$H$33="Todos",datos_base!$H$12,0))*parametros_manuales!$H$112)*parametros_manuales!$I$33*parametros_manuales!$J$33</f>
        <v>13053.99176722</v>
      </c>
      <c r="I184" s="14" t="n">
        <f aca="false">(parametros_manuales!$D$33*(datos_base!$H$2+IF(parametros_manuales!$H$33="Todos",datos_base!$H$9,0))*parametros_manuales!$I$97+parametros_manuales!$E$33*(datos_base!$H$3+IF(parametros_manuales!$H$33="Todos",datos_base!$H$10,0))*parametros_manuales!$I$102+parametros_manuales!$F$33*(datos_base!$H$4+IF(parametros_manuales!$H$33="Todos",datos_base!$H$11,0))*parametros_manuales!$I$107+parametros_manuales!$G$33*(datos_base!$H$5+IF(parametros_manuales!$H$33="Todos",datos_base!$H$12,0))*parametros_manuales!$I$112)*parametros_manuales!$I$33*parametros_manuales!$J$33</f>
        <v>14879.08906612</v>
      </c>
      <c r="J184" s="14" t="n">
        <f aca="false">(parametros_manuales!$D$33*(datos_base!$H$2+IF(parametros_manuales!$H$33="Todos",datos_base!$H$9,0))*parametros_manuales!$J$97+parametros_manuales!$E$33*(datos_base!$H$3+IF(parametros_manuales!$H$33="Todos",datos_base!$H$10,0))*parametros_manuales!$J$102+parametros_manuales!$F$33*(datos_base!$H$4+IF(parametros_manuales!$H$33="Todos",datos_base!$H$11,0))*parametros_manuales!$J$107+parametros_manuales!$G$33*(datos_base!$H$5+IF(parametros_manuales!$H$33="Todos",datos_base!$H$12,0))*parametros_manuales!$J$112)*parametros_manuales!$I$33*parametros_manuales!$J$33</f>
        <v>14879.08906612</v>
      </c>
      <c r="K184" s="14" t="n">
        <f aca="false">(parametros_manuales!$D$33*(datos_base!$H$2+IF(parametros_manuales!$H$33="Todos",datos_base!$H$9,0))*parametros_manuales!$K$97+parametros_manuales!$E$33*(datos_base!$H$3+IF(parametros_manuales!$H$33="Todos",datos_base!$H$10,0))*parametros_manuales!$K$102+parametros_manuales!$F$33*(datos_base!$H$4+IF(parametros_manuales!$H$33="Todos",datos_base!$H$11,0))*parametros_manuales!$K$107+parametros_manuales!$G$33*(datos_base!$H$5+IF(parametros_manuales!$H$33="Todos",datos_base!$H$12,0))*parametros_manuales!$K$112)*parametros_manuales!$I$33*parametros_manuales!$J$33</f>
        <v>15124.620645665</v>
      </c>
      <c r="L184" s="14" t="n">
        <f aca="false">(parametros_manuales!$D$33*(datos_base!$H$2+IF(parametros_manuales!$H$33="Todos",datos_base!$H$9,0))*parametros_manuales!$L$97+parametros_manuales!$E$33*(datos_base!$H$3+IF(parametros_manuales!$H$33="Todos",datos_base!$H$10,0))*parametros_manuales!$L$102+parametros_manuales!$F$33*(datos_base!$H$4+IF(parametros_manuales!$H$33="Todos",datos_base!$H$11,0))*parametros_manuales!$L$107+parametros_manuales!$G$33*(datos_base!$H$5+IF(parametros_manuales!$H$33="Todos",datos_base!$H$12,0))*parametros_manuales!$L$112)*parametros_manuales!$I$33*parametros_manuales!$J$33</f>
        <v>15370.15222521</v>
      </c>
      <c r="M184" s="14" t="n">
        <f aca="false">(parametros_manuales!$D$33*(datos_base!$H$2+IF(parametros_manuales!$H$33="Todos",datos_base!$H$9,0))*parametros_manuales!$M$97+parametros_manuales!$E$33*(datos_base!$H$3+IF(parametros_manuales!$H$33="Todos",datos_base!$H$10,0))*parametros_manuales!$M$102+parametros_manuales!$F$33*(datos_base!$H$4+IF(parametros_manuales!$H$33="Todos",datos_base!$H$11,0))*parametros_manuales!$M$107+parametros_manuales!$G$33*(datos_base!$H$5+IF(parametros_manuales!$H$33="Todos",datos_base!$H$12,0))*parametros_manuales!$M$112)*parametros_manuales!$I$33*parametros_manuales!$J$33</f>
        <v>15370.15222521</v>
      </c>
      <c r="N184" s="14" t="n">
        <f aca="false">SUM(B184:M184)</f>
        <v>170779.469169</v>
      </c>
      <c r="O184" s="14" t="n">
        <f aca="false">MAX(B184:M184)</f>
        <v>15370.15222521</v>
      </c>
      <c r="P184" s="57" t="n">
        <f aca="false">O184/(parametros_manuales!$B$7)</f>
        <v>102.4676815014</v>
      </c>
      <c r="Q184" s="13" t="str">
        <f aca="false">IF(O184=0,"-",INDEX($B$169:$M$169,MATCH(O184,B184:M184,0)))</f>
        <v>Ene</v>
      </c>
    </row>
    <row r="185" customFormat="false" ht="14.25" hidden="false" customHeight="true" outlineLevel="0" collapsed="false">
      <c r="A185" s="13" t="str">
        <f aca="false">parametros_manuales!$B$34</f>
        <v>Secado</v>
      </c>
      <c r="B185" s="14" t="n">
        <f aca="false">(parametros_manuales!$D$34*(datos_base!$H$2+IF(parametros_manuales!$H$34="Todos",datos_base!$H$9,0))*parametros_manuales!$B$97+parametros_manuales!$E$34*(datos_base!$H$3+IF(parametros_manuales!$H$34="Todos",datos_base!$H$10,0))*parametros_manuales!$B$102+parametros_manuales!$F$34*(datos_base!$H$4+IF(parametros_manuales!$H$34="Todos",datos_base!$H$11,0))*parametros_manuales!$B$107+parametros_manuales!$G$34*(datos_base!$H$5+IF(parametros_manuales!$H$34="Todos",datos_base!$H$12,0))*parametros_manuales!$B$112)*parametros_manuales!$I$34*parametros_manuales!$J$34</f>
        <v>15370.15222521</v>
      </c>
      <c r="C185" s="14" t="n">
        <f aca="false">(parametros_manuales!$D$34*(datos_base!$H$2+IF(parametros_manuales!$H$34="Todos",datos_base!$H$9,0))*parametros_manuales!$C$97+parametros_manuales!$E$34*(datos_base!$H$3+IF(parametros_manuales!$H$34="Todos",datos_base!$H$10,0))*parametros_manuales!$C$102+parametros_manuales!$F$34*(datos_base!$H$4+IF(parametros_manuales!$H$34="Todos",datos_base!$H$11,0))*parametros_manuales!$C$107+parametros_manuales!$G$34*(datos_base!$H$5+IF(parametros_manuales!$H$34="Todos",datos_base!$H$12,0))*parametros_manuales!$C$112)*parametros_manuales!$I$34*parametros_manuales!$J$34</f>
        <v>14879.08906612</v>
      </c>
      <c r="D185" s="14" t="n">
        <f aca="false">(parametros_manuales!$D$34*(datos_base!$H$2+IF(parametros_manuales!$H$34="Todos",datos_base!$H$9,0))*parametros_manuales!$D$97+parametros_manuales!$E$34*(datos_base!$H$3+IF(parametros_manuales!$H$34="Todos",datos_base!$H$10,0))*parametros_manuales!$D$102+parametros_manuales!$F$34*(datos_base!$H$4+IF(parametros_manuales!$H$34="Todos",datos_base!$H$11,0))*parametros_manuales!$D$107+parametros_manuales!$G$34*(datos_base!$H$5+IF(parametros_manuales!$H$34="Todos",datos_base!$H$12,0))*parametros_manuales!$D$112)*parametros_manuales!$I$34*parametros_manuales!$J$34</f>
        <v>13907.889113065</v>
      </c>
      <c r="E185" s="14" t="n">
        <f aca="false">(parametros_manuales!$D$34*(datos_base!$H$2+IF(parametros_manuales!$H$34="Todos",datos_base!$H$9,0))*parametros_manuales!$E$97+parametros_manuales!$E$34*(datos_base!$H$3+IF(parametros_manuales!$H$34="Todos",datos_base!$H$10,0))*parametros_manuales!$E$102+parametros_manuales!$F$34*(datos_base!$H$4+IF(parametros_manuales!$H$34="Todos",datos_base!$H$11,0))*parametros_manuales!$E$107+parametros_manuales!$G$34*(datos_base!$H$5+IF(parametros_manuales!$H$34="Todos",datos_base!$H$12,0))*parametros_manuales!$E$112)*parametros_manuales!$I$34*parametros_manuales!$J$34</f>
        <v>13299.523346765</v>
      </c>
      <c r="F185" s="14" t="n">
        <f aca="false">(parametros_manuales!$D$34*(datos_base!$H$2+IF(parametros_manuales!$H$34="Todos",datos_base!$H$9,0))*parametros_manuales!$F$97+parametros_manuales!$E$34*(datos_base!$H$3+IF(parametros_manuales!$H$34="Todos",datos_base!$H$10,0))*parametros_manuales!$F$102+parametros_manuales!$F$34*(datos_base!$H$4+IF(parametros_manuales!$H$34="Todos",datos_base!$H$11,0))*parametros_manuales!$F$107+parametros_manuales!$G$34*(datos_base!$H$5+IF(parametros_manuales!$H$34="Todos",datos_base!$H$12,0))*parametros_manuales!$F$112)*parametros_manuales!$I$34*parametros_manuales!$J$34</f>
        <v>12445.62600092</v>
      </c>
      <c r="G185" s="14" t="n">
        <f aca="false">(parametros_manuales!$D$34*(datos_base!$H$2+IF(parametros_manuales!$H$34="Todos",datos_base!$H$9,0))*parametros_manuales!$G$97+parametros_manuales!$E$34*(datos_base!$H$3+IF(parametros_manuales!$H$34="Todos",datos_base!$H$10,0))*parametros_manuales!$G$102+parametros_manuales!$F$34*(datos_base!$H$4+IF(parametros_manuales!$H$34="Todos",datos_base!$H$11,0))*parametros_manuales!$G$107+parametros_manuales!$G$34*(datos_base!$H$5+IF(parametros_manuales!$H$34="Todos",datos_base!$H$12,0))*parametros_manuales!$G$112)*parametros_manuales!$I$34*parametros_manuales!$J$34</f>
        <v>12200.094421375</v>
      </c>
      <c r="H185" s="14" t="n">
        <f aca="false">(parametros_manuales!$D$34*(datos_base!$H$2+IF(parametros_manuales!$H$34="Todos",datos_base!$H$9,0))*parametros_manuales!$H$97+parametros_manuales!$E$34*(datos_base!$H$3+IF(parametros_manuales!$H$34="Todos",datos_base!$H$10,0))*parametros_manuales!$H$102+parametros_manuales!$F$34*(datos_base!$H$4+IF(parametros_manuales!$H$34="Todos",datos_base!$H$11,0))*parametros_manuales!$H$107+parametros_manuales!$G$34*(datos_base!$H$5+IF(parametros_manuales!$H$34="Todos",datos_base!$H$12,0))*parametros_manuales!$H$112)*parametros_manuales!$I$34*parametros_manuales!$J$34</f>
        <v>13053.99176722</v>
      </c>
      <c r="I185" s="14" t="n">
        <f aca="false">(parametros_manuales!$D$34*(datos_base!$H$2+IF(parametros_manuales!$H$34="Todos",datos_base!$H$9,0))*parametros_manuales!$I$97+parametros_manuales!$E$34*(datos_base!$H$3+IF(parametros_manuales!$H$34="Todos",datos_base!$H$10,0))*parametros_manuales!$I$102+parametros_manuales!$F$34*(datos_base!$H$4+IF(parametros_manuales!$H$34="Todos",datos_base!$H$11,0))*parametros_manuales!$I$107+parametros_manuales!$G$34*(datos_base!$H$5+IF(parametros_manuales!$H$34="Todos",datos_base!$H$12,0))*parametros_manuales!$I$112)*parametros_manuales!$I$34*parametros_manuales!$J$34</f>
        <v>14879.08906612</v>
      </c>
      <c r="J185" s="14" t="n">
        <f aca="false">(parametros_manuales!$D$34*(datos_base!$H$2+IF(parametros_manuales!$H$34="Todos",datos_base!$H$9,0))*parametros_manuales!$J$97+parametros_manuales!$E$34*(datos_base!$H$3+IF(parametros_manuales!$H$34="Todos",datos_base!$H$10,0))*parametros_manuales!$J$102+parametros_manuales!$F$34*(datos_base!$H$4+IF(parametros_manuales!$H$34="Todos",datos_base!$H$11,0))*parametros_manuales!$J$107+parametros_manuales!$G$34*(datos_base!$H$5+IF(parametros_manuales!$H$34="Todos",datos_base!$H$12,0))*parametros_manuales!$J$112)*parametros_manuales!$I$34*parametros_manuales!$J$34</f>
        <v>14879.08906612</v>
      </c>
      <c r="K185" s="14" t="n">
        <f aca="false">(parametros_manuales!$D$34*(datos_base!$H$2+IF(parametros_manuales!$H$34="Todos",datos_base!$H$9,0))*parametros_manuales!$K$97+parametros_manuales!$E$34*(datos_base!$H$3+IF(parametros_manuales!$H$34="Todos",datos_base!$H$10,0))*parametros_manuales!$K$102+parametros_manuales!$F$34*(datos_base!$H$4+IF(parametros_manuales!$H$34="Todos",datos_base!$H$11,0))*parametros_manuales!$K$107+parametros_manuales!$G$34*(datos_base!$H$5+IF(parametros_manuales!$H$34="Todos",datos_base!$H$12,0))*parametros_manuales!$K$112)*parametros_manuales!$I$34*parametros_manuales!$J$34</f>
        <v>15124.620645665</v>
      </c>
      <c r="L185" s="14" t="n">
        <f aca="false">(parametros_manuales!$D$34*(datos_base!$H$2+IF(parametros_manuales!$H$34="Todos",datos_base!$H$9,0))*parametros_manuales!$L$97+parametros_manuales!$E$34*(datos_base!$H$3+IF(parametros_manuales!$H$34="Todos",datos_base!$H$10,0))*parametros_manuales!$L$102+parametros_manuales!$F$34*(datos_base!$H$4+IF(parametros_manuales!$H$34="Todos",datos_base!$H$11,0))*parametros_manuales!$L$107+parametros_manuales!$G$34*(datos_base!$H$5+IF(parametros_manuales!$H$34="Todos",datos_base!$H$12,0))*parametros_manuales!$L$112)*parametros_manuales!$I$34*parametros_manuales!$J$34</f>
        <v>15370.15222521</v>
      </c>
      <c r="M185" s="14" t="n">
        <f aca="false">(parametros_manuales!$D$34*(datos_base!$H$2+IF(parametros_manuales!$H$34="Todos",datos_base!$H$9,0))*parametros_manuales!$M$97+parametros_manuales!$E$34*(datos_base!$H$3+IF(parametros_manuales!$H$34="Todos",datos_base!$H$10,0))*parametros_manuales!$M$102+parametros_manuales!$F$34*(datos_base!$H$4+IF(parametros_manuales!$H$34="Todos",datos_base!$H$11,0))*parametros_manuales!$M$107+parametros_manuales!$G$34*(datos_base!$H$5+IF(parametros_manuales!$H$34="Todos",datos_base!$H$12,0))*parametros_manuales!$M$112)*parametros_manuales!$I$34*parametros_manuales!$J$34</f>
        <v>15370.15222521</v>
      </c>
      <c r="N185" s="14" t="n">
        <f aca="false">SUM(B185:M185)</f>
        <v>170779.469169</v>
      </c>
      <c r="O185" s="14" t="n">
        <f aca="false">MAX(B185:M185)</f>
        <v>15370.15222521</v>
      </c>
      <c r="P185" s="57" t="n">
        <f aca="false">O185/(parametros_manuales!$B$7)</f>
        <v>102.4676815014</v>
      </c>
      <c r="Q185" s="13" t="str">
        <f aca="false">IF(O185=0,"-",INDEX($B$169:$M$169,MATCH(O185,B185:M185,0)))</f>
        <v>Ene</v>
      </c>
    </row>
    <row r="186" customFormat="false" ht="14.25" hidden="false" customHeight="true" outlineLevel="0" collapsed="false">
      <c r="A186" s="13" t="str">
        <f aca="false">parametros_manuales!$B$35</f>
        <v>Granallado</v>
      </c>
      <c r="B186" s="14" t="n">
        <f aca="false">(parametros_manuales!$D$35*(datos_base!$H$2+IF(parametros_manuales!$H$35="Todos",datos_base!$H$9,0))*parametros_manuales!$B$97+parametros_manuales!$E$35*(datos_base!$H$3+IF(parametros_manuales!$H$35="Todos",datos_base!$H$10,0))*parametros_manuales!$B$102+parametros_manuales!$F$35*(datos_base!$H$4+IF(parametros_manuales!$H$35="Todos",datos_base!$H$11,0))*parametros_manuales!$B$107+parametros_manuales!$G$35*(datos_base!$H$5+IF(parametros_manuales!$H$35="Todos",datos_base!$H$12,0))*parametros_manuales!$B$112)*parametros_manuales!$I$35*parametros_manuales!$J$35</f>
        <v>15370.15222521</v>
      </c>
      <c r="C186" s="14" t="n">
        <f aca="false">(parametros_manuales!$D$35*(datos_base!$H$2+IF(parametros_manuales!$H$35="Todos",datos_base!$H$9,0))*parametros_manuales!$C$97+parametros_manuales!$E$35*(datos_base!$H$3+IF(parametros_manuales!$H$35="Todos",datos_base!$H$10,0))*parametros_manuales!$C$102+parametros_manuales!$F$35*(datos_base!$H$4+IF(parametros_manuales!$H$35="Todos",datos_base!$H$11,0))*parametros_manuales!$C$107+parametros_manuales!$G$35*(datos_base!$H$5+IF(parametros_manuales!$H$35="Todos",datos_base!$H$12,0))*parametros_manuales!$C$112)*parametros_manuales!$I$35*parametros_manuales!$J$35</f>
        <v>14879.08906612</v>
      </c>
      <c r="D186" s="14" t="n">
        <f aca="false">(parametros_manuales!$D$35*(datos_base!$H$2+IF(parametros_manuales!$H$35="Todos",datos_base!$H$9,0))*parametros_manuales!$D$97+parametros_manuales!$E$35*(datos_base!$H$3+IF(parametros_manuales!$H$35="Todos",datos_base!$H$10,0))*parametros_manuales!$D$102+parametros_manuales!$F$35*(datos_base!$H$4+IF(parametros_manuales!$H$35="Todos",datos_base!$H$11,0))*parametros_manuales!$D$107+parametros_manuales!$G$35*(datos_base!$H$5+IF(parametros_manuales!$H$35="Todos",datos_base!$H$12,0))*parametros_manuales!$D$112)*parametros_manuales!$I$35*parametros_manuales!$J$35</f>
        <v>13907.889113065</v>
      </c>
      <c r="E186" s="14" t="n">
        <f aca="false">(parametros_manuales!$D$35*(datos_base!$H$2+IF(parametros_manuales!$H$35="Todos",datos_base!$H$9,0))*parametros_manuales!$E$97+parametros_manuales!$E$35*(datos_base!$H$3+IF(parametros_manuales!$H$35="Todos",datos_base!$H$10,0))*parametros_manuales!$E$102+parametros_manuales!$F$35*(datos_base!$H$4+IF(parametros_manuales!$H$35="Todos",datos_base!$H$11,0))*parametros_manuales!$E$107+parametros_manuales!$G$35*(datos_base!$H$5+IF(parametros_manuales!$H$35="Todos",datos_base!$H$12,0))*parametros_manuales!$E$112)*parametros_manuales!$I$35*parametros_manuales!$J$35</f>
        <v>13299.523346765</v>
      </c>
      <c r="F186" s="14" t="n">
        <f aca="false">(parametros_manuales!$D$35*(datos_base!$H$2+IF(parametros_manuales!$H$35="Todos",datos_base!$H$9,0))*parametros_manuales!$F$97+parametros_manuales!$E$35*(datos_base!$H$3+IF(parametros_manuales!$H$35="Todos",datos_base!$H$10,0))*parametros_manuales!$F$102+parametros_manuales!$F$35*(datos_base!$H$4+IF(parametros_manuales!$H$35="Todos",datos_base!$H$11,0))*parametros_manuales!$F$107+parametros_manuales!$G$35*(datos_base!$H$5+IF(parametros_manuales!$H$35="Todos",datos_base!$H$12,0))*parametros_manuales!$F$112)*parametros_manuales!$I$35*parametros_manuales!$J$35</f>
        <v>12445.62600092</v>
      </c>
      <c r="G186" s="14" t="n">
        <f aca="false">(parametros_manuales!$D$35*(datos_base!$H$2+IF(parametros_manuales!$H$35="Todos",datos_base!$H$9,0))*parametros_manuales!$G$97+parametros_manuales!$E$35*(datos_base!$H$3+IF(parametros_manuales!$H$35="Todos",datos_base!$H$10,0))*parametros_manuales!$G$102+parametros_manuales!$F$35*(datos_base!$H$4+IF(parametros_manuales!$H$35="Todos",datos_base!$H$11,0))*parametros_manuales!$G$107+parametros_manuales!$G$35*(datos_base!$H$5+IF(parametros_manuales!$H$35="Todos",datos_base!$H$12,0))*parametros_manuales!$G$112)*parametros_manuales!$I$35*parametros_manuales!$J$35</f>
        <v>12200.094421375</v>
      </c>
      <c r="H186" s="14" t="n">
        <f aca="false">(parametros_manuales!$D$35*(datos_base!$H$2+IF(parametros_manuales!$H$35="Todos",datos_base!$H$9,0))*parametros_manuales!$H$97+parametros_manuales!$E$35*(datos_base!$H$3+IF(parametros_manuales!$H$35="Todos",datos_base!$H$10,0))*parametros_manuales!$H$102+parametros_manuales!$F$35*(datos_base!$H$4+IF(parametros_manuales!$H$35="Todos",datos_base!$H$11,0))*parametros_manuales!$H$107+parametros_manuales!$G$35*(datos_base!$H$5+IF(parametros_manuales!$H$35="Todos",datos_base!$H$12,0))*parametros_manuales!$H$112)*parametros_manuales!$I$35*parametros_manuales!$J$35</f>
        <v>13053.99176722</v>
      </c>
      <c r="I186" s="14" t="n">
        <f aca="false">(parametros_manuales!$D$35*(datos_base!$H$2+IF(parametros_manuales!$H$35="Todos",datos_base!$H$9,0))*parametros_manuales!$I$97+parametros_manuales!$E$35*(datos_base!$H$3+IF(parametros_manuales!$H$35="Todos",datos_base!$H$10,0))*parametros_manuales!$I$102+parametros_manuales!$F$35*(datos_base!$H$4+IF(parametros_manuales!$H$35="Todos",datos_base!$H$11,0))*parametros_manuales!$I$107+parametros_manuales!$G$35*(datos_base!$H$5+IF(parametros_manuales!$H$35="Todos",datos_base!$H$12,0))*parametros_manuales!$I$112)*parametros_manuales!$I$35*parametros_manuales!$J$35</f>
        <v>14879.08906612</v>
      </c>
      <c r="J186" s="14" t="n">
        <f aca="false">(parametros_manuales!$D$35*(datos_base!$H$2+IF(parametros_manuales!$H$35="Todos",datos_base!$H$9,0))*parametros_manuales!$J$97+parametros_manuales!$E$35*(datos_base!$H$3+IF(parametros_manuales!$H$35="Todos",datos_base!$H$10,0))*parametros_manuales!$J$102+parametros_manuales!$F$35*(datos_base!$H$4+IF(parametros_manuales!$H$35="Todos",datos_base!$H$11,0))*parametros_manuales!$J$107+parametros_manuales!$G$35*(datos_base!$H$5+IF(parametros_manuales!$H$35="Todos",datos_base!$H$12,0))*parametros_manuales!$J$112)*parametros_manuales!$I$35*parametros_manuales!$J$35</f>
        <v>14879.08906612</v>
      </c>
      <c r="K186" s="14" t="n">
        <f aca="false">(parametros_manuales!$D$35*(datos_base!$H$2+IF(parametros_manuales!$H$35="Todos",datos_base!$H$9,0))*parametros_manuales!$K$97+parametros_manuales!$E$35*(datos_base!$H$3+IF(parametros_manuales!$H$35="Todos",datos_base!$H$10,0))*parametros_manuales!$K$102+parametros_manuales!$F$35*(datos_base!$H$4+IF(parametros_manuales!$H$35="Todos",datos_base!$H$11,0))*parametros_manuales!$K$107+parametros_manuales!$G$35*(datos_base!$H$5+IF(parametros_manuales!$H$35="Todos",datos_base!$H$12,0))*parametros_manuales!$K$112)*parametros_manuales!$I$35*parametros_manuales!$J$35</f>
        <v>15124.620645665</v>
      </c>
      <c r="L186" s="14" t="n">
        <f aca="false">(parametros_manuales!$D$35*(datos_base!$H$2+IF(parametros_manuales!$H$35="Todos",datos_base!$H$9,0))*parametros_manuales!$L$97+parametros_manuales!$E$35*(datos_base!$H$3+IF(parametros_manuales!$H$35="Todos",datos_base!$H$10,0))*parametros_manuales!$L$102+parametros_manuales!$F$35*(datos_base!$H$4+IF(parametros_manuales!$H$35="Todos",datos_base!$H$11,0))*parametros_manuales!$L$107+parametros_manuales!$G$35*(datos_base!$H$5+IF(parametros_manuales!$H$35="Todos",datos_base!$H$12,0))*parametros_manuales!$L$112)*parametros_manuales!$I$35*parametros_manuales!$J$35</f>
        <v>15370.15222521</v>
      </c>
      <c r="M186" s="14" t="n">
        <f aca="false">(parametros_manuales!$D$35*(datos_base!$H$2+IF(parametros_manuales!$H$35="Todos",datos_base!$H$9,0))*parametros_manuales!$M$97+parametros_manuales!$E$35*(datos_base!$H$3+IF(parametros_manuales!$H$35="Todos",datos_base!$H$10,0))*parametros_manuales!$M$102+parametros_manuales!$F$35*(datos_base!$H$4+IF(parametros_manuales!$H$35="Todos",datos_base!$H$11,0))*parametros_manuales!$M$107+parametros_manuales!$G$35*(datos_base!$H$5+IF(parametros_manuales!$H$35="Todos",datos_base!$H$12,0))*parametros_manuales!$M$112)*parametros_manuales!$I$35*parametros_manuales!$J$35</f>
        <v>15370.15222521</v>
      </c>
      <c r="N186" s="14" t="n">
        <f aca="false">SUM(B186:M186)</f>
        <v>170779.469169</v>
      </c>
      <c r="O186" s="14" t="n">
        <f aca="false">MAX(B186:M186)</f>
        <v>15370.15222521</v>
      </c>
      <c r="P186" s="57" t="n">
        <f aca="false">O186/(parametros_manuales!$B$7)</f>
        <v>102.4676815014</v>
      </c>
      <c r="Q186" s="13" t="str">
        <f aca="false">IF(O186=0,"-",INDEX($B$169:$M$169,MATCH(O186,B186:M186,0)))</f>
        <v>Ene</v>
      </c>
    </row>
    <row r="187" customFormat="false" ht="14.25" hidden="false" customHeight="true" outlineLevel="0" collapsed="false">
      <c r="A187" s="13" t="str">
        <f aca="false">parametros_manuales!$B$36</f>
        <v>Detección de defectos</v>
      </c>
      <c r="B187" s="14" t="n">
        <f aca="false">(parametros_manuales!$D$36*(datos_base!$H$2+IF(parametros_manuales!$H$36="Todos",datos_base!$H$9,0))*parametros_manuales!$B$97+parametros_manuales!$E$36*(datos_base!$H$3+IF(parametros_manuales!$H$36="Todos",datos_base!$H$10,0))*parametros_manuales!$B$102+parametros_manuales!$F$36*(datos_base!$H$4+IF(parametros_manuales!$H$36="Todos",datos_base!$H$11,0))*parametros_manuales!$B$107+parametros_manuales!$G$36*(datos_base!$H$5+IF(parametros_manuales!$H$36="Todos",datos_base!$H$12,0))*parametros_manuales!$B$112)*parametros_manuales!$I$36*parametros_manuales!$J$36</f>
        <v>15370.15222521</v>
      </c>
      <c r="C187" s="14" t="n">
        <f aca="false">(parametros_manuales!$D$36*(datos_base!$H$2+IF(parametros_manuales!$H$36="Todos",datos_base!$H$9,0))*parametros_manuales!$C$97+parametros_manuales!$E$36*(datos_base!$H$3+IF(parametros_manuales!$H$36="Todos",datos_base!$H$10,0))*parametros_manuales!$C$102+parametros_manuales!$F$36*(datos_base!$H$4+IF(parametros_manuales!$H$36="Todos",datos_base!$H$11,0))*parametros_manuales!$C$107+parametros_manuales!$G$36*(datos_base!$H$5+IF(parametros_manuales!$H$36="Todos",datos_base!$H$12,0))*parametros_manuales!$C$112)*parametros_manuales!$I$36*parametros_manuales!$J$36</f>
        <v>14879.08906612</v>
      </c>
      <c r="D187" s="14" t="n">
        <f aca="false">(parametros_manuales!$D$36*(datos_base!$H$2+IF(parametros_manuales!$H$36="Todos",datos_base!$H$9,0))*parametros_manuales!$D$97+parametros_manuales!$E$36*(datos_base!$H$3+IF(parametros_manuales!$H$36="Todos",datos_base!$H$10,0))*parametros_manuales!$D$102+parametros_manuales!$F$36*(datos_base!$H$4+IF(parametros_manuales!$H$36="Todos",datos_base!$H$11,0))*parametros_manuales!$D$107+parametros_manuales!$G$36*(datos_base!$H$5+IF(parametros_manuales!$H$36="Todos",datos_base!$H$12,0))*parametros_manuales!$D$112)*parametros_manuales!$I$36*parametros_manuales!$J$36</f>
        <v>13907.889113065</v>
      </c>
      <c r="E187" s="14" t="n">
        <f aca="false">(parametros_manuales!$D$36*(datos_base!$H$2+IF(parametros_manuales!$H$36="Todos",datos_base!$H$9,0))*parametros_manuales!$E$97+parametros_manuales!$E$36*(datos_base!$H$3+IF(parametros_manuales!$H$36="Todos",datos_base!$H$10,0))*parametros_manuales!$E$102+parametros_manuales!$F$36*(datos_base!$H$4+IF(parametros_manuales!$H$36="Todos",datos_base!$H$11,0))*parametros_manuales!$E$107+parametros_manuales!$G$36*(datos_base!$H$5+IF(parametros_manuales!$H$36="Todos",datos_base!$H$12,0))*parametros_manuales!$E$112)*parametros_manuales!$I$36*parametros_manuales!$J$36</f>
        <v>13299.523346765</v>
      </c>
      <c r="F187" s="14" t="n">
        <f aca="false">(parametros_manuales!$D$36*(datos_base!$H$2+IF(parametros_manuales!$H$36="Todos",datos_base!$H$9,0))*parametros_manuales!$F$97+parametros_manuales!$E$36*(datos_base!$H$3+IF(parametros_manuales!$H$36="Todos",datos_base!$H$10,0))*parametros_manuales!$F$102+parametros_manuales!$F$36*(datos_base!$H$4+IF(parametros_manuales!$H$36="Todos",datos_base!$H$11,0))*parametros_manuales!$F$107+parametros_manuales!$G$36*(datos_base!$H$5+IF(parametros_manuales!$H$36="Todos",datos_base!$H$12,0))*parametros_manuales!$F$112)*parametros_manuales!$I$36*parametros_manuales!$J$36</f>
        <v>12445.62600092</v>
      </c>
      <c r="G187" s="14" t="n">
        <f aca="false">(parametros_manuales!$D$36*(datos_base!$H$2+IF(parametros_manuales!$H$36="Todos",datos_base!$H$9,0))*parametros_manuales!$G$97+parametros_manuales!$E$36*(datos_base!$H$3+IF(parametros_manuales!$H$36="Todos",datos_base!$H$10,0))*parametros_manuales!$G$102+parametros_manuales!$F$36*(datos_base!$H$4+IF(parametros_manuales!$H$36="Todos",datos_base!$H$11,0))*parametros_manuales!$G$107+parametros_manuales!$G$36*(datos_base!$H$5+IF(parametros_manuales!$H$36="Todos",datos_base!$H$12,0))*parametros_manuales!$G$112)*parametros_manuales!$I$36*parametros_manuales!$J$36</f>
        <v>12200.094421375</v>
      </c>
      <c r="H187" s="14" t="n">
        <f aca="false">(parametros_manuales!$D$36*(datos_base!$H$2+IF(parametros_manuales!$H$36="Todos",datos_base!$H$9,0))*parametros_manuales!$H$97+parametros_manuales!$E$36*(datos_base!$H$3+IF(parametros_manuales!$H$36="Todos",datos_base!$H$10,0))*parametros_manuales!$H$102+parametros_manuales!$F$36*(datos_base!$H$4+IF(parametros_manuales!$H$36="Todos",datos_base!$H$11,0))*parametros_manuales!$H$107+parametros_manuales!$G$36*(datos_base!$H$5+IF(parametros_manuales!$H$36="Todos",datos_base!$H$12,0))*parametros_manuales!$H$112)*parametros_manuales!$I$36*parametros_manuales!$J$36</f>
        <v>13053.99176722</v>
      </c>
      <c r="I187" s="14" t="n">
        <f aca="false">(parametros_manuales!$D$36*(datos_base!$H$2+IF(parametros_manuales!$H$36="Todos",datos_base!$H$9,0))*parametros_manuales!$I$97+parametros_manuales!$E$36*(datos_base!$H$3+IF(parametros_manuales!$H$36="Todos",datos_base!$H$10,0))*parametros_manuales!$I$102+parametros_manuales!$F$36*(datos_base!$H$4+IF(parametros_manuales!$H$36="Todos",datos_base!$H$11,0))*parametros_manuales!$I$107+parametros_manuales!$G$36*(datos_base!$H$5+IF(parametros_manuales!$H$36="Todos",datos_base!$H$12,0))*parametros_manuales!$I$112)*parametros_manuales!$I$36*parametros_manuales!$J$36</f>
        <v>14879.08906612</v>
      </c>
      <c r="J187" s="14" t="n">
        <f aca="false">(parametros_manuales!$D$36*(datos_base!$H$2+IF(parametros_manuales!$H$36="Todos",datos_base!$H$9,0))*parametros_manuales!$J$97+parametros_manuales!$E$36*(datos_base!$H$3+IF(parametros_manuales!$H$36="Todos",datos_base!$H$10,0))*parametros_manuales!$J$102+parametros_manuales!$F$36*(datos_base!$H$4+IF(parametros_manuales!$H$36="Todos",datos_base!$H$11,0))*parametros_manuales!$J$107+parametros_manuales!$G$36*(datos_base!$H$5+IF(parametros_manuales!$H$36="Todos",datos_base!$H$12,0))*parametros_manuales!$J$112)*parametros_manuales!$I$36*parametros_manuales!$J$36</f>
        <v>14879.08906612</v>
      </c>
      <c r="K187" s="14" t="n">
        <f aca="false">(parametros_manuales!$D$36*(datos_base!$H$2+IF(parametros_manuales!$H$36="Todos",datos_base!$H$9,0))*parametros_manuales!$K$97+parametros_manuales!$E$36*(datos_base!$H$3+IF(parametros_manuales!$H$36="Todos",datos_base!$H$10,0))*parametros_manuales!$K$102+parametros_manuales!$F$36*(datos_base!$H$4+IF(parametros_manuales!$H$36="Todos",datos_base!$H$11,0))*parametros_manuales!$K$107+parametros_manuales!$G$36*(datos_base!$H$5+IF(parametros_manuales!$H$36="Todos",datos_base!$H$12,0))*parametros_manuales!$K$112)*parametros_manuales!$I$36*parametros_manuales!$J$36</f>
        <v>15124.620645665</v>
      </c>
      <c r="L187" s="14" t="n">
        <f aca="false">(parametros_manuales!$D$36*(datos_base!$H$2+IF(parametros_manuales!$H$36="Todos",datos_base!$H$9,0))*parametros_manuales!$L$97+parametros_manuales!$E$36*(datos_base!$H$3+IF(parametros_manuales!$H$36="Todos",datos_base!$H$10,0))*parametros_manuales!$L$102+parametros_manuales!$F$36*(datos_base!$H$4+IF(parametros_manuales!$H$36="Todos",datos_base!$H$11,0))*parametros_manuales!$L$107+parametros_manuales!$G$36*(datos_base!$H$5+IF(parametros_manuales!$H$36="Todos",datos_base!$H$12,0))*parametros_manuales!$L$112)*parametros_manuales!$I$36*parametros_manuales!$J$36</f>
        <v>15370.15222521</v>
      </c>
      <c r="M187" s="14" t="n">
        <f aca="false">(parametros_manuales!$D$36*(datos_base!$H$2+IF(parametros_manuales!$H$36="Todos",datos_base!$H$9,0))*parametros_manuales!$M$97+parametros_manuales!$E$36*(datos_base!$H$3+IF(parametros_manuales!$H$36="Todos",datos_base!$H$10,0))*parametros_manuales!$M$102+parametros_manuales!$F$36*(datos_base!$H$4+IF(parametros_manuales!$H$36="Todos",datos_base!$H$11,0))*parametros_manuales!$M$107+parametros_manuales!$G$36*(datos_base!$H$5+IF(parametros_manuales!$H$36="Todos",datos_base!$H$12,0))*parametros_manuales!$M$112)*parametros_manuales!$I$36*parametros_manuales!$J$36</f>
        <v>15370.15222521</v>
      </c>
      <c r="N187" s="14" t="n">
        <f aca="false">SUM(B187:M187)</f>
        <v>170779.469169</v>
      </c>
      <c r="O187" s="14" t="n">
        <f aca="false">MAX(B187:M187)</f>
        <v>15370.15222521</v>
      </c>
      <c r="P187" s="57" t="n">
        <f aca="false">O187/(parametros_manuales!$B$7)</f>
        <v>102.4676815014</v>
      </c>
      <c r="Q187" s="13" t="str">
        <f aca="false">IF(O187=0,"-",INDEX($B$169:$M$169,MATCH(O187,B187:M187,0)))</f>
        <v>Ene</v>
      </c>
    </row>
    <row r="188" customFormat="false" ht="14.25" hidden="false" customHeight="true" outlineLevel="0" collapsed="false">
      <c r="A188" s="13" t="str">
        <f aca="false">parametros_manuales!$B$37</f>
        <v>Corrección de defectos</v>
      </c>
      <c r="B188" s="14" t="n">
        <f aca="false">(parametros_manuales!$D$37*(datos_base!$H$2+IF(parametros_manuales!$H$37="Todos",datos_base!$H$9,0))*parametros_manuales!$B$97+parametros_manuales!$E$37*(datos_base!$H$3+IF(parametros_manuales!$H$37="Todos",datos_base!$H$10,0))*parametros_manuales!$B$102+parametros_manuales!$F$37*(datos_base!$H$4+IF(parametros_manuales!$H$37="Todos",datos_base!$H$11,0))*parametros_manuales!$B$107+parametros_manuales!$G$37*(datos_base!$H$5+IF(parametros_manuales!$H$37="Todos",datos_base!$H$12,0))*parametros_manuales!$B$112)*parametros_manuales!$I$37*parametros_manuales!$J$37</f>
        <v>768.5076112605</v>
      </c>
      <c r="C188" s="14" t="n">
        <f aca="false">(parametros_manuales!$D$37*(datos_base!$H$2+IF(parametros_manuales!$H$37="Todos",datos_base!$H$9,0))*parametros_manuales!$C$97+parametros_manuales!$E$37*(datos_base!$H$3+IF(parametros_manuales!$H$37="Todos",datos_base!$H$10,0))*parametros_manuales!$C$102+parametros_manuales!$F$37*(datos_base!$H$4+IF(parametros_manuales!$H$37="Todos",datos_base!$H$11,0))*parametros_manuales!$C$107+parametros_manuales!$G$37*(datos_base!$H$5+IF(parametros_manuales!$H$37="Todos",datos_base!$H$12,0))*parametros_manuales!$C$112)*parametros_manuales!$I$37*parametros_manuales!$J$37</f>
        <v>743.954453306</v>
      </c>
      <c r="D188" s="14" t="n">
        <f aca="false">(parametros_manuales!$D$37*(datos_base!$H$2+IF(parametros_manuales!$H$37="Todos",datos_base!$H$9,0))*parametros_manuales!$D$97+parametros_manuales!$E$37*(datos_base!$H$3+IF(parametros_manuales!$H$37="Todos",datos_base!$H$10,0))*parametros_manuales!$D$102+parametros_manuales!$F$37*(datos_base!$H$4+IF(parametros_manuales!$H$37="Todos",datos_base!$H$11,0))*parametros_manuales!$D$107+parametros_manuales!$G$37*(datos_base!$H$5+IF(parametros_manuales!$H$37="Todos",datos_base!$H$12,0))*parametros_manuales!$D$112)*parametros_manuales!$I$37*parametros_manuales!$J$37</f>
        <v>695.39445565325</v>
      </c>
      <c r="E188" s="14" t="n">
        <f aca="false">(parametros_manuales!$D$37*(datos_base!$H$2+IF(parametros_manuales!$H$37="Todos",datos_base!$H$9,0))*parametros_manuales!$E$97+parametros_manuales!$E$37*(datos_base!$H$3+IF(parametros_manuales!$H$37="Todos",datos_base!$H$10,0))*parametros_manuales!$E$102+parametros_manuales!$F$37*(datos_base!$H$4+IF(parametros_manuales!$H$37="Todos",datos_base!$H$11,0))*parametros_manuales!$E$107+parametros_manuales!$G$37*(datos_base!$H$5+IF(parametros_manuales!$H$37="Todos",datos_base!$H$12,0))*parametros_manuales!$E$112)*parametros_manuales!$I$37*parametros_manuales!$J$37</f>
        <v>664.97616733825</v>
      </c>
      <c r="F188" s="14" t="n">
        <f aca="false">(parametros_manuales!$D$37*(datos_base!$H$2+IF(parametros_manuales!$H$37="Todos",datos_base!$H$9,0))*parametros_manuales!$F$97+parametros_manuales!$E$37*(datos_base!$H$3+IF(parametros_manuales!$H$37="Todos",datos_base!$H$10,0))*parametros_manuales!$F$102+parametros_manuales!$F$37*(datos_base!$H$4+IF(parametros_manuales!$H$37="Todos",datos_base!$H$11,0))*parametros_manuales!$F$107+parametros_manuales!$G$37*(datos_base!$H$5+IF(parametros_manuales!$H$37="Todos",datos_base!$H$12,0))*parametros_manuales!$F$112)*parametros_manuales!$I$37*parametros_manuales!$J$37</f>
        <v>622.281300046</v>
      </c>
      <c r="G188" s="14" t="n">
        <f aca="false">(parametros_manuales!$D$37*(datos_base!$H$2+IF(parametros_manuales!$H$37="Todos",datos_base!$H$9,0))*parametros_manuales!$G$97+parametros_manuales!$E$37*(datos_base!$H$3+IF(parametros_manuales!$H$37="Todos",datos_base!$H$10,0))*parametros_manuales!$G$102+parametros_manuales!$F$37*(datos_base!$H$4+IF(parametros_manuales!$H$37="Todos",datos_base!$H$11,0))*parametros_manuales!$G$107+parametros_manuales!$G$37*(datos_base!$H$5+IF(parametros_manuales!$H$37="Todos",datos_base!$H$12,0))*parametros_manuales!$G$112)*parametros_manuales!$I$37*parametros_manuales!$J$37</f>
        <v>610.00472106875</v>
      </c>
      <c r="H188" s="14" t="n">
        <f aca="false">(parametros_manuales!$D$37*(datos_base!$H$2+IF(parametros_manuales!$H$37="Todos",datos_base!$H$9,0))*parametros_manuales!$H$97+parametros_manuales!$E$37*(datos_base!$H$3+IF(parametros_manuales!$H$37="Todos",datos_base!$H$10,0))*parametros_manuales!$H$102+parametros_manuales!$F$37*(datos_base!$H$4+IF(parametros_manuales!$H$37="Todos",datos_base!$H$11,0))*parametros_manuales!$H$107+parametros_manuales!$G$37*(datos_base!$H$5+IF(parametros_manuales!$H$37="Todos",datos_base!$H$12,0))*parametros_manuales!$H$112)*parametros_manuales!$I$37*parametros_manuales!$J$37</f>
        <v>652.699588361</v>
      </c>
      <c r="I188" s="14" t="n">
        <f aca="false">(parametros_manuales!$D$37*(datos_base!$H$2+IF(parametros_manuales!$H$37="Todos",datos_base!$H$9,0))*parametros_manuales!$I$97+parametros_manuales!$E$37*(datos_base!$H$3+IF(parametros_manuales!$H$37="Todos",datos_base!$H$10,0))*parametros_manuales!$I$102+parametros_manuales!$F$37*(datos_base!$H$4+IF(parametros_manuales!$H$37="Todos",datos_base!$H$11,0))*parametros_manuales!$I$107+parametros_manuales!$G$37*(datos_base!$H$5+IF(parametros_manuales!$H$37="Todos",datos_base!$H$12,0))*parametros_manuales!$I$112)*parametros_manuales!$I$37*parametros_manuales!$J$37</f>
        <v>743.954453306</v>
      </c>
      <c r="J188" s="14" t="n">
        <f aca="false">(parametros_manuales!$D$37*(datos_base!$H$2+IF(parametros_manuales!$H$37="Todos",datos_base!$H$9,0))*parametros_manuales!$J$97+parametros_manuales!$E$37*(datos_base!$H$3+IF(parametros_manuales!$H$37="Todos",datos_base!$H$10,0))*parametros_manuales!$J$102+parametros_manuales!$F$37*(datos_base!$H$4+IF(parametros_manuales!$H$37="Todos",datos_base!$H$11,0))*parametros_manuales!$J$107+parametros_manuales!$G$37*(datos_base!$H$5+IF(parametros_manuales!$H$37="Todos",datos_base!$H$12,0))*parametros_manuales!$J$112)*parametros_manuales!$I$37*parametros_manuales!$J$37</f>
        <v>743.954453306</v>
      </c>
      <c r="K188" s="14" t="n">
        <f aca="false">(parametros_manuales!$D$37*(datos_base!$H$2+IF(parametros_manuales!$H$37="Todos",datos_base!$H$9,0))*parametros_manuales!$K$97+parametros_manuales!$E$37*(datos_base!$H$3+IF(parametros_manuales!$H$37="Todos",datos_base!$H$10,0))*parametros_manuales!$K$102+parametros_manuales!$F$37*(datos_base!$H$4+IF(parametros_manuales!$H$37="Todos",datos_base!$H$11,0))*parametros_manuales!$K$107+parametros_manuales!$G$37*(datos_base!$H$5+IF(parametros_manuales!$H$37="Todos",datos_base!$H$12,0))*parametros_manuales!$K$112)*parametros_manuales!$I$37*parametros_manuales!$J$37</f>
        <v>756.23103228325</v>
      </c>
      <c r="L188" s="14" t="n">
        <f aca="false">(parametros_manuales!$D$37*(datos_base!$H$2+IF(parametros_manuales!$H$37="Todos",datos_base!$H$9,0))*parametros_manuales!$L$97+parametros_manuales!$E$37*(datos_base!$H$3+IF(parametros_manuales!$H$37="Todos",datos_base!$H$10,0))*parametros_manuales!$L$102+parametros_manuales!$F$37*(datos_base!$H$4+IF(parametros_manuales!$H$37="Todos",datos_base!$H$11,0))*parametros_manuales!$L$107+parametros_manuales!$G$37*(datos_base!$H$5+IF(parametros_manuales!$H$37="Todos",datos_base!$H$12,0))*parametros_manuales!$L$112)*parametros_manuales!$I$37*parametros_manuales!$J$37</f>
        <v>768.5076112605</v>
      </c>
      <c r="M188" s="14" t="n">
        <f aca="false">(parametros_manuales!$D$37*(datos_base!$H$2+IF(parametros_manuales!$H$37="Todos",datos_base!$H$9,0))*parametros_manuales!$M$97+parametros_manuales!$E$37*(datos_base!$H$3+IF(parametros_manuales!$H$37="Todos",datos_base!$H$10,0))*parametros_manuales!$M$102+parametros_manuales!$F$37*(datos_base!$H$4+IF(parametros_manuales!$H$37="Todos",datos_base!$H$11,0))*parametros_manuales!$M$107+parametros_manuales!$G$37*(datos_base!$H$5+IF(parametros_manuales!$H$37="Todos",datos_base!$H$12,0))*parametros_manuales!$M$112)*parametros_manuales!$I$37*parametros_manuales!$J$37</f>
        <v>768.5076112605</v>
      </c>
      <c r="N188" s="14" t="n">
        <f aca="false">SUM(B188:M188)</f>
        <v>8538.97345845</v>
      </c>
      <c r="O188" s="14" t="n">
        <f aca="false">MAX(B188:M188)</f>
        <v>768.5076112605</v>
      </c>
      <c r="P188" s="57" t="n">
        <f aca="false">O188/(parametros_manuales!$B$7)</f>
        <v>5.12338407507</v>
      </c>
      <c r="Q188" s="13" t="str">
        <f aca="false">IF(O188=0,"-",INDEX($B$169:$M$169,MATCH(O188,B188:M188,0)))</f>
        <v>Ene</v>
      </c>
    </row>
    <row r="189" customFormat="false" ht="14.25" hidden="false" customHeight="true" outlineLevel="0" collapsed="false">
      <c r="A189" s="13" t="str">
        <f aca="false">parametros_manuales!$B$38</f>
        <v>Pintura en polvo + horno</v>
      </c>
      <c r="B189" s="14" t="n">
        <f aca="false">(parametros_manuales!$D$38*(datos_base!$H$2+IF(parametros_manuales!$H$38="Todos",datos_base!$H$9,0))*parametros_manuales!$B$97+parametros_manuales!$E$38*(datos_base!$H$3+IF(parametros_manuales!$H$38="Todos",datos_base!$H$10,0))*parametros_manuales!$B$102+parametros_manuales!$F$38*(datos_base!$H$4+IF(parametros_manuales!$H$38="Todos",datos_base!$H$11,0))*parametros_manuales!$B$107+parametros_manuales!$G$38*(datos_base!$H$5+IF(parametros_manuales!$H$38="Todos",datos_base!$H$12,0))*parametros_manuales!$B$112)*parametros_manuales!$I$38*parametros_manuales!$J$38</f>
        <v>15370.15222521</v>
      </c>
      <c r="C189" s="14" t="n">
        <f aca="false">(parametros_manuales!$D$38*(datos_base!$H$2+IF(parametros_manuales!$H$38="Todos",datos_base!$H$9,0))*parametros_manuales!$C$97+parametros_manuales!$E$38*(datos_base!$H$3+IF(parametros_manuales!$H$38="Todos",datos_base!$H$10,0))*parametros_manuales!$C$102+parametros_manuales!$F$38*(datos_base!$H$4+IF(parametros_manuales!$H$38="Todos",datos_base!$H$11,0))*parametros_manuales!$C$107+parametros_manuales!$G$38*(datos_base!$H$5+IF(parametros_manuales!$H$38="Todos",datos_base!$H$12,0))*parametros_manuales!$C$112)*parametros_manuales!$I$38*parametros_manuales!$J$38</f>
        <v>14879.08906612</v>
      </c>
      <c r="D189" s="14" t="n">
        <f aca="false">(parametros_manuales!$D$38*(datos_base!$H$2+IF(parametros_manuales!$H$38="Todos",datos_base!$H$9,0))*parametros_manuales!$D$97+parametros_manuales!$E$38*(datos_base!$H$3+IF(parametros_manuales!$H$38="Todos",datos_base!$H$10,0))*parametros_manuales!$D$102+parametros_manuales!$F$38*(datos_base!$H$4+IF(parametros_manuales!$H$38="Todos",datos_base!$H$11,0))*parametros_manuales!$D$107+parametros_manuales!$G$38*(datos_base!$H$5+IF(parametros_manuales!$H$38="Todos",datos_base!$H$12,0))*parametros_manuales!$D$112)*parametros_manuales!$I$38*parametros_manuales!$J$38</f>
        <v>13907.889113065</v>
      </c>
      <c r="E189" s="14" t="n">
        <f aca="false">(parametros_manuales!$D$38*(datos_base!$H$2+IF(parametros_manuales!$H$38="Todos",datos_base!$H$9,0))*parametros_manuales!$E$97+parametros_manuales!$E$38*(datos_base!$H$3+IF(parametros_manuales!$H$38="Todos",datos_base!$H$10,0))*parametros_manuales!$E$102+parametros_manuales!$F$38*(datos_base!$H$4+IF(parametros_manuales!$H$38="Todos",datos_base!$H$11,0))*parametros_manuales!$E$107+parametros_manuales!$G$38*(datos_base!$H$5+IF(parametros_manuales!$H$38="Todos",datos_base!$H$12,0))*parametros_manuales!$E$112)*parametros_manuales!$I$38*parametros_manuales!$J$38</f>
        <v>13299.523346765</v>
      </c>
      <c r="F189" s="14" t="n">
        <f aca="false">(parametros_manuales!$D$38*(datos_base!$H$2+IF(parametros_manuales!$H$38="Todos",datos_base!$H$9,0))*parametros_manuales!$F$97+parametros_manuales!$E$38*(datos_base!$H$3+IF(parametros_manuales!$H$38="Todos",datos_base!$H$10,0))*parametros_manuales!$F$102+parametros_manuales!$F$38*(datos_base!$H$4+IF(parametros_manuales!$H$38="Todos",datos_base!$H$11,0))*parametros_manuales!$F$107+parametros_manuales!$G$38*(datos_base!$H$5+IF(parametros_manuales!$H$38="Todos",datos_base!$H$12,0))*parametros_manuales!$F$112)*parametros_manuales!$I$38*parametros_manuales!$J$38</f>
        <v>12445.62600092</v>
      </c>
      <c r="G189" s="14" t="n">
        <f aca="false">(parametros_manuales!$D$38*(datos_base!$H$2+IF(parametros_manuales!$H$38="Todos",datos_base!$H$9,0))*parametros_manuales!$G$97+parametros_manuales!$E$38*(datos_base!$H$3+IF(parametros_manuales!$H$38="Todos",datos_base!$H$10,0))*parametros_manuales!$G$102+parametros_manuales!$F$38*(datos_base!$H$4+IF(parametros_manuales!$H$38="Todos",datos_base!$H$11,0))*parametros_manuales!$G$107+parametros_manuales!$G$38*(datos_base!$H$5+IF(parametros_manuales!$H$38="Todos",datos_base!$H$12,0))*parametros_manuales!$G$112)*parametros_manuales!$I$38*parametros_manuales!$J$38</f>
        <v>12200.094421375</v>
      </c>
      <c r="H189" s="14" t="n">
        <f aca="false">(parametros_manuales!$D$38*(datos_base!$H$2+IF(parametros_manuales!$H$38="Todos",datos_base!$H$9,0))*parametros_manuales!$H$97+parametros_manuales!$E$38*(datos_base!$H$3+IF(parametros_manuales!$H$38="Todos",datos_base!$H$10,0))*parametros_manuales!$H$102+parametros_manuales!$F$38*(datos_base!$H$4+IF(parametros_manuales!$H$38="Todos",datos_base!$H$11,0))*parametros_manuales!$H$107+parametros_manuales!$G$38*(datos_base!$H$5+IF(parametros_manuales!$H$38="Todos",datos_base!$H$12,0))*parametros_manuales!$H$112)*parametros_manuales!$I$38*parametros_manuales!$J$38</f>
        <v>13053.99176722</v>
      </c>
      <c r="I189" s="14" t="n">
        <f aca="false">(parametros_manuales!$D$38*(datos_base!$H$2+IF(parametros_manuales!$H$38="Todos",datos_base!$H$9,0))*parametros_manuales!$I$97+parametros_manuales!$E$38*(datos_base!$H$3+IF(parametros_manuales!$H$38="Todos",datos_base!$H$10,0))*parametros_manuales!$I$102+parametros_manuales!$F$38*(datos_base!$H$4+IF(parametros_manuales!$H$38="Todos",datos_base!$H$11,0))*parametros_manuales!$I$107+parametros_manuales!$G$38*(datos_base!$H$5+IF(parametros_manuales!$H$38="Todos",datos_base!$H$12,0))*parametros_manuales!$I$112)*parametros_manuales!$I$38*parametros_manuales!$J$38</f>
        <v>14879.08906612</v>
      </c>
      <c r="J189" s="14" t="n">
        <f aca="false">(parametros_manuales!$D$38*(datos_base!$H$2+IF(parametros_manuales!$H$38="Todos",datos_base!$H$9,0))*parametros_manuales!$J$97+parametros_manuales!$E$38*(datos_base!$H$3+IF(parametros_manuales!$H$38="Todos",datos_base!$H$10,0))*parametros_manuales!$J$102+parametros_manuales!$F$38*(datos_base!$H$4+IF(parametros_manuales!$H$38="Todos",datos_base!$H$11,0))*parametros_manuales!$J$107+parametros_manuales!$G$38*(datos_base!$H$5+IF(parametros_manuales!$H$38="Todos",datos_base!$H$12,0))*parametros_manuales!$J$112)*parametros_manuales!$I$38*parametros_manuales!$J$38</f>
        <v>14879.08906612</v>
      </c>
      <c r="K189" s="14" t="n">
        <f aca="false">(parametros_manuales!$D$38*(datos_base!$H$2+IF(parametros_manuales!$H$38="Todos",datos_base!$H$9,0))*parametros_manuales!$K$97+parametros_manuales!$E$38*(datos_base!$H$3+IF(parametros_manuales!$H$38="Todos",datos_base!$H$10,0))*parametros_manuales!$K$102+parametros_manuales!$F$38*(datos_base!$H$4+IF(parametros_manuales!$H$38="Todos",datos_base!$H$11,0))*parametros_manuales!$K$107+parametros_manuales!$G$38*(datos_base!$H$5+IF(parametros_manuales!$H$38="Todos",datos_base!$H$12,0))*parametros_manuales!$K$112)*parametros_manuales!$I$38*parametros_manuales!$J$38</f>
        <v>15124.620645665</v>
      </c>
      <c r="L189" s="14" t="n">
        <f aca="false">(parametros_manuales!$D$38*(datos_base!$H$2+IF(parametros_manuales!$H$38="Todos",datos_base!$H$9,0))*parametros_manuales!$L$97+parametros_manuales!$E$38*(datos_base!$H$3+IF(parametros_manuales!$H$38="Todos",datos_base!$H$10,0))*parametros_manuales!$L$102+parametros_manuales!$F$38*(datos_base!$H$4+IF(parametros_manuales!$H$38="Todos",datos_base!$H$11,0))*parametros_manuales!$L$107+parametros_manuales!$G$38*(datos_base!$H$5+IF(parametros_manuales!$H$38="Todos",datos_base!$H$12,0))*parametros_manuales!$L$112)*parametros_manuales!$I$38*parametros_manuales!$J$38</f>
        <v>15370.15222521</v>
      </c>
      <c r="M189" s="14" t="n">
        <f aca="false">(parametros_manuales!$D$38*(datos_base!$H$2+IF(parametros_manuales!$H$38="Todos",datos_base!$H$9,0))*parametros_manuales!$M$97+parametros_manuales!$E$38*(datos_base!$H$3+IF(parametros_manuales!$H$38="Todos",datos_base!$H$10,0))*parametros_manuales!$M$102+parametros_manuales!$F$38*(datos_base!$H$4+IF(parametros_manuales!$H$38="Todos",datos_base!$H$11,0))*parametros_manuales!$M$107+parametros_manuales!$G$38*(datos_base!$H$5+IF(parametros_manuales!$H$38="Todos",datos_base!$H$12,0))*parametros_manuales!$M$112)*parametros_manuales!$I$38*parametros_manuales!$J$38</f>
        <v>15370.15222521</v>
      </c>
      <c r="N189" s="14" t="n">
        <f aca="false">SUM(B189:M189)</f>
        <v>170779.469169</v>
      </c>
      <c r="O189" s="14" t="n">
        <f aca="false">MAX(B189:M189)</f>
        <v>15370.15222521</v>
      </c>
      <c r="P189" s="57" t="n">
        <f aca="false">O189/(parametros_manuales!$B$7)</f>
        <v>102.4676815014</v>
      </c>
      <c r="Q189" s="13" t="str">
        <f aca="false">IF(O189=0,"-",INDEX($B$169:$M$169,MATCH(O189,B189:M189,0)))</f>
        <v>Ene</v>
      </c>
    </row>
    <row r="190" customFormat="false" ht="14.25" hidden="false" customHeight="true" outlineLevel="0" collapsed="false">
      <c r="A190" s="13" t="str">
        <f aca="false">parametros_manuales!$B$39</f>
        <v>Carga de polvo</v>
      </c>
      <c r="B190" s="14" t="n">
        <f aca="false">(parametros_manuales!$D$39*(datos_base!$H$2+IF(parametros_manuales!$H$39="Todos",datos_base!$H$9,0))*parametros_manuales!$B$97+parametros_manuales!$E$39*(datos_base!$H$3+IF(parametros_manuales!$H$39="Todos",datos_base!$H$10,0))*parametros_manuales!$B$102+parametros_manuales!$F$39*(datos_base!$H$4+IF(parametros_manuales!$H$39="Todos",datos_base!$H$11,0))*parametros_manuales!$B$107+parametros_manuales!$G$39*(datos_base!$H$5+IF(parametros_manuales!$H$39="Todos",datos_base!$H$12,0))*parametros_manuales!$B$112)*parametros_manuales!$I$39*parametros_manuales!$J$39</f>
        <v>4008.21022521</v>
      </c>
      <c r="C190" s="14" t="n">
        <f aca="false">(parametros_manuales!$D$39*(datos_base!$H$2+IF(parametros_manuales!$H$39="Todos",datos_base!$H$9,0))*parametros_manuales!$C$97+parametros_manuales!$E$39*(datos_base!$H$3+IF(parametros_manuales!$H$39="Todos",datos_base!$H$10,0))*parametros_manuales!$C$102+parametros_manuales!$F$39*(datos_base!$H$4+IF(parametros_manuales!$H$39="Todos",datos_base!$H$11,0))*parametros_manuales!$C$107+parametros_manuales!$G$39*(datos_base!$H$5+IF(parametros_manuales!$H$39="Todos",datos_base!$H$12,0))*parametros_manuales!$C$112)*parametros_manuales!$I$39*parametros_manuales!$J$39</f>
        <v>3766.17906612</v>
      </c>
      <c r="D190" s="14" t="n">
        <f aca="false">(parametros_manuales!$D$39*(datos_base!$H$2+IF(parametros_manuales!$H$39="Todos",datos_base!$H$9,0))*parametros_manuales!$D$97+parametros_manuales!$E$39*(datos_base!$H$3+IF(parametros_manuales!$H$39="Todos",datos_base!$H$10,0))*parametros_manuales!$D$102+parametros_manuales!$F$39*(datos_base!$H$4+IF(parametros_manuales!$H$39="Todos",datos_base!$H$11,0))*parametros_manuales!$D$107+parametros_manuales!$G$39*(datos_base!$H$5+IF(parametros_manuales!$H$39="Todos",datos_base!$H$12,0))*parametros_manuales!$D$112)*parametros_manuales!$I$39*parametros_manuales!$J$39</f>
        <v>3683.869113065</v>
      </c>
      <c r="E190" s="14" t="n">
        <f aca="false">(parametros_manuales!$D$39*(datos_base!$H$2+IF(parametros_manuales!$H$39="Todos",datos_base!$H$9,0))*parametros_manuales!$E$97+parametros_manuales!$E$39*(datos_base!$H$3+IF(parametros_manuales!$H$39="Todos",datos_base!$H$10,0))*parametros_manuales!$E$102+parametros_manuales!$F$39*(datos_base!$H$4+IF(parametros_manuales!$H$39="Todos",datos_base!$H$11,0))*parametros_manuales!$E$107+parametros_manuales!$G$39*(datos_base!$H$5+IF(parametros_manuales!$H$39="Todos",datos_base!$H$12,0))*parametros_manuales!$E$112)*parametros_manuales!$I$39*parametros_manuales!$J$39</f>
        <v>3582.206346765</v>
      </c>
      <c r="F190" s="14" t="n">
        <f aca="false">(parametros_manuales!$D$39*(datos_base!$H$2+IF(parametros_manuales!$H$39="Todos",datos_base!$H$9,0))*parametros_manuales!$F$97+parametros_manuales!$E$39*(datos_base!$H$3+IF(parametros_manuales!$H$39="Todos",datos_base!$H$10,0))*parametros_manuales!$F$102+parametros_manuales!$F$39*(datos_base!$H$4+IF(parametros_manuales!$H$39="Todos",datos_base!$H$11,0))*parametros_manuales!$F$107+parametros_manuales!$G$39*(datos_base!$H$5+IF(parametros_manuales!$H$39="Todos",datos_base!$H$12,0))*parametros_manuales!$F$112)*parametros_manuales!$I$39*parametros_manuales!$J$39</f>
        <v>3359.52800092</v>
      </c>
      <c r="G190" s="14" t="n">
        <f aca="false">(parametros_manuales!$D$39*(datos_base!$H$2+IF(parametros_manuales!$H$39="Todos",datos_base!$H$9,0))*parametros_manuales!$G$97+parametros_manuales!$E$39*(datos_base!$H$3+IF(parametros_manuales!$H$39="Todos",datos_base!$H$10,0))*parametros_manuales!$G$102+parametros_manuales!$F$39*(datos_base!$H$4+IF(parametros_manuales!$H$39="Todos",datos_base!$H$11,0))*parametros_manuales!$G$107+parametros_manuales!$G$39*(datos_base!$H$5+IF(parametros_manuales!$H$39="Todos",datos_base!$H$12,0))*parametros_manuales!$G$112)*parametros_manuales!$I$39*parametros_manuales!$J$39</f>
        <v>3238.512421375</v>
      </c>
      <c r="H190" s="14" t="n">
        <f aca="false">(parametros_manuales!$D$39*(datos_base!$H$2+IF(parametros_manuales!$H$39="Todos",datos_base!$H$9,0))*parametros_manuales!$H$97+parametros_manuales!$E$39*(datos_base!$H$3+IF(parametros_manuales!$H$39="Todos",datos_base!$H$10,0))*parametros_manuales!$H$102+parametros_manuales!$F$39*(datos_base!$H$4+IF(parametros_manuales!$H$39="Todos",datos_base!$H$11,0))*parametros_manuales!$H$107+parametros_manuales!$G$39*(datos_base!$H$5+IF(parametros_manuales!$H$39="Todos",datos_base!$H$12,0))*parametros_manuales!$H$112)*parametros_manuales!$I$39*parametros_manuales!$J$39</f>
        <v>3461.19076722</v>
      </c>
      <c r="I190" s="14" t="n">
        <f aca="false">(parametros_manuales!$D$39*(datos_base!$H$2+IF(parametros_manuales!$H$39="Todos",datos_base!$H$9,0))*parametros_manuales!$I$97+parametros_manuales!$E$39*(datos_base!$H$3+IF(parametros_manuales!$H$39="Todos",datos_base!$H$10,0))*parametros_manuales!$I$102+parametros_manuales!$F$39*(datos_base!$H$4+IF(parametros_manuales!$H$39="Todos",datos_base!$H$11,0))*parametros_manuales!$I$107+parametros_manuales!$G$39*(datos_base!$H$5+IF(parametros_manuales!$H$39="Todos",datos_base!$H$12,0))*parametros_manuales!$I$112)*parametros_manuales!$I$39*parametros_manuales!$J$39</f>
        <v>3766.17906612</v>
      </c>
      <c r="J190" s="14" t="n">
        <f aca="false">(parametros_manuales!$D$39*(datos_base!$H$2+IF(parametros_manuales!$H$39="Todos",datos_base!$H$9,0))*parametros_manuales!$J$97+parametros_manuales!$E$39*(datos_base!$H$3+IF(parametros_manuales!$H$39="Todos",datos_base!$H$10,0))*parametros_manuales!$J$102+parametros_manuales!$F$39*(datos_base!$H$4+IF(parametros_manuales!$H$39="Todos",datos_base!$H$11,0))*parametros_manuales!$J$107+parametros_manuales!$G$39*(datos_base!$H$5+IF(parametros_manuales!$H$39="Todos",datos_base!$H$12,0))*parametros_manuales!$J$112)*parametros_manuales!$I$39*parametros_manuales!$J$39</f>
        <v>3766.17906612</v>
      </c>
      <c r="K190" s="14" t="n">
        <f aca="false">(parametros_manuales!$D$39*(datos_base!$H$2+IF(parametros_manuales!$H$39="Todos",datos_base!$H$9,0))*parametros_manuales!$K$97+parametros_manuales!$E$39*(datos_base!$H$3+IF(parametros_manuales!$H$39="Todos",datos_base!$H$10,0))*parametros_manuales!$K$102+parametros_manuales!$F$39*(datos_base!$H$4+IF(parametros_manuales!$H$39="Todos",datos_base!$H$11,0))*parametros_manuales!$K$107+parametros_manuales!$G$39*(datos_base!$H$5+IF(parametros_manuales!$H$39="Todos",datos_base!$H$12,0))*parametros_manuales!$K$112)*parametros_manuales!$I$39*parametros_manuales!$J$39</f>
        <v>3887.194645665</v>
      </c>
      <c r="L190" s="14" t="n">
        <f aca="false">(parametros_manuales!$D$39*(datos_base!$H$2+IF(parametros_manuales!$H$39="Todos",datos_base!$H$9,0))*parametros_manuales!$L$97+parametros_manuales!$E$39*(datos_base!$H$3+IF(parametros_manuales!$H$39="Todos",datos_base!$H$10,0))*parametros_manuales!$L$102+parametros_manuales!$F$39*(datos_base!$H$4+IF(parametros_manuales!$H$39="Todos",datos_base!$H$11,0))*parametros_manuales!$L$107+parametros_manuales!$G$39*(datos_base!$H$5+IF(parametros_manuales!$H$39="Todos",datos_base!$H$12,0))*parametros_manuales!$L$112)*parametros_manuales!$I$39*parametros_manuales!$J$39</f>
        <v>4008.21022521</v>
      </c>
      <c r="M190" s="14" t="n">
        <f aca="false">(parametros_manuales!$D$39*(datos_base!$H$2+IF(parametros_manuales!$H$39="Todos",datos_base!$H$9,0))*parametros_manuales!$M$97+parametros_manuales!$E$39*(datos_base!$H$3+IF(parametros_manuales!$H$39="Todos",datos_base!$H$10,0))*parametros_manuales!$M$102+parametros_manuales!$F$39*(datos_base!$H$4+IF(parametros_manuales!$H$39="Todos",datos_base!$H$11,0))*parametros_manuales!$M$107+parametros_manuales!$G$39*(datos_base!$H$5+IF(parametros_manuales!$H$39="Todos",datos_base!$H$12,0))*parametros_manuales!$M$112)*parametros_manuales!$I$39*parametros_manuales!$J$39</f>
        <v>4008.21022521</v>
      </c>
      <c r="N190" s="14" t="n">
        <f aca="false">SUM(B190:M190)</f>
        <v>44535.669169</v>
      </c>
      <c r="O190" s="14" t="n">
        <f aca="false">MAX(B190:M190)</f>
        <v>4008.21022521</v>
      </c>
      <c r="P190" s="57" t="n">
        <f aca="false">O190/(parametros_manuales!$B$7)</f>
        <v>26.7214015014</v>
      </c>
      <c r="Q190" s="13" t="str">
        <f aca="false">IF(O190=0,"-",INDEX($B$169:$M$169,MATCH(O190,B190:M190,0)))</f>
        <v>Ene</v>
      </c>
    </row>
    <row r="191" customFormat="false" ht="14.25" hidden="false" customHeight="true" outlineLevel="0" collapsed="false">
      <c r="A191" s="13" t="str">
        <f aca="false">parametros_manuales!$B$40</f>
        <v>Ensamblaje</v>
      </c>
      <c r="B191" s="14" t="n">
        <f aca="false">(parametros_manuales!$D$40*(datos_base!$H$2+IF(parametros_manuales!$H$40="Todos",datos_base!$H$9,0))*parametros_manuales!$B$97+parametros_manuales!$E$40*(datos_base!$H$3+IF(parametros_manuales!$H$40="Todos",datos_base!$H$10,0))*parametros_manuales!$B$102+parametros_manuales!$F$40*(datos_base!$H$4+IF(parametros_manuales!$H$40="Todos",datos_base!$H$11,0))*parametros_manuales!$B$107+parametros_manuales!$G$40*(datos_base!$H$5+IF(parametros_manuales!$H$40="Todos",datos_base!$H$12,0))*parametros_manuales!$B$112)*parametros_manuales!$I$40*parametros_manuales!$J$40</f>
        <v>4008.21022521</v>
      </c>
      <c r="C191" s="14" t="n">
        <f aca="false">(parametros_manuales!$D$40*(datos_base!$H$2+IF(parametros_manuales!$H$40="Todos",datos_base!$H$9,0))*parametros_manuales!$C$97+parametros_manuales!$E$40*(datos_base!$H$3+IF(parametros_manuales!$H$40="Todos",datos_base!$H$10,0))*parametros_manuales!$C$102+parametros_manuales!$F$40*(datos_base!$H$4+IF(parametros_manuales!$H$40="Todos",datos_base!$H$11,0))*parametros_manuales!$C$107+parametros_manuales!$G$40*(datos_base!$H$5+IF(parametros_manuales!$H$40="Todos",datos_base!$H$12,0))*parametros_manuales!$C$112)*parametros_manuales!$I$40*parametros_manuales!$J$40</f>
        <v>3766.17906612</v>
      </c>
      <c r="D191" s="14" t="n">
        <f aca="false">(parametros_manuales!$D$40*(datos_base!$H$2+IF(parametros_manuales!$H$40="Todos",datos_base!$H$9,0))*parametros_manuales!$D$97+parametros_manuales!$E$40*(datos_base!$H$3+IF(parametros_manuales!$H$40="Todos",datos_base!$H$10,0))*parametros_manuales!$D$102+parametros_manuales!$F$40*(datos_base!$H$4+IF(parametros_manuales!$H$40="Todos",datos_base!$H$11,0))*parametros_manuales!$D$107+parametros_manuales!$G$40*(datos_base!$H$5+IF(parametros_manuales!$H$40="Todos",datos_base!$H$12,0))*parametros_manuales!$D$112)*parametros_manuales!$I$40*parametros_manuales!$J$40</f>
        <v>3683.869113065</v>
      </c>
      <c r="E191" s="14" t="n">
        <f aca="false">(parametros_manuales!$D$40*(datos_base!$H$2+IF(parametros_manuales!$H$40="Todos",datos_base!$H$9,0))*parametros_manuales!$E$97+parametros_manuales!$E$40*(datos_base!$H$3+IF(parametros_manuales!$H$40="Todos",datos_base!$H$10,0))*parametros_manuales!$E$102+parametros_manuales!$F$40*(datos_base!$H$4+IF(parametros_manuales!$H$40="Todos",datos_base!$H$11,0))*parametros_manuales!$E$107+parametros_manuales!$G$40*(datos_base!$H$5+IF(parametros_manuales!$H$40="Todos",datos_base!$H$12,0))*parametros_manuales!$E$112)*parametros_manuales!$I$40*parametros_manuales!$J$40</f>
        <v>3582.206346765</v>
      </c>
      <c r="F191" s="14" t="n">
        <f aca="false">(parametros_manuales!$D$40*(datos_base!$H$2+IF(parametros_manuales!$H$40="Todos",datos_base!$H$9,0))*parametros_manuales!$F$97+parametros_manuales!$E$40*(datos_base!$H$3+IF(parametros_manuales!$H$40="Todos",datos_base!$H$10,0))*parametros_manuales!$F$102+parametros_manuales!$F$40*(datos_base!$H$4+IF(parametros_manuales!$H$40="Todos",datos_base!$H$11,0))*parametros_manuales!$F$107+parametros_manuales!$G$40*(datos_base!$H$5+IF(parametros_manuales!$H$40="Todos",datos_base!$H$12,0))*parametros_manuales!$F$112)*parametros_manuales!$I$40*parametros_manuales!$J$40</f>
        <v>3359.52800092</v>
      </c>
      <c r="G191" s="14" t="n">
        <f aca="false">(parametros_manuales!$D$40*(datos_base!$H$2+IF(parametros_manuales!$H$40="Todos",datos_base!$H$9,0))*parametros_manuales!$G$97+parametros_manuales!$E$40*(datos_base!$H$3+IF(parametros_manuales!$H$40="Todos",datos_base!$H$10,0))*parametros_manuales!$G$102+parametros_manuales!$F$40*(datos_base!$H$4+IF(parametros_manuales!$H$40="Todos",datos_base!$H$11,0))*parametros_manuales!$G$107+parametros_manuales!$G$40*(datos_base!$H$5+IF(parametros_manuales!$H$40="Todos",datos_base!$H$12,0))*parametros_manuales!$G$112)*parametros_manuales!$I$40*parametros_manuales!$J$40</f>
        <v>3238.512421375</v>
      </c>
      <c r="H191" s="14" t="n">
        <f aca="false">(parametros_manuales!$D$40*(datos_base!$H$2+IF(parametros_manuales!$H$40="Todos",datos_base!$H$9,0))*parametros_manuales!$H$97+parametros_manuales!$E$40*(datos_base!$H$3+IF(parametros_manuales!$H$40="Todos",datos_base!$H$10,0))*parametros_manuales!$H$102+parametros_manuales!$F$40*(datos_base!$H$4+IF(parametros_manuales!$H$40="Todos",datos_base!$H$11,0))*parametros_manuales!$H$107+parametros_manuales!$G$40*(datos_base!$H$5+IF(parametros_manuales!$H$40="Todos",datos_base!$H$12,0))*parametros_manuales!$H$112)*parametros_manuales!$I$40*parametros_manuales!$J$40</f>
        <v>3461.19076722</v>
      </c>
      <c r="I191" s="14" t="n">
        <f aca="false">(parametros_manuales!$D$40*(datos_base!$H$2+IF(parametros_manuales!$H$40="Todos",datos_base!$H$9,0))*parametros_manuales!$I$97+parametros_manuales!$E$40*(datos_base!$H$3+IF(parametros_manuales!$H$40="Todos",datos_base!$H$10,0))*parametros_manuales!$I$102+parametros_manuales!$F$40*(datos_base!$H$4+IF(parametros_manuales!$H$40="Todos",datos_base!$H$11,0))*parametros_manuales!$I$107+parametros_manuales!$G$40*(datos_base!$H$5+IF(parametros_manuales!$H$40="Todos",datos_base!$H$12,0))*parametros_manuales!$I$112)*parametros_manuales!$I$40*parametros_manuales!$J$40</f>
        <v>3766.17906612</v>
      </c>
      <c r="J191" s="14" t="n">
        <f aca="false">(parametros_manuales!$D$40*(datos_base!$H$2+IF(parametros_manuales!$H$40="Todos",datos_base!$H$9,0))*parametros_manuales!$J$97+parametros_manuales!$E$40*(datos_base!$H$3+IF(parametros_manuales!$H$40="Todos",datos_base!$H$10,0))*parametros_manuales!$J$102+parametros_manuales!$F$40*(datos_base!$H$4+IF(parametros_manuales!$H$40="Todos",datos_base!$H$11,0))*parametros_manuales!$J$107+parametros_manuales!$G$40*(datos_base!$H$5+IF(parametros_manuales!$H$40="Todos",datos_base!$H$12,0))*parametros_manuales!$J$112)*parametros_manuales!$I$40*parametros_manuales!$J$40</f>
        <v>3766.17906612</v>
      </c>
      <c r="K191" s="14" t="n">
        <f aca="false">(parametros_manuales!$D$40*(datos_base!$H$2+IF(parametros_manuales!$H$40="Todos",datos_base!$H$9,0))*parametros_manuales!$K$97+parametros_manuales!$E$40*(datos_base!$H$3+IF(parametros_manuales!$H$40="Todos",datos_base!$H$10,0))*parametros_manuales!$K$102+parametros_manuales!$F$40*(datos_base!$H$4+IF(parametros_manuales!$H$40="Todos",datos_base!$H$11,0))*parametros_manuales!$K$107+parametros_manuales!$G$40*(datos_base!$H$5+IF(parametros_manuales!$H$40="Todos",datos_base!$H$12,0))*parametros_manuales!$K$112)*parametros_manuales!$I$40*parametros_manuales!$J$40</f>
        <v>3887.194645665</v>
      </c>
      <c r="L191" s="14" t="n">
        <f aca="false">(parametros_manuales!$D$40*(datos_base!$H$2+IF(parametros_manuales!$H$40="Todos",datos_base!$H$9,0))*parametros_manuales!$L$97+parametros_manuales!$E$40*(datos_base!$H$3+IF(parametros_manuales!$H$40="Todos",datos_base!$H$10,0))*parametros_manuales!$L$102+parametros_manuales!$F$40*(datos_base!$H$4+IF(parametros_manuales!$H$40="Todos",datos_base!$H$11,0))*parametros_manuales!$L$107+parametros_manuales!$G$40*(datos_base!$H$5+IF(parametros_manuales!$H$40="Todos",datos_base!$H$12,0))*parametros_manuales!$L$112)*parametros_manuales!$I$40*parametros_manuales!$J$40</f>
        <v>4008.21022521</v>
      </c>
      <c r="M191" s="14" t="n">
        <f aca="false">(parametros_manuales!$D$40*(datos_base!$H$2+IF(parametros_manuales!$H$40="Todos",datos_base!$H$9,0))*parametros_manuales!$M$97+parametros_manuales!$E$40*(datos_base!$H$3+IF(parametros_manuales!$H$40="Todos",datos_base!$H$10,0))*parametros_manuales!$M$102+parametros_manuales!$F$40*(datos_base!$H$4+IF(parametros_manuales!$H$40="Todos",datos_base!$H$11,0))*parametros_manuales!$M$107+parametros_manuales!$G$40*(datos_base!$H$5+IF(parametros_manuales!$H$40="Todos",datos_base!$H$12,0))*parametros_manuales!$M$112)*parametros_manuales!$I$40*parametros_manuales!$J$40</f>
        <v>4008.21022521</v>
      </c>
      <c r="N191" s="14" t="n">
        <f aca="false">SUM(B191:M191)</f>
        <v>44535.669169</v>
      </c>
      <c r="O191" s="14" t="n">
        <f aca="false">MAX(B191:M191)</f>
        <v>4008.21022521</v>
      </c>
      <c r="P191" s="57" t="n">
        <f aca="false">O191/(parametros_manuales!$B$7)</f>
        <v>26.7214015014</v>
      </c>
      <c r="Q191" s="13" t="str">
        <f aca="false">IF(O191=0,"-",INDEX($B$169:$M$169,MATCH(O191,B191:M191,0)))</f>
        <v>Ene</v>
      </c>
    </row>
    <row r="192" customFormat="false" ht="14.25" hidden="false" customHeight="true" outlineLevel="0" collapsed="false">
      <c r="A192" s="13" t="str">
        <f aca="false">parametros_manuales!$B$41</f>
        <v>Presurización</v>
      </c>
      <c r="B192" s="14" t="n">
        <f aca="false">(parametros_manuales!$D$41*(datos_base!$H$2+IF(parametros_manuales!$H$41="Todos",datos_base!$H$9,0))*parametros_manuales!$B$97+parametros_manuales!$E$41*(datos_base!$H$3+IF(parametros_manuales!$H$41="Todos",datos_base!$H$10,0))*parametros_manuales!$B$102+parametros_manuales!$F$41*(datos_base!$H$4+IF(parametros_manuales!$H$41="Todos",datos_base!$H$11,0))*parametros_manuales!$B$107+parametros_manuales!$G$41*(datos_base!$H$5+IF(parametros_manuales!$H$41="Todos",datos_base!$H$12,0))*parametros_manuales!$B$112)*parametros_manuales!$I$41*parametros_manuales!$J$41</f>
        <v>4008.21022521</v>
      </c>
      <c r="C192" s="14" t="n">
        <f aca="false">(parametros_manuales!$D$41*(datos_base!$H$2+IF(parametros_manuales!$H$41="Todos",datos_base!$H$9,0))*parametros_manuales!$C$97+parametros_manuales!$E$41*(datos_base!$H$3+IF(parametros_manuales!$H$41="Todos",datos_base!$H$10,0))*parametros_manuales!$C$102+parametros_manuales!$F$41*(datos_base!$H$4+IF(parametros_manuales!$H$41="Todos",datos_base!$H$11,0))*parametros_manuales!$C$107+parametros_manuales!$G$41*(datos_base!$H$5+IF(parametros_manuales!$H$41="Todos",datos_base!$H$12,0))*parametros_manuales!$C$112)*parametros_manuales!$I$41*parametros_manuales!$J$41</f>
        <v>3766.17906612</v>
      </c>
      <c r="D192" s="14" t="n">
        <f aca="false">(parametros_manuales!$D$41*(datos_base!$H$2+IF(parametros_manuales!$H$41="Todos",datos_base!$H$9,0))*parametros_manuales!$D$97+parametros_manuales!$E$41*(datos_base!$H$3+IF(parametros_manuales!$H$41="Todos",datos_base!$H$10,0))*parametros_manuales!$D$102+parametros_manuales!$F$41*(datos_base!$H$4+IF(parametros_manuales!$H$41="Todos",datos_base!$H$11,0))*parametros_manuales!$D$107+parametros_manuales!$G$41*(datos_base!$H$5+IF(parametros_manuales!$H$41="Todos",datos_base!$H$12,0))*parametros_manuales!$D$112)*parametros_manuales!$I$41*parametros_manuales!$J$41</f>
        <v>3683.869113065</v>
      </c>
      <c r="E192" s="14" t="n">
        <f aca="false">(parametros_manuales!$D$41*(datos_base!$H$2+IF(parametros_manuales!$H$41="Todos",datos_base!$H$9,0))*parametros_manuales!$E$97+parametros_manuales!$E$41*(datos_base!$H$3+IF(parametros_manuales!$H$41="Todos",datos_base!$H$10,0))*parametros_manuales!$E$102+parametros_manuales!$F$41*(datos_base!$H$4+IF(parametros_manuales!$H$41="Todos",datos_base!$H$11,0))*parametros_manuales!$E$107+parametros_manuales!$G$41*(datos_base!$H$5+IF(parametros_manuales!$H$41="Todos",datos_base!$H$12,0))*parametros_manuales!$E$112)*parametros_manuales!$I$41*parametros_manuales!$J$41</f>
        <v>3582.206346765</v>
      </c>
      <c r="F192" s="14" t="n">
        <f aca="false">(parametros_manuales!$D$41*(datos_base!$H$2+IF(parametros_manuales!$H$41="Todos",datos_base!$H$9,0))*parametros_manuales!$F$97+parametros_manuales!$E$41*(datos_base!$H$3+IF(parametros_manuales!$H$41="Todos",datos_base!$H$10,0))*parametros_manuales!$F$102+parametros_manuales!$F$41*(datos_base!$H$4+IF(parametros_manuales!$H$41="Todos",datos_base!$H$11,0))*parametros_manuales!$F$107+parametros_manuales!$G$41*(datos_base!$H$5+IF(parametros_manuales!$H$41="Todos",datos_base!$H$12,0))*parametros_manuales!$F$112)*parametros_manuales!$I$41*parametros_manuales!$J$41</f>
        <v>3359.52800092</v>
      </c>
      <c r="G192" s="14" t="n">
        <f aca="false">(parametros_manuales!$D$41*(datos_base!$H$2+IF(parametros_manuales!$H$41="Todos",datos_base!$H$9,0))*parametros_manuales!$G$97+parametros_manuales!$E$41*(datos_base!$H$3+IF(parametros_manuales!$H$41="Todos",datos_base!$H$10,0))*parametros_manuales!$G$102+parametros_manuales!$F$41*(datos_base!$H$4+IF(parametros_manuales!$H$41="Todos",datos_base!$H$11,0))*parametros_manuales!$G$107+parametros_manuales!$G$41*(datos_base!$H$5+IF(parametros_manuales!$H$41="Todos",datos_base!$H$12,0))*parametros_manuales!$G$112)*parametros_manuales!$I$41*parametros_manuales!$J$41</f>
        <v>3238.512421375</v>
      </c>
      <c r="H192" s="14" t="n">
        <f aca="false">(parametros_manuales!$D$41*(datos_base!$H$2+IF(parametros_manuales!$H$41="Todos",datos_base!$H$9,0))*parametros_manuales!$H$97+parametros_manuales!$E$41*(datos_base!$H$3+IF(parametros_manuales!$H$41="Todos",datos_base!$H$10,0))*parametros_manuales!$H$102+parametros_manuales!$F$41*(datos_base!$H$4+IF(parametros_manuales!$H$41="Todos",datos_base!$H$11,0))*parametros_manuales!$H$107+parametros_manuales!$G$41*(datos_base!$H$5+IF(parametros_manuales!$H$41="Todos",datos_base!$H$12,0))*parametros_manuales!$H$112)*parametros_manuales!$I$41*parametros_manuales!$J$41</f>
        <v>3461.19076722</v>
      </c>
      <c r="I192" s="14" t="n">
        <f aca="false">(parametros_manuales!$D$41*(datos_base!$H$2+IF(parametros_manuales!$H$41="Todos",datos_base!$H$9,0))*parametros_manuales!$I$97+parametros_manuales!$E$41*(datos_base!$H$3+IF(parametros_manuales!$H$41="Todos",datos_base!$H$10,0))*parametros_manuales!$I$102+parametros_manuales!$F$41*(datos_base!$H$4+IF(parametros_manuales!$H$41="Todos",datos_base!$H$11,0))*parametros_manuales!$I$107+parametros_manuales!$G$41*(datos_base!$H$5+IF(parametros_manuales!$H$41="Todos",datos_base!$H$12,0))*parametros_manuales!$I$112)*parametros_manuales!$I$41*parametros_manuales!$J$41</f>
        <v>3766.17906612</v>
      </c>
      <c r="J192" s="14" t="n">
        <f aca="false">(parametros_manuales!$D$41*(datos_base!$H$2+IF(parametros_manuales!$H$41="Todos",datos_base!$H$9,0))*parametros_manuales!$J$97+parametros_manuales!$E$41*(datos_base!$H$3+IF(parametros_manuales!$H$41="Todos",datos_base!$H$10,0))*parametros_manuales!$J$102+parametros_manuales!$F$41*(datos_base!$H$4+IF(parametros_manuales!$H$41="Todos",datos_base!$H$11,0))*parametros_manuales!$J$107+parametros_manuales!$G$41*(datos_base!$H$5+IF(parametros_manuales!$H$41="Todos",datos_base!$H$12,0))*parametros_manuales!$J$112)*parametros_manuales!$I$41*parametros_manuales!$J$41</f>
        <v>3766.17906612</v>
      </c>
      <c r="K192" s="14" t="n">
        <f aca="false">(parametros_manuales!$D$41*(datos_base!$H$2+IF(parametros_manuales!$H$41="Todos",datos_base!$H$9,0))*parametros_manuales!$K$97+parametros_manuales!$E$41*(datos_base!$H$3+IF(parametros_manuales!$H$41="Todos",datos_base!$H$10,0))*parametros_manuales!$K$102+parametros_manuales!$F$41*(datos_base!$H$4+IF(parametros_manuales!$H$41="Todos",datos_base!$H$11,0))*parametros_manuales!$K$107+parametros_manuales!$G$41*(datos_base!$H$5+IF(parametros_manuales!$H$41="Todos",datos_base!$H$12,0))*parametros_manuales!$K$112)*parametros_manuales!$I$41*parametros_manuales!$J$41</f>
        <v>3887.194645665</v>
      </c>
      <c r="L192" s="14" t="n">
        <f aca="false">(parametros_manuales!$D$41*(datos_base!$H$2+IF(parametros_manuales!$H$41="Todos",datos_base!$H$9,0))*parametros_manuales!$L$97+parametros_manuales!$E$41*(datos_base!$H$3+IF(parametros_manuales!$H$41="Todos",datos_base!$H$10,0))*parametros_manuales!$L$102+parametros_manuales!$F$41*(datos_base!$H$4+IF(parametros_manuales!$H$41="Todos",datos_base!$H$11,0))*parametros_manuales!$L$107+parametros_manuales!$G$41*(datos_base!$H$5+IF(parametros_manuales!$H$41="Todos",datos_base!$H$12,0))*parametros_manuales!$L$112)*parametros_manuales!$I$41*parametros_manuales!$J$41</f>
        <v>4008.21022521</v>
      </c>
      <c r="M192" s="14" t="n">
        <f aca="false">(parametros_manuales!$D$41*(datos_base!$H$2+IF(parametros_manuales!$H$41="Todos",datos_base!$H$9,0))*parametros_manuales!$M$97+parametros_manuales!$E$41*(datos_base!$H$3+IF(parametros_manuales!$H$41="Todos",datos_base!$H$10,0))*parametros_manuales!$M$102+parametros_manuales!$F$41*(datos_base!$H$4+IF(parametros_manuales!$H$41="Todos",datos_base!$H$11,0))*parametros_manuales!$M$107+parametros_manuales!$G$41*(datos_base!$H$5+IF(parametros_manuales!$H$41="Todos",datos_base!$H$12,0))*parametros_manuales!$M$112)*parametros_manuales!$I$41*parametros_manuales!$J$41</f>
        <v>4008.21022521</v>
      </c>
      <c r="N192" s="14" t="n">
        <f aca="false">SUM(B192:M192)</f>
        <v>44535.669169</v>
      </c>
      <c r="O192" s="14" t="n">
        <f aca="false">MAX(B192:M192)</f>
        <v>4008.21022521</v>
      </c>
      <c r="P192" s="57" t="n">
        <f aca="false">O192/(parametros_manuales!$B$7)</f>
        <v>26.7214015014</v>
      </c>
      <c r="Q192" s="13" t="str">
        <f aca="false">IF(O192=0,"-",INDEX($B$169:$M$169,MATCH(O192,B192:M192,0)))</f>
        <v>Ene</v>
      </c>
    </row>
    <row r="193" customFormat="false" ht="14.25" hidden="false" customHeight="true" outlineLevel="0" collapsed="false">
      <c r="A193" s="13" t="str">
        <f aca="false">parametros_manuales!$B$42</f>
        <v>Control de calidad — Ensayo de pérdidas</v>
      </c>
      <c r="B193" s="14" t="n">
        <f aca="false">(parametros_manuales!$D$42*(datos_base!$H$2+IF(parametros_manuales!$H$42="Todos",datos_base!$H$9,0))*parametros_manuales!$B$97+parametros_manuales!$E$42*(datos_base!$H$3+IF(parametros_manuales!$H$42="Todos",datos_base!$H$10,0))*parametros_manuales!$B$102+parametros_manuales!$F$42*(datos_base!$H$4+IF(parametros_manuales!$H$42="Todos",datos_base!$H$11,0))*parametros_manuales!$B$107+parametros_manuales!$G$42*(datos_base!$H$5+IF(parametros_manuales!$H$42="Todos",datos_base!$H$12,0))*parametros_manuales!$B$112)*parametros_manuales!$I$42*parametros_manuales!$J$42</f>
        <v>4008.21022521</v>
      </c>
      <c r="C193" s="14" t="n">
        <f aca="false">(parametros_manuales!$D$42*(datos_base!$H$2+IF(parametros_manuales!$H$42="Todos",datos_base!$H$9,0))*parametros_manuales!$C$97+parametros_manuales!$E$42*(datos_base!$H$3+IF(parametros_manuales!$H$42="Todos",datos_base!$H$10,0))*parametros_manuales!$C$102+parametros_manuales!$F$42*(datos_base!$H$4+IF(parametros_manuales!$H$42="Todos",datos_base!$H$11,0))*parametros_manuales!$C$107+parametros_manuales!$G$42*(datos_base!$H$5+IF(parametros_manuales!$H$42="Todos",datos_base!$H$12,0))*parametros_manuales!$C$112)*parametros_manuales!$I$42*parametros_manuales!$J$42</f>
        <v>3766.17906612</v>
      </c>
      <c r="D193" s="14" t="n">
        <f aca="false">(parametros_manuales!$D$42*(datos_base!$H$2+IF(parametros_manuales!$H$42="Todos",datos_base!$H$9,0))*parametros_manuales!$D$97+parametros_manuales!$E$42*(datos_base!$H$3+IF(parametros_manuales!$H$42="Todos",datos_base!$H$10,0))*parametros_manuales!$D$102+parametros_manuales!$F$42*(datos_base!$H$4+IF(parametros_manuales!$H$42="Todos",datos_base!$H$11,0))*parametros_manuales!$D$107+parametros_manuales!$G$42*(datos_base!$H$5+IF(parametros_manuales!$H$42="Todos",datos_base!$H$12,0))*parametros_manuales!$D$112)*parametros_manuales!$I$42*parametros_manuales!$J$42</f>
        <v>3683.869113065</v>
      </c>
      <c r="E193" s="14" t="n">
        <f aca="false">(parametros_manuales!$D$42*(datos_base!$H$2+IF(parametros_manuales!$H$42="Todos",datos_base!$H$9,0))*parametros_manuales!$E$97+parametros_manuales!$E$42*(datos_base!$H$3+IF(parametros_manuales!$H$42="Todos",datos_base!$H$10,0))*parametros_manuales!$E$102+parametros_manuales!$F$42*(datos_base!$H$4+IF(parametros_manuales!$H$42="Todos",datos_base!$H$11,0))*parametros_manuales!$E$107+parametros_manuales!$G$42*(datos_base!$H$5+IF(parametros_manuales!$H$42="Todos",datos_base!$H$12,0))*parametros_manuales!$E$112)*parametros_manuales!$I$42*parametros_manuales!$J$42</f>
        <v>3582.206346765</v>
      </c>
      <c r="F193" s="14" t="n">
        <f aca="false">(parametros_manuales!$D$42*(datos_base!$H$2+IF(parametros_manuales!$H$42="Todos",datos_base!$H$9,0))*parametros_manuales!$F$97+parametros_manuales!$E$42*(datos_base!$H$3+IF(parametros_manuales!$H$42="Todos",datos_base!$H$10,0))*parametros_manuales!$F$102+parametros_manuales!$F$42*(datos_base!$H$4+IF(parametros_manuales!$H$42="Todos",datos_base!$H$11,0))*parametros_manuales!$F$107+parametros_manuales!$G$42*(datos_base!$H$5+IF(parametros_manuales!$H$42="Todos",datos_base!$H$12,0))*parametros_manuales!$F$112)*parametros_manuales!$I$42*parametros_manuales!$J$42</f>
        <v>3359.52800092</v>
      </c>
      <c r="G193" s="14" t="n">
        <f aca="false">(parametros_manuales!$D$42*(datos_base!$H$2+IF(parametros_manuales!$H$42="Todos",datos_base!$H$9,0))*parametros_manuales!$G$97+parametros_manuales!$E$42*(datos_base!$H$3+IF(parametros_manuales!$H$42="Todos",datos_base!$H$10,0))*parametros_manuales!$G$102+parametros_manuales!$F$42*(datos_base!$H$4+IF(parametros_manuales!$H$42="Todos",datos_base!$H$11,0))*parametros_manuales!$G$107+parametros_manuales!$G$42*(datos_base!$H$5+IF(parametros_manuales!$H$42="Todos",datos_base!$H$12,0))*parametros_manuales!$G$112)*parametros_manuales!$I$42*parametros_manuales!$J$42</f>
        <v>3238.512421375</v>
      </c>
      <c r="H193" s="14" t="n">
        <f aca="false">(parametros_manuales!$D$42*(datos_base!$H$2+IF(parametros_manuales!$H$42="Todos",datos_base!$H$9,0))*parametros_manuales!$H$97+parametros_manuales!$E$42*(datos_base!$H$3+IF(parametros_manuales!$H$42="Todos",datos_base!$H$10,0))*parametros_manuales!$H$102+parametros_manuales!$F$42*(datos_base!$H$4+IF(parametros_manuales!$H$42="Todos",datos_base!$H$11,0))*parametros_manuales!$H$107+parametros_manuales!$G$42*(datos_base!$H$5+IF(parametros_manuales!$H$42="Todos",datos_base!$H$12,0))*parametros_manuales!$H$112)*parametros_manuales!$I$42*parametros_manuales!$J$42</f>
        <v>3461.19076722</v>
      </c>
      <c r="I193" s="14" t="n">
        <f aca="false">(parametros_manuales!$D$42*(datos_base!$H$2+IF(parametros_manuales!$H$42="Todos",datos_base!$H$9,0))*parametros_manuales!$I$97+parametros_manuales!$E$42*(datos_base!$H$3+IF(parametros_manuales!$H$42="Todos",datos_base!$H$10,0))*parametros_manuales!$I$102+parametros_manuales!$F$42*(datos_base!$H$4+IF(parametros_manuales!$H$42="Todos",datos_base!$H$11,0))*parametros_manuales!$I$107+parametros_manuales!$G$42*(datos_base!$H$5+IF(parametros_manuales!$H$42="Todos",datos_base!$H$12,0))*parametros_manuales!$I$112)*parametros_manuales!$I$42*parametros_manuales!$J$42</f>
        <v>3766.17906612</v>
      </c>
      <c r="J193" s="14" t="n">
        <f aca="false">(parametros_manuales!$D$42*(datos_base!$H$2+IF(parametros_manuales!$H$42="Todos",datos_base!$H$9,0))*parametros_manuales!$J$97+parametros_manuales!$E$42*(datos_base!$H$3+IF(parametros_manuales!$H$42="Todos",datos_base!$H$10,0))*parametros_manuales!$J$102+parametros_manuales!$F$42*(datos_base!$H$4+IF(parametros_manuales!$H$42="Todos",datos_base!$H$11,0))*parametros_manuales!$J$107+parametros_manuales!$G$42*(datos_base!$H$5+IF(parametros_manuales!$H$42="Todos",datos_base!$H$12,0))*parametros_manuales!$J$112)*parametros_manuales!$I$42*parametros_manuales!$J$42</f>
        <v>3766.17906612</v>
      </c>
      <c r="K193" s="14" t="n">
        <f aca="false">(parametros_manuales!$D$42*(datos_base!$H$2+IF(parametros_manuales!$H$42="Todos",datos_base!$H$9,0))*parametros_manuales!$K$97+parametros_manuales!$E$42*(datos_base!$H$3+IF(parametros_manuales!$H$42="Todos",datos_base!$H$10,0))*parametros_manuales!$K$102+parametros_manuales!$F$42*(datos_base!$H$4+IF(parametros_manuales!$H$42="Todos",datos_base!$H$11,0))*parametros_manuales!$K$107+parametros_manuales!$G$42*(datos_base!$H$5+IF(parametros_manuales!$H$42="Todos",datos_base!$H$12,0))*parametros_manuales!$K$112)*parametros_manuales!$I$42*parametros_manuales!$J$42</f>
        <v>3887.194645665</v>
      </c>
      <c r="L193" s="14" t="n">
        <f aca="false">(parametros_manuales!$D$42*(datos_base!$H$2+IF(parametros_manuales!$H$42="Todos",datos_base!$H$9,0))*parametros_manuales!$L$97+parametros_manuales!$E$42*(datos_base!$H$3+IF(parametros_manuales!$H$42="Todos",datos_base!$H$10,0))*parametros_manuales!$L$102+parametros_manuales!$F$42*(datos_base!$H$4+IF(parametros_manuales!$H$42="Todos",datos_base!$H$11,0))*parametros_manuales!$L$107+parametros_manuales!$G$42*(datos_base!$H$5+IF(parametros_manuales!$H$42="Todos",datos_base!$H$12,0))*parametros_manuales!$L$112)*parametros_manuales!$I$42*parametros_manuales!$J$42</f>
        <v>4008.21022521</v>
      </c>
      <c r="M193" s="14" t="n">
        <f aca="false">(parametros_manuales!$D$42*(datos_base!$H$2+IF(parametros_manuales!$H$42="Todos",datos_base!$H$9,0))*parametros_manuales!$M$97+parametros_manuales!$E$42*(datos_base!$H$3+IF(parametros_manuales!$H$42="Todos",datos_base!$H$10,0))*parametros_manuales!$M$102+parametros_manuales!$F$42*(datos_base!$H$4+IF(parametros_manuales!$H$42="Todos",datos_base!$H$11,0))*parametros_manuales!$M$107+parametros_manuales!$G$42*(datos_base!$H$5+IF(parametros_manuales!$H$42="Todos",datos_base!$H$12,0))*parametros_manuales!$M$112)*parametros_manuales!$I$42*parametros_manuales!$J$42</f>
        <v>4008.21022521</v>
      </c>
      <c r="N193" s="14" t="n">
        <f aca="false">SUM(B193:M193)</f>
        <v>44535.669169</v>
      </c>
      <c r="O193" s="14" t="n">
        <f aca="false">MAX(B193:M193)</f>
        <v>4008.21022521</v>
      </c>
      <c r="P193" s="57" t="n">
        <f aca="false">O193/(parametros_manuales!$B$7)</f>
        <v>26.7214015014</v>
      </c>
      <c r="Q193" s="13" t="str">
        <f aca="false">IF(O193=0,"-",INDEX($B$169:$M$169,MATCH(O193,B193:M193,0)))</f>
        <v>Ene</v>
      </c>
    </row>
    <row r="194" customFormat="false" ht="14.25" hidden="false" customHeight="true" outlineLevel="0" collapsed="false">
      <c r="A194" s="13" t="str">
        <f aca="false">parametros_manuales!$B$43</f>
        <v>Etiquetado</v>
      </c>
      <c r="B194" s="14" t="n">
        <f aca="false">(parametros_manuales!$D$43*(datos_base!$H$2+IF(parametros_manuales!$H$43="Todos",datos_base!$H$9,0))*parametros_manuales!$B$97+parametros_manuales!$E$43*(datos_base!$H$3+IF(parametros_manuales!$H$43="Todos",datos_base!$H$10,0))*parametros_manuales!$B$102+parametros_manuales!$F$43*(datos_base!$H$4+IF(parametros_manuales!$H$43="Todos",datos_base!$H$11,0))*parametros_manuales!$B$107+parametros_manuales!$G$43*(datos_base!$H$5+IF(parametros_manuales!$H$43="Todos",datos_base!$H$12,0))*parametros_manuales!$B$112)*parametros_manuales!$I$43*parametros_manuales!$J$43</f>
        <v>4008.21022521</v>
      </c>
      <c r="C194" s="14" t="n">
        <f aca="false">(parametros_manuales!$D$43*(datos_base!$H$2+IF(parametros_manuales!$H$43="Todos",datos_base!$H$9,0))*parametros_manuales!$C$97+parametros_manuales!$E$43*(datos_base!$H$3+IF(parametros_manuales!$H$43="Todos",datos_base!$H$10,0))*parametros_manuales!$C$102+parametros_manuales!$F$43*(datos_base!$H$4+IF(parametros_manuales!$H$43="Todos",datos_base!$H$11,0))*parametros_manuales!$C$107+parametros_manuales!$G$43*(datos_base!$H$5+IF(parametros_manuales!$H$43="Todos",datos_base!$H$12,0))*parametros_manuales!$C$112)*parametros_manuales!$I$43*parametros_manuales!$J$43</f>
        <v>3766.17906612</v>
      </c>
      <c r="D194" s="14" t="n">
        <f aca="false">(parametros_manuales!$D$43*(datos_base!$H$2+IF(parametros_manuales!$H$43="Todos",datos_base!$H$9,0))*parametros_manuales!$D$97+parametros_manuales!$E$43*(datos_base!$H$3+IF(parametros_manuales!$H$43="Todos",datos_base!$H$10,0))*parametros_manuales!$D$102+parametros_manuales!$F$43*(datos_base!$H$4+IF(parametros_manuales!$H$43="Todos",datos_base!$H$11,0))*parametros_manuales!$D$107+parametros_manuales!$G$43*(datos_base!$H$5+IF(parametros_manuales!$H$43="Todos",datos_base!$H$12,0))*parametros_manuales!$D$112)*parametros_manuales!$I$43*parametros_manuales!$J$43</f>
        <v>3683.869113065</v>
      </c>
      <c r="E194" s="14" t="n">
        <f aca="false">(parametros_manuales!$D$43*(datos_base!$H$2+IF(parametros_manuales!$H$43="Todos",datos_base!$H$9,0))*parametros_manuales!$E$97+parametros_manuales!$E$43*(datos_base!$H$3+IF(parametros_manuales!$H$43="Todos",datos_base!$H$10,0))*parametros_manuales!$E$102+parametros_manuales!$F$43*(datos_base!$H$4+IF(parametros_manuales!$H$43="Todos",datos_base!$H$11,0))*parametros_manuales!$E$107+parametros_manuales!$G$43*(datos_base!$H$5+IF(parametros_manuales!$H$43="Todos",datos_base!$H$12,0))*parametros_manuales!$E$112)*parametros_manuales!$I$43*parametros_manuales!$J$43</f>
        <v>3582.206346765</v>
      </c>
      <c r="F194" s="14" t="n">
        <f aca="false">(parametros_manuales!$D$43*(datos_base!$H$2+IF(parametros_manuales!$H$43="Todos",datos_base!$H$9,0))*parametros_manuales!$F$97+parametros_manuales!$E$43*(datos_base!$H$3+IF(parametros_manuales!$H$43="Todos",datos_base!$H$10,0))*parametros_manuales!$F$102+parametros_manuales!$F$43*(datos_base!$H$4+IF(parametros_manuales!$H$43="Todos",datos_base!$H$11,0))*parametros_manuales!$F$107+parametros_manuales!$G$43*(datos_base!$H$5+IF(parametros_manuales!$H$43="Todos",datos_base!$H$12,0))*parametros_manuales!$F$112)*parametros_manuales!$I$43*parametros_manuales!$J$43</f>
        <v>3359.52800092</v>
      </c>
      <c r="G194" s="14" t="n">
        <f aca="false">(parametros_manuales!$D$43*(datos_base!$H$2+IF(parametros_manuales!$H$43="Todos",datos_base!$H$9,0))*parametros_manuales!$G$97+parametros_manuales!$E$43*(datos_base!$H$3+IF(parametros_manuales!$H$43="Todos",datos_base!$H$10,0))*parametros_manuales!$G$102+parametros_manuales!$F$43*(datos_base!$H$4+IF(parametros_manuales!$H$43="Todos",datos_base!$H$11,0))*parametros_manuales!$G$107+parametros_manuales!$G$43*(datos_base!$H$5+IF(parametros_manuales!$H$43="Todos",datos_base!$H$12,0))*parametros_manuales!$G$112)*parametros_manuales!$I$43*parametros_manuales!$J$43</f>
        <v>3238.512421375</v>
      </c>
      <c r="H194" s="14" t="n">
        <f aca="false">(parametros_manuales!$D$43*(datos_base!$H$2+IF(parametros_manuales!$H$43="Todos",datos_base!$H$9,0))*parametros_manuales!$H$97+parametros_manuales!$E$43*(datos_base!$H$3+IF(parametros_manuales!$H$43="Todos",datos_base!$H$10,0))*parametros_manuales!$H$102+parametros_manuales!$F$43*(datos_base!$H$4+IF(parametros_manuales!$H$43="Todos",datos_base!$H$11,0))*parametros_manuales!$H$107+parametros_manuales!$G$43*(datos_base!$H$5+IF(parametros_manuales!$H$43="Todos",datos_base!$H$12,0))*parametros_manuales!$H$112)*parametros_manuales!$I$43*parametros_manuales!$J$43</f>
        <v>3461.19076722</v>
      </c>
      <c r="I194" s="14" t="n">
        <f aca="false">(parametros_manuales!$D$43*(datos_base!$H$2+IF(parametros_manuales!$H$43="Todos",datos_base!$H$9,0))*parametros_manuales!$I$97+parametros_manuales!$E$43*(datos_base!$H$3+IF(parametros_manuales!$H$43="Todos",datos_base!$H$10,0))*parametros_manuales!$I$102+parametros_manuales!$F$43*(datos_base!$H$4+IF(parametros_manuales!$H$43="Todos",datos_base!$H$11,0))*parametros_manuales!$I$107+parametros_manuales!$G$43*(datos_base!$H$5+IF(parametros_manuales!$H$43="Todos",datos_base!$H$12,0))*parametros_manuales!$I$112)*parametros_manuales!$I$43*parametros_manuales!$J$43</f>
        <v>3766.17906612</v>
      </c>
      <c r="J194" s="14" t="n">
        <f aca="false">(parametros_manuales!$D$43*(datos_base!$H$2+IF(parametros_manuales!$H$43="Todos",datos_base!$H$9,0))*parametros_manuales!$J$97+parametros_manuales!$E$43*(datos_base!$H$3+IF(parametros_manuales!$H$43="Todos",datos_base!$H$10,0))*parametros_manuales!$J$102+parametros_manuales!$F$43*(datos_base!$H$4+IF(parametros_manuales!$H$43="Todos",datos_base!$H$11,0))*parametros_manuales!$J$107+parametros_manuales!$G$43*(datos_base!$H$5+IF(parametros_manuales!$H$43="Todos",datos_base!$H$12,0))*parametros_manuales!$J$112)*parametros_manuales!$I$43*parametros_manuales!$J$43</f>
        <v>3766.17906612</v>
      </c>
      <c r="K194" s="14" t="n">
        <f aca="false">(parametros_manuales!$D$43*(datos_base!$H$2+IF(parametros_manuales!$H$43="Todos",datos_base!$H$9,0))*parametros_manuales!$K$97+parametros_manuales!$E$43*(datos_base!$H$3+IF(parametros_manuales!$H$43="Todos",datos_base!$H$10,0))*parametros_manuales!$K$102+parametros_manuales!$F$43*(datos_base!$H$4+IF(parametros_manuales!$H$43="Todos",datos_base!$H$11,0))*parametros_manuales!$K$107+parametros_manuales!$G$43*(datos_base!$H$5+IF(parametros_manuales!$H$43="Todos",datos_base!$H$12,0))*parametros_manuales!$K$112)*parametros_manuales!$I$43*parametros_manuales!$J$43</f>
        <v>3887.194645665</v>
      </c>
      <c r="L194" s="14" t="n">
        <f aca="false">(parametros_manuales!$D$43*(datos_base!$H$2+IF(parametros_manuales!$H$43="Todos",datos_base!$H$9,0))*parametros_manuales!$L$97+parametros_manuales!$E$43*(datos_base!$H$3+IF(parametros_manuales!$H$43="Todos",datos_base!$H$10,0))*parametros_manuales!$L$102+parametros_manuales!$F$43*(datos_base!$H$4+IF(parametros_manuales!$H$43="Todos",datos_base!$H$11,0))*parametros_manuales!$L$107+parametros_manuales!$G$43*(datos_base!$H$5+IF(parametros_manuales!$H$43="Todos",datos_base!$H$12,0))*parametros_manuales!$L$112)*parametros_manuales!$I$43*parametros_manuales!$J$43</f>
        <v>4008.21022521</v>
      </c>
      <c r="M194" s="14" t="n">
        <f aca="false">(parametros_manuales!$D$43*(datos_base!$H$2+IF(parametros_manuales!$H$43="Todos",datos_base!$H$9,0))*parametros_manuales!$M$97+parametros_manuales!$E$43*(datos_base!$H$3+IF(parametros_manuales!$H$43="Todos",datos_base!$H$10,0))*parametros_manuales!$M$102+parametros_manuales!$F$43*(datos_base!$H$4+IF(parametros_manuales!$H$43="Todos",datos_base!$H$11,0))*parametros_manuales!$M$107+parametros_manuales!$G$43*(datos_base!$H$5+IF(parametros_manuales!$H$43="Todos",datos_base!$H$12,0))*parametros_manuales!$M$112)*parametros_manuales!$I$43*parametros_manuales!$J$43</f>
        <v>4008.21022521</v>
      </c>
      <c r="N194" s="14" t="n">
        <f aca="false">SUM(B194:M194)</f>
        <v>44535.669169</v>
      </c>
      <c r="O194" s="14" t="n">
        <f aca="false">MAX(B194:M194)</f>
        <v>4008.21022521</v>
      </c>
      <c r="P194" s="57" t="n">
        <f aca="false">O194/(parametros_manuales!$B$7)</f>
        <v>26.7214015014</v>
      </c>
      <c r="Q194" s="13" t="str">
        <f aca="false">IF(O194=0,"-",INDEX($B$169:$M$169,MATCH(O194,B194:M194,0)))</f>
        <v>Ene</v>
      </c>
    </row>
    <row r="195" customFormat="false" ht="14.25" hidden="false" customHeight="true" outlineLevel="0" collapsed="false">
      <c r="A195" s="13" t="str">
        <f aca="false">parametros_manuales!$B$44</f>
        <v>Embalaje y paletizado</v>
      </c>
      <c r="B195" s="14" t="n">
        <f aca="false">(parametros_manuales!$D$44*(datos_base!$H$2+IF(parametros_manuales!$H$44="Todos",datos_base!$H$9,0))*parametros_manuales!$B$97+parametros_manuales!$E$44*(datos_base!$H$3+IF(parametros_manuales!$H$44="Todos",datos_base!$H$10,0))*parametros_manuales!$B$102+parametros_manuales!$F$44*(datos_base!$H$4+IF(parametros_manuales!$H$44="Todos",datos_base!$H$11,0))*parametros_manuales!$B$107+parametros_manuales!$G$44*(datos_base!$H$5+IF(parametros_manuales!$H$44="Todos",datos_base!$H$12,0))*parametros_manuales!$B$112)*parametros_manuales!$I$44*parametros_manuales!$J$44</f>
        <v>15370.15222521</v>
      </c>
      <c r="C195" s="14" t="n">
        <f aca="false">(parametros_manuales!$D$44*(datos_base!$H$2+IF(parametros_manuales!$H$44="Todos",datos_base!$H$9,0))*parametros_manuales!$C$97+parametros_manuales!$E$44*(datos_base!$H$3+IF(parametros_manuales!$H$44="Todos",datos_base!$H$10,0))*parametros_manuales!$C$102+parametros_manuales!$F$44*(datos_base!$H$4+IF(parametros_manuales!$H$44="Todos",datos_base!$H$11,0))*parametros_manuales!$C$107+parametros_manuales!$G$44*(datos_base!$H$5+IF(parametros_manuales!$H$44="Todos",datos_base!$H$12,0))*parametros_manuales!$C$112)*parametros_manuales!$I$44*parametros_manuales!$J$44</f>
        <v>14879.08906612</v>
      </c>
      <c r="D195" s="14" t="n">
        <f aca="false">(parametros_manuales!$D$44*(datos_base!$H$2+IF(parametros_manuales!$H$44="Todos",datos_base!$H$9,0))*parametros_manuales!$D$97+parametros_manuales!$E$44*(datos_base!$H$3+IF(parametros_manuales!$H$44="Todos",datos_base!$H$10,0))*parametros_manuales!$D$102+parametros_manuales!$F$44*(datos_base!$H$4+IF(parametros_manuales!$H$44="Todos",datos_base!$H$11,0))*parametros_manuales!$D$107+parametros_manuales!$G$44*(datos_base!$H$5+IF(parametros_manuales!$H$44="Todos",datos_base!$H$12,0))*parametros_manuales!$D$112)*parametros_manuales!$I$44*parametros_manuales!$J$44</f>
        <v>13907.889113065</v>
      </c>
      <c r="E195" s="14" t="n">
        <f aca="false">(parametros_manuales!$D$44*(datos_base!$H$2+IF(parametros_manuales!$H$44="Todos",datos_base!$H$9,0))*parametros_manuales!$E$97+parametros_manuales!$E$44*(datos_base!$H$3+IF(parametros_manuales!$H$44="Todos",datos_base!$H$10,0))*parametros_manuales!$E$102+parametros_manuales!$F$44*(datos_base!$H$4+IF(parametros_manuales!$H$44="Todos",datos_base!$H$11,0))*parametros_manuales!$E$107+parametros_manuales!$G$44*(datos_base!$H$5+IF(parametros_manuales!$H$44="Todos",datos_base!$H$12,0))*parametros_manuales!$E$112)*parametros_manuales!$I$44*parametros_manuales!$J$44</f>
        <v>13299.523346765</v>
      </c>
      <c r="F195" s="14" t="n">
        <f aca="false">(parametros_manuales!$D$44*(datos_base!$H$2+IF(parametros_manuales!$H$44="Todos",datos_base!$H$9,0))*parametros_manuales!$F$97+parametros_manuales!$E$44*(datos_base!$H$3+IF(parametros_manuales!$H$44="Todos",datos_base!$H$10,0))*parametros_manuales!$F$102+parametros_manuales!$F$44*(datos_base!$H$4+IF(parametros_manuales!$H$44="Todos",datos_base!$H$11,0))*parametros_manuales!$F$107+parametros_manuales!$G$44*(datos_base!$H$5+IF(parametros_manuales!$H$44="Todos",datos_base!$H$12,0))*parametros_manuales!$F$112)*parametros_manuales!$I$44*parametros_manuales!$J$44</f>
        <v>12445.62600092</v>
      </c>
      <c r="G195" s="14" t="n">
        <f aca="false">(parametros_manuales!$D$44*(datos_base!$H$2+IF(parametros_manuales!$H$44="Todos",datos_base!$H$9,0))*parametros_manuales!$G$97+parametros_manuales!$E$44*(datos_base!$H$3+IF(parametros_manuales!$H$44="Todos",datos_base!$H$10,0))*parametros_manuales!$G$102+parametros_manuales!$F$44*(datos_base!$H$4+IF(parametros_manuales!$H$44="Todos",datos_base!$H$11,0))*parametros_manuales!$G$107+parametros_manuales!$G$44*(datos_base!$H$5+IF(parametros_manuales!$H$44="Todos",datos_base!$H$12,0))*parametros_manuales!$G$112)*parametros_manuales!$I$44*parametros_manuales!$J$44</f>
        <v>12200.094421375</v>
      </c>
      <c r="H195" s="14" t="n">
        <f aca="false">(parametros_manuales!$D$44*(datos_base!$H$2+IF(parametros_manuales!$H$44="Todos",datos_base!$H$9,0))*parametros_manuales!$H$97+parametros_manuales!$E$44*(datos_base!$H$3+IF(parametros_manuales!$H$44="Todos",datos_base!$H$10,0))*parametros_manuales!$H$102+parametros_manuales!$F$44*(datos_base!$H$4+IF(parametros_manuales!$H$44="Todos",datos_base!$H$11,0))*parametros_manuales!$H$107+parametros_manuales!$G$44*(datos_base!$H$5+IF(parametros_manuales!$H$44="Todos",datos_base!$H$12,0))*parametros_manuales!$H$112)*parametros_manuales!$I$44*parametros_manuales!$J$44</f>
        <v>13053.99176722</v>
      </c>
      <c r="I195" s="14" t="n">
        <f aca="false">(parametros_manuales!$D$44*(datos_base!$H$2+IF(parametros_manuales!$H$44="Todos",datos_base!$H$9,0))*parametros_manuales!$I$97+parametros_manuales!$E$44*(datos_base!$H$3+IF(parametros_manuales!$H$44="Todos",datos_base!$H$10,0))*parametros_manuales!$I$102+parametros_manuales!$F$44*(datos_base!$H$4+IF(parametros_manuales!$H$44="Todos",datos_base!$H$11,0))*parametros_manuales!$I$107+parametros_manuales!$G$44*(datos_base!$H$5+IF(parametros_manuales!$H$44="Todos",datos_base!$H$12,0))*parametros_manuales!$I$112)*parametros_manuales!$I$44*parametros_manuales!$J$44</f>
        <v>14879.08906612</v>
      </c>
      <c r="J195" s="14" t="n">
        <f aca="false">(parametros_manuales!$D$44*(datos_base!$H$2+IF(parametros_manuales!$H$44="Todos",datos_base!$H$9,0))*parametros_manuales!$J$97+parametros_manuales!$E$44*(datos_base!$H$3+IF(parametros_manuales!$H$44="Todos",datos_base!$H$10,0))*parametros_manuales!$J$102+parametros_manuales!$F$44*(datos_base!$H$4+IF(parametros_manuales!$H$44="Todos",datos_base!$H$11,0))*parametros_manuales!$J$107+parametros_manuales!$G$44*(datos_base!$H$5+IF(parametros_manuales!$H$44="Todos",datos_base!$H$12,0))*parametros_manuales!$J$112)*parametros_manuales!$I$44*parametros_manuales!$J$44</f>
        <v>14879.08906612</v>
      </c>
      <c r="K195" s="14" t="n">
        <f aca="false">(parametros_manuales!$D$44*(datos_base!$H$2+IF(parametros_manuales!$H$44="Todos",datos_base!$H$9,0))*parametros_manuales!$K$97+parametros_manuales!$E$44*(datos_base!$H$3+IF(parametros_manuales!$H$44="Todos",datos_base!$H$10,0))*parametros_manuales!$K$102+parametros_manuales!$F$44*(datos_base!$H$4+IF(parametros_manuales!$H$44="Todos",datos_base!$H$11,0))*parametros_manuales!$K$107+parametros_manuales!$G$44*(datos_base!$H$5+IF(parametros_manuales!$H$44="Todos",datos_base!$H$12,0))*parametros_manuales!$K$112)*parametros_manuales!$I$44*parametros_manuales!$J$44</f>
        <v>15124.620645665</v>
      </c>
      <c r="L195" s="14" t="n">
        <f aca="false">(parametros_manuales!$D$44*(datos_base!$H$2+IF(parametros_manuales!$H$44="Todos",datos_base!$H$9,0))*parametros_manuales!$L$97+parametros_manuales!$E$44*(datos_base!$H$3+IF(parametros_manuales!$H$44="Todos",datos_base!$H$10,0))*parametros_manuales!$L$102+parametros_manuales!$F$44*(datos_base!$H$4+IF(parametros_manuales!$H$44="Todos",datos_base!$H$11,0))*parametros_manuales!$L$107+parametros_manuales!$G$44*(datos_base!$H$5+IF(parametros_manuales!$H$44="Todos",datos_base!$H$12,0))*parametros_manuales!$L$112)*parametros_manuales!$I$44*parametros_manuales!$J$44</f>
        <v>15370.15222521</v>
      </c>
      <c r="M195" s="14" t="n">
        <f aca="false">(parametros_manuales!$D$44*(datos_base!$H$2+IF(parametros_manuales!$H$44="Todos",datos_base!$H$9,0))*parametros_manuales!$M$97+parametros_manuales!$E$44*(datos_base!$H$3+IF(parametros_manuales!$H$44="Todos",datos_base!$H$10,0))*parametros_manuales!$M$102+parametros_manuales!$F$44*(datos_base!$H$4+IF(parametros_manuales!$H$44="Todos",datos_base!$H$11,0))*parametros_manuales!$M$107+parametros_manuales!$G$44*(datos_base!$H$5+IF(parametros_manuales!$H$44="Todos",datos_base!$H$12,0))*parametros_manuales!$M$112)*parametros_manuales!$I$44*parametros_manuales!$J$44</f>
        <v>15370.15222521</v>
      </c>
      <c r="N195" s="14" t="n">
        <f aca="false">SUM(B195:M195)</f>
        <v>170779.469169</v>
      </c>
      <c r="O195" s="14" t="n">
        <f aca="false">MAX(B195:M195)</f>
        <v>15370.15222521</v>
      </c>
      <c r="P195" s="57" t="n">
        <f aca="false">O195/(parametros_manuales!$B$7)</f>
        <v>102.4676815014</v>
      </c>
      <c r="Q195" s="13" t="str">
        <f aca="false">IF(O195=0,"-",INDEX($B$169:$M$169,MATCH(O195,B195:M195,0)))</f>
        <v>Ene</v>
      </c>
    </row>
    <row r="196" customFormat="false" ht="14.25" hidden="false" customHeight="true" outlineLevel="0" collapsed="false"/>
    <row r="197" customFormat="false" ht="14.25" hidden="false" customHeight="true" outlineLevel="0" collapsed="false">
      <c r="A197" s="12" t="s">
        <v>275</v>
      </c>
      <c r="B197" s="12" t="s">
        <v>37</v>
      </c>
      <c r="C197" s="12" t="s">
        <v>38</v>
      </c>
      <c r="D197" s="12" t="s">
        <v>39</v>
      </c>
      <c r="E197" s="12" t="s">
        <v>40</v>
      </c>
      <c r="F197" s="12" t="s">
        <v>41</v>
      </c>
      <c r="G197" s="12" t="s">
        <v>42</v>
      </c>
      <c r="H197" s="12" t="s">
        <v>43</v>
      </c>
      <c r="I197" s="12" t="s">
        <v>44</v>
      </c>
      <c r="J197" s="12" t="s">
        <v>45</v>
      </c>
      <c r="K197" s="12" t="s">
        <v>46</v>
      </c>
      <c r="L197" s="12" t="s">
        <v>47</v>
      </c>
      <c r="M197" s="12" t="s">
        <v>48</v>
      </c>
      <c r="N197" s="12" t="s">
        <v>261</v>
      </c>
      <c r="O197" s="12" t="s">
        <v>266</v>
      </c>
      <c r="P197" s="12" t="s">
        <v>267</v>
      </c>
      <c r="Q197" s="12" t="s">
        <v>268</v>
      </c>
    </row>
    <row r="198" customFormat="false" ht="14.25" hidden="false" customHeight="true" outlineLevel="0" collapsed="false">
      <c r="A198" s="13" t="str">
        <f aca="false">parametros_manuales!$B$19</f>
        <v>Recepción de materia prima</v>
      </c>
      <c r="B198" s="14" t="n">
        <f aca="false">(parametros_manuales!$D$19*(datos_base!$I$2+IF(parametros_manuales!$H$19="Todos",datos_base!$I$9,0))*parametros_manuales!$B$97+parametros_manuales!$E$19*(datos_base!$I$3+IF(parametros_manuales!$H$19="Todos",datos_base!$I$10,0))*parametros_manuales!$B$102+parametros_manuales!$F$19*(datos_base!$I$4+IF(parametros_manuales!$H$19="Todos",datos_base!$I$11,0))*parametros_manuales!$B$107+parametros_manuales!$G$19*(datos_base!$I$5+IF(parametros_manuales!$H$19="Todos",datos_base!$I$12,0))*parametros_manuales!$B$112)*parametros_manuales!$I$19*parametros_manuales!$J$19</f>
        <v>19636.73426241</v>
      </c>
      <c r="C198" s="14" t="n">
        <f aca="false">(parametros_manuales!$D$19*(datos_base!$I$2+IF(parametros_manuales!$H$19="Todos",datos_base!$I$9,0))*parametros_manuales!$C$97+parametros_manuales!$E$19*(datos_base!$I$3+IF(parametros_manuales!$H$19="Todos",datos_base!$I$10,0))*parametros_manuales!$C$102+parametros_manuales!$F$19*(datos_base!$I$4+IF(parametros_manuales!$H$19="Todos",datos_base!$I$11,0))*parametros_manuales!$C$107+parametros_manuales!$G$19*(datos_base!$I$5+IF(parametros_manuales!$H$19="Todos",datos_base!$I$12,0))*parametros_manuales!$C$112)*parametros_manuales!$I$19*parametros_manuales!$J$19</f>
        <v>19016.20568472</v>
      </c>
      <c r="D198" s="14" t="n">
        <f aca="false">(parametros_manuales!$D$19*(datos_base!$I$2+IF(parametros_manuales!$H$19="Todos",datos_base!$I$9,0))*parametros_manuales!$D$97+parametros_manuales!$E$19*(datos_base!$I$3+IF(parametros_manuales!$H$19="Todos",datos_base!$I$10,0))*parametros_manuales!$D$102+parametros_manuales!$F$19*(datos_base!$I$4+IF(parametros_manuales!$H$19="Todos",datos_base!$I$11,0))*parametros_manuales!$D$107+parametros_manuales!$G$19*(datos_base!$I$5+IF(parametros_manuales!$H$19="Todos",datos_base!$I$12,0))*parametros_manuales!$D$112)*parametros_manuales!$I$19*parametros_manuales!$J$19</f>
        <v>17765.139188765</v>
      </c>
      <c r="E198" s="14" t="n">
        <f aca="false">(parametros_manuales!$D$19*(datos_base!$I$2+IF(parametros_manuales!$H$19="Todos",datos_base!$I$9,0))*parametros_manuales!$E$97+parametros_manuales!$E$19*(datos_base!$I$3+IF(parametros_manuales!$H$19="Todos",datos_base!$I$10,0))*parametros_manuales!$E$102+parametros_manuales!$F$19*(datos_base!$I$4+IF(parametros_manuales!$H$19="Todos",datos_base!$I$11,0))*parametros_manuales!$E$107+parametros_manuales!$G$19*(datos_base!$I$5+IF(parametros_manuales!$H$19="Todos",datos_base!$I$12,0))*parametros_manuales!$E$112)*parametros_manuales!$I$19*parametros_manuales!$J$19</f>
        <v>16984.473796365</v>
      </c>
      <c r="F198" s="14" t="n">
        <f aca="false">(parametros_manuales!$D$19*(datos_base!$I$2+IF(parametros_manuales!$H$19="Todos",datos_base!$I$9,0))*parametros_manuales!$F$97+parametros_manuales!$E$19*(datos_base!$I$3+IF(parametros_manuales!$H$19="Todos",datos_base!$I$10,0))*parametros_manuales!$F$102+parametros_manuales!$F$19*(datos_base!$I$4+IF(parametros_manuales!$H$19="Todos",datos_base!$I$11,0))*parametros_manuales!$F$107+parametros_manuales!$G$19*(datos_base!$I$5+IF(parametros_manuales!$H$19="Todos",datos_base!$I$12,0))*parametros_manuales!$F$112)*parametros_manuales!$I$19*parametros_manuales!$J$19</f>
        <v>15893.54411512</v>
      </c>
      <c r="G198" s="14" t="n">
        <f aca="false">(parametros_manuales!$D$19*(datos_base!$I$2+IF(parametros_manuales!$H$19="Todos",datos_base!$I$9,0))*parametros_manuales!$G$97+parametros_manuales!$E$19*(datos_base!$I$3+IF(parametros_manuales!$H$19="Todos",datos_base!$I$10,0))*parametros_manuales!$G$102+parametros_manuales!$F$19*(datos_base!$I$4+IF(parametros_manuales!$H$19="Todos",datos_base!$I$11,0))*parametros_manuales!$G$107+parametros_manuales!$G$19*(datos_base!$I$5+IF(parametros_manuales!$H$19="Todos",datos_base!$I$12,0))*parametros_manuales!$G$112)*parametros_manuales!$I$19*parametros_manuales!$J$19</f>
        <v>15583.279826275</v>
      </c>
      <c r="H198" s="14" t="n">
        <f aca="false">(parametros_manuales!$D$19*(datos_base!$I$2+IF(parametros_manuales!$H$19="Todos",datos_base!$I$9,0))*parametros_manuales!$H$97+parametros_manuales!$E$19*(datos_base!$I$3+IF(parametros_manuales!$H$19="Todos",datos_base!$I$10,0))*parametros_manuales!$H$102+parametros_manuales!$F$19*(datos_base!$I$4+IF(parametros_manuales!$H$19="Todos",datos_base!$I$11,0))*parametros_manuales!$H$107+parametros_manuales!$G$19*(datos_base!$I$5+IF(parametros_manuales!$H$19="Todos",datos_base!$I$12,0))*parametros_manuales!$H$112)*parametros_manuales!$I$19*parametros_manuales!$J$19</f>
        <v>16674.20950752</v>
      </c>
      <c r="I198" s="14" t="n">
        <f aca="false">(parametros_manuales!$D$19*(datos_base!$I$2+IF(parametros_manuales!$H$19="Todos",datos_base!$I$9,0))*parametros_manuales!$I$97+parametros_manuales!$E$19*(datos_base!$I$3+IF(parametros_manuales!$H$19="Todos",datos_base!$I$10,0))*parametros_manuales!$I$102+parametros_manuales!$F$19*(datos_base!$I$4+IF(parametros_manuales!$H$19="Todos",datos_base!$I$11,0))*parametros_manuales!$I$107+parametros_manuales!$G$19*(datos_base!$I$5+IF(parametros_manuales!$H$19="Todos",datos_base!$I$12,0))*parametros_manuales!$I$112)*parametros_manuales!$I$19*parametros_manuales!$J$19</f>
        <v>19016.20568472</v>
      </c>
      <c r="J198" s="14" t="n">
        <f aca="false">(parametros_manuales!$D$19*(datos_base!$I$2+IF(parametros_manuales!$H$19="Todos",datos_base!$I$9,0))*parametros_manuales!$J$97+parametros_manuales!$E$19*(datos_base!$I$3+IF(parametros_manuales!$H$19="Todos",datos_base!$I$10,0))*parametros_manuales!$J$102+parametros_manuales!$F$19*(datos_base!$I$4+IF(parametros_manuales!$H$19="Todos",datos_base!$I$11,0))*parametros_manuales!$J$107+parametros_manuales!$G$19*(datos_base!$I$5+IF(parametros_manuales!$H$19="Todos",datos_base!$I$12,0))*parametros_manuales!$J$112)*parametros_manuales!$I$19*parametros_manuales!$J$19</f>
        <v>19016.20568472</v>
      </c>
      <c r="K198" s="14" t="n">
        <f aca="false">(parametros_manuales!$D$19*(datos_base!$I$2+IF(parametros_manuales!$H$19="Todos",datos_base!$I$9,0))*parametros_manuales!$K$97+parametros_manuales!$E$19*(datos_base!$I$3+IF(parametros_manuales!$H$19="Todos",datos_base!$I$10,0))*parametros_manuales!$K$102+parametros_manuales!$F$19*(datos_base!$I$4+IF(parametros_manuales!$H$19="Todos",datos_base!$I$11,0))*parametros_manuales!$K$107+parametros_manuales!$G$19*(datos_base!$I$5+IF(parametros_manuales!$H$19="Todos",datos_base!$I$12,0))*parametros_manuales!$K$112)*parametros_manuales!$I$19*parametros_manuales!$J$19</f>
        <v>19326.469973565</v>
      </c>
      <c r="L198" s="14" t="n">
        <f aca="false">(parametros_manuales!$D$19*(datos_base!$I$2+IF(parametros_manuales!$H$19="Todos",datos_base!$I$9,0))*parametros_manuales!$L$97+parametros_manuales!$E$19*(datos_base!$I$3+IF(parametros_manuales!$H$19="Todos",datos_base!$I$10,0))*parametros_manuales!$L$102+parametros_manuales!$F$19*(datos_base!$I$4+IF(parametros_manuales!$H$19="Todos",datos_base!$I$11,0))*parametros_manuales!$L$107+parametros_manuales!$G$19*(datos_base!$I$5+IF(parametros_manuales!$H$19="Todos",datos_base!$I$12,0))*parametros_manuales!$L$112)*parametros_manuales!$I$19*parametros_manuales!$J$19</f>
        <v>19636.73426241</v>
      </c>
      <c r="M198" s="14" t="n">
        <f aca="false">(parametros_manuales!$D$19*(datos_base!$I$2+IF(parametros_manuales!$H$19="Todos",datos_base!$I$9,0))*parametros_manuales!$M$97+parametros_manuales!$E$19*(datos_base!$I$3+IF(parametros_manuales!$H$19="Todos",datos_base!$I$10,0))*parametros_manuales!$M$102+parametros_manuales!$F$19*(datos_base!$I$4+IF(parametros_manuales!$H$19="Todos",datos_base!$I$11,0))*parametros_manuales!$M$107+parametros_manuales!$G$19*(datos_base!$I$5+IF(parametros_manuales!$H$19="Todos",datos_base!$I$12,0))*parametros_manuales!$M$112)*parametros_manuales!$I$19*parametros_manuales!$J$19</f>
        <v>19636.73426241</v>
      </c>
      <c r="N198" s="14" t="n">
        <f aca="false">SUM(B198:M198)</f>
        <v>218185.936249</v>
      </c>
      <c r="O198" s="14" t="n">
        <f aca="false">MAX(B198:M198)</f>
        <v>19636.73426241</v>
      </c>
      <c r="P198" s="57" t="n">
        <f aca="false">O198/(parametros_manuales!$B$7)</f>
        <v>130.9115617494</v>
      </c>
      <c r="Q198" s="13" t="str">
        <f aca="false">IF(O198=0,"-",INDEX($B$197:$M$197,MATCH(O198,B198:M198,0)))</f>
        <v>Ene</v>
      </c>
    </row>
    <row r="199" customFormat="false" ht="14.25" hidden="false" customHeight="true" outlineLevel="0" collapsed="false">
      <c r="A199" s="13" t="str">
        <f aca="false">parametros_manuales!$B$20</f>
        <v>Corte de chapa — 1.er corte en franjas (guillotina 1, manuales + carros)</v>
      </c>
      <c r="B199" s="14" t="n">
        <f aca="false">(parametros_manuales!$D$20*(datos_base!$I$2+IF(parametros_manuales!$H$20="Todos",datos_base!$I$9,0))*parametros_manuales!$B$97+parametros_manuales!$E$20*(datos_base!$I$3+IF(parametros_manuales!$H$20="Todos",datos_base!$I$10,0))*parametros_manuales!$B$102+parametros_manuales!$F$20*(datos_base!$I$4+IF(parametros_manuales!$H$20="Todos",datos_base!$I$11,0))*parametros_manuales!$B$107+parametros_manuales!$G$20*(datos_base!$I$5+IF(parametros_manuales!$H$20="Todos",datos_base!$I$12,0))*parametros_manuales!$B$112)*parametros_manuales!$I$20*parametros_manuales!$J$20+parametros_manuales!$B$155</f>
        <v>21091.3383215941</v>
      </c>
      <c r="C199" s="14" t="n">
        <f aca="false">(parametros_manuales!$D$20*(datos_base!$I$2+IF(parametros_manuales!$H$20="Todos",datos_base!$I$9,0))*parametros_manuales!$C$97+parametros_manuales!$E$20*(datos_base!$I$3+IF(parametros_manuales!$H$20="Todos",datos_base!$I$10,0))*parametros_manuales!$C$102+parametros_manuales!$F$20*(datos_base!$I$4+IF(parametros_manuales!$H$20="Todos",datos_base!$I$11,0))*parametros_manuales!$C$107+parametros_manuales!$G$20*(datos_base!$I$5+IF(parametros_manuales!$H$20="Todos",datos_base!$I$12,0))*parametros_manuales!$C$112)*parametros_manuales!$I$20*parametros_manuales!$J$20+parametros_manuales!$C$155</f>
        <v>20299.6798545883</v>
      </c>
      <c r="D199" s="14" t="n">
        <f aca="false">(parametros_manuales!$D$20*(datos_base!$I$2+IF(parametros_manuales!$H$20="Todos",datos_base!$I$9,0))*parametros_manuales!$D$97+parametros_manuales!$E$20*(datos_base!$I$3+IF(parametros_manuales!$H$20="Todos",datos_base!$I$10,0))*parametros_manuales!$D$102+parametros_manuales!$F$20*(datos_base!$I$4+IF(parametros_manuales!$H$20="Todos",datos_base!$I$11,0))*parametros_manuales!$D$107+parametros_manuales!$G$20*(datos_base!$I$5+IF(parametros_manuales!$H$20="Todos",datos_base!$I$12,0))*parametros_manuales!$D$112)*parametros_manuales!$I$20*parametros_manuales!$J$20+parametros_manuales!$D$155</f>
        <v>19305.308192607</v>
      </c>
      <c r="E199" s="14" t="n">
        <f aca="false">(parametros_manuales!$D$20*(datos_base!$I$2+IF(parametros_manuales!$H$20="Todos",datos_base!$I$9,0))*parametros_manuales!$E$97+parametros_manuales!$E$20*(datos_base!$I$3+IF(parametros_manuales!$H$20="Todos",datos_base!$I$10,0))*parametros_manuales!$E$102+parametros_manuales!$F$20*(datos_base!$I$4+IF(parametros_manuales!$H$20="Todos",datos_base!$I$11,0))*parametros_manuales!$E$107+parametros_manuales!$G$20*(datos_base!$I$5+IF(parametros_manuales!$H$20="Todos",datos_base!$I$12,0))*parametros_manuales!$E$112)*parametros_manuales!$I$20*parametros_manuales!$J$20+parametros_manuales!$E$155</f>
        <v>18524.642800207</v>
      </c>
      <c r="F199" s="14" t="n">
        <f aca="false">(parametros_manuales!$D$20*(datos_base!$I$2+IF(parametros_manuales!$H$20="Todos",datos_base!$I$9,0))*parametros_manuales!$F$97+parametros_manuales!$E$20*(datos_base!$I$3+IF(parametros_manuales!$H$20="Todos",datos_base!$I$10,0))*parametros_manuales!$F$102+parametros_manuales!$F$20*(datos_base!$I$4+IF(parametros_manuales!$H$20="Todos",datos_base!$I$11,0))*parametros_manuales!$F$107+parametros_manuales!$G$20*(datos_base!$I$5+IF(parametros_manuales!$H$20="Todos",datos_base!$I$12,0))*parametros_manuales!$F$112)*parametros_manuales!$I$20*parametros_manuales!$J$20+parametros_manuales!$F$155</f>
        <v>17433.713118962</v>
      </c>
      <c r="G199" s="14" t="n">
        <f aca="false">(parametros_manuales!$D$20*(datos_base!$I$2+IF(parametros_manuales!$H$20="Todos",datos_base!$I$9,0))*parametros_manuales!$G$97+parametros_manuales!$E$20*(datos_base!$I$3+IF(parametros_manuales!$H$20="Todos",datos_base!$I$10,0))*parametros_manuales!$G$102+parametros_manuales!$F$20*(datos_base!$I$4+IF(parametros_manuales!$H$20="Todos",datos_base!$I$11,0))*parametros_manuales!$G$107+parametros_manuales!$G$20*(datos_base!$I$5+IF(parametros_manuales!$H$20="Todos",datos_base!$I$12,0))*parametros_manuales!$G$112)*parametros_manuales!$I$20*parametros_manuales!$J$20+parametros_manuales!$G$155</f>
        <v>16952.3189408012</v>
      </c>
      <c r="H199" s="14" t="n">
        <f aca="false">(parametros_manuales!$D$20*(datos_base!$I$2+IF(parametros_manuales!$H$20="Todos",datos_base!$I$9,0))*parametros_manuales!$H$97+parametros_manuales!$E$20*(datos_base!$I$3+IF(parametros_manuales!$H$20="Todos",datos_base!$I$10,0))*parametros_manuales!$H$102+parametros_manuales!$F$20*(datos_base!$I$4+IF(parametros_manuales!$H$20="Todos",datos_base!$I$11,0))*parametros_manuales!$H$107+parametros_manuales!$G$20*(datos_base!$I$5+IF(parametros_manuales!$H$20="Todos",datos_base!$I$12,0))*parametros_manuales!$H$112)*parametros_manuales!$I$20*parametros_manuales!$J$20+parametros_manuales!$H$155</f>
        <v>18214.378511362</v>
      </c>
      <c r="I199" s="14" t="n">
        <f aca="false">(parametros_manuales!$D$20*(datos_base!$I$2+IF(parametros_manuales!$H$20="Todos",datos_base!$I$9,0))*parametros_manuales!$I$97+parametros_manuales!$E$20*(datos_base!$I$3+IF(parametros_manuales!$H$20="Todos",datos_base!$I$10,0))*parametros_manuales!$I$102+parametros_manuales!$F$20*(datos_base!$I$4+IF(parametros_manuales!$H$20="Todos",datos_base!$I$11,0))*parametros_manuales!$I$107+parametros_manuales!$G$20*(datos_base!$I$5+IF(parametros_manuales!$H$20="Todos",datos_base!$I$12,0))*parametros_manuales!$I$112)*parametros_manuales!$I$20*parametros_manuales!$J$20+parametros_manuales!$I$155</f>
        <v>20556.374688562</v>
      </c>
      <c r="J199" s="14" t="n">
        <f aca="false">(parametros_manuales!$D$20*(datos_base!$I$2+IF(parametros_manuales!$H$20="Todos",datos_base!$I$9,0))*parametros_manuales!$J$97+parametros_manuales!$E$20*(datos_base!$I$3+IF(parametros_manuales!$H$20="Todos",datos_base!$I$10,0))*parametros_manuales!$J$102+parametros_manuales!$F$20*(datos_base!$I$4+IF(parametros_manuales!$H$20="Todos",datos_base!$I$11,0))*parametros_manuales!$J$107+parametros_manuales!$G$20*(datos_base!$I$5+IF(parametros_manuales!$H$20="Todos",datos_base!$I$12,0))*parametros_manuales!$J$112)*parametros_manuales!$I$20*parametros_manuales!$J$20+parametros_manuales!$J$155</f>
        <v>20470.8097439041</v>
      </c>
      <c r="K199" s="14" t="n">
        <f aca="false">(parametros_manuales!$D$20*(datos_base!$I$2+IF(parametros_manuales!$H$20="Todos",datos_base!$I$9,0))*parametros_manuales!$K$97+parametros_manuales!$E$20*(datos_base!$I$3+IF(parametros_manuales!$H$20="Todos",datos_base!$I$10,0))*parametros_manuales!$K$102+parametros_manuales!$F$20*(datos_base!$I$4+IF(parametros_manuales!$H$20="Todos",datos_base!$I$11,0))*parametros_manuales!$K$107+parametros_manuales!$G$20*(datos_base!$I$5+IF(parametros_manuales!$H$20="Todos",datos_base!$I$12,0))*parametros_manuales!$K$112)*parametros_manuales!$I$20*parametros_manuales!$J$20+parametros_manuales!$K$155</f>
        <v>20609.9441434333</v>
      </c>
      <c r="L199" s="14" t="n">
        <f aca="false">(parametros_manuales!$D$20*(datos_base!$I$2+IF(parametros_manuales!$H$20="Todos",datos_base!$I$9,0))*parametros_manuales!$L$97+parametros_manuales!$E$20*(datos_base!$I$3+IF(parametros_manuales!$H$20="Todos",datos_base!$I$10,0))*parametros_manuales!$L$102+parametros_manuales!$F$20*(datos_base!$I$4+IF(parametros_manuales!$H$20="Todos",datos_base!$I$11,0))*parametros_manuales!$L$107+parametros_manuales!$G$20*(datos_base!$I$5+IF(parametros_manuales!$H$20="Todos",datos_base!$I$12,0))*parametros_manuales!$L$112)*parametros_manuales!$I$20*parametros_manuales!$J$20+parametros_manuales!$L$155</f>
        <v>20834.6434876204</v>
      </c>
      <c r="M199" s="14" t="n">
        <f aca="false">(parametros_manuales!$D$20*(datos_base!$I$2+IF(parametros_manuales!$H$20="Todos",datos_base!$I$9,0))*parametros_manuales!$M$97+parametros_manuales!$E$20*(datos_base!$I$3+IF(parametros_manuales!$H$20="Todos",datos_base!$I$10,0))*parametros_manuales!$M$102+parametros_manuales!$F$20*(datos_base!$I$4+IF(parametros_manuales!$H$20="Todos",datos_base!$I$11,0))*parametros_manuales!$M$107+parametros_manuales!$G$20*(datos_base!$I$5+IF(parametros_manuales!$H$20="Todos",datos_base!$I$12,0))*parametros_manuales!$M$112)*parametros_manuales!$I$20*parametros_manuales!$J$20+parametros_manuales!$M$155</f>
        <v>21005.7733769362</v>
      </c>
      <c r="N199" s="14" t="n">
        <f aca="false">SUM(B199:M199)</f>
        <v>235298.925180578</v>
      </c>
      <c r="O199" s="14" t="n">
        <f aca="false">MAX(B199:M199)</f>
        <v>21091.3383215941</v>
      </c>
      <c r="P199" s="57" t="n">
        <f aca="false">O199/(parametros_manuales!$B$7)</f>
        <v>140.608922143961</v>
      </c>
      <c r="Q199" s="13" t="str">
        <f aca="false">IF(O199=0,"-",INDEX($B$197:$M$197,MATCH(O199,B199:M199,0)))</f>
        <v>Ene</v>
      </c>
    </row>
    <row r="200" customFormat="false" ht="14.25" hidden="false" customHeight="true" outlineLevel="0" collapsed="false">
      <c r="A200" s="13" t="str">
        <f aca="false">parametros_manuales!$B$21</f>
        <v>Corte de chapa — 2.º corte en piezas (guillotina 2, manuales + carros)</v>
      </c>
      <c r="B200" s="14" t="n">
        <f aca="false">(parametros_manuales!$D$21*(datos_base!$I$2+IF(parametros_manuales!$H$21="Todos",datos_base!$I$9,0))*parametros_manuales!$B$97+parametros_manuales!$E$21*(datos_base!$I$3+IF(parametros_manuales!$H$21="Todos",datos_base!$I$10,0))*parametros_manuales!$B$102+parametros_manuales!$F$21*(datos_base!$I$4+IF(parametros_manuales!$H$21="Todos",datos_base!$I$11,0))*parametros_manuales!$B$107+parametros_manuales!$G$21*(datos_base!$I$5+IF(parametros_manuales!$H$21="Todos",datos_base!$I$12,0))*parametros_manuales!$B$112)*parametros_manuales!$I$21*parametros_manuales!$J$21+parametros_manuales!$B$167</f>
        <v>21525.8630422149</v>
      </c>
      <c r="C200" s="14" t="n">
        <f aca="false">(parametros_manuales!$D$21*(datos_base!$I$2+IF(parametros_manuales!$H$21="Todos",datos_base!$I$9,0))*parametros_manuales!$C$97+parametros_manuales!$E$21*(datos_base!$I$3+IF(parametros_manuales!$H$21="Todos",datos_base!$I$10,0))*parametros_manuales!$C$102+parametros_manuales!$F$21*(datos_base!$I$4+IF(parametros_manuales!$H$21="Todos",datos_base!$I$11,0))*parametros_manuales!$C$107+parametros_manuales!$G$21*(datos_base!$I$5+IF(parametros_manuales!$H$21="Todos",datos_base!$I$12,0))*parametros_manuales!$C$112)*parametros_manuales!$I$21*parametros_manuales!$J$21+parametros_manuales!$C$167</f>
        <v>20683.084019842</v>
      </c>
      <c r="D200" s="14" t="n">
        <f aca="false">(parametros_manuales!$D$21*(datos_base!$I$2+IF(parametros_manuales!$H$21="Todos",datos_base!$I$9,0))*parametros_manuales!$D$97+parametros_manuales!$E$21*(datos_base!$I$3+IF(parametros_manuales!$H$21="Todos",datos_base!$I$10,0))*parametros_manuales!$D$102+parametros_manuales!$F$21*(datos_base!$I$4+IF(parametros_manuales!$H$21="Todos",datos_base!$I$11,0))*parametros_manuales!$D$107+parametros_manuales!$G$21*(datos_base!$I$5+IF(parametros_manuales!$H$21="Todos",datos_base!$I$12,0))*parametros_manuales!$D$112)*parametros_manuales!$I$21*parametros_manuales!$J$21+parametros_manuales!$D$167</f>
        <v>19765.3931909114</v>
      </c>
      <c r="E200" s="14" t="n">
        <f aca="false">(parametros_manuales!$D$21*(datos_base!$I$2+IF(parametros_manuales!$H$21="Todos",datos_base!$I$9,0))*parametros_manuales!$E$97+parametros_manuales!$E$21*(datos_base!$I$3+IF(parametros_manuales!$H$21="Todos",datos_base!$I$10,0))*parametros_manuales!$E$102+parametros_manuales!$F$21*(datos_base!$I$4+IF(parametros_manuales!$H$21="Todos",datos_base!$I$11,0))*parametros_manuales!$E$107+parametros_manuales!$G$21*(datos_base!$I$5+IF(parametros_manuales!$H$21="Todos",datos_base!$I$12,0))*parametros_manuales!$E$112)*parametros_manuales!$I$21*parametros_manuales!$J$21+parametros_manuales!$E$167</f>
        <v>18984.7277985114</v>
      </c>
      <c r="F200" s="14" t="n">
        <f aca="false">(parametros_manuales!$D$21*(datos_base!$I$2+IF(parametros_manuales!$H$21="Todos",datos_base!$I$9,0))*parametros_manuales!$F$97+parametros_manuales!$E$21*(datos_base!$I$3+IF(parametros_manuales!$H$21="Todos",datos_base!$I$10,0))*parametros_manuales!$F$102+parametros_manuales!$F$21*(datos_base!$I$4+IF(parametros_manuales!$H$21="Todos",datos_base!$I$11,0))*parametros_manuales!$F$107+parametros_manuales!$G$21*(datos_base!$I$5+IF(parametros_manuales!$H$21="Todos",datos_base!$I$12,0))*parametros_manuales!$F$112)*parametros_manuales!$I$21*parametros_manuales!$J$21+parametros_manuales!$F$167</f>
        <v>17893.7981172664</v>
      </c>
      <c r="G200" s="14" t="n">
        <f aca="false">(parametros_manuales!$D$21*(datos_base!$I$2+IF(parametros_manuales!$H$21="Todos",datos_base!$I$9,0))*parametros_manuales!$G$97+parametros_manuales!$E$21*(datos_base!$I$3+IF(parametros_manuales!$H$21="Todos",datos_base!$I$10,0))*parametros_manuales!$G$102+parametros_manuales!$F$21*(datos_base!$I$4+IF(parametros_manuales!$H$21="Todos",datos_base!$I$11,0))*parametros_manuales!$G$107+parametros_manuales!$G$21*(datos_base!$I$5+IF(parametros_manuales!$H$21="Todos",datos_base!$I$12,0))*parametros_manuales!$G$112)*parametros_manuales!$I$21*parametros_manuales!$J$21+parametros_manuales!$G$167</f>
        <v>17361.2833837385</v>
      </c>
      <c r="H200" s="14" t="n">
        <f aca="false">(parametros_manuales!$D$21*(datos_base!$I$2+IF(parametros_manuales!$H$21="Todos",datos_base!$I$9,0))*parametros_manuales!$H$97+parametros_manuales!$E$21*(datos_base!$I$3+IF(parametros_manuales!$H$21="Todos",datos_base!$I$10,0))*parametros_manuales!$H$102+parametros_manuales!$F$21*(datos_base!$I$4+IF(parametros_manuales!$H$21="Todos",datos_base!$I$11,0))*parametros_manuales!$H$107+parametros_manuales!$G$21*(datos_base!$I$5+IF(parametros_manuales!$H$21="Todos",datos_base!$I$12,0))*parametros_manuales!$H$112)*parametros_manuales!$I$21*parametros_manuales!$J$21+parametros_manuales!$H$167</f>
        <v>18674.4635096664</v>
      </c>
      <c r="I200" s="14" t="n">
        <f aca="false">(parametros_manuales!$D$21*(datos_base!$I$2+IF(parametros_manuales!$H$21="Todos",datos_base!$I$9,0))*parametros_manuales!$I$97+parametros_manuales!$E$21*(datos_base!$I$3+IF(parametros_manuales!$H$21="Todos",datos_base!$I$10,0))*parametros_manuales!$I$102+parametros_manuales!$F$21*(datos_base!$I$4+IF(parametros_manuales!$H$21="Todos",datos_base!$I$11,0))*parametros_manuales!$I$107+parametros_manuales!$G$21*(datos_base!$I$5+IF(parametros_manuales!$H$21="Todos",datos_base!$I$12,0))*parametros_manuales!$I$112)*parametros_manuales!$I$21*parametros_manuales!$J$21+parametros_manuales!$I$167</f>
        <v>21016.4596868664</v>
      </c>
      <c r="J200" s="14" t="n">
        <f aca="false">(parametros_manuales!$D$21*(datos_base!$I$2+IF(parametros_manuales!$H$21="Todos",datos_base!$I$9,0))*parametros_manuales!$J$97+parametros_manuales!$E$21*(datos_base!$I$3+IF(parametros_manuales!$H$21="Todos",datos_base!$I$10,0))*parametros_manuales!$J$102+parametros_manuales!$F$21*(datos_base!$I$4+IF(parametros_manuales!$H$21="Todos",datos_base!$I$11,0))*parametros_manuales!$J$107+parametros_manuales!$G$21*(datos_base!$I$5+IF(parametros_manuales!$H$21="Todos",datos_base!$I$12,0))*parametros_manuales!$J$112)*parametros_manuales!$I$21*parametros_manuales!$J$21+parametros_manuales!$J$167</f>
        <v>20905.3344645249</v>
      </c>
      <c r="K200" s="14" t="n">
        <f aca="false">(parametros_manuales!$D$21*(datos_base!$I$2+IF(parametros_manuales!$H$21="Todos",datos_base!$I$9,0))*parametros_manuales!$K$97+parametros_manuales!$E$21*(datos_base!$I$3+IF(parametros_manuales!$H$21="Todos",datos_base!$I$10,0))*parametros_manuales!$K$102+parametros_manuales!$F$21*(datos_base!$I$4+IF(parametros_manuales!$H$21="Todos",datos_base!$I$11,0))*parametros_manuales!$K$107+parametros_manuales!$G$21*(datos_base!$I$5+IF(parametros_manuales!$H$21="Todos",datos_base!$I$12,0))*parametros_manuales!$K$112)*parametros_manuales!$I$21*parametros_manuales!$J$21+parametros_manuales!$K$167</f>
        <v>20993.348308687</v>
      </c>
      <c r="L200" s="14" t="n">
        <f aca="false">(parametros_manuales!$D$21*(datos_base!$I$2+IF(parametros_manuales!$H$21="Todos",datos_base!$I$9,0))*parametros_manuales!$L$97+parametros_manuales!$E$21*(datos_base!$I$3+IF(parametros_manuales!$H$21="Todos",datos_base!$I$10,0))*parametros_manuales!$L$102+parametros_manuales!$F$21*(datos_base!$I$4+IF(parametros_manuales!$H$21="Todos",datos_base!$I$11,0))*parametros_manuales!$L$107+parametros_manuales!$G$21*(datos_base!$I$5+IF(parametros_manuales!$H$21="Todos",datos_base!$I$12,0))*parametros_manuales!$L$112)*parametros_manuales!$I$21*parametros_manuales!$J$21+parametros_manuales!$L$167</f>
        <v>21192.4873751905</v>
      </c>
      <c r="M200" s="14" t="n">
        <f aca="false">(parametros_manuales!$D$21*(datos_base!$I$2+IF(parametros_manuales!$H$21="Todos",datos_base!$I$9,0))*parametros_manuales!$M$97+parametros_manuales!$E$21*(datos_base!$I$3+IF(parametros_manuales!$H$21="Todos",datos_base!$I$10,0))*parametros_manuales!$M$102+parametros_manuales!$F$21*(datos_base!$I$4+IF(parametros_manuales!$H$21="Todos",datos_base!$I$11,0))*parametros_manuales!$M$107+parametros_manuales!$G$21*(datos_base!$I$5+IF(parametros_manuales!$H$21="Todos",datos_base!$I$12,0))*parametros_manuales!$M$112)*parametros_manuales!$I$21*parametros_manuales!$J$21+parametros_manuales!$M$167</f>
        <v>21414.7378198735</v>
      </c>
      <c r="N200" s="14" t="n">
        <f aca="false">SUM(B200:M200)</f>
        <v>240410.980717293</v>
      </c>
      <c r="O200" s="14" t="n">
        <f aca="false">MAX(B200:M200)</f>
        <v>21525.8630422149</v>
      </c>
      <c r="P200" s="57" t="n">
        <f aca="false">O200/(parametros_manuales!$B$7)</f>
        <v>143.505753614766</v>
      </c>
      <c r="Q200" s="13" t="str">
        <f aca="false">IF(O200=0,"-",INDEX($B$197:$M$197,MATCH(O200,B200:M200,0)))</f>
        <v>Ene</v>
      </c>
    </row>
    <row r="201" customFormat="false" ht="14.25" hidden="false" customHeight="true" outlineLevel="0" collapsed="false">
      <c r="A201" s="13" t="str">
        <f aca="false">parametros_manuales!$B$22</f>
        <v>Corte de disco y embutido (cúpula y fondo)</v>
      </c>
      <c r="B201" s="14" t="n">
        <f aca="false">(parametros_manuales!$D$22*(datos_base!$I$2+IF(parametros_manuales!$H$22="Todos",datos_base!$I$9,0))*parametros_manuales!$B$97+parametros_manuales!$E$22*(datos_base!$I$3+IF(parametros_manuales!$H$22="Todos",datos_base!$I$10,0))*parametros_manuales!$B$102+parametros_manuales!$F$22*(datos_base!$I$4+IF(parametros_manuales!$H$22="Todos",datos_base!$I$11,0))*parametros_manuales!$B$107+parametros_manuales!$G$22*(datos_base!$I$5+IF(parametros_manuales!$H$22="Todos",datos_base!$I$12,0))*parametros_manuales!$B$112)*parametros_manuales!$I$22*parametros_manuales!$J$22</f>
        <v>39273.46852482</v>
      </c>
      <c r="C201" s="14" t="n">
        <f aca="false">(parametros_manuales!$D$22*(datos_base!$I$2+IF(parametros_manuales!$H$22="Todos",datos_base!$I$9,0))*parametros_manuales!$C$97+parametros_manuales!$E$22*(datos_base!$I$3+IF(parametros_manuales!$H$22="Todos",datos_base!$I$10,0))*parametros_manuales!$C$102+parametros_manuales!$F$22*(datos_base!$I$4+IF(parametros_manuales!$H$22="Todos",datos_base!$I$11,0))*parametros_manuales!$C$107+parametros_manuales!$G$22*(datos_base!$I$5+IF(parametros_manuales!$H$22="Todos",datos_base!$I$12,0))*parametros_manuales!$C$112)*parametros_manuales!$I$22*parametros_manuales!$J$22</f>
        <v>38032.41136944</v>
      </c>
      <c r="D201" s="14" t="n">
        <f aca="false">(parametros_manuales!$D$22*(datos_base!$I$2+IF(parametros_manuales!$H$22="Todos",datos_base!$I$9,0))*parametros_manuales!$D$97+parametros_manuales!$E$22*(datos_base!$I$3+IF(parametros_manuales!$H$22="Todos",datos_base!$I$10,0))*parametros_manuales!$D$102+parametros_manuales!$F$22*(datos_base!$I$4+IF(parametros_manuales!$H$22="Todos",datos_base!$I$11,0))*parametros_manuales!$D$107+parametros_manuales!$G$22*(datos_base!$I$5+IF(parametros_manuales!$H$22="Todos",datos_base!$I$12,0))*parametros_manuales!$D$112)*parametros_manuales!$I$22*parametros_manuales!$J$22</f>
        <v>35530.27837753</v>
      </c>
      <c r="E201" s="14" t="n">
        <f aca="false">(parametros_manuales!$D$22*(datos_base!$I$2+IF(parametros_manuales!$H$22="Todos",datos_base!$I$9,0))*parametros_manuales!$E$97+parametros_manuales!$E$22*(datos_base!$I$3+IF(parametros_manuales!$H$22="Todos",datos_base!$I$10,0))*parametros_manuales!$E$102+parametros_manuales!$F$22*(datos_base!$I$4+IF(parametros_manuales!$H$22="Todos",datos_base!$I$11,0))*parametros_manuales!$E$107+parametros_manuales!$G$22*(datos_base!$I$5+IF(parametros_manuales!$H$22="Todos",datos_base!$I$12,0))*parametros_manuales!$E$112)*parametros_manuales!$I$22*parametros_manuales!$J$22</f>
        <v>33968.94759273</v>
      </c>
      <c r="F201" s="14" t="n">
        <f aca="false">(parametros_manuales!$D$22*(datos_base!$I$2+IF(parametros_manuales!$H$22="Todos",datos_base!$I$9,0))*parametros_manuales!$F$97+parametros_manuales!$E$22*(datos_base!$I$3+IF(parametros_manuales!$H$22="Todos",datos_base!$I$10,0))*parametros_manuales!$F$102+parametros_manuales!$F$22*(datos_base!$I$4+IF(parametros_manuales!$H$22="Todos",datos_base!$I$11,0))*parametros_manuales!$F$107+parametros_manuales!$G$22*(datos_base!$I$5+IF(parametros_manuales!$H$22="Todos",datos_base!$I$12,0))*parametros_manuales!$F$112)*parametros_manuales!$I$22*parametros_manuales!$J$22</f>
        <v>31787.08823024</v>
      </c>
      <c r="G201" s="14" t="n">
        <f aca="false">(parametros_manuales!$D$22*(datos_base!$I$2+IF(parametros_manuales!$H$22="Todos",datos_base!$I$9,0))*parametros_manuales!$G$97+parametros_manuales!$E$22*(datos_base!$I$3+IF(parametros_manuales!$H$22="Todos",datos_base!$I$10,0))*parametros_manuales!$G$102+parametros_manuales!$F$22*(datos_base!$I$4+IF(parametros_manuales!$H$22="Todos",datos_base!$I$11,0))*parametros_manuales!$G$107+parametros_manuales!$G$22*(datos_base!$I$5+IF(parametros_manuales!$H$22="Todos",datos_base!$I$12,0))*parametros_manuales!$G$112)*parametros_manuales!$I$22*parametros_manuales!$J$22</f>
        <v>31166.55965255</v>
      </c>
      <c r="H201" s="14" t="n">
        <f aca="false">(parametros_manuales!$D$22*(datos_base!$I$2+IF(parametros_manuales!$H$22="Todos",datos_base!$I$9,0))*parametros_manuales!$H$97+parametros_manuales!$E$22*(datos_base!$I$3+IF(parametros_manuales!$H$22="Todos",datos_base!$I$10,0))*parametros_manuales!$H$102+parametros_manuales!$F$22*(datos_base!$I$4+IF(parametros_manuales!$H$22="Todos",datos_base!$I$11,0))*parametros_manuales!$H$107+parametros_manuales!$G$22*(datos_base!$I$5+IF(parametros_manuales!$H$22="Todos",datos_base!$I$12,0))*parametros_manuales!$H$112)*parametros_manuales!$I$22*parametros_manuales!$J$22</f>
        <v>33348.41901504</v>
      </c>
      <c r="I201" s="14" t="n">
        <f aca="false">(parametros_manuales!$D$22*(datos_base!$I$2+IF(parametros_manuales!$H$22="Todos",datos_base!$I$9,0))*parametros_manuales!$I$97+parametros_manuales!$E$22*(datos_base!$I$3+IF(parametros_manuales!$H$22="Todos",datos_base!$I$10,0))*parametros_manuales!$I$102+parametros_manuales!$F$22*(datos_base!$I$4+IF(parametros_manuales!$H$22="Todos",datos_base!$I$11,0))*parametros_manuales!$I$107+parametros_manuales!$G$22*(datos_base!$I$5+IF(parametros_manuales!$H$22="Todos",datos_base!$I$12,0))*parametros_manuales!$I$112)*parametros_manuales!$I$22*parametros_manuales!$J$22</f>
        <v>38032.41136944</v>
      </c>
      <c r="J201" s="14" t="n">
        <f aca="false">(parametros_manuales!$D$22*(datos_base!$I$2+IF(parametros_manuales!$H$22="Todos",datos_base!$I$9,0))*parametros_manuales!$J$97+parametros_manuales!$E$22*(datos_base!$I$3+IF(parametros_manuales!$H$22="Todos",datos_base!$I$10,0))*parametros_manuales!$J$102+parametros_manuales!$F$22*(datos_base!$I$4+IF(parametros_manuales!$H$22="Todos",datos_base!$I$11,0))*parametros_manuales!$J$107+parametros_manuales!$G$22*(datos_base!$I$5+IF(parametros_manuales!$H$22="Todos",datos_base!$I$12,0))*parametros_manuales!$J$112)*parametros_manuales!$I$22*parametros_manuales!$J$22</f>
        <v>38032.41136944</v>
      </c>
      <c r="K201" s="14" t="n">
        <f aca="false">(parametros_manuales!$D$22*(datos_base!$I$2+IF(parametros_manuales!$H$22="Todos",datos_base!$I$9,0))*parametros_manuales!$K$97+parametros_manuales!$E$22*(datos_base!$I$3+IF(parametros_manuales!$H$22="Todos",datos_base!$I$10,0))*parametros_manuales!$K$102+parametros_manuales!$F$22*(datos_base!$I$4+IF(parametros_manuales!$H$22="Todos",datos_base!$I$11,0))*parametros_manuales!$K$107+parametros_manuales!$G$22*(datos_base!$I$5+IF(parametros_manuales!$H$22="Todos",datos_base!$I$12,0))*parametros_manuales!$K$112)*parametros_manuales!$I$22*parametros_manuales!$J$22</f>
        <v>38652.93994713</v>
      </c>
      <c r="L201" s="14" t="n">
        <f aca="false">(parametros_manuales!$D$22*(datos_base!$I$2+IF(parametros_manuales!$H$22="Todos",datos_base!$I$9,0))*parametros_manuales!$L$97+parametros_manuales!$E$22*(datos_base!$I$3+IF(parametros_manuales!$H$22="Todos",datos_base!$I$10,0))*parametros_manuales!$L$102+parametros_manuales!$F$22*(datos_base!$I$4+IF(parametros_manuales!$H$22="Todos",datos_base!$I$11,0))*parametros_manuales!$L$107+parametros_manuales!$G$22*(datos_base!$I$5+IF(parametros_manuales!$H$22="Todos",datos_base!$I$12,0))*parametros_manuales!$L$112)*parametros_manuales!$I$22*parametros_manuales!$J$22</f>
        <v>39273.46852482</v>
      </c>
      <c r="M201" s="14" t="n">
        <f aca="false">(parametros_manuales!$D$22*(datos_base!$I$2+IF(parametros_manuales!$H$22="Todos",datos_base!$I$9,0))*parametros_manuales!$M$97+parametros_manuales!$E$22*(datos_base!$I$3+IF(parametros_manuales!$H$22="Todos",datos_base!$I$10,0))*parametros_manuales!$M$102+parametros_manuales!$F$22*(datos_base!$I$4+IF(parametros_manuales!$H$22="Todos",datos_base!$I$11,0))*parametros_manuales!$M$107+parametros_manuales!$G$22*(datos_base!$I$5+IF(parametros_manuales!$H$22="Todos",datos_base!$I$12,0))*parametros_manuales!$M$112)*parametros_manuales!$I$22*parametros_manuales!$J$22</f>
        <v>39273.46852482</v>
      </c>
      <c r="N201" s="14" t="n">
        <f aca="false">SUM(B201:M201)</f>
        <v>436371.872498</v>
      </c>
      <c r="O201" s="14" t="n">
        <f aca="false">MAX(B201:M201)</f>
        <v>39273.46852482</v>
      </c>
      <c r="P201" s="57" t="n">
        <f aca="false">O201/(parametros_manuales!$B$7)</f>
        <v>261.8231234988</v>
      </c>
      <c r="Q201" s="13" t="str">
        <f aca="false">IF(O201=0,"-",INDEX($B$197:$M$197,MATCH(O201,B201:M201,0)))</f>
        <v>Ene</v>
      </c>
    </row>
    <row r="202" customFormat="false" ht="14.25" hidden="false" customHeight="true" outlineLevel="0" collapsed="false">
      <c r="A202" s="13" t="str">
        <f aca="false">parametros_manuales!$B$23</f>
        <v>Preparación de cuello</v>
      </c>
      <c r="B202" s="14" t="n">
        <f aca="false">(parametros_manuales!$D$23*(datos_base!$I$2+IF(parametros_manuales!$H$23="Todos",datos_base!$I$9,0))*parametros_manuales!$B$97+parametros_manuales!$E$23*(datos_base!$I$3+IF(parametros_manuales!$H$23="Todos",datos_base!$I$10,0))*parametros_manuales!$B$102+parametros_manuales!$F$23*(datos_base!$I$4+IF(parametros_manuales!$H$23="Todos",datos_base!$I$11,0))*parametros_manuales!$B$107+parametros_manuales!$G$23*(datos_base!$I$5+IF(parametros_manuales!$H$23="Todos",datos_base!$I$12,0))*parametros_manuales!$B$112)*parametros_manuales!$I$23*parametros_manuales!$J$23</f>
        <v>19636.73426241</v>
      </c>
      <c r="C202" s="14" t="n">
        <f aca="false">(parametros_manuales!$D$23*(datos_base!$I$2+IF(parametros_manuales!$H$23="Todos",datos_base!$I$9,0))*parametros_manuales!$C$97+parametros_manuales!$E$23*(datos_base!$I$3+IF(parametros_manuales!$H$23="Todos",datos_base!$I$10,0))*parametros_manuales!$C$102+parametros_manuales!$F$23*(datos_base!$I$4+IF(parametros_manuales!$H$23="Todos",datos_base!$I$11,0))*parametros_manuales!$C$107+parametros_manuales!$G$23*(datos_base!$I$5+IF(parametros_manuales!$H$23="Todos",datos_base!$I$12,0))*parametros_manuales!$C$112)*parametros_manuales!$I$23*parametros_manuales!$J$23</f>
        <v>19016.20568472</v>
      </c>
      <c r="D202" s="14" t="n">
        <f aca="false">(parametros_manuales!$D$23*(datos_base!$I$2+IF(parametros_manuales!$H$23="Todos",datos_base!$I$9,0))*parametros_manuales!$D$97+parametros_manuales!$E$23*(datos_base!$I$3+IF(parametros_manuales!$H$23="Todos",datos_base!$I$10,0))*parametros_manuales!$D$102+parametros_manuales!$F$23*(datos_base!$I$4+IF(parametros_manuales!$H$23="Todos",datos_base!$I$11,0))*parametros_manuales!$D$107+parametros_manuales!$G$23*(datos_base!$I$5+IF(parametros_manuales!$H$23="Todos",datos_base!$I$12,0))*parametros_manuales!$D$112)*parametros_manuales!$I$23*parametros_manuales!$J$23</f>
        <v>17765.139188765</v>
      </c>
      <c r="E202" s="14" t="n">
        <f aca="false">(parametros_manuales!$D$23*(datos_base!$I$2+IF(parametros_manuales!$H$23="Todos",datos_base!$I$9,0))*parametros_manuales!$E$97+parametros_manuales!$E$23*(datos_base!$I$3+IF(parametros_manuales!$H$23="Todos",datos_base!$I$10,0))*parametros_manuales!$E$102+parametros_manuales!$F$23*(datos_base!$I$4+IF(parametros_manuales!$H$23="Todos",datos_base!$I$11,0))*parametros_manuales!$E$107+parametros_manuales!$G$23*(datos_base!$I$5+IF(parametros_manuales!$H$23="Todos",datos_base!$I$12,0))*parametros_manuales!$E$112)*parametros_manuales!$I$23*parametros_manuales!$J$23</f>
        <v>16984.473796365</v>
      </c>
      <c r="F202" s="14" t="n">
        <f aca="false">(parametros_manuales!$D$23*(datos_base!$I$2+IF(parametros_manuales!$H$23="Todos",datos_base!$I$9,0))*parametros_manuales!$F$97+parametros_manuales!$E$23*(datos_base!$I$3+IF(parametros_manuales!$H$23="Todos",datos_base!$I$10,0))*parametros_manuales!$F$102+parametros_manuales!$F$23*(datos_base!$I$4+IF(parametros_manuales!$H$23="Todos",datos_base!$I$11,0))*parametros_manuales!$F$107+parametros_manuales!$G$23*(datos_base!$I$5+IF(parametros_manuales!$H$23="Todos",datos_base!$I$12,0))*parametros_manuales!$F$112)*parametros_manuales!$I$23*parametros_manuales!$J$23</f>
        <v>15893.54411512</v>
      </c>
      <c r="G202" s="14" t="n">
        <f aca="false">(parametros_manuales!$D$23*(datos_base!$I$2+IF(parametros_manuales!$H$23="Todos",datos_base!$I$9,0))*parametros_manuales!$G$97+parametros_manuales!$E$23*(datos_base!$I$3+IF(parametros_manuales!$H$23="Todos",datos_base!$I$10,0))*parametros_manuales!$G$102+parametros_manuales!$F$23*(datos_base!$I$4+IF(parametros_manuales!$H$23="Todos",datos_base!$I$11,0))*parametros_manuales!$G$107+parametros_manuales!$G$23*(datos_base!$I$5+IF(parametros_manuales!$H$23="Todos",datos_base!$I$12,0))*parametros_manuales!$G$112)*parametros_manuales!$I$23*parametros_manuales!$J$23</f>
        <v>15583.279826275</v>
      </c>
      <c r="H202" s="14" t="n">
        <f aca="false">(parametros_manuales!$D$23*(datos_base!$I$2+IF(parametros_manuales!$H$23="Todos",datos_base!$I$9,0))*parametros_manuales!$H$97+parametros_manuales!$E$23*(datos_base!$I$3+IF(parametros_manuales!$H$23="Todos",datos_base!$I$10,0))*parametros_manuales!$H$102+parametros_manuales!$F$23*(datos_base!$I$4+IF(parametros_manuales!$H$23="Todos",datos_base!$I$11,0))*parametros_manuales!$H$107+parametros_manuales!$G$23*(datos_base!$I$5+IF(parametros_manuales!$H$23="Todos",datos_base!$I$12,0))*parametros_manuales!$H$112)*parametros_manuales!$I$23*parametros_manuales!$J$23</f>
        <v>16674.20950752</v>
      </c>
      <c r="I202" s="14" t="n">
        <f aca="false">(parametros_manuales!$D$23*(datos_base!$I$2+IF(parametros_manuales!$H$23="Todos",datos_base!$I$9,0))*parametros_manuales!$I$97+parametros_manuales!$E$23*(datos_base!$I$3+IF(parametros_manuales!$H$23="Todos",datos_base!$I$10,0))*parametros_manuales!$I$102+parametros_manuales!$F$23*(datos_base!$I$4+IF(parametros_manuales!$H$23="Todos",datos_base!$I$11,0))*parametros_manuales!$I$107+parametros_manuales!$G$23*(datos_base!$I$5+IF(parametros_manuales!$H$23="Todos",datos_base!$I$12,0))*parametros_manuales!$I$112)*parametros_manuales!$I$23*parametros_manuales!$J$23</f>
        <v>19016.20568472</v>
      </c>
      <c r="J202" s="14" t="n">
        <f aca="false">(parametros_manuales!$D$23*(datos_base!$I$2+IF(parametros_manuales!$H$23="Todos",datos_base!$I$9,0))*parametros_manuales!$J$97+parametros_manuales!$E$23*(datos_base!$I$3+IF(parametros_manuales!$H$23="Todos",datos_base!$I$10,0))*parametros_manuales!$J$102+parametros_manuales!$F$23*(datos_base!$I$4+IF(parametros_manuales!$H$23="Todos",datos_base!$I$11,0))*parametros_manuales!$J$107+parametros_manuales!$G$23*(datos_base!$I$5+IF(parametros_manuales!$H$23="Todos",datos_base!$I$12,0))*parametros_manuales!$J$112)*parametros_manuales!$I$23*parametros_manuales!$J$23</f>
        <v>19016.20568472</v>
      </c>
      <c r="K202" s="14" t="n">
        <f aca="false">(parametros_manuales!$D$23*(datos_base!$I$2+IF(parametros_manuales!$H$23="Todos",datos_base!$I$9,0))*parametros_manuales!$K$97+parametros_manuales!$E$23*(datos_base!$I$3+IF(parametros_manuales!$H$23="Todos",datos_base!$I$10,0))*parametros_manuales!$K$102+parametros_manuales!$F$23*(datos_base!$I$4+IF(parametros_manuales!$H$23="Todos",datos_base!$I$11,0))*parametros_manuales!$K$107+parametros_manuales!$G$23*(datos_base!$I$5+IF(parametros_manuales!$H$23="Todos",datos_base!$I$12,0))*parametros_manuales!$K$112)*parametros_manuales!$I$23*parametros_manuales!$J$23</f>
        <v>19326.469973565</v>
      </c>
      <c r="L202" s="14" t="n">
        <f aca="false">(parametros_manuales!$D$23*(datos_base!$I$2+IF(parametros_manuales!$H$23="Todos",datos_base!$I$9,0))*parametros_manuales!$L$97+parametros_manuales!$E$23*(datos_base!$I$3+IF(parametros_manuales!$H$23="Todos",datos_base!$I$10,0))*parametros_manuales!$L$102+parametros_manuales!$F$23*(datos_base!$I$4+IF(parametros_manuales!$H$23="Todos",datos_base!$I$11,0))*parametros_manuales!$L$107+parametros_manuales!$G$23*(datos_base!$I$5+IF(parametros_manuales!$H$23="Todos",datos_base!$I$12,0))*parametros_manuales!$L$112)*parametros_manuales!$I$23*parametros_manuales!$J$23</f>
        <v>19636.73426241</v>
      </c>
      <c r="M202" s="14" t="n">
        <f aca="false">(parametros_manuales!$D$23*(datos_base!$I$2+IF(parametros_manuales!$H$23="Todos",datos_base!$I$9,0))*parametros_manuales!$M$97+parametros_manuales!$E$23*(datos_base!$I$3+IF(parametros_manuales!$H$23="Todos",datos_base!$I$10,0))*parametros_manuales!$M$102+parametros_manuales!$F$23*(datos_base!$I$4+IF(parametros_manuales!$H$23="Todos",datos_base!$I$11,0))*parametros_manuales!$M$107+parametros_manuales!$G$23*(datos_base!$I$5+IF(parametros_manuales!$H$23="Todos",datos_base!$I$12,0))*parametros_manuales!$M$112)*parametros_manuales!$I$23*parametros_manuales!$J$23</f>
        <v>19636.73426241</v>
      </c>
      <c r="N202" s="14" t="n">
        <f aca="false">SUM(B202:M202)</f>
        <v>218185.936249</v>
      </c>
      <c r="O202" s="14" t="n">
        <f aca="false">MAX(B202:M202)</f>
        <v>19636.73426241</v>
      </c>
      <c r="P202" s="57" t="n">
        <f aca="false">O202/(parametros_manuales!$B$7)</f>
        <v>130.9115617494</v>
      </c>
      <c r="Q202" s="13" t="str">
        <f aca="false">IF(O202=0,"-",INDEX($B$197:$M$197,MATCH(O202,B202:M202,0)))</f>
        <v>Ene</v>
      </c>
    </row>
    <row r="203" customFormat="false" ht="14.25" hidden="false" customHeight="true" outlineLevel="0" collapsed="false">
      <c r="A203" s="13" t="str">
        <f aca="false">parametros_manuales!$B$24</f>
        <v>Numerado de cúpula</v>
      </c>
      <c r="B203" s="14" t="n">
        <f aca="false">(parametros_manuales!$D$24*(datos_base!$I$2+IF(parametros_manuales!$H$24="Todos",datos_base!$I$9,0))*parametros_manuales!$B$97+parametros_manuales!$E$24*(datos_base!$I$3+IF(parametros_manuales!$H$24="Todos",datos_base!$I$10,0))*parametros_manuales!$B$102+parametros_manuales!$F$24*(datos_base!$I$4+IF(parametros_manuales!$H$24="Todos",datos_base!$I$11,0))*parametros_manuales!$B$107+parametros_manuales!$G$24*(datos_base!$I$5+IF(parametros_manuales!$H$24="Todos",datos_base!$I$12,0))*parametros_manuales!$B$112)*parametros_manuales!$I$24*parametros_manuales!$J$24</f>
        <v>19636.73426241</v>
      </c>
      <c r="C203" s="14" t="n">
        <f aca="false">(parametros_manuales!$D$24*(datos_base!$I$2+IF(parametros_manuales!$H$24="Todos",datos_base!$I$9,0))*parametros_manuales!$C$97+parametros_manuales!$E$24*(datos_base!$I$3+IF(parametros_manuales!$H$24="Todos",datos_base!$I$10,0))*parametros_manuales!$C$102+parametros_manuales!$F$24*(datos_base!$I$4+IF(parametros_manuales!$H$24="Todos",datos_base!$I$11,0))*parametros_manuales!$C$107+parametros_manuales!$G$24*(datos_base!$I$5+IF(parametros_manuales!$H$24="Todos",datos_base!$I$12,0))*parametros_manuales!$C$112)*parametros_manuales!$I$24*parametros_manuales!$J$24</f>
        <v>19016.20568472</v>
      </c>
      <c r="D203" s="14" t="n">
        <f aca="false">(parametros_manuales!$D$24*(datos_base!$I$2+IF(parametros_manuales!$H$24="Todos",datos_base!$I$9,0))*parametros_manuales!$D$97+parametros_manuales!$E$24*(datos_base!$I$3+IF(parametros_manuales!$H$24="Todos",datos_base!$I$10,0))*parametros_manuales!$D$102+parametros_manuales!$F$24*(datos_base!$I$4+IF(parametros_manuales!$H$24="Todos",datos_base!$I$11,0))*parametros_manuales!$D$107+parametros_manuales!$G$24*(datos_base!$I$5+IF(parametros_manuales!$H$24="Todos",datos_base!$I$12,0))*parametros_manuales!$D$112)*parametros_manuales!$I$24*parametros_manuales!$J$24</f>
        <v>17765.139188765</v>
      </c>
      <c r="E203" s="14" t="n">
        <f aca="false">(parametros_manuales!$D$24*(datos_base!$I$2+IF(parametros_manuales!$H$24="Todos",datos_base!$I$9,0))*parametros_manuales!$E$97+parametros_manuales!$E$24*(datos_base!$I$3+IF(parametros_manuales!$H$24="Todos",datos_base!$I$10,0))*parametros_manuales!$E$102+parametros_manuales!$F$24*(datos_base!$I$4+IF(parametros_manuales!$H$24="Todos",datos_base!$I$11,0))*parametros_manuales!$E$107+parametros_manuales!$G$24*(datos_base!$I$5+IF(parametros_manuales!$H$24="Todos",datos_base!$I$12,0))*parametros_manuales!$E$112)*parametros_manuales!$I$24*parametros_manuales!$J$24</f>
        <v>16984.473796365</v>
      </c>
      <c r="F203" s="14" t="n">
        <f aca="false">(parametros_manuales!$D$24*(datos_base!$I$2+IF(parametros_manuales!$H$24="Todos",datos_base!$I$9,0))*parametros_manuales!$F$97+parametros_manuales!$E$24*(datos_base!$I$3+IF(parametros_manuales!$H$24="Todos",datos_base!$I$10,0))*parametros_manuales!$F$102+parametros_manuales!$F$24*(datos_base!$I$4+IF(parametros_manuales!$H$24="Todos",datos_base!$I$11,0))*parametros_manuales!$F$107+parametros_manuales!$G$24*(datos_base!$I$5+IF(parametros_manuales!$H$24="Todos",datos_base!$I$12,0))*parametros_manuales!$F$112)*parametros_manuales!$I$24*parametros_manuales!$J$24</f>
        <v>15893.54411512</v>
      </c>
      <c r="G203" s="14" t="n">
        <f aca="false">(parametros_manuales!$D$24*(datos_base!$I$2+IF(parametros_manuales!$H$24="Todos",datos_base!$I$9,0))*parametros_manuales!$G$97+parametros_manuales!$E$24*(datos_base!$I$3+IF(parametros_manuales!$H$24="Todos",datos_base!$I$10,0))*parametros_manuales!$G$102+parametros_manuales!$F$24*(datos_base!$I$4+IF(parametros_manuales!$H$24="Todos",datos_base!$I$11,0))*parametros_manuales!$G$107+parametros_manuales!$G$24*(datos_base!$I$5+IF(parametros_manuales!$H$24="Todos",datos_base!$I$12,0))*parametros_manuales!$G$112)*parametros_manuales!$I$24*parametros_manuales!$J$24</f>
        <v>15583.279826275</v>
      </c>
      <c r="H203" s="14" t="n">
        <f aca="false">(parametros_manuales!$D$24*(datos_base!$I$2+IF(parametros_manuales!$H$24="Todos",datos_base!$I$9,0))*parametros_manuales!$H$97+parametros_manuales!$E$24*(datos_base!$I$3+IF(parametros_manuales!$H$24="Todos",datos_base!$I$10,0))*parametros_manuales!$H$102+parametros_manuales!$F$24*(datos_base!$I$4+IF(parametros_manuales!$H$24="Todos",datos_base!$I$11,0))*parametros_manuales!$H$107+parametros_manuales!$G$24*(datos_base!$I$5+IF(parametros_manuales!$H$24="Todos",datos_base!$I$12,0))*parametros_manuales!$H$112)*parametros_manuales!$I$24*parametros_manuales!$J$24</f>
        <v>16674.20950752</v>
      </c>
      <c r="I203" s="14" t="n">
        <f aca="false">(parametros_manuales!$D$24*(datos_base!$I$2+IF(parametros_manuales!$H$24="Todos",datos_base!$I$9,0))*parametros_manuales!$I$97+parametros_manuales!$E$24*(datos_base!$I$3+IF(parametros_manuales!$H$24="Todos",datos_base!$I$10,0))*parametros_manuales!$I$102+parametros_manuales!$F$24*(datos_base!$I$4+IF(parametros_manuales!$H$24="Todos",datos_base!$I$11,0))*parametros_manuales!$I$107+parametros_manuales!$G$24*(datos_base!$I$5+IF(parametros_manuales!$H$24="Todos",datos_base!$I$12,0))*parametros_manuales!$I$112)*parametros_manuales!$I$24*parametros_manuales!$J$24</f>
        <v>19016.20568472</v>
      </c>
      <c r="J203" s="14" t="n">
        <f aca="false">(parametros_manuales!$D$24*(datos_base!$I$2+IF(parametros_manuales!$H$24="Todos",datos_base!$I$9,0))*parametros_manuales!$J$97+parametros_manuales!$E$24*(datos_base!$I$3+IF(parametros_manuales!$H$24="Todos",datos_base!$I$10,0))*parametros_manuales!$J$102+parametros_manuales!$F$24*(datos_base!$I$4+IF(parametros_manuales!$H$24="Todos",datos_base!$I$11,0))*parametros_manuales!$J$107+parametros_manuales!$G$24*(datos_base!$I$5+IF(parametros_manuales!$H$24="Todos",datos_base!$I$12,0))*parametros_manuales!$J$112)*parametros_manuales!$I$24*parametros_manuales!$J$24</f>
        <v>19016.20568472</v>
      </c>
      <c r="K203" s="14" t="n">
        <f aca="false">(parametros_manuales!$D$24*(datos_base!$I$2+IF(parametros_manuales!$H$24="Todos",datos_base!$I$9,0))*parametros_manuales!$K$97+parametros_manuales!$E$24*(datos_base!$I$3+IF(parametros_manuales!$H$24="Todos",datos_base!$I$10,0))*parametros_manuales!$K$102+parametros_manuales!$F$24*(datos_base!$I$4+IF(parametros_manuales!$H$24="Todos",datos_base!$I$11,0))*parametros_manuales!$K$107+parametros_manuales!$G$24*(datos_base!$I$5+IF(parametros_manuales!$H$24="Todos",datos_base!$I$12,0))*parametros_manuales!$K$112)*parametros_manuales!$I$24*parametros_manuales!$J$24</f>
        <v>19326.469973565</v>
      </c>
      <c r="L203" s="14" t="n">
        <f aca="false">(parametros_manuales!$D$24*(datos_base!$I$2+IF(parametros_manuales!$H$24="Todos",datos_base!$I$9,0))*parametros_manuales!$L$97+parametros_manuales!$E$24*(datos_base!$I$3+IF(parametros_manuales!$H$24="Todos",datos_base!$I$10,0))*parametros_manuales!$L$102+parametros_manuales!$F$24*(datos_base!$I$4+IF(parametros_manuales!$H$24="Todos",datos_base!$I$11,0))*parametros_manuales!$L$107+parametros_manuales!$G$24*(datos_base!$I$5+IF(parametros_manuales!$H$24="Todos",datos_base!$I$12,0))*parametros_manuales!$L$112)*parametros_manuales!$I$24*parametros_manuales!$J$24</f>
        <v>19636.73426241</v>
      </c>
      <c r="M203" s="14" t="n">
        <f aca="false">(parametros_manuales!$D$24*(datos_base!$I$2+IF(parametros_manuales!$H$24="Todos",datos_base!$I$9,0))*parametros_manuales!$M$97+parametros_manuales!$E$24*(datos_base!$I$3+IF(parametros_manuales!$H$24="Todos",datos_base!$I$10,0))*parametros_manuales!$M$102+parametros_manuales!$F$24*(datos_base!$I$4+IF(parametros_manuales!$H$24="Todos",datos_base!$I$11,0))*parametros_manuales!$M$107+parametros_manuales!$G$24*(datos_base!$I$5+IF(parametros_manuales!$H$24="Todos",datos_base!$I$12,0))*parametros_manuales!$M$112)*parametros_manuales!$I$24*parametros_manuales!$J$24</f>
        <v>19636.73426241</v>
      </c>
      <c r="N203" s="14" t="n">
        <f aca="false">SUM(B203:M203)</f>
        <v>218185.936249</v>
      </c>
      <c r="O203" s="14" t="n">
        <f aca="false">MAX(B203:M203)</f>
        <v>19636.73426241</v>
      </c>
      <c r="P203" s="57" t="n">
        <f aca="false">O203/(parametros_manuales!$B$7)</f>
        <v>130.9115617494</v>
      </c>
      <c r="Q203" s="13" t="str">
        <f aca="false">IF(O203=0,"-",INDEX($B$197:$M$197,MATCH(O203,B203:M203,0)))</f>
        <v>Ene</v>
      </c>
    </row>
    <row r="204" customFormat="false" ht="14.25" hidden="false" customHeight="true" outlineLevel="0" collapsed="false">
      <c r="A204" s="13" t="str">
        <f aca="false">parametros_manuales!$B$25</f>
        <v>Soldadura del cuello a la cúpula</v>
      </c>
      <c r="B204" s="14" t="n">
        <f aca="false">(parametros_manuales!$D$25*(datos_base!$I$2+IF(parametros_manuales!$H$25="Todos",datos_base!$I$9,0))*parametros_manuales!$B$97+parametros_manuales!$E$25*(datos_base!$I$3+IF(parametros_manuales!$H$25="Todos",datos_base!$I$10,0))*parametros_manuales!$B$102+parametros_manuales!$F$25*(datos_base!$I$4+IF(parametros_manuales!$H$25="Todos",datos_base!$I$11,0))*parametros_manuales!$B$107+parametros_manuales!$G$25*(datos_base!$I$5+IF(parametros_manuales!$H$25="Todos",datos_base!$I$12,0))*parametros_manuales!$B$112)*parametros_manuales!$I$25*parametros_manuales!$J$25</f>
        <v>19636.73426241</v>
      </c>
      <c r="C204" s="14" t="n">
        <f aca="false">(parametros_manuales!$D$25*(datos_base!$I$2+IF(parametros_manuales!$H$25="Todos",datos_base!$I$9,0))*parametros_manuales!$C$97+parametros_manuales!$E$25*(datos_base!$I$3+IF(parametros_manuales!$H$25="Todos",datos_base!$I$10,0))*parametros_manuales!$C$102+parametros_manuales!$F$25*(datos_base!$I$4+IF(parametros_manuales!$H$25="Todos",datos_base!$I$11,0))*parametros_manuales!$C$107+parametros_manuales!$G$25*(datos_base!$I$5+IF(parametros_manuales!$H$25="Todos",datos_base!$I$12,0))*parametros_manuales!$C$112)*parametros_manuales!$I$25*parametros_manuales!$J$25</f>
        <v>19016.20568472</v>
      </c>
      <c r="D204" s="14" t="n">
        <f aca="false">(parametros_manuales!$D$25*(datos_base!$I$2+IF(parametros_manuales!$H$25="Todos",datos_base!$I$9,0))*parametros_manuales!$D$97+parametros_manuales!$E$25*(datos_base!$I$3+IF(parametros_manuales!$H$25="Todos",datos_base!$I$10,0))*parametros_manuales!$D$102+parametros_manuales!$F$25*(datos_base!$I$4+IF(parametros_manuales!$H$25="Todos",datos_base!$I$11,0))*parametros_manuales!$D$107+parametros_manuales!$G$25*(datos_base!$I$5+IF(parametros_manuales!$H$25="Todos",datos_base!$I$12,0))*parametros_manuales!$D$112)*parametros_manuales!$I$25*parametros_manuales!$J$25</f>
        <v>17765.139188765</v>
      </c>
      <c r="E204" s="14" t="n">
        <f aca="false">(parametros_manuales!$D$25*(datos_base!$I$2+IF(parametros_manuales!$H$25="Todos",datos_base!$I$9,0))*parametros_manuales!$E$97+parametros_manuales!$E$25*(datos_base!$I$3+IF(parametros_manuales!$H$25="Todos",datos_base!$I$10,0))*parametros_manuales!$E$102+parametros_manuales!$F$25*(datos_base!$I$4+IF(parametros_manuales!$H$25="Todos",datos_base!$I$11,0))*parametros_manuales!$E$107+parametros_manuales!$G$25*(datos_base!$I$5+IF(parametros_manuales!$H$25="Todos",datos_base!$I$12,0))*parametros_manuales!$E$112)*parametros_manuales!$I$25*parametros_manuales!$J$25</f>
        <v>16984.473796365</v>
      </c>
      <c r="F204" s="14" t="n">
        <f aca="false">(parametros_manuales!$D$25*(datos_base!$I$2+IF(parametros_manuales!$H$25="Todos",datos_base!$I$9,0))*parametros_manuales!$F$97+parametros_manuales!$E$25*(datos_base!$I$3+IF(parametros_manuales!$H$25="Todos",datos_base!$I$10,0))*parametros_manuales!$F$102+parametros_manuales!$F$25*(datos_base!$I$4+IF(parametros_manuales!$H$25="Todos",datos_base!$I$11,0))*parametros_manuales!$F$107+parametros_manuales!$G$25*(datos_base!$I$5+IF(parametros_manuales!$H$25="Todos",datos_base!$I$12,0))*parametros_manuales!$F$112)*parametros_manuales!$I$25*parametros_manuales!$J$25</f>
        <v>15893.54411512</v>
      </c>
      <c r="G204" s="14" t="n">
        <f aca="false">(parametros_manuales!$D$25*(datos_base!$I$2+IF(parametros_manuales!$H$25="Todos",datos_base!$I$9,0))*parametros_manuales!$G$97+parametros_manuales!$E$25*(datos_base!$I$3+IF(parametros_manuales!$H$25="Todos",datos_base!$I$10,0))*parametros_manuales!$G$102+parametros_manuales!$F$25*(datos_base!$I$4+IF(parametros_manuales!$H$25="Todos",datos_base!$I$11,0))*parametros_manuales!$G$107+parametros_manuales!$G$25*(datos_base!$I$5+IF(parametros_manuales!$H$25="Todos",datos_base!$I$12,0))*parametros_manuales!$G$112)*parametros_manuales!$I$25*parametros_manuales!$J$25</f>
        <v>15583.279826275</v>
      </c>
      <c r="H204" s="14" t="n">
        <f aca="false">(parametros_manuales!$D$25*(datos_base!$I$2+IF(parametros_manuales!$H$25="Todos",datos_base!$I$9,0))*parametros_manuales!$H$97+parametros_manuales!$E$25*(datos_base!$I$3+IF(parametros_manuales!$H$25="Todos",datos_base!$I$10,0))*parametros_manuales!$H$102+parametros_manuales!$F$25*(datos_base!$I$4+IF(parametros_manuales!$H$25="Todos",datos_base!$I$11,0))*parametros_manuales!$H$107+parametros_manuales!$G$25*(datos_base!$I$5+IF(parametros_manuales!$H$25="Todos",datos_base!$I$12,0))*parametros_manuales!$H$112)*parametros_manuales!$I$25*parametros_manuales!$J$25</f>
        <v>16674.20950752</v>
      </c>
      <c r="I204" s="14" t="n">
        <f aca="false">(parametros_manuales!$D$25*(datos_base!$I$2+IF(parametros_manuales!$H$25="Todos",datos_base!$I$9,0))*parametros_manuales!$I$97+parametros_manuales!$E$25*(datos_base!$I$3+IF(parametros_manuales!$H$25="Todos",datos_base!$I$10,0))*parametros_manuales!$I$102+parametros_manuales!$F$25*(datos_base!$I$4+IF(parametros_manuales!$H$25="Todos",datos_base!$I$11,0))*parametros_manuales!$I$107+parametros_manuales!$G$25*(datos_base!$I$5+IF(parametros_manuales!$H$25="Todos",datos_base!$I$12,0))*parametros_manuales!$I$112)*parametros_manuales!$I$25*parametros_manuales!$J$25</f>
        <v>19016.20568472</v>
      </c>
      <c r="J204" s="14" t="n">
        <f aca="false">(parametros_manuales!$D$25*(datos_base!$I$2+IF(parametros_manuales!$H$25="Todos",datos_base!$I$9,0))*parametros_manuales!$J$97+parametros_manuales!$E$25*(datos_base!$I$3+IF(parametros_manuales!$H$25="Todos",datos_base!$I$10,0))*parametros_manuales!$J$102+parametros_manuales!$F$25*(datos_base!$I$4+IF(parametros_manuales!$H$25="Todos",datos_base!$I$11,0))*parametros_manuales!$J$107+parametros_manuales!$G$25*(datos_base!$I$5+IF(parametros_manuales!$H$25="Todos",datos_base!$I$12,0))*parametros_manuales!$J$112)*parametros_manuales!$I$25*parametros_manuales!$J$25</f>
        <v>19016.20568472</v>
      </c>
      <c r="K204" s="14" t="n">
        <f aca="false">(parametros_manuales!$D$25*(datos_base!$I$2+IF(parametros_manuales!$H$25="Todos",datos_base!$I$9,0))*parametros_manuales!$K$97+parametros_manuales!$E$25*(datos_base!$I$3+IF(parametros_manuales!$H$25="Todos",datos_base!$I$10,0))*parametros_manuales!$K$102+parametros_manuales!$F$25*(datos_base!$I$4+IF(parametros_manuales!$H$25="Todos",datos_base!$I$11,0))*parametros_manuales!$K$107+parametros_manuales!$G$25*(datos_base!$I$5+IF(parametros_manuales!$H$25="Todos",datos_base!$I$12,0))*parametros_manuales!$K$112)*parametros_manuales!$I$25*parametros_manuales!$J$25</f>
        <v>19326.469973565</v>
      </c>
      <c r="L204" s="14" t="n">
        <f aca="false">(parametros_manuales!$D$25*(datos_base!$I$2+IF(parametros_manuales!$H$25="Todos",datos_base!$I$9,0))*parametros_manuales!$L$97+parametros_manuales!$E$25*(datos_base!$I$3+IF(parametros_manuales!$H$25="Todos",datos_base!$I$10,0))*parametros_manuales!$L$102+parametros_manuales!$F$25*(datos_base!$I$4+IF(parametros_manuales!$H$25="Todos",datos_base!$I$11,0))*parametros_manuales!$L$107+parametros_manuales!$G$25*(datos_base!$I$5+IF(parametros_manuales!$H$25="Todos",datos_base!$I$12,0))*parametros_manuales!$L$112)*parametros_manuales!$I$25*parametros_manuales!$J$25</f>
        <v>19636.73426241</v>
      </c>
      <c r="M204" s="14" t="n">
        <f aca="false">(parametros_manuales!$D$25*(datos_base!$I$2+IF(parametros_manuales!$H$25="Todos",datos_base!$I$9,0))*parametros_manuales!$M$97+parametros_manuales!$E$25*(datos_base!$I$3+IF(parametros_manuales!$H$25="Todos",datos_base!$I$10,0))*parametros_manuales!$M$102+parametros_manuales!$F$25*(datos_base!$I$4+IF(parametros_manuales!$H$25="Todos",datos_base!$I$11,0))*parametros_manuales!$M$107+parametros_manuales!$G$25*(datos_base!$I$5+IF(parametros_manuales!$H$25="Todos",datos_base!$I$12,0))*parametros_manuales!$M$112)*parametros_manuales!$I$25*parametros_manuales!$J$25</f>
        <v>19636.73426241</v>
      </c>
      <c r="N204" s="14" t="n">
        <f aca="false">SUM(B204:M204)</f>
        <v>218185.936249</v>
      </c>
      <c r="O204" s="14" t="n">
        <f aca="false">MAX(B204:M204)</f>
        <v>19636.73426241</v>
      </c>
      <c r="P204" s="57" t="n">
        <f aca="false">O204/(parametros_manuales!$B$7)</f>
        <v>130.9115617494</v>
      </c>
      <c r="Q204" s="13" t="str">
        <f aca="false">IF(O204=0,"-",INDEX($B$197:$M$197,MATCH(O204,B204:M204,0)))</f>
        <v>Ene</v>
      </c>
    </row>
    <row r="205" customFormat="false" ht="14.25" hidden="false" customHeight="true" outlineLevel="0" collapsed="false">
      <c r="A205" s="13" t="str">
        <f aca="false">parametros_manuales!$B$26</f>
        <v>Cilindrado</v>
      </c>
      <c r="B205" s="14" t="n">
        <f aca="false">(parametros_manuales!$D$26*(datos_base!$I$2+IF(parametros_manuales!$H$26="Todos",datos_base!$I$9,0))*parametros_manuales!$B$97+parametros_manuales!$E$26*(datos_base!$I$3+IF(parametros_manuales!$H$26="Todos",datos_base!$I$10,0))*parametros_manuales!$B$102+parametros_manuales!$F$26*(datos_base!$I$4+IF(parametros_manuales!$H$26="Todos",datos_base!$I$11,0))*parametros_manuales!$B$107+parametros_manuales!$G$26*(datos_base!$I$5+IF(parametros_manuales!$H$26="Todos",datos_base!$I$12,0))*parametros_manuales!$B$112)*parametros_manuales!$I$26*parametros_manuales!$J$26</f>
        <v>19636.73426241</v>
      </c>
      <c r="C205" s="14" t="n">
        <f aca="false">(parametros_manuales!$D$26*(datos_base!$I$2+IF(parametros_manuales!$H$26="Todos",datos_base!$I$9,0))*parametros_manuales!$C$97+parametros_manuales!$E$26*(datos_base!$I$3+IF(parametros_manuales!$H$26="Todos",datos_base!$I$10,0))*parametros_manuales!$C$102+parametros_manuales!$F$26*(datos_base!$I$4+IF(parametros_manuales!$H$26="Todos",datos_base!$I$11,0))*parametros_manuales!$C$107+parametros_manuales!$G$26*(datos_base!$I$5+IF(parametros_manuales!$H$26="Todos",datos_base!$I$12,0))*parametros_manuales!$C$112)*parametros_manuales!$I$26*parametros_manuales!$J$26</f>
        <v>19016.20568472</v>
      </c>
      <c r="D205" s="14" t="n">
        <f aca="false">(parametros_manuales!$D$26*(datos_base!$I$2+IF(parametros_manuales!$H$26="Todos",datos_base!$I$9,0))*parametros_manuales!$D$97+parametros_manuales!$E$26*(datos_base!$I$3+IF(parametros_manuales!$H$26="Todos",datos_base!$I$10,0))*parametros_manuales!$D$102+parametros_manuales!$F$26*(datos_base!$I$4+IF(parametros_manuales!$H$26="Todos",datos_base!$I$11,0))*parametros_manuales!$D$107+parametros_manuales!$G$26*(datos_base!$I$5+IF(parametros_manuales!$H$26="Todos",datos_base!$I$12,0))*parametros_manuales!$D$112)*parametros_manuales!$I$26*parametros_manuales!$J$26</f>
        <v>17765.139188765</v>
      </c>
      <c r="E205" s="14" t="n">
        <f aca="false">(parametros_manuales!$D$26*(datos_base!$I$2+IF(parametros_manuales!$H$26="Todos",datos_base!$I$9,0))*parametros_manuales!$E$97+parametros_manuales!$E$26*(datos_base!$I$3+IF(parametros_manuales!$H$26="Todos",datos_base!$I$10,0))*parametros_manuales!$E$102+parametros_manuales!$F$26*(datos_base!$I$4+IF(parametros_manuales!$H$26="Todos",datos_base!$I$11,0))*parametros_manuales!$E$107+parametros_manuales!$G$26*(datos_base!$I$5+IF(parametros_manuales!$H$26="Todos",datos_base!$I$12,0))*parametros_manuales!$E$112)*parametros_manuales!$I$26*parametros_manuales!$J$26</f>
        <v>16984.473796365</v>
      </c>
      <c r="F205" s="14" t="n">
        <f aca="false">(parametros_manuales!$D$26*(datos_base!$I$2+IF(parametros_manuales!$H$26="Todos",datos_base!$I$9,0))*parametros_manuales!$F$97+parametros_manuales!$E$26*(datos_base!$I$3+IF(parametros_manuales!$H$26="Todos",datos_base!$I$10,0))*parametros_manuales!$F$102+parametros_manuales!$F$26*(datos_base!$I$4+IF(parametros_manuales!$H$26="Todos",datos_base!$I$11,0))*parametros_manuales!$F$107+parametros_manuales!$G$26*(datos_base!$I$5+IF(parametros_manuales!$H$26="Todos",datos_base!$I$12,0))*parametros_manuales!$F$112)*parametros_manuales!$I$26*parametros_manuales!$J$26</f>
        <v>15893.54411512</v>
      </c>
      <c r="G205" s="14" t="n">
        <f aca="false">(parametros_manuales!$D$26*(datos_base!$I$2+IF(parametros_manuales!$H$26="Todos",datos_base!$I$9,0))*parametros_manuales!$G$97+parametros_manuales!$E$26*(datos_base!$I$3+IF(parametros_manuales!$H$26="Todos",datos_base!$I$10,0))*parametros_manuales!$G$102+parametros_manuales!$F$26*(datos_base!$I$4+IF(parametros_manuales!$H$26="Todos",datos_base!$I$11,0))*parametros_manuales!$G$107+parametros_manuales!$G$26*(datos_base!$I$5+IF(parametros_manuales!$H$26="Todos",datos_base!$I$12,0))*parametros_manuales!$G$112)*parametros_manuales!$I$26*parametros_manuales!$J$26</f>
        <v>15583.279826275</v>
      </c>
      <c r="H205" s="14" t="n">
        <f aca="false">(parametros_manuales!$D$26*(datos_base!$I$2+IF(parametros_manuales!$H$26="Todos",datos_base!$I$9,0))*parametros_manuales!$H$97+parametros_manuales!$E$26*(datos_base!$I$3+IF(parametros_manuales!$H$26="Todos",datos_base!$I$10,0))*parametros_manuales!$H$102+parametros_manuales!$F$26*(datos_base!$I$4+IF(parametros_manuales!$H$26="Todos",datos_base!$I$11,0))*parametros_manuales!$H$107+parametros_manuales!$G$26*(datos_base!$I$5+IF(parametros_manuales!$H$26="Todos",datos_base!$I$12,0))*parametros_manuales!$H$112)*parametros_manuales!$I$26*parametros_manuales!$J$26</f>
        <v>16674.20950752</v>
      </c>
      <c r="I205" s="14" t="n">
        <f aca="false">(parametros_manuales!$D$26*(datos_base!$I$2+IF(parametros_manuales!$H$26="Todos",datos_base!$I$9,0))*parametros_manuales!$I$97+parametros_manuales!$E$26*(datos_base!$I$3+IF(parametros_manuales!$H$26="Todos",datos_base!$I$10,0))*parametros_manuales!$I$102+parametros_manuales!$F$26*(datos_base!$I$4+IF(parametros_manuales!$H$26="Todos",datos_base!$I$11,0))*parametros_manuales!$I$107+parametros_manuales!$G$26*(datos_base!$I$5+IF(parametros_manuales!$H$26="Todos",datos_base!$I$12,0))*parametros_manuales!$I$112)*parametros_manuales!$I$26*parametros_manuales!$J$26</f>
        <v>19016.20568472</v>
      </c>
      <c r="J205" s="14" t="n">
        <f aca="false">(parametros_manuales!$D$26*(datos_base!$I$2+IF(parametros_manuales!$H$26="Todos",datos_base!$I$9,0))*parametros_manuales!$J$97+parametros_manuales!$E$26*(datos_base!$I$3+IF(parametros_manuales!$H$26="Todos",datos_base!$I$10,0))*parametros_manuales!$J$102+parametros_manuales!$F$26*(datos_base!$I$4+IF(parametros_manuales!$H$26="Todos",datos_base!$I$11,0))*parametros_manuales!$J$107+parametros_manuales!$G$26*(datos_base!$I$5+IF(parametros_manuales!$H$26="Todos",datos_base!$I$12,0))*parametros_manuales!$J$112)*parametros_manuales!$I$26*parametros_manuales!$J$26</f>
        <v>19016.20568472</v>
      </c>
      <c r="K205" s="14" t="n">
        <f aca="false">(parametros_manuales!$D$26*(datos_base!$I$2+IF(parametros_manuales!$H$26="Todos",datos_base!$I$9,0))*parametros_manuales!$K$97+parametros_manuales!$E$26*(datos_base!$I$3+IF(parametros_manuales!$H$26="Todos",datos_base!$I$10,0))*parametros_manuales!$K$102+parametros_manuales!$F$26*(datos_base!$I$4+IF(parametros_manuales!$H$26="Todos",datos_base!$I$11,0))*parametros_manuales!$K$107+parametros_manuales!$G$26*(datos_base!$I$5+IF(parametros_manuales!$H$26="Todos",datos_base!$I$12,0))*parametros_manuales!$K$112)*parametros_manuales!$I$26*parametros_manuales!$J$26</f>
        <v>19326.469973565</v>
      </c>
      <c r="L205" s="14" t="n">
        <f aca="false">(parametros_manuales!$D$26*(datos_base!$I$2+IF(parametros_manuales!$H$26="Todos",datos_base!$I$9,0))*parametros_manuales!$L$97+parametros_manuales!$E$26*(datos_base!$I$3+IF(parametros_manuales!$H$26="Todos",datos_base!$I$10,0))*parametros_manuales!$L$102+parametros_manuales!$F$26*(datos_base!$I$4+IF(parametros_manuales!$H$26="Todos",datos_base!$I$11,0))*parametros_manuales!$L$107+parametros_manuales!$G$26*(datos_base!$I$5+IF(parametros_manuales!$H$26="Todos",datos_base!$I$12,0))*parametros_manuales!$L$112)*parametros_manuales!$I$26*parametros_manuales!$J$26</f>
        <v>19636.73426241</v>
      </c>
      <c r="M205" s="14" t="n">
        <f aca="false">(parametros_manuales!$D$26*(datos_base!$I$2+IF(parametros_manuales!$H$26="Todos",datos_base!$I$9,0))*parametros_manuales!$M$97+parametros_manuales!$E$26*(datos_base!$I$3+IF(parametros_manuales!$H$26="Todos",datos_base!$I$10,0))*parametros_manuales!$M$102+parametros_manuales!$F$26*(datos_base!$I$4+IF(parametros_manuales!$H$26="Todos",datos_base!$I$11,0))*parametros_manuales!$M$107+parametros_manuales!$G$26*(datos_base!$I$5+IF(parametros_manuales!$H$26="Todos",datos_base!$I$12,0))*parametros_manuales!$M$112)*parametros_manuales!$I$26*parametros_manuales!$J$26</f>
        <v>19636.73426241</v>
      </c>
      <c r="N205" s="14" t="n">
        <f aca="false">SUM(B205:M205)</f>
        <v>218185.936249</v>
      </c>
      <c r="O205" s="14" t="n">
        <f aca="false">MAX(B205:M205)</f>
        <v>19636.73426241</v>
      </c>
      <c r="P205" s="57" t="n">
        <f aca="false">O205/(parametros_manuales!$B$7)</f>
        <v>130.9115617494</v>
      </c>
      <c r="Q205" s="13" t="str">
        <f aca="false">IF(O205=0,"-",INDEX($B$197:$M$197,MATCH(O205,B205:M205,0)))</f>
        <v>Ene</v>
      </c>
    </row>
    <row r="206" customFormat="false" ht="14.25" hidden="false" customHeight="true" outlineLevel="0" collapsed="false">
      <c r="A206" s="13" t="str">
        <f aca="false">parametros_manuales!$B$27</f>
        <v>Soldadura longitudinal — 2,5 a 10 kg</v>
      </c>
      <c r="B206" s="14" t="n">
        <f aca="false">(parametros_manuales!$D$27*(datos_base!$I$2+IF(parametros_manuales!$H$27="Todos",datos_base!$I$9,0))*parametros_manuales!$B$97+parametros_manuales!$E$27*(datos_base!$I$3+IF(parametros_manuales!$H$27="Todos",datos_base!$I$10,0))*parametros_manuales!$B$102+parametros_manuales!$F$27*(datos_base!$I$4+IF(parametros_manuales!$H$27="Todos",datos_base!$I$11,0))*parametros_manuales!$B$107+parametros_manuales!$G$27*(datos_base!$I$5+IF(parametros_manuales!$H$27="Todos",datos_base!$I$12,0))*parametros_manuales!$B$112)*parametros_manuales!$I$27*parametros_manuales!$J$27</f>
        <v>5584.75719921</v>
      </c>
      <c r="C206" s="14" t="n">
        <f aca="false">(parametros_manuales!$D$27*(datos_base!$I$2+IF(parametros_manuales!$H$27="Todos",datos_base!$I$9,0))*parametros_manuales!$C$97+parametros_manuales!$E$27*(datos_base!$I$3+IF(parametros_manuales!$H$27="Todos",datos_base!$I$10,0))*parametros_manuales!$C$102+parametros_manuales!$F$27*(datos_base!$I$4+IF(parametros_manuales!$H$27="Todos",datos_base!$I$11,0))*parametros_manuales!$C$107+parametros_manuales!$G$27*(datos_base!$I$5+IF(parametros_manuales!$H$27="Todos",datos_base!$I$12,0))*parametros_manuales!$C$112)*parametros_manuales!$I$27*parametros_manuales!$J$27</f>
        <v>4964.22862152</v>
      </c>
      <c r="D206" s="14" t="n">
        <f aca="false">(parametros_manuales!$D$27*(datos_base!$I$2+IF(parametros_manuales!$H$27="Todos",datos_base!$I$9,0))*parametros_manuales!$D$97+parametros_manuales!$E$27*(datos_base!$I$3+IF(parametros_manuales!$H$27="Todos",datos_base!$I$10,0))*parametros_manuales!$D$102+parametros_manuales!$F$27*(datos_base!$I$4+IF(parametros_manuales!$H$27="Todos",datos_base!$I$11,0))*parametros_manuales!$D$107+parametros_manuales!$G$27*(datos_base!$I$5+IF(parametros_manuales!$H$27="Todos",datos_base!$I$12,0))*parametros_manuales!$D$112)*parametros_manuales!$I$27*parametros_manuales!$J$27</f>
        <v>5274.492910365</v>
      </c>
      <c r="E206" s="14" t="n">
        <f aca="false">(parametros_manuales!$D$27*(datos_base!$I$2+IF(parametros_manuales!$H$27="Todos",datos_base!$I$9,0))*parametros_manuales!$E$97+parametros_manuales!$E$27*(datos_base!$I$3+IF(parametros_manuales!$H$27="Todos",datos_base!$I$10,0))*parametros_manuales!$E$102+parametros_manuales!$F$27*(datos_base!$I$4+IF(parametros_manuales!$H$27="Todos",datos_base!$I$11,0))*parametros_manuales!$E$107+parametros_manuales!$G$27*(datos_base!$I$5+IF(parametros_manuales!$H$27="Todos",datos_base!$I$12,0))*parametros_manuales!$E$112)*parametros_manuales!$I$27*parametros_manuales!$J$27</f>
        <v>5274.492910365</v>
      </c>
      <c r="F206" s="14" t="n">
        <f aca="false">(parametros_manuales!$D$27*(datos_base!$I$2+IF(parametros_manuales!$H$27="Todos",datos_base!$I$9,0))*parametros_manuales!$F$97+parametros_manuales!$E$27*(datos_base!$I$3+IF(parametros_manuales!$H$27="Todos",datos_base!$I$10,0))*parametros_manuales!$F$102+parametros_manuales!$F$27*(datos_base!$I$4+IF(parametros_manuales!$H$27="Todos",datos_base!$I$11,0))*parametros_manuales!$F$107+parametros_manuales!$G$27*(datos_base!$I$5+IF(parametros_manuales!$H$27="Todos",datos_base!$I$12,0))*parametros_manuales!$F$112)*parametros_manuales!$I$27*parametros_manuales!$J$27</f>
        <v>4964.22862152</v>
      </c>
      <c r="G206" s="14" t="n">
        <f aca="false">(parametros_manuales!$D$27*(datos_base!$I$2+IF(parametros_manuales!$H$27="Todos",datos_base!$I$9,0))*parametros_manuales!$G$97+parametros_manuales!$E$27*(datos_base!$I$3+IF(parametros_manuales!$H$27="Todos",datos_base!$I$10,0))*parametros_manuales!$G$102+parametros_manuales!$F$27*(datos_base!$I$4+IF(parametros_manuales!$H$27="Todos",datos_base!$I$11,0))*parametros_manuales!$G$107+parametros_manuales!$G$27*(datos_base!$I$5+IF(parametros_manuales!$H$27="Todos",datos_base!$I$12,0))*parametros_manuales!$G$112)*parametros_manuales!$I$27*parametros_manuales!$J$27</f>
        <v>4653.964332675</v>
      </c>
      <c r="H206" s="14" t="n">
        <f aca="false">(parametros_manuales!$D$27*(datos_base!$I$2+IF(parametros_manuales!$H$27="Todos",datos_base!$I$9,0))*parametros_manuales!$H$97+parametros_manuales!$E$27*(datos_base!$I$3+IF(parametros_manuales!$H$27="Todos",datos_base!$I$10,0))*parametros_manuales!$H$102+parametros_manuales!$F$27*(datos_base!$I$4+IF(parametros_manuales!$H$27="Todos",datos_base!$I$11,0))*parametros_manuales!$H$107+parametros_manuales!$G$27*(datos_base!$I$5+IF(parametros_manuales!$H$27="Todos",datos_base!$I$12,0))*parametros_manuales!$H$112)*parametros_manuales!$I$27*parametros_manuales!$J$27</f>
        <v>4964.22862152</v>
      </c>
      <c r="I206" s="14" t="n">
        <f aca="false">(parametros_manuales!$D$27*(datos_base!$I$2+IF(parametros_manuales!$H$27="Todos",datos_base!$I$9,0))*parametros_manuales!$I$97+parametros_manuales!$E$27*(datos_base!$I$3+IF(parametros_manuales!$H$27="Todos",datos_base!$I$10,0))*parametros_manuales!$I$102+parametros_manuales!$F$27*(datos_base!$I$4+IF(parametros_manuales!$H$27="Todos",datos_base!$I$11,0))*parametros_manuales!$I$107+parametros_manuales!$G$27*(datos_base!$I$5+IF(parametros_manuales!$H$27="Todos",datos_base!$I$12,0))*parametros_manuales!$I$112)*parametros_manuales!$I$27*parametros_manuales!$J$27</f>
        <v>4964.22862152</v>
      </c>
      <c r="J206" s="14" t="n">
        <f aca="false">(parametros_manuales!$D$27*(datos_base!$I$2+IF(parametros_manuales!$H$27="Todos",datos_base!$I$9,0))*parametros_manuales!$J$97+parametros_manuales!$E$27*(datos_base!$I$3+IF(parametros_manuales!$H$27="Todos",datos_base!$I$10,0))*parametros_manuales!$J$102+parametros_manuales!$F$27*(datos_base!$I$4+IF(parametros_manuales!$H$27="Todos",datos_base!$I$11,0))*parametros_manuales!$J$107+parametros_manuales!$G$27*(datos_base!$I$5+IF(parametros_manuales!$H$27="Todos",datos_base!$I$12,0))*parametros_manuales!$J$112)*parametros_manuales!$I$27*parametros_manuales!$J$27</f>
        <v>4964.22862152</v>
      </c>
      <c r="K206" s="14" t="n">
        <f aca="false">(parametros_manuales!$D$27*(datos_base!$I$2+IF(parametros_manuales!$H$27="Todos",datos_base!$I$9,0))*parametros_manuales!$K$97+parametros_manuales!$E$27*(datos_base!$I$3+IF(parametros_manuales!$H$27="Todos",datos_base!$I$10,0))*parametros_manuales!$K$102+parametros_manuales!$F$27*(datos_base!$I$4+IF(parametros_manuales!$H$27="Todos",datos_base!$I$11,0))*parametros_manuales!$K$107+parametros_manuales!$G$27*(datos_base!$I$5+IF(parametros_manuales!$H$27="Todos",datos_base!$I$12,0))*parametros_manuales!$K$112)*parametros_manuales!$I$27*parametros_manuales!$J$27</f>
        <v>5274.492910365</v>
      </c>
      <c r="L206" s="14" t="n">
        <f aca="false">(parametros_manuales!$D$27*(datos_base!$I$2+IF(parametros_manuales!$H$27="Todos",datos_base!$I$9,0))*parametros_manuales!$L$97+parametros_manuales!$E$27*(datos_base!$I$3+IF(parametros_manuales!$H$27="Todos",datos_base!$I$10,0))*parametros_manuales!$L$102+parametros_manuales!$F$27*(datos_base!$I$4+IF(parametros_manuales!$H$27="Todos",datos_base!$I$11,0))*parametros_manuales!$L$107+parametros_manuales!$G$27*(datos_base!$I$5+IF(parametros_manuales!$H$27="Todos",datos_base!$I$12,0))*parametros_manuales!$L$112)*parametros_manuales!$I$27*parametros_manuales!$J$27</f>
        <v>5584.75719921</v>
      </c>
      <c r="M206" s="14" t="n">
        <f aca="false">(parametros_manuales!$D$27*(datos_base!$I$2+IF(parametros_manuales!$H$27="Todos",datos_base!$I$9,0))*parametros_manuales!$M$97+parametros_manuales!$E$27*(datos_base!$I$3+IF(parametros_manuales!$H$27="Todos",datos_base!$I$10,0))*parametros_manuales!$M$102+parametros_manuales!$F$27*(datos_base!$I$4+IF(parametros_manuales!$H$27="Todos",datos_base!$I$11,0))*parametros_manuales!$M$107+parametros_manuales!$G$27*(datos_base!$I$5+IF(parametros_manuales!$H$27="Todos",datos_base!$I$12,0))*parametros_manuales!$M$112)*parametros_manuales!$I$27*parametros_manuales!$J$27</f>
        <v>5584.75719921</v>
      </c>
      <c r="N206" s="14" t="n">
        <f aca="false">SUM(B206:M206)</f>
        <v>62052.857769</v>
      </c>
      <c r="O206" s="14" t="n">
        <f aca="false">MAX(B206:M206)</f>
        <v>5584.75719921</v>
      </c>
      <c r="P206" s="57" t="n">
        <f aca="false">O206/(parametros_manuales!$B$7)</f>
        <v>37.2317146614</v>
      </c>
      <c r="Q206" s="13" t="str">
        <f aca="false">IF(O206=0,"-",INDEX($B$197:$M$197,MATCH(O206,B206:M206,0)))</f>
        <v>Ene</v>
      </c>
    </row>
    <row r="207" customFormat="false" ht="14.25" hidden="false" customHeight="true" outlineLevel="0" collapsed="false">
      <c r="A207" s="13" t="str">
        <f aca="false">parametros_manuales!$B$28</f>
        <v>Soldadura longitudinal TIG — 1 kg</v>
      </c>
      <c r="B207" s="14" t="n">
        <f aca="false">(parametros_manuales!$D$28*(datos_base!$I$2+IF(parametros_manuales!$H$28="Todos",datos_base!$I$9,0))*parametros_manuales!$B$97+parametros_manuales!$E$28*(datos_base!$I$3+IF(parametros_manuales!$H$28="Todos",datos_base!$I$10,0))*parametros_manuales!$B$102+parametros_manuales!$F$28*(datos_base!$I$4+IF(parametros_manuales!$H$28="Todos",datos_base!$I$11,0))*parametros_manuales!$B$107+parametros_manuales!$G$28*(datos_base!$I$5+IF(parametros_manuales!$H$28="Todos",datos_base!$I$12,0))*parametros_manuales!$B$112)*parametros_manuales!$I$28*parametros_manuales!$J$28</f>
        <v>14051.9770632</v>
      </c>
      <c r="C207" s="14" t="n">
        <f aca="false">(parametros_manuales!$D$28*(datos_base!$I$2+IF(parametros_manuales!$H$28="Todos",datos_base!$I$9,0))*parametros_manuales!$C$97+parametros_manuales!$E$28*(datos_base!$I$3+IF(parametros_manuales!$H$28="Todos",datos_base!$I$10,0))*parametros_manuales!$C$102+parametros_manuales!$F$28*(datos_base!$I$4+IF(parametros_manuales!$H$28="Todos",datos_base!$I$11,0))*parametros_manuales!$C$107+parametros_manuales!$G$28*(datos_base!$I$5+IF(parametros_manuales!$H$28="Todos",datos_base!$I$12,0))*parametros_manuales!$C$112)*parametros_manuales!$I$28*parametros_manuales!$J$28</f>
        <v>14051.9770632</v>
      </c>
      <c r="D207" s="14" t="n">
        <f aca="false">(parametros_manuales!$D$28*(datos_base!$I$2+IF(parametros_manuales!$H$28="Todos",datos_base!$I$9,0))*parametros_manuales!$D$97+parametros_manuales!$E$28*(datos_base!$I$3+IF(parametros_manuales!$H$28="Todos",datos_base!$I$10,0))*parametros_manuales!$D$102+parametros_manuales!$F$28*(datos_base!$I$4+IF(parametros_manuales!$H$28="Todos",datos_base!$I$11,0))*parametros_manuales!$D$107+parametros_manuales!$G$28*(datos_base!$I$5+IF(parametros_manuales!$H$28="Todos",datos_base!$I$12,0))*parametros_manuales!$D$112)*parametros_manuales!$I$28*parametros_manuales!$J$28</f>
        <v>12490.6462784</v>
      </c>
      <c r="E207" s="14" t="n">
        <f aca="false">(parametros_manuales!$D$28*(datos_base!$I$2+IF(parametros_manuales!$H$28="Todos",datos_base!$I$9,0))*parametros_manuales!$E$97+parametros_manuales!$E$28*(datos_base!$I$3+IF(parametros_manuales!$H$28="Todos",datos_base!$I$10,0))*parametros_manuales!$E$102+parametros_manuales!$F$28*(datos_base!$I$4+IF(parametros_manuales!$H$28="Todos",datos_base!$I$11,0))*parametros_manuales!$E$107+parametros_manuales!$G$28*(datos_base!$I$5+IF(parametros_manuales!$H$28="Todos",datos_base!$I$12,0))*parametros_manuales!$E$112)*parametros_manuales!$I$28*parametros_manuales!$J$28</f>
        <v>11709.980886</v>
      </c>
      <c r="F207" s="14" t="n">
        <f aca="false">(parametros_manuales!$D$28*(datos_base!$I$2+IF(parametros_manuales!$H$28="Todos",datos_base!$I$9,0))*parametros_manuales!$F$97+parametros_manuales!$E$28*(datos_base!$I$3+IF(parametros_manuales!$H$28="Todos",datos_base!$I$10,0))*parametros_manuales!$F$102+parametros_manuales!$F$28*(datos_base!$I$4+IF(parametros_manuales!$H$28="Todos",datos_base!$I$11,0))*parametros_manuales!$F$107+parametros_manuales!$G$28*(datos_base!$I$5+IF(parametros_manuales!$H$28="Todos",datos_base!$I$12,0))*parametros_manuales!$F$112)*parametros_manuales!$I$28*parametros_manuales!$J$28</f>
        <v>10929.3154936</v>
      </c>
      <c r="G207" s="14" t="n">
        <f aca="false">(parametros_manuales!$D$28*(datos_base!$I$2+IF(parametros_manuales!$H$28="Todos",datos_base!$I$9,0))*parametros_manuales!$G$97+parametros_manuales!$E$28*(datos_base!$I$3+IF(parametros_manuales!$H$28="Todos",datos_base!$I$10,0))*parametros_manuales!$G$102+parametros_manuales!$F$28*(datos_base!$I$4+IF(parametros_manuales!$H$28="Todos",datos_base!$I$11,0))*parametros_manuales!$G$107+parametros_manuales!$G$28*(datos_base!$I$5+IF(parametros_manuales!$H$28="Todos",datos_base!$I$12,0))*parametros_manuales!$G$112)*parametros_manuales!$I$28*parametros_manuales!$J$28</f>
        <v>10929.3154936</v>
      </c>
      <c r="H207" s="14" t="n">
        <f aca="false">(parametros_manuales!$D$28*(datos_base!$I$2+IF(parametros_manuales!$H$28="Todos",datos_base!$I$9,0))*parametros_manuales!$H$97+parametros_manuales!$E$28*(datos_base!$I$3+IF(parametros_manuales!$H$28="Todos",datos_base!$I$10,0))*parametros_manuales!$H$102+parametros_manuales!$F$28*(datos_base!$I$4+IF(parametros_manuales!$H$28="Todos",datos_base!$I$11,0))*parametros_manuales!$H$107+parametros_manuales!$G$28*(datos_base!$I$5+IF(parametros_manuales!$H$28="Todos",datos_base!$I$12,0))*parametros_manuales!$H$112)*parametros_manuales!$I$28*parametros_manuales!$J$28</f>
        <v>11709.980886</v>
      </c>
      <c r="I207" s="14" t="n">
        <f aca="false">(parametros_manuales!$D$28*(datos_base!$I$2+IF(parametros_manuales!$H$28="Todos",datos_base!$I$9,0))*parametros_manuales!$I$97+parametros_manuales!$E$28*(datos_base!$I$3+IF(parametros_manuales!$H$28="Todos",datos_base!$I$10,0))*parametros_manuales!$I$102+parametros_manuales!$F$28*(datos_base!$I$4+IF(parametros_manuales!$H$28="Todos",datos_base!$I$11,0))*parametros_manuales!$I$107+parametros_manuales!$G$28*(datos_base!$I$5+IF(parametros_manuales!$H$28="Todos",datos_base!$I$12,0))*parametros_manuales!$I$112)*parametros_manuales!$I$28*parametros_manuales!$J$28</f>
        <v>14051.9770632</v>
      </c>
      <c r="J207" s="14" t="n">
        <f aca="false">(parametros_manuales!$D$28*(datos_base!$I$2+IF(parametros_manuales!$H$28="Todos",datos_base!$I$9,0))*parametros_manuales!$J$97+parametros_manuales!$E$28*(datos_base!$I$3+IF(parametros_manuales!$H$28="Todos",datos_base!$I$10,0))*parametros_manuales!$J$102+parametros_manuales!$F$28*(datos_base!$I$4+IF(parametros_manuales!$H$28="Todos",datos_base!$I$11,0))*parametros_manuales!$J$107+parametros_manuales!$G$28*(datos_base!$I$5+IF(parametros_manuales!$H$28="Todos",datos_base!$I$12,0))*parametros_manuales!$J$112)*parametros_manuales!$I$28*parametros_manuales!$J$28</f>
        <v>14051.9770632</v>
      </c>
      <c r="K207" s="14" t="n">
        <f aca="false">(parametros_manuales!$D$28*(datos_base!$I$2+IF(parametros_manuales!$H$28="Todos",datos_base!$I$9,0))*parametros_manuales!$K$97+parametros_manuales!$E$28*(datos_base!$I$3+IF(parametros_manuales!$H$28="Todos",datos_base!$I$10,0))*parametros_manuales!$K$102+parametros_manuales!$F$28*(datos_base!$I$4+IF(parametros_manuales!$H$28="Todos",datos_base!$I$11,0))*parametros_manuales!$K$107+parametros_manuales!$G$28*(datos_base!$I$5+IF(parametros_manuales!$H$28="Todos",datos_base!$I$12,0))*parametros_manuales!$K$112)*parametros_manuales!$I$28*parametros_manuales!$J$28</f>
        <v>14051.9770632</v>
      </c>
      <c r="L207" s="14" t="n">
        <f aca="false">(parametros_manuales!$D$28*(datos_base!$I$2+IF(parametros_manuales!$H$28="Todos",datos_base!$I$9,0))*parametros_manuales!$L$97+parametros_manuales!$E$28*(datos_base!$I$3+IF(parametros_manuales!$H$28="Todos",datos_base!$I$10,0))*parametros_manuales!$L$102+parametros_manuales!$F$28*(datos_base!$I$4+IF(parametros_manuales!$H$28="Todos",datos_base!$I$11,0))*parametros_manuales!$L$107+parametros_manuales!$G$28*(datos_base!$I$5+IF(parametros_manuales!$H$28="Todos",datos_base!$I$12,0))*parametros_manuales!$L$112)*parametros_manuales!$I$28*parametros_manuales!$J$28</f>
        <v>14051.9770632</v>
      </c>
      <c r="M207" s="14" t="n">
        <f aca="false">(parametros_manuales!$D$28*(datos_base!$I$2+IF(parametros_manuales!$H$28="Todos",datos_base!$I$9,0))*parametros_manuales!$M$97+parametros_manuales!$E$28*(datos_base!$I$3+IF(parametros_manuales!$H$28="Todos",datos_base!$I$10,0))*parametros_manuales!$M$102+parametros_manuales!$F$28*(datos_base!$I$4+IF(parametros_manuales!$H$28="Todos",datos_base!$I$11,0))*parametros_manuales!$M$107+parametros_manuales!$G$28*(datos_base!$I$5+IF(parametros_manuales!$H$28="Todos",datos_base!$I$12,0))*parametros_manuales!$M$112)*parametros_manuales!$I$28*parametros_manuales!$J$28</f>
        <v>14051.9770632</v>
      </c>
      <c r="N207" s="14" t="n">
        <f aca="false">SUM(B207:M207)</f>
        <v>156133.07848</v>
      </c>
      <c r="O207" s="14" t="n">
        <f aca="false">MAX(B207:M207)</f>
        <v>14051.9770632</v>
      </c>
      <c r="P207" s="57" t="n">
        <f aca="false">O207/(parametros_manuales!$B$7)</f>
        <v>93.679847088</v>
      </c>
      <c r="Q207" s="13" t="str">
        <f aca="false">IF(O207=0,"-",INDEX($B$197:$M$197,MATCH(O207,B207:M207,0)))</f>
        <v>Ene</v>
      </c>
    </row>
    <row r="208" customFormat="false" ht="14.25" hidden="false" customHeight="true" outlineLevel="0" collapsed="false">
      <c r="A208" s="13" t="str">
        <f aca="false">parametros_manuales!$B$29</f>
        <v>Encastre de fondo</v>
      </c>
      <c r="B208" s="14" t="n">
        <f aca="false">(parametros_manuales!$D$29*(datos_base!$I$2+IF(parametros_manuales!$H$29="Todos",datos_base!$I$9,0))*parametros_manuales!$B$97+parametros_manuales!$E$29*(datos_base!$I$3+IF(parametros_manuales!$H$29="Todos",datos_base!$I$10,0))*parametros_manuales!$B$102+parametros_manuales!$F$29*(datos_base!$I$4+IF(parametros_manuales!$H$29="Todos",datos_base!$I$11,0))*parametros_manuales!$B$107+parametros_manuales!$G$29*(datos_base!$I$5+IF(parametros_manuales!$H$29="Todos",datos_base!$I$12,0))*parametros_manuales!$B$112)*parametros_manuales!$I$29*parametros_manuales!$J$29</f>
        <v>19636.73426241</v>
      </c>
      <c r="C208" s="14" t="n">
        <f aca="false">(parametros_manuales!$D$29*(datos_base!$I$2+IF(parametros_manuales!$H$29="Todos",datos_base!$I$9,0))*parametros_manuales!$C$97+parametros_manuales!$E$29*(datos_base!$I$3+IF(parametros_manuales!$H$29="Todos",datos_base!$I$10,0))*parametros_manuales!$C$102+parametros_manuales!$F$29*(datos_base!$I$4+IF(parametros_manuales!$H$29="Todos",datos_base!$I$11,0))*parametros_manuales!$C$107+parametros_manuales!$G$29*(datos_base!$I$5+IF(parametros_manuales!$H$29="Todos",datos_base!$I$12,0))*parametros_manuales!$C$112)*parametros_manuales!$I$29*parametros_manuales!$J$29</f>
        <v>19016.20568472</v>
      </c>
      <c r="D208" s="14" t="n">
        <f aca="false">(parametros_manuales!$D$29*(datos_base!$I$2+IF(parametros_manuales!$H$29="Todos",datos_base!$I$9,0))*parametros_manuales!$D$97+parametros_manuales!$E$29*(datos_base!$I$3+IF(parametros_manuales!$H$29="Todos",datos_base!$I$10,0))*parametros_manuales!$D$102+parametros_manuales!$F$29*(datos_base!$I$4+IF(parametros_manuales!$H$29="Todos",datos_base!$I$11,0))*parametros_manuales!$D$107+parametros_manuales!$G$29*(datos_base!$I$5+IF(parametros_manuales!$H$29="Todos",datos_base!$I$12,0))*parametros_manuales!$D$112)*parametros_manuales!$I$29*parametros_manuales!$J$29</f>
        <v>17765.139188765</v>
      </c>
      <c r="E208" s="14" t="n">
        <f aca="false">(parametros_manuales!$D$29*(datos_base!$I$2+IF(parametros_manuales!$H$29="Todos",datos_base!$I$9,0))*parametros_manuales!$E$97+parametros_manuales!$E$29*(datos_base!$I$3+IF(parametros_manuales!$H$29="Todos",datos_base!$I$10,0))*parametros_manuales!$E$102+parametros_manuales!$F$29*(datos_base!$I$4+IF(parametros_manuales!$H$29="Todos",datos_base!$I$11,0))*parametros_manuales!$E$107+parametros_manuales!$G$29*(datos_base!$I$5+IF(parametros_manuales!$H$29="Todos",datos_base!$I$12,0))*parametros_manuales!$E$112)*parametros_manuales!$I$29*parametros_manuales!$J$29</f>
        <v>16984.473796365</v>
      </c>
      <c r="F208" s="14" t="n">
        <f aca="false">(parametros_manuales!$D$29*(datos_base!$I$2+IF(parametros_manuales!$H$29="Todos",datos_base!$I$9,0))*parametros_manuales!$F$97+parametros_manuales!$E$29*(datos_base!$I$3+IF(parametros_manuales!$H$29="Todos",datos_base!$I$10,0))*parametros_manuales!$F$102+parametros_manuales!$F$29*(datos_base!$I$4+IF(parametros_manuales!$H$29="Todos",datos_base!$I$11,0))*parametros_manuales!$F$107+parametros_manuales!$G$29*(datos_base!$I$5+IF(parametros_manuales!$H$29="Todos",datos_base!$I$12,0))*parametros_manuales!$F$112)*parametros_manuales!$I$29*parametros_manuales!$J$29</f>
        <v>15893.54411512</v>
      </c>
      <c r="G208" s="14" t="n">
        <f aca="false">(parametros_manuales!$D$29*(datos_base!$I$2+IF(parametros_manuales!$H$29="Todos",datos_base!$I$9,0))*parametros_manuales!$G$97+parametros_manuales!$E$29*(datos_base!$I$3+IF(parametros_manuales!$H$29="Todos",datos_base!$I$10,0))*parametros_manuales!$G$102+parametros_manuales!$F$29*(datos_base!$I$4+IF(parametros_manuales!$H$29="Todos",datos_base!$I$11,0))*parametros_manuales!$G$107+parametros_manuales!$G$29*(datos_base!$I$5+IF(parametros_manuales!$H$29="Todos",datos_base!$I$12,0))*parametros_manuales!$G$112)*parametros_manuales!$I$29*parametros_manuales!$J$29</f>
        <v>15583.279826275</v>
      </c>
      <c r="H208" s="14" t="n">
        <f aca="false">(parametros_manuales!$D$29*(datos_base!$I$2+IF(parametros_manuales!$H$29="Todos",datos_base!$I$9,0))*parametros_manuales!$H$97+parametros_manuales!$E$29*(datos_base!$I$3+IF(parametros_manuales!$H$29="Todos",datos_base!$I$10,0))*parametros_manuales!$H$102+parametros_manuales!$F$29*(datos_base!$I$4+IF(parametros_manuales!$H$29="Todos",datos_base!$I$11,0))*parametros_manuales!$H$107+parametros_manuales!$G$29*(datos_base!$I$5+IF(parametros_manuales!$H$29="Todos",datos_base!$I$12,0))*parametros_manuales!$H$112)*parametros_manuales!$I$29*parametros_manuales!$J$29</f>
        <v>16674.20950752</v>
      </c>
      <c r="I208" s="14" t="n">
        <f aca="false">(parametros_manuales!$D$29*(datos_base!$I$2+IF(parametros_manuales!$H$29="Todos",datos_base!$I$9,0))*parametros_manuales!$I$97+parametros_manuales!$E$29*(datos_base!$I$3+IF(parametros_manuales!$H$29="Todos",datos_base!$I$10,0))*parametros_manuales!$I$102+parametros_manuales!$F$29*(datos_base!$I$4+IF(parametros_manuales!$H$29="Todos",datos_base!$I$11,0))*parametros_manuales!$I$107+parametros_manuales!$G$29*(datos_base!$I$5+IF(parametros_manuales!$H$29="Todos",datos_base!$I$12,0))*parametros_manuales!$I$112)*parametros_manuales!$I$29*parametros_manuales!$J$29</f>
        <v>19016.20568472</v>
      </c>
      <c r="J208" s="14" t="n">
        <f aca="false">(parametros_manuales!$D$29*(datos_base!$I$2+IF(parametros_manuales!$H$29="Todos",datos_base!$I$9,0))*parametros_manuales!$J$97+parametros_manuales!$E$29*(datos_base!$I$3+IF(parametros_manuales!$H$29="Todos",datos_base!$I$10,0))*parametros_manuales!$J$102+parametros_manuales!$F$29*(datos_base!$I$4+IF(parametros_manuales!$H$29="Todos",datos_base!$I$11,0))*parametros_manuales!$J$107+parametros_manuales!$G$29*(datos_base!$I$5+IF(parametros_manuales!$H$29="Todos",datos_base!$I$12,0))*parametros_manuales!$J$112)*parametros_manuales!$I$29*parametros_manuales!$J$29</f>
        <v>19016.20568472</v>
      </c>
      <c r="K208" s="14" t="n">
        <f aca="false">(parametros_manuales!$D$29*(datos_base!$I$2+IF(parametros_manuales!$H$29="Todos",datos_base!$I$9,0))*parametros_manuales!$K$97+parametros_manuales!$E$29*(datos_base!$I$3+IF(parametros_manuales!$H$29="Todos",datos_base!$I$10,0))*parametros_manuales!$K$102+parametros_manuales!$F$29*(datos_base!$I$4+IF(parametros_manuales!$H$29="Todos",datos_base!$I$11,0))*parametros_manuales!$K$107+parametros_manuales!$G$29*(datos_base!$I$5+IF(parametros_manuales!$H$29="Todos",datos_base!$I$12,0))*parametros_manuales!$K$112)*parametros_manuales!$I$29*parametros_manuales!$J$29</f>
        <v>19326.469973565</v>
      </c>
      <c r="L208" s="14" t="n">
        <f aca="false">(parametros_manuales!$D$29*(datos_base!$I$2+IF(parametros_manuales!$H$29="Todos",datos_base!$I$9,0))*parametros_manuales!$L$97+parametros_manuales!$E$29*(datos_base!$I$3+IF(parametros_manuales!$H$29="Todos",datos_base!$I$10,0))*parametros_manuales!$L$102+parametros_manuales!$F$29*(datos_base!$I$4+IF(parametros_manuales!$H$29="Todos",datos_base!$I$11,0))*parametros_manuales!$L$107+parametros_manuales!$G$29*(datos_base!$I$5+IF(parametros_manuales!$H$29="Todos",datos_base!$I$12,0))*parametros_manuales!$L$112)*parametros_manuales!$I$29*parametros_manuales!$J$29</f>
        <v>19636.73426241</v>
      </c>
      <c r="M208" s="14" t="n">
        <f aca="false">(parametros_manuales!$D$29*(datos_base!$I$2+IF(parametros_manuales!$H$29="Todos",datos_base!$I$9,0))*parametros_manuales!$M$97+parametros_manuales!$E$29*(datos_base!$I$3+IF(parametros_manuales!$H$29="Todos",datos_base!$I$10,0))*parametros_manuales!$M$102+parametros_manuales!$F$29*(datos_base!$I$4+IF(parametros_manuales!$H$29="Todos",datos_base!$I$11,0))*parametros_manuales!$M$107+parametros_manuales!$G$29*(datos_base!$I$5+IF(parametros_manuales!$H$29="Todos",datos_base!$I$12,0))*parametros_manuales!$M$112)*parametros_manuales!$I$29*parametros_manuales!$J$29</f>
        <v>19636.73426241</v>
      </c>
      <c r="N208" s="14" t="n">
        <f aca="false">SUM(B208:M208)</f>
        <v>218185.936249</v>
      </c>
      <c r="O208" s="14" t="n">
        <f aca="false">MAX(B208:M208)</f>
        <v>19636.73426241</v>
      </c>
      <c r="P208" s="57" t="n">
        <f aca="false">O208/(parametros_manuales!$B$7)</f>
        <v>130.9115617494</v>
      </c>
      <c r="Q208" s="13" t="str">
        <f aca="false">IF(O208=0,"-",INDEX($B$197:$M$197,MATCH(O208,B208:M208,0)))</f>
        <v>Ene</v>
      </c>
    </row>
    <row r="209" customFormat="false" ht="14.25" hidden="false" customHeight="true" outlineLevel="0" collapsed="false">
      <c r="A209" s="13" t="str">
        <f aca="false">parametros_manuales!$B$30</f>
        <v>Bordoneado</v>
      </c>
      <c r="B209" s="14" t="n">
        <f aca="false">(parametros_manuales!$D$30*(datos_base!$I$2+IF(parametros_manuales!$H$30="Todos",datos_base!$I$9,0))*parametros_manuales!$B$97+parametros_manuales!$E$30*(datos_base!$I$3+IF(parametros_manuales!$H$30="Todos",datos_base!$I$10,0))*parametros_manuales!$B$102+parametros_manuales!$F$30*(datos_base!$I$4+IF(parametros_manuales!$H$30="Todos",datos_base!$I$11,0))*parametros_manuales!$B$107+parametros_manuales!$G$30*(datos_base!$I$5+IF(parametros_manuales!$H$30="Todos",datos_base!$I$12,0))*parametros_manuales!$B$112)*parametros_manuales!$I$30*parametros_manuales!$J$30</f>
        <v>19636.73426241</v>
      </c>
      <c r="C209" s="14" t="n">
        <f aca="false">(parametros_manuales!$D$30*(datos_base!$I$2+IF(parametros_manuales!$H$30="Todos",datos_base!$I$9,0))*parametros_manuales!$C$97+parametros_manuales!$E$30*(datos_base!$I$3+IF(parametros_manuales!$H$30="Todos",datos_base!$I$10,0))*parametros_manuales!$C$102+parametros_manuales!$F$30*(datos_base!$I$4+IF(parametros_manuales!$H$30="Todos",datos_base!$I$11,0))*parametros_manuales!$C$107+parametros_manuales!$G$30*(datos_base!$I$5+IF(parametros_manuales!$H$30="Todos",datos_base!$I$12,0))*parametros_manuales!$C$112)*parametros_manuales!$I$30*parametros_manuales!$J$30</f>
        <v>19016.20568472</v>
      </c>
      <c r="D209" s="14" t="n">
        <f aca="false">(parametros_manuales!$D$30*(datos_base!$I$2+IF(parametros_manuales!$H$30="Todos",datos_base!$I$9,0))*parametros_manuales!$D$97+parametros_manuales!$E$30*(datos_base!$I$3+IF(parametros_manuales!$H$30="Todos",datos_base!$I$10,0))*parametros_manuales!$D$102+parametros_manuales!$F$30*(datos_base!$I$4+IF(parametros_manuales!$H$30="Todos",datos_base!$I$11,0))*parametros_manuales!$D$107+parametros_manuales!$G$30*(datos_base!$I$5+IF(parametros_manuales!$H$30="Todos",datos_base!$I$12,0))*parametros_manuales!$D$112)*parametros_manuales!$I$30*parametros_manuales!$J$30</f>
        <v>17765.139188765</v>
      </c>
      <c r="E209" s="14" t="n">
        <f aca="false">(parametros_manuales!$D$30*(datos_base!$I$2+IF(parametros_manuales!$H$30="Todos",datos_base!$I$9,0))*parametros_manuales!$E$97+parametros_manuales!$E$30*(datos_base!$I$3+IF(parametros_manuales!$H$30="Todos",datos_base!$I$10,0))*parametros_manuales!$E$102+parametros_manuales!$F$30*(datos_base!$I$4+IF(parametros_manuales!$H$30="Todos",datos_base!$I$11,0))*parametros_manuales!$E$107+parametros_manuales!$G$30*(datos_base!$I$5+IF(parametros_manuales!$H$30="Todos",datos_base!$I$12,0))*parametros_manuales!$E$112)*parametros_manuales!$I$30*parametros_manuales!$J$30</f>
        <v>16984.473796365</v>
      </c>
      <c r="F209" s="14" t="n">
        <f aca="false">(parametros_manuales!$D$30*(datos_base!$I$2+IF(parametros_manuales!$H$30="Todos",datos_base!$I$9,0))*parametros_manuales!$F$97+parametros_manuales!$E$30*(datos_base!$I$3+IF(parametros_manuales!$H$30="Todos",datos_base!$I$10,0))*parametros_manuales!$F$102+parametros_manuales!$F$30*(datos_base!$I$4+IF(parametros_manuales!$H$30="Todos",datos_base!$I$11,0))*parametros_manuales!$F$107+parametros_manuales!$G$30*(datos_base!$I$5+IF(parametros_manuales!$H$30="Todos",datos_base!$I$12,0))*parametros_manuales!$F$112)*parametros_manuales!$I$30*parametros_manuales!$J$30</f>
        <v>15893.54411512</v>
      </c>
      <c r="G209" s="14" t="n">
        <f aca="false">(parametros_manuales!$D$30*(datos_base!$I$2+IF(parametros_manuales!$H$30="Todos",datos_base!$I$9,0))*parametros_manuales!$G$97+parametros_manuales!$E$30*(datos_base!$I$3+IF(parametros_manuales!$H$30="Todos",datos_base!$I$10,0))*parametros_manuales!$G$102+parametros_manuales!$F$30*(datos_base!$I$4+IF(parametros_manuales!$H$30="Todos",datos_base!$I$11,0))*parametros_manuales!$G$107+parametros_manuales!$G$30*(datos_base!$I$5+IF(parametros_manuales!$H$30="Todos",datos_base!$I$12,0))*parametros_manuales!$G$112)*parametros_manuales!$I$30*parametros_manuales!$J$30</f>
        <v>15583.279826275</v>
      </c>
      <c r="H209" s="14" t="n">
        <f aca="false">(parametros_manuales!$D$30*(datos_base!$I$2+IF(parametros_manuales!$H$30="Todos",datos_base!$I$9,0))*parametros_manuales!$H$97+parametros_manuales!$E$30*(datos_base!$I$3+IF(parametros_manuales!$H$30="Todos",datos_base!$I$10,0))*parametros_manuales!$H$102+parametros_manuales!$F$30*(datos_base!$I$4+IF(parametros_manuales!$H$30="Todos",datos_base!$I$11,0))*parametros_manuales!$H$107+parametros_manuales!$G$30*(datos_base!$I$5+IF(parametros_manuales!$H$30="Todos",datos_base!$I$12,0))*parametros_manuales!$H$112)*parametros_manuales!$I$30*parametros_manuales!$J$30</f>
        <v>16674.20950752</v>
      </c>
      <c r="I209" s="14" t="n">
        <f aca="false">(parametros_manuales!$D$30*(datos_base!$I$2+IF(parametros_manuales!$H$30="Todos",datos_base!$I$9,0))*parametros_manuales!$I$97+parametros_manuales!$E$30*(datos_base!$I$3+IF(parametros_manuales!$H$30="Todos",datos_base!$I$10,0))*parametros_manuales!$I$102+parametros_manuales!$F$30*(datos_base!$I$4+IF(parametros_manuales!$H$30="Todos",datos_base!$I$11,0))*parametros_manuales!$I$107+parametros_manuales!$G$30*(datos_base!$I$5+IF(parametros_manuales!$H$30="Todos",datos_base!$I$12,0))*parametros_manuales!$I$112)*parametros_manuales!$I$30*parametros_manuales!$J$30</f>
        <v>19016.20568472</v>
      </c>
      <c r="J209" s="14" t="n">
        <f aca="false">(parametros_manuales!$D$30*(datos_base!$I$2+IF(parametros_manuales!$H$30="Todos",datos_base!$I$9,0))*parametros_manuales!$J$97+parametros_manuales!$E$30*(datos_base!$I$3+IF(parametros_manuales!$H$30="Todos",datos_base!$I$10,0))*parametros_manuales!$J$102+parametros_manuales!$F$30*(datos_base!$I$4+IF(parametros_manuales!$H$30="Todos",datos_base!$I$11,0))*parametros_manuales!$J$107+parametros_manuales!$G$30*(datos_base!$I$5+IF(parametros_manuales!$H$30="Todos",datos_base!$I$12,0))*parametros_manuales!$J$112)*parametros_manuales!$I$30*parametros_manuales!$J$30</f>
        <v>19016.20568472</v>
      </c>
      <c r="K209" s="14" t="n">
        <f aca="false">(parametros_manuales!$D$30*(datos_base!$I$2+IF(parametros_manuales!$H$30="Todos",datos_base!$I$9,0))*parametros_manuales!$K$97+parametros_manuales!$E$30*(datos_base!$I$3+IF(parametros_manuales!$H$30="Todos",datos_base!$I$10,0))*parametros_manuales!$K$102+parametros_manuales!$F$30*(datos_base!$I$4+IF(parametros_manuales!$H$30="Todos",datos_base!$I$11,0))*parametros_manuales!$K$107+parametros_manuales!$G$30*(datos_base!$I$5+IF(parametros_manuales!$H$30="Todos",datos_base!$I$12,0))*parametros_manuales!$K$112)*parametros_manuales!$I$30*parametros_manuales!$J$30</f>
        <v>19326.469973565</v>
      </c>
      <c r="L209" s="14" t="n">
        <f aca="false">(parametros_manuales!$D$30*(datos_base!$I$2+IF(parametros_manuales!$H$30="Todos",datos_base!$I$9,0))*parametros_manuales!$L$97+parametros_manuales!$E$30*(datos_base!$I$3+IF(parametros_manuales!$H$30="Todos",datos_base!$I$10,0))*parametros_manuales!$L$102+parametros_manuales!$F$30*(datos_base!$I$4+IF(parametros_manuales!$H$30="Todos",datos_base!$I$11,0))*parametros_manuales!$L$107+parametros_manuales!$G$30*(datos_base!$I$5+IF(parametros_manuales!$H$30="Todos",datos_base!$I$12,0))*parametros_manuales!$L$112)*parametros_manuales!$I$30*parametros_manuales!$J$30</f>
        <v>19636.73426241</v>
      </c>
      <c r="M209" s="14" t="n">
        <f aca="false">(parametros_manuales!$D$30*(datos_base!$I$2+IF(parametros_manuales!$H$30="Todos",datos_base!$I$9,0))*parametros_manuales!$M$97+parametros_manuales!$E$30*(datos_base!$I$3+IF(parametros_manuales!$H$30="Todos",datos_base!$I$10,0))*parametros_manuales!$M$102+parametros_manuales!$F$30*(datos_base!$I$4+IF(parametros_manuales!$H$30="Todos",datos_base!$I$11,0))*parametros_manuales!$M$107+parametros_manuales!$G$30*(datos_base!$I$5+IF(parametros_manuales!$H$30="Todos",datos_base!$I$12,0))*parametros_manuales!$M$112)*parametros_manuales!$I$30*parametros_manuales!$J$30</f>
        <v>19636.73426241</v>
      </c>
      <c r="N209" s="14" t="n">
        <f aca="false">SUM(B209:M209)</f>
        <v>218185.936249</v>
      </c>
      <c r="O209" s="14" t="n">
        <f aca="false">MAX(B209:M209)</f>
        <v>19636.73426241</v>
      </c>
      <c r="P209" s="57" t="n">
        <f aca="false">O209/(parametros_manuales!$B$7)</f>
        <v>130.9115617494</v>
      </c>
      <c r="Q209" s="13" t="str">
        <f aca="false">IF(O209=0,"-",INDEX($B$197:$M$197,MATCH(O209,B209:M209,0)))</f>
        <v>Ene</v>
      </c>
    </row>
    <row r="210" customFormat="false" ht="14.25" hidden="false" customHeight="true" outlineLevel="0" collapsed="false">
      <c r="A210" s="13" t="str">
        <f aca="false">parametros_manuales!$B$31</f>
        <v>Soldadura circunferencial de cúpula y fondo</v>
      </c>
      <c r="B210" s="14" t="n">
        <f aca="false">(parametros_manuales!$D$31*(datos_base!$I$2+IF(parametros_manuales!$H$31="Todos",datos_base!$I$9,0))*parametros_manuales!$B$97+parametros_manuales!$E$31*(datos_base!$I$3+IF(parametros_manuales!$H$31="Todos",datos_base!$I$10,0))*parametros_manuales!$B$102+parametros_manuales!$F$31*(datos_base!$I$4+IF(parametros_manuales!$H$31="Todos",datos_base!$I$11,0))*parametros_manuales!$B$107+parametros_manuales!$G$31*(datos_base!$I$5+IF(parametros_manuales!$H$31="Todos",datos_base!$I$12,0))*parametros_manuales!$B$112)*parametros_manuales!$I$31*parametros_manuales!$J$31</f>
        <v>19636.73426241</v>
      </c>
      <c r="C210" s="14" t="n">
        <f aca="false">(parametros_manuales!$D$31*(datos_base!$I$2+IF(parametros_manuales!$H$31="Todos",datos_base!$I$9,0))*parametros_manuales!$C$97+parametros_manuales!$E$31*(datos_base!$I$3+IF(parametros_manuales!$H$31="Todos",datos_base!$I$10,0))*parametros_manuales!$C$102+parametros_manuales!$F$31*(datos_base!$I$4+IF(parametros_manuales!$H$31="Todos",datos_base!$I$11,0))*parametros_manuales!$C$107+parametros_manuales!$G$31*(datos_base!$I$5+IF(parametros_manuales!$H$31="Todos",datos_base!$I$12,0))*parametros_manuales!$C$112)*parametros_manuales!$I$31*parametros_manuales!$J$31</f>
        <v>19016.20568472</v>
      </c>
      <c r="D210" s="14" t="n">
        <f aca="false">(parametros_manuales!$D$31*(datos_base!$I$2+IF(parametros_manuales!$H$31="Todos",datos_base!$I$9,0))*parametros_manuales!$D$97+parametros_manuales!$E$31*(datos_base!$I$3+IF(parametros_manuales!$H$31="Todos",datos_base!$I$10,0))*parametros_manuales!$D$102+parametros_manuales!$F$31*(datos_base!$I$4+IF(parametros_manuales!$H$31="Todos",datos_base!$I$11,0))*parametros_manuales!$D$107+parametros_manuales!$G$31*(datos_base!$I$5+IF(parametros_manuales!$H$31="Todos",datos_base!$I$12,0))*parametros_manuales!$D$112)*parametros_manuales!$I$31*parametros_manuales!$J$31</f>
        <v>17765.139188765</v>
      </c>
      <c r="E210" s="14" t="n">
        <f aca="false">(parametros_manuales!$D$31*(datos_base!$I$2+IF(parametros_manuales!$H$31="Todos",datos_base!$I$9,0))*parametros_manuales!$E$97+parametros_manuales!$E$31*(datos_base!$I$3+IF(parametros_manuales!$H$31="Todos",datos_base!$I$10,0))*parametros_manuales!$E$102+parametros_manuales!$F$31*(datos_base!$I$4+IF(parametros_manuales!$H$31="Todos",datos_base!$I$11,0))*parametros_manuales!$E$107+parametros_manuales!$G$31*(datos_base!$I$5+IF(parametros_manuales!$H$31="Todos",datos_base!$I$12,0))*parametros_manuales!$E$112)*parametros_manuales!$I$31*parametros_manuales!$J$31</f>
        <v>16984.473796365</v>
      </c>
      <c r="F210" s="14" t="n">
        <f aca="false">(parametros_manuales!$D$31*(datos_base!$I$2+IF(parametros_manuales!$H$31="Todos",datos_base!$I$9,0))*parametros_manuales!$F$97+parametros_manuales!$E$31*(datos_base!$I$3+IF(parametros_manuales!$H$31="Todos",datos_base!$I$10,0))*parametros_manuales!$F$102+parametros_manuales!$F$31*(datos_base!$I$4+IF(parametros_manuales!$H$31="Todos",datos_base!$I$11,0))*parametros_manuales!$F$107+parametros_manuales!$G$31*(datos_base!$I$5+IF(parametros_manuales!$H$31="Todos",datos_base!$I$12,0))*parametros_manuales!$F$112)*parametros_manuales!$I$31*parametros_manuales!$J$31</f>
        <v>15893.54411512</v>
      </c>
      <c r="G210" s="14" t="n">
        <f aca="false">(parametros_manuales!$D$31*(datos_base!$I$2+IF(parametros_manuales!$H$31="Todos",datos_base!$I$9,0))*parametros_manuales!$G$97+parametros_manuales!$E$31*(datos_base!$I$3+IF(parametros_manuales!$H$31="Todos",datos_base!$I$10,0))*parametros_manuales!$G$102+parametros_manuales!$F$31*(datos_base!$I$4+IF(parametros_manuales!$H$31="Todos",datos_base!$I$11,0))*parametros_manuales!$G$107+parametros_manuales!$G$31*(datos_base!$I$5+IF(parametros_manuales!$H$31="Todos",datos_base!$I$12,0))*parametros_manuales!$G$112)*parametros_manuales!$I$31*parametros_manuales!$J$31</f>
        <v>15583.279826275</v>
      </c>
      <c r="H210" s="14" t="n">
        <f aca="false">(parametros_manuales!$D$31*(datos_base!$I$2+IF(parametros_manuales!$H$31="Todos",datos_base!$I$9,0))*parametros_manuales!$H$97+parametros_manuales!$E$31*(datos_base!$I$3+IF(parametros_manuales!$H$31="Todos",datos_base!$I$10,0))*parametros_manuales!$H$102+parametros_manuales!$F$31*(datos_base!$I$4+IF(parametros_manuales!$H$31="Todos",datos_base!$I$11,0))*parametros_manuales!$H$107+parametros_manuales!$G$31*(datos_base!$I$5+IF(parametros_manuales!$H$31="Todos",datos_base!$I$12,0))*parametros_manuales!$H$112)*parametros_manuales!$I$31*parametros_manuales!$J$31</f>
        <v>16674.20950752</v>
      </c>
      <c r="I210" s="14" t="n">
        <f aca="false">(parametros_manuales!$D$31*(datos_base!$I$2+IF(parametros_manuales!$H$31="Todos",datos_base!$I$9,0))*parametros_manuales!$I$97+parametros_manuales!$E$31*(datos_base!$I$3+IF(parametros_manuales!$H$31="Todos",datos_base!$I$10,0))*parametros_manuales!$I$102+parametros_manuales!$F$31*(datos_base!$I$4+IF(parametros_manuales!$H$31="Todos",datos_base!$I$11,0))*parametros_manuales!$I$107+parametros_manuales!$G$31*(datos_base!$I$5+IF(parametros_manuales!$H$31="Todos",datos_base!$I$12,0))*parametros_manuales!$I$112)*parametros_manuales!$I$31*parametros_manuales!$J$31</f>
        <v>19016.20568472</v>
      </c>
      <c r="J210" s="14" t="n">
        <f aca="false">(parametros_manuales!$D$31*(datos_base!$I$2+IF(parametros_manuales!$H$31="Todos",datos_base!$I$9,0))*parametros_manuales!$J$97+parametros_manuales!$E$31*(datos_base!$I$3+IF(parametros_manuales!$H$31="Todos",datos_base!$I$10,0))*parametros_manuales!$J$102+parametros_manuales!$F$31*(datos_base!$I$4+IF(parametros_manuales!$H$31="Todos",datos_base!$I$11,0))*parametros_manuales!$J$107+parametros_manuales!$G$31*(datos_base!$I$5+IF(parametros_manuales!$H$31="Todos",datos_base!$I$12,0))*parametros_manuales!$J$112)*parametros_manuales!$I$31*parametros_manuales!$J$31</f>
        <v>19016.20568472</v>
      </c>
      <c r="K210" s="14" t="n">
        <f aca="false">(parametros_manuales!$D$31*(datos_base!$I$2+IF(parametros_manuales!$H$31="Todos",datos_base!$I$9,0))*parametros_manuales!$K$97+parametros_manuales!$E$31*(datos_base!$I$3+IF(parametros_manuales!$H$31="Todos",datos_base!$I$10,0))*parametros_manuales!$K$102+parametros_manuales!$F$31*(datos_base!$I$4+IF(parametros_manuales!$H$31="Todos",datos_base!$I$11,0))*parametros_manuales!$K$107+parametros_manuales!$G$31*(datos_base!$I$5+IF(parametros_manuales!$H$31="Todos",datos_base!$I$12,0))*parametros_manuales!$K$112)*parametros_manuales!$I$31*parametros_manuales!$J$31</f>
        <v>19326.469973565</v>
      </c>
      <c r="L210" s="14" t="n">
        <f aca="false">(parametros_manuales!$D$31*(datos_base!$I$2+IF(parametros_manuales!$H$31="Todos",datos_base!$I$9,0))*parametros_manuales!$L$97+parametros_manuales!$E$31*(datos_base!$I$3+IF(parametros_manuales!$H$31="Todos",datos_base!$I$10,0))*parametros_manuales!$L$102+parametros_manuales!$F$31*(datos_base!$I$4+IF(parametros_manuales!$H$31="Todos",datos_base!$I$11,0))*parametros_manuales!$L$107+parametros_manuales!$G$31*(datos_base!$I$5+IF(parametros_manuales!$H$31="Todos",datos_base!$I$12,0))*parametros_manuales!$L$112)*parametros_manuales!$I$31*parametros_manuales!$J$31</f>
        <v>19636.73426241</v>
      </c>
      <c r="M210" s="14" t="n">
        <f aca="false">(parametros_manuales!$D$31*(datos_base!$I$2+IF(parametros_manuales!$H$31="Todos",datos_base!$I$9,0))*parametros_manuales!$M$97+parametros_manuales!$E$31*(datos_base!$I$3+IF(parametros_manuales!$H$31="Todos",datos_base!$I$10,0))*parametros_manuales!$M$102+parametros_manuales!$F$31*(datos_base!$I$4+IF(parametros_manuales!$H$31="Todos",datos_base!$I$11,0))*parametros_manuales!$M$107+parametros_manuales!$G$31*(datos_base!$I$5+IF(parametros_manuales!$H$31="Todos",datos_base!$I$12,0))*parametros_manuales!$M$112)*parametros_manuales!$I$31*parametros_manuales!$J$31</f>
        <v>19636.73426241</v>
      </c>
      <c r="N210" s="14" t="n">
        <f aca="false">SUM(B210:M210)</f>
        <v>218185.936249</v>
      </c>
      <c r="O210" s="14" t="n">
        <f aca="false">MAX(B210:M210)</f>
        <v>19636.73426241</v>
      </c>
      <c r="P210" s="57" t="n">
        <f aca="false">O210/(parametros_manuales!$B$7)</f>
        <v>130.9115617494</v>
      </c>
      <c r="Q210" s="13" t="str">
        <f aca="false">IF(O210=0,"-",INDEX($B$197:$M$197,MATCH(O210,B210:M210,0)))</f>
        <v>Ene</v>
      </c>
    </row>
    <row r="211" customFormat="false" ht="14.25" hidden="false" customHeight="true" outlineLevel="0" collapsed="false">
      <c r="A211" s="13" t="str">
        <f aca="false">parametros_manuales!$B$32</f>
        <v>Control de calidad — Espesor</v>
      </c>
      <c r="B211" s="14" t="n">
        <f aca="false">(parametros_manuales!$D$32*(datos_base!$I$2+IF(parametros_manuales!$H$32="Todos",datos_base!$I$9,0))*parametros_manuales!$B$97+parametros_manuales!$E$32*(datos_base!$I$3+IF(parametros_manuales!$H$32="Todos",datos_base!$I$10,0))*parametros_manuales!$B$102+parametros_manuales!$F$32*(datos_base!$I$4+IF(parametros_manuales!$H$32="Todos",datos_base!$I$11,0))*parametros_manuales!$B$107+parametros_manuales!$G$32*(datos_base!$I$5+IF(parametros_manuales!$H$32="Todos",datos_base!$I$12,0))*parametros_manuales!$B$112)*parametros_manuales!$I$32*parametros_manuales!$J$32</f>
        <v>392.7346852482</v>
      </c>
      <c r="C211" s="14" t="n">
        <f aca="false">(parametros_manuales!$D$32*(datos_base!$I$2+IF(parametros_manuales!$H$32="Todos",datos_base!$I$9,0))*parametros_manuales!$C$97+parametros_manuales!$E$32*(datos_base!$I$3+IF(parametros_manuales!$H$32="Todos",datos_base!$I$10,0))*parametros_manuales!$C$102+parametros_manuales!$F$32*(datos_base!$I$4+IF(parametros_manuales!$H$32="Todos",datos_base!$I$11,0))*parametros_manuales!$C$107+parametros_manuales!$G$32*(datos_base!$I$5+IF(parametros_manuales!$H$32="Todos",datos_base!$I$12,0))*parametros_manuales!$C$112)*parametros_manuales!$I$32*parametros_manuales!$J$32</f>
        <v>380.3241136944</v>
      </c>
      <c r="D211" s="14" t="n">
        <f aca="false">(parametros_manuales!$D$32*(datos_base!$I$2+IF(parametros_manuales!$H$32="Todos",datos_base!$I$9,0))*parametros_manuales!$D$97+parametros_manuales!$E$32*(datos_base!$I$3+IF(parametros_manuales!$H$32="Todos",datos_base!$I$10,0))*parametros_manuales!$D$102+parametros_manuales!$F$32*(datos_base!$I$4+IF(parametros_manuales!$H$32="Todos",datos_base!$I$11,0))*parametros_manuales!$D$107+parametros_manuales!$G$32*(datos_base!$I$5+IF(parametros_manuales!$H$32="Todos",datos_base!$I$12,0))*parametros_manuales!$D$112)*parametros_manuales!$I$32*parametros_manuales!$J$32</f>
        <v>355.3027837753</v>
      </c>
      <c r="E211" s="14" t="n">
        <f aca="false">(parametros_manuales!$D$32*(datos_base!$I$2+IF(parametros_manuales!$H$32="Todos",datos_base!$I$9,0))*parametros_manuales!$E$97+parametros_manuales!$E$32*(datos_base!$I$3+IF(parametros_manuales!$H$32="Todos",datos_base!$I$10,0))*parametros_manuales!$E$102+parametros_manuales!$F$32*(datos_base!$I$4+IF(parametros_manuales!$H$32="Todos",datos_base!$I$11,0))*parametros_manuales!$E$107+parametros_manuales!$G$32*(datos_base!$I$5+IF(parametros_manuales!$H$32="Todos",datos_base!$I$12,0))*parametros_manuales!$E$112)*parametros_manuales!$I$32*parametros_manuales!$J$32</f>
        <v>339.6894759273</v>
      </c>
      <c r="F211" s="14" t="n">
        <f aca="false">(parametros_manuales!$D$32*(datos_base!$I$2+IF(parametros_manuales!$H$32="Todos",datos_base!$I$9,0))*parametros_manuales!$F$97+parametros_manuales!$E$32*(datos_base!$I$3+IF(parametros_manuales!$H$32="Todos",datos_base!$I$10,0))*parametros_manuales!$F$102+parametros_manuales!$F$32*(datos_base!$I$4+IF(parametros_manuales!$H$32="Todos",datos_base!$I$11,0))*parametros_manuales!$F$107+parametros_manuales!$G$32*(datos_base!$I$5+IF(parametros_manuales!$H$32="Todos",datos_base!$I$12,0))*parametros_manuales!$F$112)*parametros_manuales!$I$32*parametros_manuales!$J$32</f>
        <v>317.8708823024</v>
      </c>
      <c r="G211" s="14" t="n">
        <f aca="false">(parametros_manuales!$D$32*(datos_base!$I$2+IF(parametros_manuales!$H$32="Todos",datos_base!$I$9,0))*parametros_manuales!$G$97+parametros_manuales!$E$32*(datos_base!$I$3+IF(parametros_manuales!$H$32="Todos",datos_base!$I$10,0))*parametros_manuales!$G$102+parametros_manuales!$F$32*(datos_base!$I$4+IF(parametros_manuales!$H$32="Todos",datos_base!$I$11,0))*parametros_manuales!$G$107+parametros_manuales!$G$32*(datos_base!$I$5+IF(parametros_manuales!$H$32="Todos",datos_base!$I$12,0))*parametros_manuales!$G$112)*parametros_manuales!$I$32*parametros_manuales!$J$32</f>
        <v>311.6655965255</v>
      </c>
      <c r="H211" s="14" t="n">
        <f aca="false">(parametros_manuales!$D$32*(datos_base!$I$2+IF(parametros_manuales!$H$32="Todos",datos_base!$I$9,0))*parametros_manuales!$H$97+parametros_manuales!$E$32*(datos_base!$I$3+IF(parametros_manuales!$H$32="Todos",datos_base!$I$10,0))*parametros_manuales!$H$102+parametros_manuales!$F$32*(datos_base!$I$4+IF(parametros_manuales!$H$32="Todos",datos_base!$I$11,0))*parametros_manuales!$H$107+parametros_manuales!$G$32*(datos_base!$I$5+IF(parametros_manuales!$H$32="Todos",datos_base!$I$12,0))*parametros_manuales!$H$112)*parametros_manuales!$I$32*parametros_manuales!$J$32</f>
        <v>333.4841901504</v>
      </c>
      <c r="I211" s="14" t="n">
        <f aca="false">(parametros_manuales!$D$32*(datos_base!$I$2+IF(parametros_manuales!$H$32="Todos",datos_base!$I$9,0))*parametros_manuales!$I$97+parametros_manuales!$E$32*(datos_base!$I$3+IF(parametros_manuales!$H$32="Todos",datos_base!$I$10,0))*parametros_manuales!$I$102+parametros_manuales!$F$32*(datos_base!$I$4+IF(parametros_manuales!$H$32="Todos",datos_base!$I$11,0))*parametros_manuales!$I$107+parametros_manuales!$G$32*(datos_base!$I$5+IF(parametros_manuales!$H$32="Todos",datos_base!$I$12,0))*parametros_manuales!$I$112)*parametros_manuales!$I$32*parametros_manuales!$J$32</f>
        <v>380.3241136944</v>
      </c>
      <c r="J211" s="14" t="n">
        <f aca="false">(parametros_manuales!$D$32*(datos_base!$I$2+IF(parametros_manuales!$H$32="Todos",datos_base!$I$9,0))*parametros_manuales!$J$97+parametros_manuales!$E$32*(datos_base!$I$3+IF(parametros_manuales!$H$32="Todos",datos_base!$I$10,0))*parametros_manuales!$J$102+parametros_manuales!$F$32*(datos_base!$I$4+IF(parametros_manuales!$H$32="Todos",datos_base!$I$11,0))*parametros_manuales!$J$107+parametros_manuales!$G$32*(datos_base!$I$5+IF(parametros_manuales!$H$32="Todos",datos_base!$I$12,0))*parametros_manuales!$J$112)*parametros_manuales!$I$32*parametros_manuales!$J$32</f>
        <v>380.3241136944</v>
      </c>
      <c r="K211" s="14" t="n">
        <f aca="false">(parametros_manuales!$D$32*(datos_base!$I$2+IF(parametros_manuales!$H$32="Todos",datos_base!$I$9,0))*parametros_manuales!$K$97+parametros_manuales!$E$32*(datos_base!$I$3+IF(parametros_manuales!$H$32="Todos",datos_base!$I$10,0))*parametros_manuales!$K$102+parametros_manuales!$F$32*(datos_base!$I$4+IF(parametros_manuales!$H$32="Todos",datos_base!$I$11,0))*parametros_manuales!$K$107+parametros_manuales!$G$32*(datos_base!$I$5+IF(parametros_manuales!$H$32="Todos",datos_base!$I$12,0))*parametros_manuales!$K$112)*parametros_manuales!$I$32*parametros_manuales!$J$32</f>
        <v>386.5293994713</v>
      </c>
      <c r="L211" s="14" t="n">
        <f aca="false">(parametros_manuales!$D$32*(datos_base!$I$2+IF(parametros_manuales!$H$32="Todos",datos_base!$I$9,0))*parametros_manuales!$L$97+parametros_manuales!$E$32*(datos_base!$I$3+IF(parametros_manuales!$H$32="Todos",datos_base!$I$10,0))*parametros_manuales!$L$102+parametros_manuales!$F$32*(datos_base!$I$4+IF(parametros_manuales!$H$32="Todos",datos_base!$I$11,0))*parametros_manuales!$L$107+parametros_manuales!$G$32*(datos_base!$I$5+IF(parametros_manuales!$H$32="Todos",datos_base!$I$12,0))*parametros_manuales!$L$112)*parametros_manuales!$I$32*parametros_manuales!$J$32</f>
        <v>392.7346852482</v>
      </c>
      <c r="M211" s="14" t="n">
        <f aca="false">(parametros_manuales!$D$32*(datos_base!$I$2+IF(parametros_manuales!$H$32="Todos",datos_base!$I$9,0))*parametros_manuales!$M$97+parametros_manuales!$E$32*(datos_base!$I$3+IF(parametros_manuales!$H$32="Todos",datos_base!$I$10,0))*parametros_manuales!$M$102+parametros_manuales!$F$32*(datos_base!$I$4+IF(parametros_manuales!$H$32="Todos",datos_base!$I$11,0))*parametros_manuales!$M$107+parametros_manuales!$G$32*(datos_base!$I$5+IF(parametros_manuales!$H$32="Todos",datos_base!$I$12,0))*parametros_manuales!$M$112)*parametros_manuales!$I$32*parametros_manuales!$J$32</f>
        <v>392.7346852482</v>
      </c>
      <c r="N211" s="14" t="n">
        <f aca="false">SUM(B211:M211)</f>
        <v>4363.71872498</v>
      </c>
      <c r="O211" s="14" t="n">
        <f aca="false">MAX(B211:M211)</f>
        <v>392.7346852482</v>
      </c>
      <c r="P211" s="57" t="n">
        <f aca="false">O211/(parametros_manuales!$B$7)</f>
        <v>2.618231234988</v>
      </c>
      <c r="Q211" s="13" t="str">
        <f aca="false">IF(O211=0,"-",INDEX($B$197:$M$197,MATCH(O211,B211:M211,0)))</f>
        <v>Ene</v>
      </c>
    </row>
    <row r="212" customFormat="false" ht="14.25" hidden="false" customHeight="true" outlineLevel="0" collapsed="false">
      <c r="A212" s="13" t="str">
        <f aca="false">parametros_manuales!$B$33</f>
        <v>Prueba hidráulica</v>
      </c>
      <c r="B212" s="14" t="n">
        <f aca="false">(parametros_manuales!$D$33*(datos_base!$I$2+IF(parametros_manuales!$H$33="Todos",datos_base!$I$9,0))*parametros_manuales!$B$97+parametros_manuales!$E$33*(datos_base!$I$3+IF(parametros_manuales!$H$33="Todos",datos_base!$I$10,0))*parametros_manuales!$B$102+parametros_manuales!$F$33*(datos_base!$I$4+IF(parametros_manuales!$H$33="Todos",datos_base!$I$11,0))*parametros_manuales!$B$107+parametros_manuales!$G$33*(datos_base!$I$5+IF(parametros_manuales!$H$33="Todos",datos_base!$I$12,0))*parametros_manuales!$B$112)*parametros_manuales!$I$33*parametros_manuales!$J$33</f>
        <v>19636.73426241</v>
      </c>
      <c r="C212" s="14" t="n">
        <f aca="false">(parametros_manuales!$D$33*(datos_base!$I$2+IF(parametros_manuales!$H$33="Todos",datos_base!$I$9,0))*parametros_manuales!$C$97+parametros_manuales!$E$33*(datos_base!$I$3+IF(parametros_manuales!$H$33="Todos",datos_base!$I$10,0))*parametros_manuales!$C$102+parametros_manuales!$F$33*(datos_base!$I$4+IF(parametros_manuales!$H$33="Todos",datos_base!$I$11,0))*parametros_manuales!$C$107+parametros_manuales!$G$33*(datos_base!$I$5+IF(parametros_manuales!$H$33="Todos",datos_base!$I$12,0))*parametros_manuales!$C$112)*parametros_manuales!$I$33*parametros_manuales!$J$33</f>
        <v>19016.20568472</v>
      </c>
      <c r="D212" s="14" t="n">
        <f aca="false">(parametros_manuales!$D$33*(datos_base!$I$2+IF(parametros_manuales!$H$33="Todos",datos_base!$I$9,0))*parametros_manuales!$D$97+parametros_manuales!$E$33*(datos_base!$I$3+IF(parametros_manuales!$H$33="Todos",datos_base!$I$10,0))*parametros_manuales!$D$102+parametros_manuales!$F$33*(datos_base!$I$4+IF(parametros_manuales!$H$33="Todos",datos_base!$I$11,0))*parametros_manuales!$D$107+parametros_manuales!$G$33*(datos_base!$I$5+IF(parametros_manuales!$H$33="Todos",datos_base!$I$12,0))*parametros_manuales!$D$112)*parametros_manuales!$I$33*parametros_manuales!$J$33</f>
        <v>17765.139188765</v>
      </c>
      <c r="E212" s="14" t="n">
        <f aca="false">(parametros_manuales!$D$33*(datos_base!$I$2+IF(parametros_manuales!$H$33="Todos",datos_base!$I$9,0))*parametros_manuales!$E$97+parametros_manuales!$E$33*(datos_base!$I$3+IF(parametros_manuales!$H$33="Todos",datos_base!$I$10,0))*parametros_manuales!$E$102+parametros_manuales!$F$33*(datos_base!$I$4+IF(parametros_manuales!$H$33="Todos",datos_base!$I$11,0))*parametros_manuales!$E$107+parametros_manuales!$G$33*(datos_base!$I$5+IF(parametros_manuales!$H$33="Todos",datos_base!$I$12,0))*parametros_manuales!$E$112)*parametros_manuales!$I$33*parametros_manuales!$J$33</f>
        <v>16984.473796365</v>
      </c>
      <c r="F212" s="14" t="n">
        <f aca="false">(parametros_manuales!$D$33*(datos_base!$I$2+IF(parametros_manuales!$H$33="Todos",datos_base!$I$9,0))*parametros_manuales!$F$97+parametros_manuales!$E$33*(datos_base!$I$3+IF(parametros_manuales!$H$33="Todos",datos_base!$I$10,0))*parametros_manuales!$F$102+parametros_manuales!$F$33*(datos_base!$I$4+IF(parametros_manuales!$H$33="Todos",datos_base!$I$11,0))*parametros_manuales!$F$107+parametros_manuales!$G$33*(datos_base!$I$5+IF(parametros_manuales!$H$33="Todos",datos_base!$I$12,0))*parametros_manuales!$F$112)*parametros_manuales!$I$33*parametros_manuales!$J$33</f>
        <v>15893.54411512</v>
      </c>
      <c r="G212" s="14" t="n">
        <f aca="false">(parametros_manuales!$D$33*(datos_base!$I$2+IF(parametros_manuales!$H$33="Todos",datos_base!$I$9,0))*parametros_manuales!$G$97+parametros_manuales!$E$33*(datos_base!$I$3+IF(parametros_manuales!$H$33="Todos",datos_base!$I$10,0))*parametros_manuales!$G$102+parametros_manuales!$F$33*(datos_base!$I$4+IF(parametros_manuales!$H$33="Todos",datos_base!$I$11,0))*parametros_manuales!$G$107+parametros_manuales!$G$33*(datos_base!$I$5+IF(parametros_manuales!$H$33="Todos",datos_base!$I$12,0))*parametros_manuales!$G$112)*parametros_manuales!$I$33*parametros_manuales!$J$33</f>
        <v>15583.279826275</v>
      </c>
      <c r="H212" s="14" t="n">
        <f aca="false">(parametros_manuales!$D$33*(datos_base!$I$2+IF(parametros_manuales!$H$33="Todos",datos_base!$I$9,0))*parametros_manuales!$H$97+parametros_manuales!$E$33*(datos_base!$I$3+IF(parametros_manuales!$H$33="Todos",datos_base!$I$10,0))*parametros_manuales!$H$102+parametros_manuales!$F$33*(datos_base!$I$4+IF(parametros_manuales!$H$33="Todos",datos_base!$I$11,0))*parametros_manuales!$H$107+parametros_manuales!$G$33*(datos_base!$I$5+IF(parametros_manuales!$H$33="Todos",datos_base!$I$12,0))*parametros_manuales!$H$112)*parametros_manuales!$I$33*parametros_manuales!$J$33</f>
        <v>16674.20950752</v>
      </c>
      <c r="I212" s="14" t="n">
        <f aca="false">(parametros_manuales!$D$33*(datos_base!$I$2+IF(parametros_manuales!$H$33="Todos",datos_base!$I$9,0))*parametros_manuales!$I$97+parametros_manuales!$E$33*(datos_base!$I$3+IF(parametros_manuales!$H$33="Todos",datos_base!$I$10,0))*parametros_manuales!$I$102+parametros_manuales!$F$33*(datos_base!$I$4+IF(parametros_manuales!$H$33="Todos",datos_base!$I$11,0))*parametros_manuales!$I$107+parametros_manuales!$G$33*(datos_base!$I$5+IF(parametros_manuales!$H$33="Todos",datos_base!$I$12,0))*parametros_manuales!$I$112)*parametros_manuales!$I$33*parametros_manuales!$J$33</f>
        <v>19016.20568472</v>
      </c>
      <c r="J212" s="14" t="n">
        <f aca="false">(parametros_manuales!$D$33*(datos_base!$I$2+IF(parametros_manuales!$H$33="Todos",datos_base!$I$9,0))*parametros_manuales!$J$97+parametros_manuales!$E$33*(datos_base!$I$3+IF(parametros_manuales!$H$33="Todos",datos_base!$I$10,0))*parametros_manuales!$J$102+parametros_manuales!$F$33*(datos_base!$I$4+IF(parametros_manuales!$H$33="Todos",datos_base!$I$11,0))*parametros_manuales!$J$107+parametros_manuales!$G$33*(datos_base!$I$5+IF(parametros_manuales!$H$33="Todos",datos_base!$I$12,0))*parametros_manuales!$J$112)*parametros_manuales!$I$33*parametros_manuales!$J$33</f>
        <v>19016.20568472</v>
      </c>
      <c r="K212" s="14" t="n">
        <f aca="false">(parametros_manuales!$D$33*(datos_base!$I$2+IF(parametros_manuales!$H$33="Todos",datos_base!$I$9,0))*parametros_manuales!$K$97+parametros_manuales!$E$33*(datos_base!$I$3+IF(parametros_manuales!$H$33="Todos",datos_base!$I$10,0))*parametros_manuales!$K$102+parametros_manuales!$F$33*(datos_base!$I$4+IF(parametros_manuales!$H$33="Todos",datos_base!$I$11,0))*parametros_manuales!$K$107+parametros_manuales!$G$33*(datos_base!$I$5+IF(parametros_manuales!$H$33="Todos",datos_base!$I$12,0))*parametros_manuales!$K$112)*parametros_manuales!$I$33*parametros_manuales!$J$33</f>
        <v>19326.469973565</v>
      </c>
      <c r="L212" s="14" t="n">
        <f aca="false">(parametros_manuales!$D$33*(datos_base!$I$2+IF(parametros_manuales!$H$33="Todos",datos_base!$I$9,0))*parametros_manuales!$L$97+parametros_manuales!$E$33*(datos_base!$I$3+IF(parametros_manuales!$H$33="Todos",datos_base!$I$10,0))*parametros_manuales!$L$102+parametros_manuales!$F$33*(datos_base!$I$4+IF(parametros_manuales!$H$33="Todos",datos_base!$I$11,0))*parametros_manuales!$L$107+parametros_manuales!$G$33*(datos_base!$I$5+IF(parametros_manuales!$H$33="Todos",datos_base!$I$12,0))*parametros_manuales!$L$112)*parametros_manuales!$I$33*parametros_manuales!$J$33</f>
        <v>19636.73426241</v>
      </c>
      <c r="M212" s="14" t="n">
        <f aca="false">(parametros_manuales!$D$33*(datos_base!$I$2+IF(parametros_manuales!$H$33="Todos",datos_base!$I$9,0))*parametros_manuales!$M$97+parametros_manuales!$E$33*(datos_base!$I$3+IF(parametros_manuales!$H$33="Todos",datos_base!$I$10,0))*parametros_manuales!$M$102+parametros_manuales!$F$33*(datos_base!$I$4+IF(parametros_manuales!$H$33="Todos",datos_base!$I$11,0))*parametros_manuales!$M$107+parametros_manuales!$G$33*(datos_base!$I$5+IF(parametros_manuales!$H$33="Todos",datos_base!$I$12,0))*parametros_manuales!$M$112)*parametros_manuales!$I$33*parametros_manuales!$J$33</f>
        <v>19636.73426241</v>
      </c>
      <c r="N212" s="14" t="n">
        <f aca="false">SUM(B212:M212)</f>
        <v>218185.936249</v>
      </c>
      <c r="O212" s="14" t="n">
        <f aca="false">MAX(B212:M212)</f>
        <v>19636.73426241</v>
      </c>
      <c r="P212" s="57" t="n">
        <f aca="false">O212/(parametros_manuales!$B$7)</f>
        <v>130.9115617494</v>
      </c>
      <c r="Q212" s="13" t="str">
        <f aca="false">IF(O212=0,"-",INDEX($B$197:$M$197,MATCH(O212,B212:M212,0)))</f>
        <v>Ene</v>
      </c>
    </row>
    <row r="213" customFormat="false" ht="14.25" hidden="false" customHeight="true" outlineLevel="0" collapsed="false">
      <c r="A213" s="13" t="str">
        <f aca="false">parametros_manuales!$B$34</f>
        <v>Secado</v>
      </c>
      <c r="B213" s="14" t="n">
        <f aca="false">(parametros_manuales!$D$34*(datos_base!$I$2+IF(parametros_manuales!$H$34="Todos",datos_base!$I$9,0))*parametros_manuales!$B$97+parametros_manuales!$E$34*(datos_base!$I$3+IF(parametros_manuales!$H$34="Todos",datos_base!$I$10,0))*parametros_manuales!$B$102+parametros_manuales!$F$34*(datos_base!$I$4+IF(parametros_manuales!$H$34="Todos",datos_base!$I$11,0))*parametros_manuales!$B$107+parametros_manuales!$G$34*(datos_base!$I$5+IF(parametros_manuales!$H$34="Todos",datos_base!$I$12,0))*parametros_manuales!$B$112)*parametros_manuales!$I$34*parametros_manuales!$J$34</f>
        <v>19636.73426241</v>
      </c>
      <c r="C213" s="14" t="n">
        <f aca="false">(parametros_manuales!$D$34*(datos_base!$I$2+IF(parametros_manuales!$H$34="Todos",datos_base!$I$9,0))*parametros_manuales!$C$97+parametros_manuales!$E$34*(datos_base!$I$3+IF(parametros_manuales!$H$34="Todos",datos_base!$I$10,0))*parametros_manuales!$C$102+parametros_manuales!$F$34*(datos_base!$I$4+IF(parametros_manuales!$H$34="Todos",datos_base!$I$11,0))*parametros_manuales!$C$107+parametros_manuales!$G$34*(datos_base!$I$5+IF(parametros_manuales!$H$34="Todos",datos_base!$I$12,0))*parametros_manuales!$C$112)*parametros_manuales!$I$34*parametros_manuales!$J$34</f>
        <v>19016.20568472</v>
      </c>
      <c r="D213" s="14" t="n">
        <f aca="false">(parametros_manuales!$D$34*(datos_base!$I$2+IF(parametros_manuales!$H$34="Todos",datos_base!$I$9,0))*parametros_manuales!$D$97+parametros_manuales!$E$34*(datos_base!$I$3+IF(parametros_manuales!$H$34="Todos",datos_base!$I$10,0))*parametros_manuales!$D$102+parametros_manuales!$F$34*(datos_base!$I$4+IF(parametros_manuales!$H$34="Todos",datos_base!$I$11,0))*parametros_manuales!$D$107+parametros_manuales!$G$34*(datos_base!$I$5+IF(parametros_manuales!$H$34="Todos",datos_base!$I$12,0))*parametros_manuales!$D$112)*parametros_manuales!$I$34*parametros_manuales!$J$34</f>
        <v>17765.139188765</v>
      </c>
      <c r="E213" s="14" t="n">
        <f aca="false">(parametros_manuales!$D$34*(datos_base!$I$2+IF(parametros_manuales!$H$34="Todos",datos_base!$I$9,0))*parametros_manuales!$E$97+parametros_manuales!$E$34*(datos_base!$I$3+IF(parametros_manuales!$H$34="Todos",datos_base!$I$10,0))*parametros_manuales!$E$102+parametros_manuales!$F$34*(datos_base!$I$4+IF(parametros_manuales!$H$34="Todos",datos_base!$I$11,0))*parametros_manuales!$E$107+parametros_manuales!$G$34*(datos_base!$I$5+IF(parametros_manuales!$H$34="Todos",datos_base!$I$12,0))*parametros_manuales!$E$112)*parametros_manuales!$I$34*parametros_manuales!$J$34</f>
        <v>16984.473796365</v>
      </c>
      <c r="F213" s="14" t="n">
        <f aca="false">(parametros_manuales!$D$34*(datos_base!$I$2+IF(parametros_manuales!$H$34="Todos",datos_base!$I$9,0))*parametros_manuales!$F$97+parametros_manuales!$E$34*(datos_base!$I$3+IF(parametros_manuales!$H$34="Todos",datos_base!$I$10,0))*parametros_manuales!$F$102+parametros_manuales!$F$34*(datos_base!$I$4+IF(parametros_manuales!$H$34="Todos",datos_base!$I$11,0))*parametros_manuales!$F$107+parametros_manuales!$G$34*(datos_base!$I$5+IF(parametros_manuales!$H$34="Todos",datos_base!$I$12,0))*parametros_manuales!$F$112)*parametros_manuales!$I$34*parametros_manuales!$J$34</f>
        <v>15893.54411512</v>
      </c>
      <c r="G213" s="14" t="n">
        <f aca="false">(parametros_manuales!$D$34*(datos_base!$I$2+IF(parametros_manuales!$H$34="Todos",datos_base!$I$9,0))*parametros_manuales!$G$97+parametros_manuales!$E$34*(datos_base!$I$3+IF(parametros_manuales!$H$34="Todos",datos_base!$I$10,0))*parametros_manuales!$G$102+parametros_manuales!$F$34*(datos_base!$I$4+IF(parametros_manuales!$H$34="Todos",datos_base!$I$11,0))*parametros_manuales!$G$107+parametros_manuales!$G$34*(datos_base!$I$5+IF(parametros_manuales!$H$34="Todos",datos_base!$I$12,0))*parametros_manuales!$G$112)*parametros_manuales!$I$34*parametros_manuales!$J$34</f>
        <v>15583.279826275</v>
      </c>
      <c r="H213" s="14" t="n">
        <f aca="false">(parametros_manuales!$D$34*(datos_base!$I$2+IF(parametros_manuales!$H$34="Todos",datos_base!$I$9,0))*parametros_manuales!$H$97+parametros_manuales!$E$34*(datos_base!$I$3+IF(parametros_manuales!$H$34="Todos",datos_base!$I$10,0))*parametros_manuales!$H$102+parametros_manuales!$F$34*(datos_base!$I$4+IF(parametros_manuales!$H$34="Todos",datos_base!$I$11,0))*parametros_manuales!$H$107+parametros_manuales!$G$34*(datos_base!$I$5+IF(parametros_manuales!$H$34="Todos",datos_base!$I$12,0))*parametros_manuales!$H$112)*parametros_manuales!$I$34*parametros_manuales!$J$34</f>
        <v>16674.20950752</v>
      </c>
      <c r="I213" s="14" t="n">
        <f aca="false">(parametros_manuales!$D$34*(datos_base!$I$2+IF(parametros_manuales!$H$34="Todos",datos_base!$I$9,0))*parametros_manuales!$I$97+parametros_manuales!$E$34*(datos_base!$I$3+IF(parametros_manuales!$H$34="Todos",datos_base!$I$10,0))*parametros_manuales!$I$102+parametros_manuales!$F$34*(datos_base!$I$4+IF(parametros_manuales!$H$34="Todos",datos_base!$I$11,0))*parametros_manuales!$I$107+parametros_manuales!$G$34*(datos_base!$I$5+IF(parametros_manuales!$H$34="Todos",datos_base!$I$12,0))*parametros_manuales!$I$112)*parametros_manuales!$I$34*parametros_manuales!$J$34</f>
        <v>19016.20568472</v>
      </c>
      <c r="J213" s="14" t="n">
        <f aca="false">(parametros_manuales!$D$34*(datos_base!$I$2+IF(parametros_manuales!$H$34="Todos",datos_base!$I$9,0))*parametros_manuales!$J$97+parametros_manuales!$E$34*(datos_base!$I$3+IF(parametros_manuales!$H$34="Todos",datos_base!$I$10,0))*parametros_manuales!$J$102+parametros_manuales!$F$34*(datos_base!$I$4+IF(parametros_manuales!$H$34="Todos",datos_base!$I$11,0))*parametros_manuales!$J$107+parametros_manuales!$G$34*(datos_base!$I$5+IF(parametros_manuales!$H$34="Todos",datos_base!$I$12,0))*parametros_manuales!$J$112)*parametros_manuales!$I$34*parametros_manuales!$J$34</f>
        <v>19016.20568472</v>
      </c>
      <c r="K213" s="14" t="n">
        <f aca="false">(parametros_manuales!$D$34*(datos_base!$I$2+IF(parametros_manuales!$H$34="Todos",datos_base!$I$9,0))*parametros_manuales!$K$97+parametros_manuales!$E$34*(datos_base!$I$3+IF(parametros_manuales!$H$34="Todos",datos_base!$I$10,0))*parametros_manuales!$K$102+parametros_manuales!$F$34*(datos_base!$I$4+IF(parametros_manuales!$H$34="Todos",datos_base!$I$11,0))*parametros_manuales!$K$107+parametros_manuales!$G$34*(datos_base!$I$5+IF(parametros_manuales!$H$34="Todos",datos_base!$I$12,0))*parametros_manuales!$K$112)*parametros_manuales!$I$34*parametros_manuales!$J$34</f>
        <v>19326.469973565</v>
      </c>
      <c r="L213" s="14" t="n">
        <f aca="false">(parametros_manuales!$D$34*(datos_base!$I$2+IF(parametros_manuales!$H$34="Todos",datos_base!$I$9,0))*parametros_manuales!$L$97+parametros_manuales!$E$34*(datos_base!$I$3+IF(parametros_manuales!$H$34="Todos",datos_base!$I$10,0))*parametros_manuales!$L$102+parametros_manuales!$F$34*(datos_base!$I$4+IF(parametros_manuales!$H$34="Todos",datos_base!$I$11,0))*parametros_manuales!$L$107+parametros_manuales!$G$34*(datos_base!$I$5+IF(parametros_manuales!$H$34="Todos",datos_base!$I$12,0))*parametros_manuales!$L$112)*parametros_manuales!$I$34*parametros_manuales!$J$34</f>
        <v>19636.73426241</v>
      </c>
      <c r="M213" s="14" t="n">
        <f aca="false">(parametros_manuales!$D$34*(datos_base!$I$2+IF(parametros_manuales!$H$34="Todos",datos_base!$I$9,0))*parametros_manuales!$M$97+parametros_manuales!$E$34*(datos_base!$I$3+IF(parametros_manuales!$H$34="Todos",datos_base!$I$10,0))*parametros_manuales!$M$102+parametros_manuales!$F$34*(datos_base!$I$4+IF(parametros_manuales!$H$34="Todos",datos_base!$I$11,0))*parametros_manuales!$M$107+parametros_manuales!$G$34*(datos_base!$I$5+IF(parametros_manuales!$H$34="Todos",datos_base!$I$12,0))*parametros_manuales!$M$112)*parametros_manuales!$I$34*parametros_manuales!$J$34</f>
        <v>19636.73426241</v>
      </c>
      <c r="N213" s="14" t="n">
        <f aca="false">SUM(B213:M213)</f>
        <v>218185.936249</v>
      </c>
      <c r="O213" s="14" t="n">
        <f aca="false">MAX(B213:M213)</f>
        <v>19636.73426241</v>
      </c>
      <c r="P213" s="57" t="n">
        <f aca="false">O213/(parametros_manuales!$B$7)</f>
        <v>130.9115617494</v>
      </c>
      <c r="Q213" s="13" t="str">
        <f aca="false">IF(O213=0,"-",INDEX($B$197:$M$197,MATCH(O213,B213:M213,0)))</f>
        <v>Ene</v>
      </c>
    </row>
    <row r="214" customFormat="false" ht="14.25" hidden="false" customHeight="true" outlineLevel="0" collapsed="false">
      <c r="A214" s="13" t="str">
        <f aca="false">parametros_manuales!$B$35</f>
        <v>Granallado</v>
      </c>
      <c r="B214" s="14" t="n">
        <f aca="false">(parametros_manuales!$D$35*(datos_base!$I$2+IF(parametros_manuales!$H$35="Todos",datos_base!$I$9,0))*parametros_manuales!$B$97+parametros_manuales!$E$35*(datos_base!$I$3+IF(parametros_manuales!$H$35="Todos",datos_base!$I$10,0))*parametros_manuales!$B$102+parametros_manuales!$F$35*(datos_base!$I$4+IF(parametros_manuales!$H$35="Todos",datos_base!$I$11,0))*parametros_manuales!$B$107+parametros_manuales!$G$35*(datos_base!$I$5+IF(parametros_manuales!$H$35="Todos",datos_base!$I$12,0))*parametros_manuales!$B$112)*parametros_manuales!$I$35*parametros_manuales!$J$35</f>
        <v>19636.73426241</v>
      </c>
      <c r="C214" s="14" t="n">
        <f aca="false">(parametros_manuales!$D$35*(datos_base!$I$2+IF(parametros_manuales!$H$35="Todos",datos_base!$I$9,0))*parametros_manuales!$C$97+parametros_manuales!$E$35*(datos_base!$I$3+IF(parametros_manuales!$H$35="Todos",datos_base!$I$10,0))*parametros_manuales!$C$102+parametros_manuales!$F$35*(datos_base!$I$4+IF(parametros_manuales!$H$35="Todos",datos_base!$I$11,0))*parametros_manuales!$C$107+parametros_manuales!$G$35*(datos_base!$I$5+IF(parametros_manuales!$H$35="Todos",datos_base!$I$12,0))*parametros_manuales!$C$112)*parametros_manuales!$I$35*parametros_manuales!$J$35</f>
        <v>19016.20568472</v>
      </c>
      <c r="D214" s="14" t="n">
        <f aca="false">(parametros_manuales!$D$35*(datos_base!$I$2+IF(parametros_manuales!$H$35="Todos",datos_base!$I$9,0))*parametros_manuales!$D$97+parametros_manuales!$E$35*(datos_base!$I$3+IF(parametros_manuales!$H$35="Todos",datos_base!$I$10,0))*parametros_manuales!$D$102+parametros_manuales!$F$35*(datos_base!$I$4+IF(parametros_manuales!$H$35="Todos",datos_base!$I$11,0))*parametros_manuales!$D$107+parametros_manuales!$G$35*(datos_base!$I$5+IF(parametros_manuales!$H$35="Todos",datos_base!$I$12,0))*parametros_manuales!$D$112)*parametros_manuales!$I$35*parametros_manuales!$J$35</f>
        <v>17765.139188765</v>
      </c>
      <c r="E214" s="14" t="n">
        <f aca="false">(parametros_manuales!$D$35*(datos_base!$I$2+IF(parametros_manuales!$H$35="Todos",datos_base!$I$9,0))*parametros_manuales!$E$97+parametros_manuales!$E$35*(datos_base!$I$3+IF(parametros_manuales!$H$35="Todos",datos_base!$I$10,0))*parametros_manuales!$E$102+parametros_manuales!$F$35*(datos_base!$I$4+IF(parametros_manuales!$H$35="Todos",datos_base!$I$11,0))*parametros_manuales!$E$107+parametros_manuales!$G$35*(datos_base!$I$5+IF(parametros_manuales!$H$35="Todos",datos_base!$I$12,0))*parametros_manuales!$E$112)*parametros_manuales!$I$35*parametros_manuales!$J$35</f>
        <v>16984.473796365</v>
      </c>
      <c r="F214" s="14" t="n">
        <f aca="false">(parametros_manuales!$D$35*(datos_base!$I$2+IF(parametros_manuales!$H$35="Todos",datos_base!$I$9,0))*parametros_manuales!$F$97+parametros_manuales!$E$35*(datos_base!$I$3+IF(parametros_manuales!$H$35="Todos",datos_base!$I$10,0))*parametros_manuales!$F$102+parametros_manuales!$F$35*(datos_base!$I$4+IF(parametros_manuales!$H$35="Todos",datos_base!$I$11,0))*parametros_manuales!$F$107+parametros_manuales!$G$35*(datos_base!$I$5+IF(parametros_manuales!$H$35="Todos",datos_base!$I$12,0))*parametros_manuales!$F$112)*parametros_manuales!$I$35*parametros_manuales!$J$35</f>
        <v>15893.54411512</v>
      </c>
      <c r="G214" s="14" t="n">
        <f aca="false">(parametros_manuales!$D$35*(datos_base!$I$2+IF(parametros_manuales!$H$35="Todos",datos_base!$I$9,0))*parametros_manuales!$G$97+parametros_manuales!$E$35*(datos_base!$I$3+IF(parametros_manuales!$H$35="Todos",datos_base!$I$10,0))*parametros_manuales!$G$102+parametros_manuales!$F$35*(datos_base!$I$4+IF(parametros_manuales!$H$35="Todos",datos_base!$I$11,0))*parametros_manuales!$G$107+parametros_manuales!$G$35*(datos_base!$I$5+IF(parametros_manuales!$H$35="Todos",datos_base!$I$12,0))*parametros_manuales!$G$112)*parametros_manuales!$I$35*parametros_manuales!$J$35</f>
        <v>15583.279826275</v>
      </c>
      <c r="H214" s="14" t="n">
        <f aca="false">(parametros_manuales!$D$35*(datos_base!$I$2+IF(parametros_manuales!$H$35="Todos",datos_base!$I$9,0))*parametros_manuales!$H$97+parametros_manuales!$E$35*(datos_base!$I$3+IF(parametros_manuales!$H$35="Todos",datos_base!$I$10,0))*parametros_manuales!$H$102+parametros_manuales!$F$35*(datos_base!$I$4+IF(parametros_manuales!$H$35="Todos",datos_base!$I$11,0))*parametros_manuales!$H$107+parametros_manuales!$G$35*(datos_base!$I$5+IF(parametros_manuales!$H$35="Todos",datos_base!$I$12,0))*parametros_manuales!$H$112)*parametros_manuales!$I$35*parametros_manuales!$J$35</f>
        <v>16674.20950752</v>
      </c>
      <c r="I214" s="14" t="n">
        <f aca="false">(parametros_manuales!$D$35*(datos_base!$I$2+IF(parametros_manuales!$H$35="Todos",datos_base!$I$9,0))*parametros_manuales!$I$97+parametros_manuales!$E$35*(datos_base!$I$3+IF(parametros_manuales!$H$35="Todos",datos_base!$I$10,0))*parametros_manuales!$I$102+parametros_manuales!$F$35*(datos_base!$I$4+IF(parametros_manuales!$H$35="Todos",datos_base!$I$11,0))*parametros_manuales!$I$107+parametros_manuales!$G$35*(datos_base!$I$5+IF(parametros_manuales!$H$35="Todos",datos_base!$I$12,0))*parametros_manuales!$I$112)*parametros_manuales!$I$35*parametros_manuales!$J$35</f>
        <v>19016.20568472</v>
      </c>
      <c r="J214" s="14" t="n">
        <f aca="false">(parametros_manuales!$D$35*(datos_base!$I$2+IF(parametros_manuales!$H$35="Todos",datos_base!$I$9,0))*parametros_manuales!$J$97+parametros_manuales!$E$35*(datos_base!$I$3+IF(parametros_manuales!$H$35="Todos",datos_base!$I$10,0))*parametros_manuales!$J$102+parametros_manuales!$F$35*(datos_base!$I$4+IF(parametros_manuales!$H$35="Todos",datos_base!$I$11,0))*parametros_manuales!$J$107+parametros_manuales!$G$35*(datos_base!$I$5+IF(parametros_manuales!$H$35="Todos",datos_base!$I$12,0))*parametros_manuales!$J$112)*parametros_manuales!$I$35*parametros_manuales!$J$35</f>
        <v>19016.20568472</v>
      </c>
      <c r="K214" s="14" t="n">
        <f aca="false">(parametros_manuales!$D$35*(datos_base!$I$2+IF(parametros_manuales!$H$35="Todos",datos_base!$I$9,0))*parametros_manuales!$K$97+parametros_manuales!$E$35*(datos_base!$I$3+IF(parametros_manuales!$H$35="Todos",datos_base!$I$10,0))*parametros_manuales!$K$102+parametros_manuales!$F$35*(datos_base!$I$4+IF(parametros_manuales!$H$35="Todos",datos_base!$I$11,0))*parametros_manuales!$K$107+parametros_manuales!$G$35*(datos_base!$I$5+IF(parametros_manuales!$H$35="Todos",datos_base!$I$12,0))*parametros_manuales!$K$112)*parametros_manuales!$I$35*parametros_manuales!$J$35</f>
        <v>19326.469973565</v>
      </c>
      <c r="L214" s="14" t="n">
        <f aca="false">(parametros_manuales!$D$35*(datos_base!$I$2+IF(parametros_manuales!$H$35="Todos",datos_base!$I$9,0))*parametros_manuales!$L$97+parametros_manuales!$E$35*(datos_base!$I$3+IF(parametros_manuales!$H$35="Todos",datos_base!$I$10,0))*parametros_manuales!$L$102+parametros_manuales!$F$35*(datos_base!$I$4+IF(parametros_manuales!$H$35="Todos",datos_base!$I$11,0))*parametros_manuales!$L$107+parametros_manuales!$G$35*(datos_base!$I$5+IF(parametros_manuales!$H$35="Todos",datos_base!$I$12,0))*parametros_manuales!$L$112)*parametros_manuales!$I$35*parametros_manuales!$J$35</f>
        <v>19636.73426241</v>
      </c>
      <c r="M214" s="14" t="n">
        <f aca="false">(parametros_manuales!$D$35*(datos_base!$I$2+IF(parametros_manuales!$H$35="Todos",datos_base!$I$9,0))*parametros_manuales!$M$97+parametros_manuales!$E$35*(datos_base!$I$3+IF(parametros_manuales!$H$35="Todos",datos_base!$I$10,0))*parametros_manuales!$M$102+parametros_manuales!$F$35*(datos_base!$I$4+IF(parametros_manuales!$H$35="Todos",datos_base!$I$11,0))*parametros_manuales!$M$107+parametros_manuales!$G$35*(datos_base!$I$5+IF(parametros_manuales!$H$35="Todos",datos_base!$I$12,0))*parametros_manuales!$M$112)*parametros_manuales!$I$35*parametros_manuales!$J$35</f>
        <v>19636.73426241</v>
      </c>
      <c r="N214" s="14" t="n">
        <f aca="false">SUM(B214:M214)</f>
        <v>218185.936249</v>
      </c>
      <c r="O214" s="14" t="n">
        <f aca="false">MAX(B214:M214)</f>
        <v>19636.73426241</v>
      </c>
      <c r="P214" s="57" t="n">
        <f aca="false">O214/(parametros_manuales!$B$7)</f>
        <v>130.9115617494</v>
      </c>
      <c r="Q214" s="13" t="str">
        <f aca="false">IF(O214=0,"-",INDEX($B$197:$M$197,MATCH(O214,B214:M214,0)))</f>
        <v>Ene</v>
      </c>
    </row>
    <row r="215" customFormat="false" ht="14.25" hidden="false" customHeight="true" outlineLevel="0" collapsed="false">
      <c r="A215" s="13" t="str">
        <f aca="false">parametros_manuales!$B$36</f>
        <v>Detección de defectos</v>
      </c>
      <c r="B215" s="14" t="n">
        <f aca="false">(parametros_manuales!$D$36*(datos_base!$I$2+IF(parametros_manuales!$H$36="Todos",datos_base!$I$9,0))*parametros_manuales!$B$97+parametros_manuales!$E$36*(datos_base!$I$3+IF(parametros_manuales!$H$36="Todos",datos_base!$I$10,0))*parametros_manuales!$B$102+parametros_manuales!$F$36*(datos_base!$I$4+IF(parametros_manuales!$H$36="Todos",datos_base!$I$11,0))*parametros_manuales!$B$107+parametros_manuales!$G$36*(datos_base!$I$5+IF(parametros_manuales!$H$36="Todos",datos_base!$I$12,0))*parametros_manuales!$B$112)*parametros_manuales!$I$36*parametros_manuales!$J$36</f>
        <v>19636.73426241</v>
      </c>
      <c r="C215" s="14" t="n">
        <f aca="false">(parametros_manuales!$D$36*(datos_base!$I$2+IF(parametros_manuales!$H$36="Todos",datos_base!$I$9,0))*parametros_manuales!$C$97+parametros_manuales!$E$36*(datos_base!$I$3+IF(parametros_manuales!$H$36="Todos",datos_base!$I$10,0))*parametros_manuales!$C$102+parametros_manuales!$F$36*(datos_base!$I$4+IF(parametros_manuales!$H$36="Todos",datos_base!$I$11,0))*parametros_manuales!$C$107+parametros_manuales!$G$36*(datos_base!$I$5+IF(parametros_manuales!$H$36="Todos",datos_base!$I$12,0))*parametros_manuales!$C$112)*parametros_manuales!$I$36*parametros_manuales!$J$36</f>
        <v>19016.20568472</v>
      </c>
      <c r="D215" s="14" t="n">
        <f aca="false">(parametros_manuales!$D$36*(datos_base!$I$2+IF(parametros_manuales!$H$36="Todos",datos_base!$I$9,0))*parametros_manuales!$D$97+parametros_manuales!$E$36*(datos_base!$I$3+IF(parametros_manuales!$H$36="Todos",datos_base!$I$10,0))*parametros_manuales!$D$102+parametros_manuales!$F$36*(datos_base!$I$4+IF(parametros_manuales!$H$36="Todos",datos_base!$I$11,0))*parametros_manuales!$D$107+parametros_manuales!$G$36*(datos_base!$I$5+IF(parametros_manuales!$H$36="Todos",datos_base!$I$12,0))*parametros_manuales!$D$112)*parametros_manuales!$I$36*parametros_manuales!$J$36</f>
        <v>17765.139188765</v>
      </c>
      <c r="E215" s="14" t="n">
        <f aca="false">(parametros_manuales!$D$36*(datos_base!$I$2+IF(parametros_manuales!$H$36="Todos",datos_base!$I$9,0))*parametros_manuales!$E$97+parametros_manuales!$E$36*(datos_base!$I$3+IF(parametros_manuales!$H$36="Todos",datos_base!$I$10,0))*parametros_manuales!$E$102+parametros_manuales!$F$36*(datos_base!$I$4+IF(parametros_manuales!$H$36="Todos",datos_base!$I$11,0))*parametros_manuales!$E$107+parametros_manuales!$G$36*(datos_base!$I$5+IF(parametros_manuales!$H$36="Todos",datos_base!$I$12,0))*parametros_manuales!$E$112)*parametros_manuales!$I$36*parametros_manuales!$J$36</f>
        <v>16984.473796365</v>
      </c>
      <c r="F215" s="14" t="n">
        <f aca="false">(parametros_manuales!$D$36*(datos_base!$I$2+IF(parametros_manuales!$H$36="Todos",datos_base!$I$9,0))*parametros_manuales!$F$97+parametros_manuales!$E$36*(datos_base!$I$3+IF(parametros_manuales!$H$36="Todos",datos_base!$I$10,0))*parametros_manuales!$F$102+parametros_manuales!$F$36*(datos_base!$I$4+IF(parametros_manuales!$H$36="Todos",datos_base!$I$11,0))*parametros_manuales!$F$107+parametros_manuales!$G$36*(datos_base!$I$5+IF(parametros_manuales!$H$36="Todos",datos_base!$I$12,0))*parametros_manuales!$F$112)*parametros_manuales!$I$36*parametros_manuales!$J$36</f>
        <v>15893.54411512</v>
      </c>
      <c r="G215" s="14" t="n">
        <f aca="false">(parametros_manuales!$D$36*(datos_base!$I$2+IF(parametros_manuales!$H$36="Todos",datos_base!$I$9,0))*parametros_manuales!$G$97+parametros_manuales!$E$36*(datos_base!$I$3+IF(parametros_manuales!$H$36="Todos",datos_base!$I$10,0))*parametros_manuales!$G$102+parametros_manuales!$F$36*(datos_base!$I$4+IF(parametros_manuales!$H$36="Todos",datos_base!$I$11,0))*parametros_manuales!$G$107+parametros_manuales!$G$36*(datos_base!$I$5+IF(parametros_manuales!$H$36="Todos",datos_base!$I$12,0))*parametros_manuales!$G$112)*parametros_manuales!$I$36*parametros_manuales!$J$36</f>
        <v>15583.279826275</v>
      </c>
      <c r="H215" s="14" t="n">
        <f aca="false">(parametros_manuales!$D$36*(datos_base!$I$2+IF(parametros_manuales!$H$36="Todos",datos_base!$I$9,0))*parametros_manuales!$H$97+parametros_manuales!$E$36*(datos_base!$I$3+IF(parametros_manuales!$H$36="Todos",datos_base!$I$10,0))*parametros_manuales!$H$102+parametros_manuales!$F$36*(datos_base!$I$4+IF(parametros_manuales!$H$36="Todos",datos_base!$I$11,0))*parametros_manuales!$H$107+parametros_manuales!$G$36*(datos_base!$I$5+IF(parametros_manuales!$H$36="Todos",datos_base!$I$12,0))*parametros_manuales!$H$112)*parametros_manuales!$I$36*parametros_manuales!$J$36</f>
        <v>16674.20950752</v>
      </c>
      <c r="I215" s="14" t="n">
        <f aca="false">(parametros_manuales!$D$36*(datos_base!$I$2+IF(parametros_manuales!$H$36="Todos",datos_base!$I$9,0))*parametros_manuales!$I$97+parametros_manuales!$E$36*(datos_base!$I$3+IF(parametros_manuales!$H$36="Todos",datos_base!$I$10,0))*parametros_manuales!$I$102+parametros_manuales!$F$36*(datos_base!$I$4+IF(parametros_manuales!$H$36="Todos",datos_base!$I$11,0))*parametros_manuales!$I$107+parametros_manuales!$G$36*(datos_base!$I$5+IF(parametros_manuales!$H$36="Todos",datos_base!$I$12,0))*parametros_manuales!$I$112)*parametros_manuales!$I$36*parametros_manuales!$J$36</f>
        <v>19016.20568472</v>
      </c>
      <c r="J215" s="14" t="n">
        <f aca="false">(parametros_manuales!$D$36*(datos_base!$I$2+IF(parametros_manuales!$H$36="Todos",datos_base!$I$9,0))*parametros_manuales!$J$97+parametros_manuales!$E$36*(datos_base!$I$3+IF(parametros_manuales!$H$36="Todos",datos_base!$I$10,0))*parametros_manuales!$J$102+parametros_manuales!$F$36*(datos_base!$I$4+IF(parametros_manuales!$H$36="Todos",datos_base!$I$11,0))*parametros_manuales!$J$107+parametros_manuales!$G$36*(datos_base!$I$5+IF(parametros_manuales!$H$36="Todos",datos_base!$I$12,0))*parametros_manuales!$J$112)*parametros_manuales!$I$36*parametros_manuales!$J$36</f>
        <v>19016.20568472</v>
      </c>
      <c r="K215" s="14" t="n">
        <f aca="false">(parametros_manuales!$D$36*(datos_base!$I$2+IF(parametros_manuales!$H$36="Todos",datos_base!$I$9,0))*parametros_manuales!$K$97+parametros_manuales!$E$36*(datos_base!$I$3+IF(parametros_manuales!$H$36="Todos",datos_base!$I$10,0))*parametros_manuales!$K$102+parametros_manuales!$F$36*(datos_base!$I$4+IF(parametros_manuales!$H$36="Todos",datos_base!$I$11,0))*parametros_manuales!$K$107+parametros_manuales!$G$36*(datos_base!$I$5+IF(parametros_manuales!$H$36="Todos",datos_base!$I$12,0))*parametros_manuales!$K$112)*parametros_manuales!$I$36*parametros_manuales!$J$36</f>
        <v>19326.469973565</v>
      </c>
      <c r="L215" s="14" t="n">
        <f aca="false">(parametros_manuales!$D$36*(datos_base!$I$2+IF(parametros_manuales!$H$36="Todos",datos_base!$I$9,0))*parametros_manuales!$L$97+parametros_manuales!$E$36*(datos_base!$I$3+IF(parametros_manuales!$H$36="Todos",datos_base!$I$10,0))*parametros_manuales!$L$102+parametros_manuales!$F$36*(datos_base!$I$4+IF(parametros_manuales!$H$36="Todos",datos_base!$I$11,0))*parametros_manuales!$L$107+parametros_manuales!$G$36*(datos_base!$I$5+IF(parametros_manuales!$H$36="Todos",datos_base!$I$12,0))*parametros_manuales!$L$112)*parametros_manuales!$I$36*parametros_manuales!$J$36</f>
        <v>19636.73426241</v>
      </c>
      <c r="M215" s="14" t="n">
        <f aca="false">(parametros_manuales!$D$36*(datos_base!$I$2+IF(parametros_manuales!$H$36="Todos",datos_base!$I$9,0))*parametros_manuales!$M$97+parametros_manuales!$E$36*(datos_base!$I$3+IF(parametros_manuales!$H$36="Todos",datos_base!$I$10,0))*parametros_manuales!$M$102+parametros_manuales!$F$36*(datos_base!$I$4+IF(parametros_manuales!$H$36="Todos",datos_base!$I$11,0))*parametros_manuales!$M$107+parametros_manuales!$G$36*(datos_base!$I$5+IF(parametros_manuales!$H$36="Todos",datos_base!$I$12,0))*parametros_manuales!$M$112)*parametros_manuales!$I$36*parametros_manuales!$J$36</f>
        <v>19636.73426241</v>
      </c>
      <c r="N215" s="14" t="n">
        <f aca="false">SUM(B215:M215)</f>
        <v>218185.936249</v>
      </c>
      <c r="O215" s="14" t="n">
        <f aca="false">MAX(B215:M215)</f>
        <v>19636.73426241</v>
      </c>
      <c r="P215" s="57" t="n">
        <f aca="false">O215/(parametros_manuales!$B$7)</f>
        <v>130.9115617494</v>
      </c>
      <c r="Q215" s="13" t="str">
        <f aca="false">IF(O215=0,"-",INDEX($B$197:$M$197,MATCH(O215,B215:M215,0)))</f>
        <v>Ene</v>
      </c>
    </row>
    <row r="216" customFormat="false" ht="14.25" hidden="false" customHeight="true" outlineLevel="0" collapsed="false">
      <c r="A216" s="13" t="str">
        <f aca="false">parametros_manuales!$B$37</f>
        <v>Corrección de defectos</v>
      </c>
      <c r="B216" s="14" t="n">
        <f aca="false">(parametros_manuales!$D$37*(datos_base!$I$2+IF(parametros_manuales!$H$37="Todos",datos_base!$I$9,0))*parametros_manuales!$B$97+parametros_manuales!$E$37*(datos_base!$I$3+IF(parametros_manuales!$H$37="Todos",datos_base!$I$10,0))*parametros_manuales!$B$102+parametros_manuales!$F$37*(datos_base!$I$4+IF(parametros_manuales!$H$37="Todos",datos_base!$I$11,0))*parametros_manuales!$B$107+parametros_manuales!$G$37*(datos_base!$I$5+IF(parametros_manuales!$H$37="Todos",datos_base!$I$12,0))*parametros_manuales!$B$112)*parametros_manuales!$I$37*parametros_manuales!$J$37</f>
        <v>981.8367131205</v>
      </c>
      <c r="C216" s="14" t="n">
        <f aca="false">(parametros_manuales!$D$37*(datos_base!$I$2+IF(parametros_manuales!$H$37="Todos",datos_base!$I$9,0))*parametros_manuales!$C$97+parametros_manuales!$E$37*(datos_base!$I$3+IF(parametros_manuales!$H$37="Todos",datos_base!$I$10,0))*parametros_manuales!$C$102+parametros_manuales!$F$37*(datos_base!$I$4+IF(parametros_manuales!$H$37="Todos",datos_base!$I$11,0))*parametros_manuales!$C$107+parametros_manuales!$G$37*(datos_base!$I$5+IF(parametros_manuales!$H$37="Todos",datos_base!$I$12,0))*parametros_manuales!$C$112)*parametros_manuales!$I$37*parametros_manuales!$J$37</f>
        <v>950.810284236</v>
      </c>
      <c r="D216" s="14" t="n">
        <f aca="false">(parametros_manuales!$D$37*(datos_base!$I$2+IF(parametros_manuales!$H$37="Todos",datos_base!$I$9,0))*parametros_manuales!$D$97+parametros_manuales!$E$37*(datos_base!$I$3+IF(parametros_manuales!$H$37="Todos",datos_base!$I$10,0))*parametros_manuales!$D$102+parametros_manuales!$F$37*(datos_base!$I$4+IF(parametros_manuales!$H$37="Todos",datos_base!$I$11,0))*parametros_manuales!$D$107+parametros_manuales!$G$37*(datos_base!$I$5+IF(parametros_manuales!$H$37="Todos",datos_base!$I$12,0))*parametros_manuales!$D$112)*parametros_manuales!$I$37*parametros_manuales!$J$37</f>
        <v>888.25695943825</v>
      </c>
      <c r="E216" s="14" t="n">
        <f aca="false">(parametros_manuales!$D$37*(datos_base!$I$2+IF(parametros_manuales!$H$37="Todos",datos_base!$I$9,0))*parametros_manuales!$E$97+parametros_manuales!$E$37*(datos_base!$I$3+IF(parametros_manuales!$H$37="Todos",datos_base!$I$10,0))*parametros_manuales!$E$102+parametros_manuales!$F$37*(datos_base!$I$4+IF(parametros_manuales!$H$37="Todos",datos_base!$I$11,0))*parametros_manuales!$E$107+parametros_manuales!$G$37*(datos_base!$I$5+IF(parametros_manuales!$H$37="Todos",datos_base!$I$12,0))*parametros_manuales!$E$112)*parametros_manuales!$I$37*parametros_manuales!$J$37</f>
        <v>849.22368981825</v>
      </c>
      <c r="F216" s="14" t="n">
        <f aca="false">(parametros_manuales!$D$37*(datos_base!$I$2+IF(parametros_manuales!$H$37="Todos",datos_base!$I$9,0))*parametros_manuales!$F$97+parametros_manuales!$E$37*(datos_base!$I$3+IF(parametros_manuales!$H$37="Todos",datos_base!$I$10,0))*parametros_manuales!$F$102+parametros_manuales!$F$37*(datos_base!$I$4+IF(parametros_manuales!$H$37="Todos",datos_base!$I$11,0))*parametros_manuales!$F$107+parametros_manuales!$G$37*(datos_base!$I$5+IF(parametros_manuales!$H$37="Todos",datos_base!$I$12,0))*parametros_manuales!$F$112)*parametros_manuales!$I$37*parametros_manuales!$J$37</f>
        <v>794.677205756</v>
      </c>
      <c r="G216" s="14" t="n">
        <f aca="false">(parametros_manuales!$D$37*(datos_base!$I$2+IF(parametros_manuales!$H$37="Todos",datos_base!$I$9,0))*parametros_manuales!$G$97+parametros_manuales!$E$37*(datos_base!$I$3+IF(parametros_manuales!$H$37="Todos",datos_base!$I$10,0))*parametros_manuales!$G$102+parametros_manuales!$F$37*(datos_base!$I$4+IF(parametros_manuales!$H$37="Todos",datos_base!$I$11,0))*parametros_manuales!$G$107+parametros_manuales!$G$37*(datos_base!$I$5+IF(parametros_manuales!$H$37="Todos",datos_base!$I$12,0))*parametros_manuales!$G$112)*parametros_manuales!$I$37*parametros_manuales!$J$37</f>
        <v>779.16399131375</v>
      </c>
      <c r="H216" s="14" t="n">
        <f aca="false">(parametros_manuales!$D$37*(datos_base!$I$2+IF(parametros_manuales!$H$37="Todos",datos_base!$I$9,0))*parametros_manuales!$H$97+parametros_manuales!$E$37*(datos_base!$I$3+IF(parametros_manuales!$H$37="Todos",datos_base!$I$10,0))*parametros_manuales!$H$102+parametros_manuales!$F$37*(datos_base!$I$4+IF(parametros_manuales!$H$37="Todos",datos_base!$I$11,0))*parametros_manuales!$H$107+parametros_manuales!$G$37*(datos_base!$I$5+IF(parametros_manuales!$H$37="Todos",datos_base!$I$12,0))*parametros_manuales!$H$112)*parametros_manuales!$I$37*parametros_manuales!$J$37</f>
        <v>833.710475376</v>
      </c>
      <c r="I216" s="14" t="n">
        <f aca="false">(parametros_manuales!$D$37*(datos_base!$I$2+IF(parametros_manuales!$H$37="Todos",datos_base!$I$9,0))*parametros_manuales!$I$97+parametros_manuales!$E$37*(datos_base!$I$3+IF(parametros_manuales!$H$37="Todos",datos_base!$I$10,0))*parametros_manuales!$I$102+parametros_manuales!$F$37*(datos_base!$I$4+IF(parametros_manuales!$H$37="Todos",datos_base!$I$11,0))*parametros_manuales!$I$107+parametros_manuales!$G$37*(datos_base!$I$5+IF(parametros_manuales!$H$37="Todos",datos_base!$I$12,0))*parametros_manuales!$I$112)*parametros_manuales!$I$37*parametros_manuales!$J$37</f>
        <v>950.810284236</v>
      </c>
      <c r="J216" s="14" t="n">
        <f aca="false">(parametros_manuales!$D$37*(datos_base!$I$2+IF(parametros_manuales!$H$37="Todos",datos_base!$I$9,0))*parametros_manuales!$J$97+parametros_manuales!$E$37*(datos_base!$I$3+IF(parametros_manuales!$H$37="Todos",datos_base!$I$10,0))*parametros_manuales!$J$102+parametros_manuales!$F$37*(datos_base!$I$4+IF(parametros_manuales!$H$37="Todos",datos_base!$I$11,0))*parametros_manuales!$J$107+parametros_manuales!$G$37*(datos_base!$I$5+IF(parametros_manuales!$H$37="Todos",datos_base!$I$12,0))*parametros_manuales!$J$112)*parametros_manuales!$I$37*parametros_manuales!$J$37</f>
        <v>950.810284236</v>
      </c>
      <c r="K216" s="14" t="n">
        <f aca="false">(parametros_manuales!$D$37*(datos_base!$I$2+IF(parametros_manuales!$H$37="Todos",datos_base!$I$9,0))*parametros_manuales!$K$97+parametros_manuales!$E$37*(datos_base!$I$3+IF(parametros_manuales!$H$37="Todos",datos_base!$I$10,0))*parametros_manuales!$K$102+parametros_manuales!$F$37*(datos_base!$I$4+IF(parametros_manuales!$H$37="Todos",datos_base!$I$11,0))*parametros_manuales!$K$107+parametros_manuales!$G$37*(datos_base!$I$5+IF(parametros_manuales!$H$37="Todos",datos_base!$I$12,0))*parametros_manuales!$K$112)*parametros_manuales!$I$37*parametros_manuales!$J$37</f>
        <v>966.32349867825</v>
      </c>
      <c r="L216" s="14" t="n">
        <f aca="false">(parametros_manuales!$D$37*(datos_base!$I$2+IF(parametros_manuales!$H$37="Todos",datos_base!$I$9,0))*parametros_manuales!$L$97+parametros_manuales!$E$37*(datos_base!$I$3+IF(parametros_manuales!$H$37="Todos",datos_base!$I$10,0))*parametros_manuales!$L$102+parametros_manuales!$F$37*(datos_base!$I$4+IF(parametros_manuales!$H$37="Todos",datos_base!$I$11,0))*parametros_manuales!$L$107+parametros_manuales!$G$37*(datos_base!$I$5+IF(parametros_manuales!$H$37="Todos",datos_base!$I$12,0))*parametros_manuales!$L$112)*parametros_manuales!$I$37*parametros_manuales!$J$37</f>
        <v>981.8367131205</v>
      </c>
      <c r="M216" s="14" t="n">
        <f aca="false">(parametros_manuales!$D$37*(datos_base!$I$2+IF(parametros_manuales!$H$37="Todos",datos_base!$I$9,0))*parametros_manuales!$M$97+parametros_manuales!$E$37*(datos_base!$I$3+IF(parametros_manuales!$H$37="Todos",datos_base!$I$10,0))*parametros_manuales!$M$102+parametros_manuales!$F$37*(datos_base!$I$4+IF(parametros_manuales!$H$37="Todos",datos_base!$I$11,0))*parametros_manuales!$M$107+parametros_manuales!$G$37*(datos_base!$I$5+IF(parametros_manuales!$H$37="Todos",datos_base!$I$12,0))*parametros_manuales!$M$112)*parametros_manuales!$I$37*parametros_manuales!$J$37</f>
        <v>981.8367131205</v>
      </c>
      <c r="N216" s="14" t="n">
        <f aca="false">SUM(B216:M216)</f>
        <v>10909.29681245</v>
      </c>
      <c r="O216" s="14" t="n">
        <f aca="false">MAX(B216:M216)</f>
        <v>981.8367131205</v>
      </c>
      <c r="P216" s="57" t="n">
        <f aca="false">O216/(parametros_manuales!$B$7)</f>
        <v>6.54557808747</v>
      </c>
      <c r="Q216" s="13" t="str">
        <f aca="false">IF(O216=0,"-",INDEX($B$197:$M$197,MATCH(O216,B216:M216,0)))</f>
        <v>Ene</v>
      </c>
    </row>
    <row r="217" customFormat="false" ht="14.25" hidden="false" customHeight="true" outlineLevel="0" collapsed="false">
      <c r="A217" s="13" t="str">
        <f aca="false">parametros_manuales!$B$38</f>
        <v>Pintura en polvo + horno</v>
      </c>
      <c r="B217" s="14" t="n">
        <f aca="false">(parametros_manuales!$D$38*(datos_base!$I$2+IF(parametros_manuales!$H$38="Todos",datos_base!$I$9,0))*parametros_manuales!$B$97+parametros_manuales!$E$38*(datos_base!$I$3+IF(parametros_manuales!$H$38="Todos",datos_base!$I$10,0))*parametros_manuales!$B$102+parametros_manuales!$F$38*(datos_base!$I$4+IF(parametros_manuales!$H$38="Todos",datos_base!$I$11,0))*parametros_manuales!$B$107+parametros_manuales!$G$38*(datos_base!$I$5+IF(parametros_manuales!$H$38="Todos",datos_base!$I$12,0))*parametros_manuales!$B$112)*parametros_manuales!$I$38*parametros_manuales!$J$38</f>
        <v>19636.73426241</v>
      </c>
      <c r="C217" s="14" t="n">
        <f aca="false">(parametros_manuales!$D$38*(datos_base!$I$2+IF(parametros_manuales!$H$38="Todos",datos_base!$I$9,0))*parametros_manuales!$C$97+parametros_manuales!$E$38*(datos_base!$I$3+IF(parametros_manuales!$H$38="Todos",datos_base!$I$10,0))*parametros_manuales!$C$102+parametros_manuales!$F$38*(datos_base!$I$4+IF(parametros_manuales!$H$38="Todos",datos_base!$I$11,0))*parametros_manuales!$C$107+parametros_manuales!$G$38*(datos_base!$I$5+IF(parametros_manuales!$H$38="Todos",datos_base!$I$12,0))*parametros_manuales!$C$112)*parametros_manuales!$I$38*parametros_manuales!$J$38</f>
        <v>19016.20568472</v>
      </c>
      <c r="D217" s="14" t="n">
        <f aca="false">(parametros_manuales!$D$38*(datos_base!$I$2+IF(parametros_manuales!$H$38="Todos",datos_base!$I$9,0))*parametros_manuales!$D$97+parametros_manuales!$E$38*(datos_base!$I$3+IF(parametros_manuales!$H$38="Todos",datos_base!$I$10,0))*parametros_manuales!$D$102+parametros_manuales!$F$38*(datos_base!$I$4+IF(parametros_manuales!$H$38="Todos",datos_base!$I$11,0))*parametros_manuales!$D$107+parametros_manuales!$G$38*(datos_base!$I$5+IF(parametros_manuales!$H$38="Todos",datos_base!$I$12,0))*parametros_manuales!$D$112)*parametros_manuales!$I$38*parametros_manuales!$J$38</f>
        <v>17765.139188765</v>
      </c>
      <c r="E217" s="14" t="n">
        <f aca="false">(parametros_manuales!$D$38*(datos_base!$I$2+IF(parametros_manuales!$H$38="Todos",datos_base!$I$9,0))*parametros_manuales!$E$97+parametros_manuales!$E$38*(datos_base!$I$3+IF(parametros_manuales!$H$38="Todos",datos_base!$I$10,0))*parametros_manuales!$E$102+parametros_manuales!$F$38*(datos_base!$I$4+IF(parametros_manuales!$H$38="Todos",datos_base!$I$11,0))*parametros_manuales!$E$107+parametros_manuales!$G$38*(datos_base!$I$5+IF(parametros_manuales!$H$38="Todos",datos_base!$I$12,0))*parametros_manuales!$E$112)*parametros_manuales!$I$38*parametros_manuales!$J$38</f>
        <v>16984.473796365</v>
      </c>
      <c r="F217" s="14" t="n">
        <f aca="false">(parametros_manuales!$D$38*(datos_base!$I$2+IF(parametros_manuales!$H$38="Todos",datos_base!$I$9,0))*parametros_manuales!$F$97+parametros_manuales!$E$38*(datos_base!$I$3+IF(parametros_manuales!$H$38="Todos",datos_base!$I$10,0))*parametros_manuales!$F$102+parametros_manuales!$F$38*(datos_base!$I$4+IF(parametros_manuales!$H$38="Todos",datos_base!$I$11,0))*parametros_manuales!$F$107+parametros_manuales!$G$38*(datos_base!$I$5+IF(parametros_manuales!$H$38="Todos",datos_base!$I$12,0))*parametros_manuales!$F$112)*parametros_manuales!$I$38*parametros_manuales!$J$38</f>
        <v>15893.54411512</v>
      </c>
      <c r="G217" s="14" t="n">
        <f aca="false">(parametros_manuales!$D$38*(datos_base!$I$2+IF(parametros_manuales!$H$38="Todos",datos_base!$I$9,0))*parametros_manuales!$G$97+parametros_manuales!$E$38*(datos_base!$I$3+IF(parametros_manuales!$H$38="Todos",datos_base!$I$10,0))*parametros_manuales!$G$102+parametros_manuales!$F$38*(datos_base!$I$4+IF(parametros_manuales!$H$38="Todos",datos_base!$I$11,0))*parametros_manuales!$G$107+parametros_manuales!$G$38*(datos_base!$I$5+IF(parametros_manuales!$H$38="Todos",datos_base!$I$12,0))*parametros_manuales!$G$112)*parametros_manuales!$I$38*parametros_manuales!$J$38</f>
        <v>15583.279826275</v>
      </c>
      <c r="H217" s="14" t="n">
        <f aca="false">(parametros_manuales!$D$38*(datos_base!$I$2+IF(parametros_manuales!$H$38="Todos",datos_base!$I$9,0))*parametros_manuales!$H$97+parametros_manuales!$E$38*(datos_base!$I$3+IF(parametros_manuales!$H$38="Todos",datos_base!$I$10,0))*parametros_manuales!$H$102+parametros_manuales!$F$38*(datos_base!$I$4+IF(parametros_manuales!$H$38="Todos",datos_base!$I$11,0))*parametros_manuales!$H$107+parametros_manuales!$G$38*(datos_base!$I$5+IF(parametros_manuales!$H$38="Todos",datos_base!$I$12,0))*parametros_manuales!$H$112)*parametros_manuales!$I$38*parametros_manuales!$J$38</f>
        <v>16674.20950752</v>
      </c>
      <c r="I217" s="14" t="n">
        <f aca="false">(parametros_manuales!$D$38*(datos_base!$I$2+IF(parametros_manuales!$H$38="Todos",datos_base!$I$9,0))*parametros_manuales!$I$97+parametros_manuales!$E$38*(datos_base!$I$3+IF(parametros_manuales!$H$38="Todos",datos_base!$I$10,0))*parametros_manuales!$I$102+parametros_manuales!$F$38*(datos_base!$I$4+IF(parametros_manuales!$H$38="Todos",datos_base!$I$11,0))*parametros_manuales!$I$107+parametros_manuales!$G$38*(datos_base!$I$5+IF(parametros_manuales!$H$38="Todos",datos_base!$I$12,0))*parametros_manuales!$I$112)*parametros_manuales!$I$38*parametros_manuales!$J$38</f>
        <v>19016.20568472</v>
      </c>
      <c r="J217" s="14" t="n">
        <f aca="false">(parametros_manuales!$D$38*(datos_base!$I$2+IF(parametros_manuales!$H$38="Todos",datos_base!$I$9,0))*parametros_manuales!$J$97+parametros_manuales!$E$38*(datos_base!$I$3+IF(parametros_manuales!$H$38="Todos",datos_base!$I$10,0))*parametros_manuales!$J$102+parametros_manuales!$F$38*(datos_base!$I$4+IF(parametros_manuales!$H$38="Todos",datos_base!$I$11,0))*parametros_manuales!$J$107+parametros_manuales!$G$38*(datos_base!$I$5+IF(parametros_manuales!$H$38="Todos",datos_base!$I$12,0))*parametros_manuales!$J$112)*parametros_manuales!$I$38*parametros_manuales!$J$38</f>
        <v>19016.20568472</v>
      </c>
      <c r="K217" s="14" t="n">
        <f aca="false">(parametros_manuales!$D$38*(datos_base!$I$2+IF(parametros_manuales!$H$38="Todos",datos_base!$I$9,0))*parametros_manuales!$K$97+parametros_manuales!$E$38*(datos_base!$I$3+IF(parametros_manuales!$H$38="Todos",datos_base!$I$10,0))*parametros_manuales!$K$102+parametros_manuales!$F$38*(datos_base!$I$4+IF(parametros_manuales!$H$38="Todos",datos_base!$I$11,0))*parametros_manuales!$K$107+parametros_manuales!$G$38*(datos_base!$I$5+IF(parametros_manuales!$H$38="Todos",datos_base!$I$12,0))*parametros_manuales!$K$112)*parametros_manuales!$I$38*parametros_manuales!$J$38</f>
        <v>19326.469973565</v>
      </c>
      <c r="L217" s="14" t="n">
        <f aca="false">(parametros_manuales!$D$38*(datos_base!$I$2+IF(parametros_manuales!$H$38="Todos",datos_base!$I$9,0))*parametros_manuales!$L$97+parametros_manuales!$E$38*(datos_base!$I$3+IF(parametros_manuales!$H$38="Todos",datos_base!$I$10,0))*parametros_manuales!$L$102+parametros_manuales!$F$38*(datos_base!$I$4+IF(parametros_manuales!$H$38="Todos",datos_base!$I$11,0))*parametros_manuales!$L$107+parametros_manuales!$G$38*(datos_base!$I$5+IF(parametros_manuales!$H$38="Todos",datos_base!$I$12,0))*parametros_manuales!$L$112)*parametros_manuales!$I$38*parametros_manuales!$J$38</f>
        <v>19636.73426241</v>
      </c>
      <c r="M217" s="14" t="n">
        <f aca="false">(parametros_manuales!$D$38*(datos_base!$I$2+IF(parametros_manuales!$H$38="Todos",datos_base!$I$9,0))*parametros_manuales!$M$97+parametros_manuales!$E$38*(datos_base!$I$3+IF(parametros_manuales!$H$38="Todos",datos_base!$I$10,0))*parametros_manuales!$M$102+parametros_manuales!$F$38*(datos_base!$I$4+IF(parametros_manuales!$H$38="Todos",datos_base!$I$11,0))*parametros_manuales!$M$107+parametros_manuales!$G$38*(datos_base!$I$5+IF(parametros_manuales!$H$38="Todos",datos_base!$I$12,0))*parametros_manuales!$M$112)*parametros_manuales!$I$38*parametros_manuales!$J$38</f>
        <v>19636.73426241</v>
      </c>
      <c r="N217" s="14" t="n">
        <f aca="false">SUM(B217:M217)</f>
        <v>218185.936249</v>
      </c>
      <c r="O217" s="14" t="n">
        <f aca="false">MAX(B217:M217)</f>
        <v>19636.73426241</v>
      </c>
      <c r="P217" s="57" t="n">
        <f aca="false">O217/(parametros_manuales!$B$7)</f>
        <v>130.9115617494</v>
      </c>
      <c r="Q217" s="13" t="str">
        <f aca="false">IF(O217=0,"-",INDEX($B$197:$M$197,MATCH(O217,B217:M217,0)))</f>
        <v>Ene</v>
      </c>
    </row>
    <row r="218" customFormat="false" ht="14.25" hidden="false" customHeight="true" outlineLevel="0" collapsed="false">
      <c r="A218" s="13" t="str">
        <f aca="false">parametros_manuales!$B$39</f>
        <v>Carga de polvo</v>
      </c>
      <c r="B218" s="14" t="n">
        <f aca="false">(parametros_manuales!$D$39*(datos_base!$I$2+IF(parametros_manuales!$H$39="Todos",datos_base!$I$9,0))*parametros_manuales!$B$97+parametros_manuales!$E$39*(datos_base!$I$3+IF(parametros_manuales!$H$39="Todos",datos_base!$I$10,0))*parametros_manuales!$B$102+parametros_manuales!$F$39*(datos_base!$I$4+IF(parametros_manuales!$H$39="Todos",datos_base!$I$11,0))*parametros_manuales!$B$107+parametros_manuales!$G$39*(datos_base!$I$5+IF(parametros_manuales!$H$39="Todos",datos_base!$I$12,0))*parametros_manuales!$B$112)*parametros_manuales!$I$39*parametros_manuales!$J$39</f>
        <v>4957.22306241</v>
      </c>
      <c r="C218" s="14" t="n">
        <f aca="false">(parametros_manuales!$D$39*(datos_base!$I$2+IF(parametros_manuales!$H$39="Todos",datos_base!$I$9,0))*parametros_manuales!$C$97+parametros_manuales!$E$39*(datos_base!$I$3+IF(parametros_manuales!$H$39="Todos",datos_base!$I$10,0))*parametros_manuales!$C$102+parametros_manuales!$F$39*(datos_base!$I$4+IF(parametros_manuales!$H$39="Todos",datos_base!$I$11,0))*parametros_manuales!$C$107+parametros_manuales!$G$39*(datos_base!$I$5+IF(parametros_manuales!$H$39="Todos",datos_base!$I$12,0))*parametros_manuales!$C$112)*parametros_manuales!$I$39*parametros_manuales!$J$39</f>
        <v>4657.74128472</v>
      </c>
      <c r="D218" s="14" t="n">
        <f aca="false">(parametros_manuales!$D$39*(datos_base!$I$2+IF(parametros_manuales!$H$39="Todos",datos_base!$I$9,0))*parametros_manuales!$D$97+parametros_manuales!$E$39*(datos_base!$I$3+IF(parametros_manuales!$H$39="Todos",datos_base!$I$10,0))*parametros_manuales!$D$102+parametros_manuales!$F$39*(datos_base!$I$4+IF(parametros_manuales!$H$39="Todos",datos_base!$I$11,0))*parametros_manuales!$D$107+parametros_manuales!$G$39*(datos_base!$I$5+IF(parametros_manuales!$H$39="Todos",datos_base!$I$12,0))*parametros_manuales!$D$112)*parametros_manuales!$I$39*parametros_manuales!$J$39</f>
        <v>4556.161388765</v>
      </c>
      <c r="E218" s="14" t="n">
        <f aca="false">(parametros_manuales!$D$39*(datos_base!$I$2+IF(parametros_manuales!$H$39="Todos",datos_base!$I$9,0))*parametros_manuales!$E$97+parametros_manuales!$E$39*(datos_base!$I$3+IF(parametros_manuales!$H$39="Todos",datos_base!$I$10,0))*parametros_manuales!$E$102+parametros_manuales!$F$39*(datos_base!$I$4+IF(parametros_manuales!$H$39="Todos",datos_base!$I$11,0))*parametros_manuales!$E$107+parametros_manuales!$G$39*(datos_base!$I$5+IF(parametros_manuales!$H$39="Todos",datos_base!$I$12,0))*parametros_manuales!$E$112)*parametros_manuales!$I$39*parametros_manuales!$J$39</f>
        <v>4430.500996365</v>
      </c>
      <c r="F218" s="14" t="n">
        <f aca="false">(parametros_manuales!$D$39*(datos_base!$I$2+IF(parametros_manuales!$H$39="Todos",datos_base!$I$9,0))*parametros_manuales!$F$97+parametros_manuales!$E$39*(datos_base!$I$3+IF(parametros_manuales!$H$39="Todos",datos_base!$I$10,0))*parametros_manuales!$F$102+parametros_manuales!$F$39*(datos_base!$I$4+IF(parametros_manuales!$H$39="Todos",datos_base!$I$11,0))*parametros_manuales!$F$107+parametros_manuales!$G$39*(datos_base!$I$5+IF(parametros_manuales!$H$39="Todos",datos_base!$I$12,0))*parametros_manuales!$F$112)*parametros_manuales!$I$39*parametros_manuales!$J$39</f>
        <v>4155.09971512</v>
      </c>
      <c r="G218" s="14" t="n">
        <f aca="false">(parametros_manuales!$D$39*(datos_base!$I$2+IF(parametros_manuales!$H$39="Todos",datos_base!$I$9,0))*parametros_manuales!$G$97+parametros_manuales!$E$39*(datos_base!$I$3+IF(parametros_manuales!$H$39="Todos",datos_base!$I$10,0))*parametros_manuales!$G$102+parametros_manuales!$F$39*(datos_base!$I$4+IF(parametros_manuales!$H$39="Todos",datos_base!$I$11,0))*parametros_manuales!$G$107+parametros_manuales!$G$39*(datos_base!$I$5+IF(parametros_manuales!$H$39="Todos",datos_base!$I$12,0))*parametros_manuales!$G$112)*parametros_manuales!$I$39*parametros_manuales!$J$39</f>
        <v>4005.358826275</v>
      </c>
      <c r="H218" s="14" t="n">
        <f aca="false">(parametros_manuales!$D$39*(datos_base!$I$2+IF(parametros_manuales!$H$39="Todos",datos_base!$I$9,0))*parametros_manuales!$H$97+parametros_manuales!$E$39*(datos_base!$I$3+IF(parametros_manuales!$H$39="Todos",datos_base!$I$10,0))*parametros_manuales!$H$102+parametros_manuales!$F$39*(datos_base!$I$4+IF(parametros_manuales!$H$39="Todos",datos_base!$I$11,0))*parametros_manuales!$H$107+parametros_manuales!$G$39*(datos_base!$I$5+IF(parametros_manuales!$H$39="Todos",datos_base!$I$12,0))*parametros_manuales!$H$112)*parametros_manuales!$I$39*parametros_manuales!$J$39</f>
        <v>4280.76010752</v>
      </c>
      <c r="I218" s="14" t="n">
        <f aca="false">(parametros_manuales!$D$39*(datos_base!$I$2+IF(parametros_manuales!$H$39="Todos",datos_base!$I$9,0))*parametros_manuales!$I$97+parametros_manuales!$E$39*(datos_base!$I$3+IF(parametros_manuales!$H$39="Todos",datos_base!$I$10,0))*parametros_manuales!$I$102+parametros_manuales!$F$39*(datos_base!$I$4+IF(parametros_manuales!$H$39="Todos",datos_base!$I$11,0))*parametros_manuales!$I$107+parametros_manuales!$G$39*(datos_base!$I$5+IF(parametros_manuales!$H$39="Todos",datos_base!$I$12,0))*parametros_manuales!$I$112)*parametros_manuales!$I$39*parametros_manuales!$J$39</f>
        <v>4657.74128472</v>
      </c>
      <c r="J218" s="14" t="n">
        <f aca="false">(parametros_manuales!$D$39*(datos_base!$I$2+IF(parametros_manuales!$H$39="Todos",datos_base!$I$9,0))*parametros_manuales!$J$97+parametros_manuales!$E$39*(datos_base!$I$3+IF(parametros_manuales!$H$39="Todos",datos_base!$I$10,0))*parametros_manuales!$J$102+parametros_manuales!$F$39*(datos_base!$I$4+IF(parametros_manuales!$H$39="Todos",datos_base!$I$11,0))*parametros_manuales!$J$107+parametros_manuales!$G$39*(datos_base!$I$5+IF(parametros_manuales!$H$39="Todos",datos_base!$I$12,0))*parametros_manuales!$J$112)*parametros_manuales!$I$39*parametros_manuales!$J$39</f>
        <v>4657.74128472</v>
      </c>
      <c r="K218" s="14" t="n">
        <f aca="false">(parametros_manuales!$D$39*(datos_base!$I$2+IF(parametros_manuales!$H$39="Todos",datos_base!$I$9,0))*parametros_manuales!$K$97+parametros_manuales!$E$39*(datos_base!$I$3+IF(parametros_manuales!$H$39="Todos",datos_base!$I$10,0))*parametros_manuales!$K$102+parametros_manuales!$F$39*(datos_base!$I$4+IF(parametros_manuales!$H$39="Todos",datos_base!$I$11,0))*parametros_manuales!$K$107+parametros_manuales!$G$39*(datos_base!$I$5+IF(parametros_manuales!$H$39="Todos",datos_base!$I$12,0))*parametros_manuales!$K$112)*parametros_manuales!$I$39*parametros_manuales!$J$39</f>
        <v>4807.482173565</v>
      </c>
      <c r="L218" s="14" t="n">
        <f aca="false">(parametros_manuales!$D$39*(datos_base!$I$2+IF(parametros_manuales!$H$39="Todos",datos_base!$I$9,0))*parametros_manuales!$L$97+parametros_manuales!$E$39*(datos_base!$I$3+IF(parametros_manuales!$H$39="Todos",datos_base!$I$10,0))*parametros_manuales!$L$102+parametros_manuales!$F$39*(datos_base!$I$4+IF(parametros_manuales!$H$39="Todos",datos_base!$I$11,0))*parametros_manuales!$L$107+parametros_manuales!$G$39*(datos_base!$I$5+IF(parametros_manuales!$H$39="Todos",datos_base!$I$12,0))*parametros_manuales!$L$112)*parametros_manuales!$I$39*parametros_manuales!$J$39</f>
        <v>4957.22306241</v>
      </c>
      <c r="M218" s="14" t="n">
        <f aca="false">(parametros_manuales!$D$39*(datos_base!$I$2+IF(parametros_manuales!$H$39="Todos",datos_base!$I$9,0))*parametros_manuales!$M$97+parametros_manuales!$E$39*(datos_base!$I$3+IF(parametros_manuales!$H$39="Todos",datos_base!$I$10,0))*parametros_manuales!$M$102+parametros_manuales!$F$39*(datos_base!$I$4+IF(parametros_manuales!$H$39="Todos",datos_base!$I$11,0))*parametros_manuales!$M$107+parametros_manuales!$G$39*(datos_base!$I$5+IF(parametros_manuales!$H$39="Todos",datos_base!$I$12,0))*parametros_manuales!$M$112)*parametros_manuales!$I$39*parametros_manuales!$J$39</f>
        <v>4957.22306241</v>
      </c>
      <c r="N218" s="14" t="n">
        <f aca="false">SUM(B218:M218)</f>
        <v>55080.256249</v>
      </c>
      <c r="O218" s="14" t="n">
        <f aca="false">MAX(B218:M218)</f>
        <v>4957.22306241</v>
      </c>
      <c r="P218" s="57" t="n">
        <f aca="false">O218/(parametros_manuales!$B$7)</f>
        <v>33.0481537494</v>
      </c>
      <c r="Q218" s="13" t="str">
        <f aca="false">IF(O218=0,"-",INDEX($B$197:$M$197,MATCH(O218,B218:M218,0)))</f>
        <v>Ene</v>
      </c>
    </row>
    <row r="219" customFormat="false" ht="14.25" hidden="false" customHeight="true" outlineLevel="0" collapsed="false">
      <c r="A219" s="13" t="str">
        <f aca="false">parametros_manuales!$B$40</f>
        <v>Ensamblaje</v>
      </c>
      <c r="B219" s="14" t="n">
        <f aca="false">(parametros_manuales!$D$40*(datos_base!$I$2+IF(parametros_manuales!$H$40="Todos",datos_base!$I$9,0))*parametros_manuales!$B$97+parametros_manuales!$E$40*(datos_base!$I$3+IF(parametros_manuales!$H$40="Todos",datos_base!$I$10,0))*parametros_manuales!$B$102+parametros_manuales!$F$40*(datos_base!$I$4+IF(parametros_manuales!$H$40="Todos",datos_base!$I$11,0))*parametros_manuales!$B$107+parametros_manuales!$G$40*(datos_base!$I$5+IF(parametros_manuales!$H$40="Todos",datos_base!$I$12,0))*parametros_manuales!$B$112)*parametros_manuales!$I$40*parametros_manuales!$J$40</f>
        <v>4957.22306241</v>
      </c>
      <c r="C219" s="14" t="n">
        <f aca="false">(parametros_manuales!$D$40*(datos_base!$I$2+IF(parametros_manuales!$H$40="Todos",datos_base!$I$9,0))*parametros_manuales!$C$97+parametros_manuales!$E$40*(datos_base!$I$3+IF(parametros_manuales!$H$40="Todos",datos_base!$I$10,0))*parametros_manuales!$C$102+parametros_manuales!$F$40*(datos_base!$I$4+IF(parametros_manuales!$H$40="Todos",datos_base!$I$11,0))*parametros_manuales!$C$107+parametros_manuales!$G$40*(datos_base!$I$5+IF(parametros_manuales!$H$40="Todos",datos_base!$I$12,0))*parametros_manuales!$C$112)*parametros_manuales!$I$40*parametros_manuales!$J$40</f>
        <v>4657.74128472</v>
      </c>
      <c r="D219" s="14" t="n">
        <f aca="false">(parametros_manuales!$D$40*(datos_base!$I$2+IF(parametros_manuales!$H$40="Todos",datos_base!$I$9,0))*parametros_manuales!$D$97+parametros_manuales!$E$40*(datos_base!$I$3+IF(parametros_manuales!$H$40="Todos",datos_base!$I$10,0))*parametros_manuales!$D$102+parametros_manuales!$F$40*(datos_base!$I$4+IF(parametros_manuales!$H$40="Todos",datos_base!$I$11,0))*parametros_manuales!$D$107+parametros_manuales!$G$40*(datos_base!$I$5+IF(parametros_manuales!$H$40="Todos",datos_base!$I$12,0))*parametros_manuales!$D$112)*parametros_manuales!$I$40*parametros_manuales!$J$40</f>
        <v>4556.161388765</v>
      </c>
      <c r="E219" s="14" t="n">
        <f aca="false">(parametros_manuales!$D$40*(datos_base!$I$2+IF(parametros_manuales!$H$40="Todos",datos_base!$I$9,0))*parametros_manuales!$E$97+parametros_manuales!$E$40*(datos_base!$I$3+IF(parametros_manuales!$H$40="Todos",datos_base!$I$10,0))*parametros_manuales!$E$102+parametros_manuales!$F$40*(datos_base!$I$4+IF(parametros_manuales!$H$40="Todos",datos_base!$I$11,0))*parametros_manuales!$E$107+parametros_manuales!$G$40*(datos_base!$I$5+IF(parametros_manuales!$H$40="Todos",datos_base!$I$12,0))*parametros_manuales!$E$112)*parametros_manuales!$I$40*parametros_manuales!$J$40</f>
        <v>4430.500996365</v>
      </c>
      <c r="F219" s="14" t="n">
        <f aca="false">(parametros_manuales!$D$40*(datos_base!$I$2+IF(parametros_manuales!$H$40="Todos",datos_base!$I$9,0))*parametros_manuales!$F$97+parametros_manuales!$E$40*(datos_base!$I$3+IF(parametros_manuales!$H$40="Todos",datos_base!$I$10,0))*parametros_manuales!$F$102+parametros_manuales!$F$40*(datos_base!$I$4+IF(parametros_manuales!$H$40="Todos",datos_base!$I$11,0))*parametros_manuales!$F$107+parametros_manuales!$G$40*(datos_base!$I$5+IF(parametros_manuales!$H$40="Todos",datos_base!$I$12,0))*parametros_manuales!$F$112)*parametros_manuales!$I$40*parametros_manuales!$J$40</f>
        <v>4155.09971512</v>
      </c>
      <c r="G219" s="14" t="n">
        <f aca="false">(parametros_manuales!$D$40*(datos_base!$I$2+IF(parametros_manuales!$H$40="Todos",datos_base!$I$9,0))*parametros_manuales!$G$97+parametros_manuales!$E$40*(datos_base!$I$3+IF(parametros_manuales!$H$40="Todos",datos_base!$I$10,0))*parametros_manuales!$G$102+parametros_manuales!$F$40*(datos_base!$I$4+IF(parametros_manuales!$H$40="Todos",datos_base!$I$11,0))*parametros_manuales!$G$107+parametros_manuales!$G$40*(datos_base!$I$5+IF(parametros_manuales!$H$40="Todos",datos_base!$I$12,0))*parametros_manuales!$G$112)*parametros_manuales!$I$40*parametros_manuales!$J$40</f>
        <v>4005.358826275</v>
      </c>
      <c r="H219" s="14" t="n">
        <f aca="false">(parametros_manuales!$D$40*(datos_base!$I$2+IF(parametros_manuales!$H$40="Todos",datos_base!$I$9,0))*parametros_manuales!$H$97+parametros_manuales!$E$40*(datos_base!$I$3+IF(parametros_manuales!$H$40="Todos",datos_base!$I$10,0))*parametros_manuales!$H$102+parametros_manuales!$F$40*(datos_base!$I$4+IF(parametros_manuales!$H$40="Todos",datos_base!$I$11,0))*parametros_manuales!$H$107+parametros_manuales!$G$40*(datos_base!$I$5+IF(parametros_manuales!$H$40="Todos",datos_base!$I$12,0))*parametros_manuales!$H$112)*parametros_manuales!$I$40*parametros_manuales!$J$40</f>
        <v>4280.76010752</v>
      </c>
      <c r="I219" s="14" t="n">
        <f aca="false">(parametros_manuales!$D$40*(datos_base!$I$2+IF(parametros_manuales!$H$40="Todos",datos_base!$I$9,0))*parametros_manuales!$I$97+parametros_manuales!$E$40*(datos_base!$I$3+IF(parametros_manuales!$H$40="Todos",datos_base!$I$10,0))*parametros_manuales!$I$102+parametros_manuales!$F$40*(datos_base!$I$4+IF(parametros_manuales!$H$40="Todos",datos_base!$I$11,0))*parametros_manuales!$I$107+parametros_manuales!$G$40*(datos_base!$I$5+IF(parametros_manuales!$H$40="Todos",datos_base!$I$12,0))*parametros_manuales!$I$112)*parametros_manuales!$I$40*parametros_manuales!$J$40</f>
        <v>4657.74128472</v>
      </c>
      <c r="J219" s="14" t="n">
        <f aca="false">(parametros_manuales!$D$40*(datos_base!$I$2+IF(parametros_manuales!$H$40="Todos",datos_base!$I$9,0))*parametros_manuales!$J$97+parametros_manuales!$E$40*(datos_base!$I$3+IF(parametros_manuales!$H$40="Todos",datos_base!$I$10,0))*parametros_manuales!$J$102+parametros_manuales!$F$40*(datos_base!$I$4+IF(parametros_manuales!$H$40="Todos",datos_base!$I$11,0))*parametros_manuales!$J$107+parametros_manuales!$G$40*(datos_base!$I$5+IF(parametros_manuales!$H$40="Todos",datos_base!$I$12,0))*parametros_manuales!$J$112)*parametros_manuales!$I$40*parametros_manuales!$J$40</f>
        <v>4657.74128472</v>
      </c>
      <c r="K219" s="14" t="n">
        <f aca="false">(parametros_manuales!$D$40*(datos_base!$I$2+IF(parametros_manuales!$H$40="Todos",datos_base!$I$9,0))*parametros_manuales!$K$97+parametros_manuales!$E$40*(datos_base!$I$3+IF(parametros_manuales!$H$40="Todos",datos_base!$I$10,0))*parametros_manuales!$K$102+parametros_manuales!$F$40*(datos_base!$I$4+IF(parametros_manuales!$H$40="Todos",datos_base!$I$11,0))*parametros_manuales!$K$107+parametros_manuales!$G$40*(datos_base!$I$5+IF(parametros_manuales!$H$40="Todos",datos_base!$I$12,0))*parametros_manuales!$K$112)*parametros_manuales!$I$40*parametros_manuales!$J$40</f>
        <v>4807.482173565</v>
      </c>
      <c r="L219" s="14" t="n">
        <f aca="false">(parametros_manuales!$D$40*(datos_base!$I$2+IF(parametros_manuales!$H$40="Todos",datos_base!$I$9,0))*parametros_manuales!$L$97+parametros_manuales!$E$40*(datos_base!$I$3+IF(parametros_manuales!$H$40="Todos",datos_base!$I$10,0))*parametros_manuales!$L$102+parametros_manuales!$F$40*(datos_base!$I$4+IF(parametros_manuales!$H$40="Todos",datos_base!$I$11,0))*parametros_manuales!$L$107+parametros_manuales!$G$40*(datos_base!$I$5+IF(parametros_manuales!$H$40="Todos",datos_base!$I$12,0))*parametros_manuales!$L$112)*parametros_manuales!$I$40*parametros_manuales!$J$40</f>
        <v>4957.22306241</v>
      </c>
      <c r="M219" s="14" t="n">
        <f aca="false">(parametros_manuales!$D$40*(datos_base!$I$2+IF(parametros_manuales!$H$40="Todos",datos_base!$I$9,0))*parametros_manuales!$M$97+parametros_manuales!$E$40*(datos_base!$I$3+IF(parametros_manuales!$H$40="Todos",datos_base!$I$10,0))*parametros_manuales!$M$102+parametros_manuales!$F$40*(datos_base!$I$4+IF(parametros_manuales!$H$40="Todos",datos_base!$I$11,0))*parametros_manuales!$M$107+parametros_manuales!$G$40*(datos_base!$I$5+IF(parametros_manuales!$H$40="Todos",datos_base!$I$12,0))*parametros_manuales!$M$112)*parametros_manuales!$I$40*parametros_manuales!$J$40</f>
        <v>4957.22306241</v>
      </c>
      <c r="N219" s="14" t="n">
        <f aca="false">SUM(B219:M219)</f>
        <v>55080.256249</v>
      </c>
      <c r="O219" s="14" t="n">
        <f aca="false">MAX(B219:M219)</f>
        <v>4957.22306241</v>
      </c>
      <c r="P219" s="57" t="n">
        <f aca="false">O219/(parametros_manuales!$B$7)</f>
        <v>33.0481537494</v>
      </c>
      <c r="Q219" s="13" t="str">
        <f aca="false">IF(O219=0,"-",INDEX($B$197:$M$197,MATCH(O219,B219:M219,0)))</f>
        <v>Ene</v>
      </c>
    </row>
    <row r="220" customFormat="false" ht="14.25" hidden="false" customHeight="true" outlineLevel="0" collapsed="false">
      <c r="A220" s="13" t="str">
        <f aca="false">parametros_manuales!$B$41</f>
        <v>Presurización</v>
      </c>
      <c r="B220" s="14" t="n">
        <f aca="false">(parametros_manuales!$D$41*(datos_base!$I$2+IF(parametros_manuales!$H$41="Todos",datos_base!$I$9,0))*parametros_manuales!$B$97+parametros_manuales!$E$41*(datos_base!$I$3+IF(parametros_manuales!$H$41="Todos",datos_base!$I$10,0))*parametros_manuales!$B$102+parametros_manuales!$F$41*(datos_base!$I$4+IF(parametros_manuales!$H$41="Todos",datos_base!$I$11,0))*parametros_manuales!$B$107+parametros_manuales!$G$41*(datos_base!$I$5+IF(parametros_manuales!$H$41="Todos",datos_base!$I$12,0))*parametros_manuales!$B$112)*parametros_manuales!$I$41*parametros_manuales!$J$41</f>
        <v>4957.22306241</v>
      </c>
      <c r="C220" s="14" t="n">
        <f aca="false">(parametros_manuales!$D$41*(datos_base!$I$2+IF(parametros_manuales!$H$41="Todos",datos_base!$I$9,0))*parametros_manuales!$C$97+parametros_manuales!$E$41*(datos_base!$I$3+IF(parametros_manuales!$H$41="Todos",datos_base!$I$10,0))*parametros_manuales!$C$102+parametros_manuales!$F$41*(datos_base!$I$4+IF(parametros_manuales!$H$41="Todos",datos_base!$I$11,0))*parametros_manuales!$C$107+parametros_manuales!$G$41*(datos_base!$I$5+IF(parametros_manuales!$H$41="Todos",datos_base!$I$12,0))*parametros_manuales!$C$112)*parametros_manuales!$I$41*parametros_manuales!$J$41</f>
        <v>4657.74128472</v>
      </c>
      <c r="D220" s="14" t="n">
        <f aca="false">(parametros_manuales!$D$41*(datos_base!$I$2+IF(parametros_manuales!$H$41="Todos",datos_base!$I$9,0))*parametros_manuales!$D$97+parametros_manuales!$E$41*(datos_base!$I$3+IF(parametros_manuales!$H$41="Todos",datos_base!$I$10,0))*parametros_manuales!$D$102+parametros_manuales!$F$41*(datos_base!$I$4+IF(parametros_manuales!$H$41="Todos",datos_base!$I$11,0))*parametros_manuales!$D$107+parametros_manuales!$G$41*(datos_base!$I$5+IF(parametros_manuales!$H$41="Todos",datos_base!$I$12,0))*parametros_manuales!$D$112)*parametros_manuales!$I$41*parametros_manuales!$J$41</f>
        <v>4556.161388765</v>
      </c>
      <c r="E220" s="14" t="n">
        <f aca="false">(parametros_manuales!$D$41*(datos_base!$I$2+IF(parametros_manuales!$H$41="Todos",datos_base!$I$9,0))*parametros_manuales!$E$97+parametros_manuales!$E$41*(datos_base!$I$3+IF(parametros_manuales!$H$41="Todos",datos_base!$I$10,0))*parametros_manuales!$E$102+parametros_manuales!$F$41*(datos_base!$I$4+IF(parametros_manuales!$H$41="Todos",datos_base!$I$11,0))*parametros_manuales!$E$107+parametros_manuales!$G$41*(datos_base!$I$5+IF(parametros_manuales!$H$41="Todos",datos_base!$I$12,0))*parametros_manuales!$E$112)*parametros_manuales!$I$41*parametros_manuales!$J$41</f>
        <v>4430.500996365</v>
      </c>
      <c r="F220" s="14" t="n">
        <f aca="false">(parametros_manuales!$D$41*(datos_base!$I$2+IF(parametros_manuales!$H$41="Todos",datos_base!$I$9,0))*parametros_manuales!$F$97+parametros_manuales!$E$41*(datos_base!$I$3+IF(parametros_manuales!$H$41="Todos",datos_base!$I$10,0))*parametros_manuales!$F$102+parametros_manuales!$F$41*(datos_base!$I$4+IF(parametros_manuales!$H$41="Todos",datos_base!$I$11,0))*parametros_manuales!$F$107+parametros_manuales!$G$41*(datos_base!$I$5+IF(parametros_manuales!$H$41="Todos",datos_base!$I$12,0))*parametros_manuales!$F$112)*parametros_manuales!$I$41*parametros_manuales!$J$41</f>
        <v>4155.09971512</v>
      </c>
      <c r="G220" s="14" t="n">
        <f aca="false">(parametros_manuales!$D$41*(datos_base!$I$2+IF(parametros_manuales!$H$41="Todos",datos_base!$I$9,0))*parametros_manuales!$G$97+parametros_manuales!$E$41*(datos_base!$I$3+IF(parametros_manuales!$H$41="Todos",datos_base!$I$10,0))*parametros_manuales!$G$102+parametros_manuales!$F$41*(datos_base!$I$4+IF(parametros_manuales!$H$41="Todos",datos_base!$I$11,0))*parametros_manuales!$G$107+parametros_manuales!$G$41*(datos_base!$I$5+IF(parametros_manuales!$H$41="Todos",datos_base!$I$12,0))*parametros_manuales!$G$112)*parametros_manuales!$I$41*parametros_manuales!$J$41</f>
        <v>4005.358826275</v>
      </c>
      <c r="H220" s="14" t="n">
        <f aca="false">(parametros_manuales!$D$41*(datos_base!$I$2+IF(parametros_manuales!$H$41="Todos",datos_base!$I$9,0))*parametros_manuales!$H$97+parametros_manuales!$E$41*(datos_base!$I$3+IF(parametros_manuales!$H$41="Todos",datos_base!$I$10,0))*parametros_manuales!$H$102+parametros_manuales!$F$41*(datos_base!$I$4+IF(parametros_manuales!$H$41="Todos",datos_base!$I$11,0))*parametros_manuales!$H$107+parametros_manuales!$G$41*(datos_base!$I$5+IF(parametros_manuales!$H$41="Todos",datos_base!$I$12,0))*parametros_manuales!$H$112)*parametros_manuales!$I$41*parametros_manuales!$J$41</f>
        <v>4280.76010752</v>
      </c>
      <c r="I220" s="14" t="n">
        <f aca="false">(parametros_manuales!$D$41*(datos_base!$I$2+IF(parametros_manuales!$H$41="Todos",datos_base!$I$9,0))*parametros_manuales!$I$97+parametros_manuales!$E$41*(datos_base!$I$3+IF(parametros_manuales!$H$41="Todos",datos_base!$I$10,0))*parametros_manuales!$I$102+parametros_manuales!$F$41*(datos_base!$I$4+IF(parametros_manuales!$H$41="Todos",datos_base!$I$11,0))*parametros_manuales!$I$107+parametros_manuales!$G$41*(datos_base!$I$5+IF(parametros_manuales!$H$41="Todos",datos_base!$I$12,0))*parametros_manuales!$I$112)*parametros_manuales!$I$41*parametros_manuales!$J$41</f>
        <v>4657.74128472</v>
      </c>
      <c r="J220" s="14" t="n">
        <f aca="false">(parametros_manuales!$D$41*(datos_base!$I$2+IF(parametros_manuales!$H$41="Todos",datos_base!$I$9,0))*parametros_manuales!$J$97+parametros_manuales!$E$41*(datos_base!$I$3+IF(parametros_manuales!$H$41="Todos",datos_base!$I$10,0))*parametros_manuales!$J$102+parametros_manuales!$F$41*(datos_base!$I$4+IF(parametros_manuales!$H$41="Todos",datos_base!$I$11,0))*parametros_manuales!$J$107+parametros_manuales!$G$41*(datos_base!$I$5+IF(parametros_manuales!$H$41="Todos",datos_base!$I$12,0))*parametros_manuales!$J$112)*parametros_manuales!$I$41*parametros_manuales!$J$41</f>
        <v>4657.74128472</v>
      </c>
      <c r="K220" s="14" t="n">
        <f aca="false">(parametros_manuales!$D$41*(datos_base!$I$2+IF(parametros_manuales!$H$41="Todos",datos_base!$I$9,0))*parametros_manuales!$K$97+parametros_manuales!$E$41*(datos_base!$I$3+IF(parametros_manuales!$H$41="Todos",datos_base!$I$10,0))*parametros_manuales!$K$102+parametros_manuales!$F$41*(datos_base!$I$4+IF(parametros_manuales!$H$41="Todos",datos_base!$I$11,0))*parametros_manuales!$K$107+parametros_manuales!$G$41*(datos_base!$I$5+IF(parametros_manuales!$H$41="Todos",datos_base!$I$12,0))*parametros_manuales!$K$112)*parametros_manuales!$I$41*parametros_manuales!$J$41</f>
        <v>4807.482173565</v>
      </c>
      <c r="L220" s="14" t="n">
        <f aca="false">(parametros_manuales!$D$41*(datos_base!$I$2+IF(parametros_manuales!$H$41="Todos",datos_base!$I$9,0))*parametros_manuales!$L$97+parametros_manuales!$E$41*(datos_base!$I$3+IF(parametros_manuales!$H$41="Todos",datos_base!$I$10,0))*parametros_manuales!$L$102+parametros_manuales!$F$41*(datos_base!$I$4+IF(parametros_manuales!$H$41="Todos",datos_base!$I$11,0))*parametros_manuales!$L$107+parametros_manuales!$G$41*(datos_base!$I$5+IF(parametros_manuales!$H$41="Todos",datos_base!$I$12,0))*parametros_manuales!$L$112)*parametros_manuales!$I$41*parametros_manuales!$J$41</f>
        <v>4957.22306241</v>
      </c>
      <c r="M220" s="14" t="n">
        <f aca="false">(parametros_manuales!$D$41*(datos_base!$I$2+IF(parametros_manuales!$H$41="Todos",datos_base!$I$9,0))*parametros_manuales!$M$97+parametros_manuales!$E$41*(datos_base!$I$3+IF(parametros_manuales!$H$41="Todos",datos_base!$I$10,0))*parametros_manuales!$M$102+parametros_manuales!$F$41*(datos_base!$I$4+IF(parametros_manuales!$H$41="Todos",datos_base!$I$11,0))*parametros_manuales!$M$107+parametros_manuales!$G$41*(datos_base!$I$5+IF(parametros_manuales!$H$41="Todos",datos_base!$I$12,0))*parametros_manuales!$M$112)*parametros_manuales!$I$41*parametros_manuales!$J$41</f>
        <v>4957.22306241</v>
      </c>
      <c r="N220" s="14" t="n">
        <f aca="false">SUM(B220:M220)</f>
        <v>55080.256249</v>
      </c>
      <c r="O220" s="14" t="n">
        <f aca="false">MAX(B220:M220)</f>
        <v>4957.22306241</v>
      </c>
      <c r="P220" s="57" t="n">
        <f aca="false">O220/(parametros_manuales!$B$7)</f>
        <v>33.0481537494</v>
      </c>
      <c r="Q220" s="13" t="str">
        <f aca="false">IF(O220=0,"-",INDEX($B$197:$M$197,MATCH(O220,B220:M220,0)))</f>
        <v>Ene</v>
      </c>
    </row>
    <row r="221" customFormat="false" ht="14.25" hidden="false" customHeight="true" outlineLevel="0" collapsed="false">
      <c r="A221" s="13" t="str">
        <f aca="false">parametros_manuales!$B$42</f>
        <v>Control de calidad — Ensayo de pérdidas</v>
      </c>
      <c r="B221" s="14" t="n">
        <f aca="false">(parametros_manuales!$D$42*(datos_base!$I$2+IF(parametros_manuales!$H$42="Todos",datos_base!$I$9,0))*parametros_manuales!$B$97+parametros_manuales!$E$42*(datos_base!$I$3+IF(parametros_manuales!$H$42="Todos",datos_base!$I$10,0))*parametros_manuales!$B$102+parametros_manuales!$F$42*(datos_base!$I$4+IF(parametros_manuales!$H$42="Todos",datos_base!$I$11,0))*parametros_manuales!$B$107+parametros_manuales!$G$42*(datos_base!$I$5+IF(parametros_manuales!$H$42="Todos",datos_base!$I$12,0))*parametros_manuales!$B$112)*parametros_manuales!$I$42*parametros_manuales!$J$42</f>
        <v>4957.22306241</v>
      </c>
      <c r="C221" s="14" t="n">
        <f aca="false">(parametros_manuales!$D$42*(datos_base!$I$2+IF(parametros_manuales!$H$42="Todos",datos_base!$I$9,0))*parametros_manuales!$C$97+parametros_manuales!$E$42*(datos_base!$I$3+IF(parametros_manuales!$H$42="Todos",datos_base!$I$10,0))*parametros_manuales!$C$102+parametros_manuales!$F$42*(datos_base!$I$4+IF(parametros_manuales!$H$42="Todos",datos_base!$I$11,0))*parametros_manuales!$C$107+parametros_manuales!$G$42*(datos_base!$I$5+IF(parametros_manuales!$H$42="Todos",datos_base!$I$12,0))*parametros_manuales!$C$112)*parametros_manuales!$I$42*parametros_manuales!$J$42</f>
        <v>4657.74128472</v>
      </c>
      <c r="D221" s="14" t="n">
        <f aca="false">(parametros_manuales!$D$42*(datos_base!$I$2+IF(parametros_manuales!$H$42="Todos",datos_base!$I$9,0))*parametros_manuales!$D$97+parametros_manuales!$E$42*(datos_base!$I$3+IF(parametros_manuales!$H$42="Todos",datos_base!$I$10,0))*parametros_manuales!$D$102+parametros_manuales!$F$42*(datos_base!$I$4+IF(parametros_manuales!$H$42="Todos",datos_base!$I$11,0))*parametros_manuales!$D$107+parametros_manuales!$G$42*(datos_base!$I$5+IF(parametros_manuales!$H$42="Todos",datos_base!$I$12,0))*parametros_manuales!$D$112)*parametros_manuales!$I$42*parametros_manuales!$J$42</f>
        <v>4556.161388765</v>
      </c>
      <c r="E221" s="14" t="n">
        <f aca="false">(parametros_manuales!$D$42*(datos_base!$I$2+IF(parametros_manuales!$H$42="Todos",datos_base!$I$9,0))*parametros_manuales!$E$97+parametros_manuales!$E$42*(datos_base!$I$3+IF(parametros_manuales!$H$42="Todos",datos_base!$I$10,0))*parametros_manuales!$E$102+parametros_manuales!$F$42*(datos_base!$I$4+IF(parametros_manuales!$H$42="Todos",datos_base!$I$11,0))*parametros_manuales!$E$107+parametros_manuales!$G$42*(datos_base!$I$5+IF(parametros_manuales!$H$42="Todos",datos_base!$I$12,0))*parametros_manuales!$E$112)*parametros_manuales!$I$42*parametros_manuales!$J$42</f>
        <v>4430.500996365</v>
      </c>
      <c r="F221" s="14" t="n">
        <f aca="false">(parametros_manuales!$D$42*(datos_base!$I$2+IF(parametros_manuales!$H$42="Todos",datos_base!$I$9,0))*parametros_manuales!$F$97+parametros_manuales!$E$42*(datos_base!$I$3+IF(parametros_manuales!$H$42="Todos",datos_base!$I$10,0))*parametros_manuales!$F$102+parametros_manuales!$F$42*(datos_base!$I$4+IF(parametros_manuales!$H$42="Todos",datos_base!$I$11,0))*parametros_manuales!$F$107+parametros_manuales!$G$42*(datos_base!$I$5+IF(parametros_manuales!$H$42="Todos",datos_base!$I$12,0))*parametros_manuales!$F$112)*parametros_manuales!$I$42*parametros_manuales!$J$42</f>
        <v>4155.09971512</v>
      </c>
      <c r="G221" s="14" t="n">
        <f aca="false">(parametros_manuales!$D$42*(datos_base!$I$2+IF(parametros_manuales!$H$42="Todos",datos_base!$I$9,0))*parametros_manuales!$G$97+parametros_manuales!$E$42*(datos_base!$I$3+IF(parametros_manuales!$H$42="Todos",datos_base!$I$10,0))*parametros_manuales!$G$102+parametros_manuales!$F$42*(datos_base!$I$4+IF(parametros_manuales!$H$42="Todos",datos_base!$I$11,0))*parametros_manuales!$G$107+parametros_manuales!$G$42*(datos_base!$I$5+IF(parametros_manuales!$H$42="Todos",datos_base!$I$12,0))*parametros_manuales!$G$112)*parametros_manuales!$I$42*parametros_manuales!$J$42</f>
        <v>4005.358826275</v>
      </c>
      <c r="H221" s="14" t="n">
        <f aca="false">(parametros_manuales!$D$42*(datos_base!$I$2+IF(parametros_manuales!$H$42="Todos",datos_base!$I$9,0))*parametros_manuales!$H$97+parametros_manuales!$E$42*(datos_base!$I$3+IF(parametros_manuales!$H$42="Todos",datos_base!$I$10,0))*parametros_manuales!$H$102+parametros_manuales!$F$42*(datos_base!$I$4+IF(parametros_manuales!$H$42="Todos",datos_base!$I$11,0))*parametros_manuales!$H$107+parametros_manuales!$G$42*(datos_base!$I$5+IF(parametros_manuales!$H$42="Todos",datos_base!$I$12,0))*parametros_manuales!$H$112)*parametros_manuales!$I$42*parametros_manuales!$J$42</f>
        <v>4280.76010752</v>
      </c>
      <c r="I221" s="14" t="n">
        <f aca="false">(parametros_manuales!$D$42*(datos_base!$I$2+IF(parametros_manuales!$H$42="Todos",datos_base!$I$9,0))*parametros_manuales!$I$97+parametros_manuales!$E$42*(datos_base!$I$3+IF(parametros_manuales!$H$42="Todos",datos_base!$I$10,0))*parametros_manuales!$I$102+parametros_manuales!$F$42*(datos_base!$I$4+IF(parametros_manuales!$H$42="Todos",datos_base!$I$11,0))*parametros_manuales!$I$107+parametros_manuales!$G$42*(datos_base!$I$5+IF(parametros_manuales!$H$42="Todos",datos_base!$I$12,0))*parametros_manuales!$I$112)*parametros_manuales!$I$42*parametros_manuales!$J$42</f>
        <v>4657.74128472</v>
      </c>
      <c r="J221" s="14" t="n">
        <f aca="false">(parametros_manuales!$D$42*(datos_base!$I$2+IF(parametros_manuales!$H$42="Todos",datos_base!$I$9,0))*parametros_manuales!$J$97+parametros_manuales!$E$42*(datos_base!$I$3+IF(parametros_manuales!$H$42="Todos",datos_base!$I$10,0))*parametros_manuales!$J$102+parametros_manuales!$F$42*(datos_base!$I$4+IF(parametros_manuales!$H$42="Todos",datos_base!$I$11,0))*parametros_manuales!$J$107+parametros_manuales!$G$42*(datos_base!$I$5+IF(parametros_manuales!$H$42="Todos",datos_base!$I$12,0))*parametros_manuales!$J$112)*parametros_manuales!$I$42*parametros_manuales!$J$42</f>
        <v>4657.74128472</v>
      </c>
      <c r="K221" s="14" t="n">
        <f aca="false">(parametros_manuales!$D$42*(datos_base!$I$2+IF(parametros_manuales!$H$42="Todos",datos_base!$I$9,0))*parametros_manuales!$K$97+parametros_manuales!$E$42*(datos_base!$I$3+IF(parametros_manuales!$H$42="Todos",datos_base!$I$10,0))*parametros_manuales!$K$102+parametros_manuales!$F$42*(datos_base!$I$4+IF(parametros_manuales!$H$42="Todos",datos_base!$I$11,0))*parametros_manuales!$K$107+parametros_manuales!$G$42*(datos_base!$I$5+IF(parametros_manuales!$H$42="Todos",datos_base!$I$12,0))*parametros_manuales!$K$112)*parametros_manuales!$I$42*parametros_manuales!$J$42</f>
        <v>4807.482173565</v>
      </c>
      <c r="L221" s="14" t="n">
        <f aca="false">(parametros_manuales!$D$42*(datos_base!$I$2+IF(parametros_manuales!$H$42="Todos",datos_base!$I$9,0))*parametros_manuales!$L$97+parametros_manuales!$E$42*(datos_base!$I$3+IF(parametros_manuales!$H$42="Todos",datos_base!$I$10,0))*parametros_manuales!$L$102+parametros_manuales!$F$42*(datos_base!$I$4+IF(parametros_manuales!$H$42="Todos",datos_base!$I$11,0))*parametros_manuales!$L$107+parametros_manuales!$G$42*(datos_base!$I$5+IF(parametros_manuales!$H$42="Todos",datos_base!$I$12,0))*parametros_manuales!$L$112)*parametros_manuales!$I$42*parametros_manuales!$J$42</f>
        <v>4957.22306241</v>
      </c>
      <c r="M221" s="14" t="n">
        <f aca="false">(parametros_manuales!$D$42*(datos_base!$I$2+IF(parametros_manuales!$H$42="Todos",datos_base!$I$9,0))*parametros_manuales!$M$97+parametros_manuales!$E$42*(datos_base!$I$3+IF(parametros_manuales!$H$42="Todos",datos_base!$I$10,0))*parametros_manuales!$M$102+parametros_manuales!$F$42*(datos_base!$I$4+IF(parametros_manuales!$H$42="Todos",datos_base!$I$11,0))*parametros_manuales!$M$107+parametros_manuales!$G$42*(datos_base!$I$5+IF(parametros_manuales!$H$42="Todos",datos_base!$I$12,0))*parametros_manuales!$M$112)*parametros_manuales!$I$42*parametros_manuales!$J$42</f>
        <v>4957.22306241</v>
      </c>
      <c r="N221" s="14" t="n">
        <f aca="false">SUM(B221:M221)</f>
        <v>55080.256249</v>
      </c>
      <c r="O221" s="14" t="n">
        <f aca="false">MAX(B221:M221)</f>
        <v>4957.22306241</v>
      </c>
      <c r="P221" s="57" t="n">
        <f aca="false">O221/(parametros_manuales!$B$7)</f>
        <v>33.0481537494</v>
      </c>
      <c r="Q221" s="13" t="str">
        <f aca="false">IF(O221=0,"-",INDEX($B$197:$M$197,MATCH(O221,B221:M221,0)))</f>
        <v>Ene</v>
      </c>
    </row>
    <row r="222" customFormat="false" ht="14.25" hidden="false" customHeight="true" outlineLevel="0" collapsed="false">
      <c r="A222" s="13" t="str">
        <f aca="false">parametros_manuales!$B$43</f>
        <v>Etiquetado</v>
      </c>
      <c r="B222" s="14" t="n">
        <f aca="false">(parametros_manuales!$D$43*(datos_base!$I$2+IF(parametros_manuales!$H$43="Todos",datos_base!$I$9,0))*parametros_manuales!$B$97+parametros_manuales!$E$43*(datos_base!$I$3+IF(parametros_manuales!$H$43="Todos",datos_base!$I$10,0))*parametros_manuales!$B$102+parametros_manuales!$F$43*(datos_base!$I$4+IF(parametros_manuales!$H$43="Todos",datos_base!$I$11,0))*parametros_manuales!$B$107+parametros_manuales!$G$43*(datos_base!$I$5+IF(parametros_manuales!$H$43="Todos",datos_base!$I$12,0))*parametros_manuales!$B$112)*parametros_manuales!$I$43*parametros_manuales!$J$43</f>
        <v>4957.22306241</v>
      </c>
      <c r="C222" s="14" t="n">
        <f aca="false">(parametros_manuales!$D$43*(datos_base!$I$2+IF(parametros_manuales!$H$43="Todos",datos_base!$I$9,0))*parametros_manuales!$C$97+parametros_manuales!$E$43*(datos_base!$I$3+IF(parametros_manuales!$H$43="Todos",datos_base!$I$10,0))*parametros_manuales!$C$102+parametros_manuales!$F$43*(datos_base!$I$4+IF(parametros_manuales!$H$43="Todos",datos_base!$I$11,0))*parametros_manuales!$C$107+parametros_manuales!$G$43*(datos_base!$I$5+IF(parametros_manuales!$H$43="Todos",datos_base!$I$12,0))*parametros_manuales!$C$112)*parametros_manuales!$I$43*parametros_manuales!$J$43</f>
        <v>4657.74128472</v>
      </c>
      <c r="D222" s="14" t="n">
        <f aca="false">(parametros_manuales!$D$43*(datos_base!$I$2+IF(parametros_manuales!$H$43="Todos",datos_base!$I$9,0))*parametros_manuales!$D$97+parametros_manuales!$E$43*(datos_base!$I$3+IF(parametros_manuales!$H$43="Todos",datos_base!$I$10,0))*parametros_manuales!$D$102+parametros_manuales!$F$43*(datos_base!$I$4+IF(parametros_manuales!$H$43="Todos",datos_base!$I$11,0))*parametros_manuales!$D$107+parametros_manuales!$G$43*(datos_base!$I$5+IF(parametros_manuales!$H$43="Todos",datos_base!$I$12,0))*parametros_manuales!$D$112)*parametros_manuales!$I$43*parametros_manuales!$J$43</f>
        <v>4556.161388765</v>
      </c>
      <c r="E222" s="14" t="n">
        <f aca="false">(parametros_manuales!$D$43*(datos_base!$I$2+IF(parametros_manuales!$H$43="Todos",datos_base!$I$9,0))*parametros_manuales!$E$97+parametros_manuales!$E$43*(datos_base!$I$3+IF(parametros_manuales!$H$43="Todos",datos_base!$I$10,0))*parametros_manuales!$E$102+parametros_manuales!$F$43*(datos_base!$I$4+IF(parametros_manuales!$H$43="Todos",datos_base!$I$11,0))*parametros_manuales!$E$107+parametros_manuales!$G$43*(datos_base!$I$5+IF(parametros_manuales!$H$43="Todos",datos_base!$I$12,0))*parametros_manuales!$E$112)*parametros_manuales!$I$43*parametros_manuales!$J$43</f>
        <v>4430.500996365</v>
      </c>
      <c r="F222" s="14" t="n">
        <f aca="false">(parametros_manuales!$D$43*(datos_base!$I$2+IF(parametros_manuales!$H$43="Todos",datos_base!$I$9,0))*parametros_manuales!$F$97+parametros_manuales!$E$43*(datos_base!$I$3+IF(parametros_manuales!$H$43="Todos",datos_base!$I$10,0))*parametros_manuales!$F$102+parametros_manuales!$F$43*(datos_base!$I$4+IF(parametros_manuales!$H$43="Todos",datos_base!$I$11,0))*parametros_manuales!$F$107+parametros_manuales!$G$43*(datos_base!$I$5+IF(parametros_manuales!$H$43="Todos",datos_base!$I$12,0))*parametros_manuales!$F$112)*parametros_manuales!$I$43*parametros_manuales!$J$43</f>
        <v>4155.09971512</v>
      </c>
      <c r="G222" s="14" t="n">
        <f aca="false">(parametros_manuales!$D$43*(datos_base!$I$2+IF(parametros_manuales!$H$43="Todos",datos_base!$I$9,0))*parametros_manuales!$G$97+parametros_manuales!$E$43*(datos_base!$I$3+IF(parametros_manuales!$H$43="Todos",datos_base!$I$10,0))*parametros_manuales!$G$102+parametros_manuales!$F$43*(datos_base!$I$4+IF(parametros_manuales!$H$43="Todos",datos_base!$I$11,0))*parametros_manuales!$G$107+parametros_manuales!$G$43*(datos_base!$I$5+IF(parametros_manuales!$H$43="Todos",datos_base!$I$12,0))*parametros_manuales!$G$112)*parametros_manuales!$I$43*parametros_manuales!$J$43</f>
        <v>4005.358826275</v>
      </c>
      <c r="H222" s="14" t="n">
        <f aca="false">(parametros_manuales!$D$43*(datos_base!$I$2+IF(parametros_manuales!$H$43="Todos",datos_base!$I$9,0))*parametros_manuales!$H$97+parametros_manuales!$E$43*(datos_base!$I$3+IF(parametros_manuales!$H$43="Todos",datos_base!$I$10,0))*parametros_manuales!$H$102+parametros_manuales!$F$43*(datos_base!$I$4+IF(parametros_manuales!$H$43="Todos",datos_base!$I$11,0))*parametros_manuales!$H$107+parametros_manuales!$G$43*(datos_base!$I$5+IF(parametros_manuales!$H$43="Todos",datos_base!$I$12,0))*parametros_manuales!$H$112)*parametros_manuales!$I$43*parametros_manuales!$J$43</f>
        <v>4280.76010752</v>
      </c>
      <c r="I222" s="14" t="n">
        <f aca="false">(parametros_manuales!$D$43*(datos_base!$I$2+IF(parametros_manuales!$H$43="Todos",datos_base!$I$9,0))*parametros_manuales!$I$97+parametros_manuales!$E$43*(datos_base!$I$3+IF(parametros_manuales!$H$43="Todos",datos_base!$I$10,0))*parametros_manuales!$I$102+parametros_manuales!$F$43*(datos_base!$I$4+IF(parametros_manuales!$H$43="Todos",datos_base!$I$11,0))*parametros_manuales!$I$107+parametros_manuales!$G$43*(datos_base!$I$5+IF(parametros_manuales!$H$43="Todos",datos_base!$I$12,0))*parametros_manuales!$I$112)*parametros_manuales!$I$43*parametros_manuales!$J$43</f>
        <v>4657.74128472</v>
      </c>
      <c r="J222" s="14" t="n">
        <f aca="false">(parametros_manuales!$D$43*(datos_base!$I$2+IF(parametros_manuales!$H$43="Todos",datos_base!$I$9,0))*parametros_manuales!$J$97+parametros_manuales!$E$43*(datos_base!$I$3+IF(parametros_manuales!$H$43="Todos",datos_base!$I$10,0))*parametros_manuales!$J$102+parametros_manuales!$F$43*(datos_base!$I$4+IF(parametros_manuales!$H$43="Todos",datos_base!$I$11,0))*parametros_manuales!$J$107+parametros_manuales!$G$43*(datos_base!$I$5+IF(parametros_manuales!$H$43="Todos",datos_base!$I$12,0))*parametros_manuales!$J$112)*parametros_manuales!$I$43*parametros_manuales!$J$43</f>
        <v>4657.74128472</v>
      </c>
      <c r="K222" s="14" t="n">
        <f aca="false">(parametros_manuales!$D$43*(datos_base!$I$2+IF(parametros_manuales!$H$43="Todos",datos_base!$I$9,0))*parametros_manuales!$K$97+parametros_manuales!$E$43*(datos_base!$I$3+IF(parametros_manuales!$H$43="Todos",datos_base!$I$10,0))*parametros_manuales!$K$102+parametros_manuales!$F$43*(datos_base!$I$4+IF(parametros_manuales!$H$43="Todos",datos_base!$I$11,0))*parametros_manuales!$K$107+parametros_manuales!$G$43*(datos_base!$I$5+IF(parametros_manuales!$H$43="Todos",datos_base!$I$12,0))*parametros_manuales!$K$112)*parametros_manuales!$I$43*parametros_manuales!$J$43</f>
        <v>4807.482173565</v>
      </c>
      <c r="L222" s="14" t="n">
        <f aca="false">(parametros_manuales!$D$43*(datos_base!$I$2+IF(parametros_manuales!$H$43="Todos",datos_base!$I$9,0))*parametros_manuales!$L$97+parametros_manuales!$E$43*(datos_base!$I$3+IF(parametros_manuales!$H$43="Todos",datos_base!$I$10,0))*parametros_manuales!$L$102+parametros_manuales!$F$43*(datos_base!$I$4+IF(parametros_manuales!$H$43="Todos",datos_base!$I$11,0))*parametros_manuales!$L$107+parametros_manuales!$G$43*(datos_base!$I$5+IF(parametros_manuales!$H$43="Todos",datos_base!$I$12,0))*parametros_manuales!$L$112)*parametros_manuales!$I$43*parametros_manuales!$J$43</f>
        <v>4957.22306241</v>
      </c>
      <c r="M222" s="14" t="n">
        <f aca="false">(parametros_manuales!$D$43*(datos_base!$I$2+IF(parametros_manuales!$H$43="Todos",datos_base!$I$9,0))*parametros_manuales!$M$97+parametros_manuales!$E$43*(datos_base!$I$3+IF(parametros_manuales!$H$43="Todos",datos_base!$I$10,0))*parametros_manuales!$M$102+parametros_manuales!$F$43*(datos_base!$I$4+IF(parametros_manuales!$H$43="Todos",datos_base!$I$11,0))*parametros_manuales!$M$107+parametros_manuales!$G$43*(datos_base!$I$5+IF(parametros_manuales!$H$43="Todos",datos_base!$I$12,0))*parametros_manuales!$M$112)*parametros_manuales!$I$43*parametros_manuales!$J$43</f>
        <v>4957.22306241</v>
      </c>
      <c r="N222" s="14" t="n">
        <f aca="false">SUM(B222:M222)</f>
        <v>55080.256249</v>
      </c>
      <c r="O222" s="14" t="n">
        <f aca="false">MAX(B222:M222)</f>
        <v>4957.22306241</v>
      </c>
      <c r="P222" s="57" t="n">
        <f aca="false">O222/(parametros_manuales!$B$7)</f>
        <v>33.0481537494</v>
      </c>
      <c r="Q222" s="13" t="str">
        <f aca="false">IF(O222=0,"-",INDEX($B$197:$M$197,MATCH(O222,B222:M222,0)))</f>
        <v>Ene</v>
      </c>
    </row>
    <row r="223" customFormat="false" ht="14.25" hidden="false" customHeight="true" outlineLevel="0" collapsed="false">
      <c r="A223" s="13" t="str">
        <f aca="false">parametros_manuales!$B$44</f>
        <v>Embalaje y paletizado</v>
      </c>
      <c r="B223" s="14" t="n">
        <f aca="false">(parametros_manuales!$D$44*(datos_base!$I$2+IF(parametros_manuales!$H$44="Todos",datos_base!$I$9,0))*parametros_manuales!$B$97+parametros_manuales!$E$44*(datos_base!$I$3+IF(parametros_manuales!$H$44="Todos",datos_base!$I$10,0))*parametros_manuales!$B$102+parametros_manuales!$F$44*(datos_base!$I$4+IF(parametros_manuales!$H$44="Todos",datos_base!$I$11,0))*parametros_manuales!$B$107+parametros_manuales!$G$44*(datos_base!$I$5+IF(parametros_manuales!$H$44="Todos",datos_base!$I$12,0))*parametros_manuales!$B$112)*parametros_manuales!$I$44*parametros_manuales!$J$44</f>
        <v>19636.73426241</v>
      </c>
      <c r="C223" s="14" t="n">
        <f aca="false">(parametros_manuales!$D$44*(datos_base!$I$2+IF(parametros_manuales!$H$44="Todos",datos_base!$I$9,0))*parametros_manuales!$C$97+parametros_manuales!$E$44*(datos_base!$I$3+IF(parametros_manuales!$H$44="Todos",datos_base!$I$10,0))*parametros_manuales!$C$102+parametros_manuales!$F$44*(datos_base!$I$4+IF(parametros_manuales!$H$44="Todos",datos_base!$I$11,0))*parametros_manuales!$C$107+parametros_manuales!$G$44*(datos_base!$I$5+IF(parametros_manuales!$H$44="Todos",datos_base!$I$12,0))*parametros_manuales!$C$112)*parametros_manuales!$I$44*parametros_manuales!$J$44</f>
        <v>19016.20568472</v>
      </c>
      <c r="D223" s="14" t="n">
        <f aca="false">(parametros_manuales!$D$44*(datos_base!$I$2+IF(parametros_manuales!$H$44="Todos",datos_base!$I$9,0))*parametros_manuales!$D$97+parametros_manuales!$E$44*(datos_base!$I$3+IF(parametros_manuales!$H$44="Todos",datos_base!$I$10,0))*parametros_manuales!$D$102+parametros_manuales!$F$44*(datos_base!$I$4+IF(parametros_manuales!$H$44="Todos",datos_base!$I$11,0))*parametros_manuales!$D$107+parametros_manuales!$G$44*(datos_base!$I$5+IF(parametros_manuales!$H$44="Todos",datos_base!$I$12,0))*parametros_manuales!$D$112)*parametros_manuales!$I$44*parametros_manuales!$J$44</f>
        <v>17765.139188765</v>
      </c>
      <c r="E223" s="14" t="n">
        <f aca="false">(parametros_manuales!$D$44*(datos_base!$I$2+IF(parametros_manuales!$H$44="Todos",datos_base!$I$9,0))*parametros_manuales!$E$97+parametros_manuales!$E$44*(datos_base!$I$3+IF(parametros_manuales!$H$44="Todos",datos_base!$I$10,0))*parametros_manuales!$E$102+parametros_manuales!$F$44*(datos_base!$I$4+IF(parametros_manuales!$H$44="Todos",datos_base!$I$11,0))*parametros_manuales!$E$107+parametros_manuales!$G$44*(datos_base!$I$5+IF(parametros_manuales!$H$44="Todos",datos_base!$I$12,0))*parametros_manuales!$E$112)*parametros_manuales!$I$44*parametros_manuales!$J$44</f>
        <v>16984.473796365</v>
      </c>
      <c r="F223" s="14" t="n">
        <f aca="false">(parametros_manuales!$D$44*(datos_base!$I$2+IF(parametros_manuales!$H$44="Todos",datos_base!$I$9,0))*parametros_manuales!$F$97+parametros_manuales!$E$44*(datos_base!$I$3+IF(parametros_manuales!$H$44="Todos",datos_base!$I$10,0))*parametros_manuales!$F$102+parametros_manuales!$F$44*(datos_base!$I$4+IF(parametros_manuales!$H$44="Todos",datos_base!$I$11,0))*parametros_manuales!$F$107+parametros_manuales!$G$44*(datos_base!$I$5+IF(parametros_manuales!$H$44="Todos",datos_base!$I$12,0))*parametros_manuales!$F$112)*parametros_manuales!$I$44*parametros_manuales!$J$44</f>
        <v>15893.54411512</v>
      </c>
      <c r="G223" s="14" t="n">
        <f aca="false">(parametros_manuales!$D$44*(datos_base!$I$2+IF(parametros_manuales!$H$44="Todos",datos_base!$I$9,0))*parametros_manuales!$G$97+parametros_manuales!$E$44*(datos_base!$I$3+IF(parametros_manuales!$H$44="Todos",datos_base!$I$10,0))*parametros_manuales!$G$102+parametros_manuales!$F$44*(datos_base!$I$4+IF(parametros_manuales!$H$44="Todos",datos_base!$I$11,0))*parametros_manuales!$G$107+parametros_manuales!$G$44*(datos_base!$I$5+IF(parametros_manuales!$H$44="Todos",datos_base!$I$12,0))*parametros_manuales!$G$112)*parametros_manuales!$I$44*parametros_manuales!$J$44</f>
        <v>15583.279826275</v>
      </c>
      <c r="H223" s="14" t="n">
        <f aca="false">(parametros_manuales!$D$44*(datos_base!$I$2+IF(parametros_manuales!$H$44="Todos",datos_base!$I$9,0))*parametros_manuales!$H$97+parametros_manuales!$E$44*(datos_base!$I$3+IF(parametros_manuales!$H$44="Todos",datos_base!$I$10,0))*parametros_manuales!$H$102+parametros_manuales!$F$44*(datos_base!$I$4+IF(parametros_manuales!$H$44="Todos",datos_base!$I$11,0))*parametros_manuales!$H$107+parametros_manuales!$G$44*(datos_base!$I$5+IF(parametros_manuales!$H$44="Todos",datos_base!$I$12,0))*parametros_manuales!$H$112)*parametros_manuales!$I$44*parametros_manuales!$J$44</f>
        <v>16674.20950752</v>
      </c>
      <c r="I223" s="14" t="n">
        <f aca="false">(parametros_manuales!$D$44*(datos_base!$I$2+IF(parametros_manuales!$H$44="Todos",datos_base!$I$9,0))*parametros_manuales!$I$97+parametros_manuales!$E$44*(datos_base!$I$3+IF(parametros_manuales!$H$44="Todos",datos_base!$I$10,0))*parametros_manuales!$I$102+parametros_manuales!$F$44*(datos_base!$I$4+IF(parametros_manuales!$H$44="Todos",datos_base!$I$11,0))*parametros_manuales!$I$107+parametros_manuales!$G$44*(datos_base!$I$5+IF(parametros_manuales!$H$44="Todos",datos_base!$I$12,0))*parametros_manuales!$I$112)*parametros_manuales!$I$44*parametros_manuales!$J$44</f>
        <v>19016.20568472</v>
      </c>
      <c r="J223" s="14" t="n">
        <f aca="false">(parametros_manuales!$D$44*(datos_base!$I$2+IF(parametros_manuales!$H$44="Todos",datos_base!$I$9,0))*parametros_manuales!$J$97+parametros_manuales!$E$44*(datos_base!$I$3+IF(parametros_manuales!$H$44="Todos",datos_base!$I$10,0))*parametros_manuales!$J$102+parametros_manuales!$F$44*(datos_base!$I$4+IF(parametros_manuales!$H$44="Todos",datos_base!$I$11,0))*parametros_manuales!$J$107+parametros_manuales!$G$44*(datos_base!$I$5+IF(parametros_manuales!$H$44="Todos",datos_base!$I$12,0))*parametros_manuales!$J$112)*parametros_manuales!$I$44*parametros_manuales!$J$44</f>
        <v>19016.20568472</v>
      </c>
      <c r="K223" s="14" t="n">
        <f aca="false">(parametros_manuales!$D$44*(datos_base!$I$2+IF(parametros_manuales!$H$44="Todos",datos_base!$I$9,0))*parametros_manuales!$K$97+parametros_manuales!$E$44*(datos_base!$I$3+IF(parametros_manuales!$H$44="Todos",datos_base!$I$10,0))*parametros_manuales!$K$102+parametros_manuales!$F$44*(datos_base!$I$4+IF(parametros_manuales!$H$44="Todos",datos_base!$I$11,0))*parametros_manuales!$K$107+parametros_manuales!$G$44*(datos_base!$I$5+IF(parametros_manuales!$H$44="Todos",datos_base!$I$12,0))*parametros_manuales!$K$112)*parametros_manuales!$I$44*parametros_manuales!$J$44</f>
        <v>19326.469973565</v>
      </c>
      <c r="L223" s="14" t="n">
        <f aca="false">(parametros_manuales!$D$44*(datos_base!$I$2+IF(parametros_manuales!$H$44="Todos",datos_base!$I$9,0))*parametros_manuales!$L$97+parametros_manuales!$E$44*(datos_base!$I$3+IF(parametros_manuales!$H$44="Todos",datos_base!$I$10,0))*parametros_manuales!$L$102+parametros_manuales!$F$44*(datos_base!$I$4+IF(parametros_manuales!$H$44="Todos",datos_base!$I$11,0))*parametros_manuales!$L$107+parametros_manuales!$G$44*(datos_base!$I$5+IF(parametros_manuales!$H$44="Todos",datos_base!$I$12,0))*parametros_manuales!$L$112)*parametros_manuales!$I$44*parametros_manuales!$J$44</f>
        <v>19636.73426241</v>
      </c>
      <c r="M223" s="14" t="n">
        <f aca="false">(parametros_manuales!$D$44*(datos_base!$I$2+IF(parametros_manuales!$H$44="Todos",datos_base!$I$9,0))*parametros_manuales!$M$97+parametros_manuales!$E$44*(datos_base!$I$3+IF(parametros_manuales!$H$44="Todos",datos_base!$I$10,0))*parametros_manuales!$M$102+parametros_manuales!$F$44*(datos_base!$I$4+IF(parametros_manuales!$H$44="Todos",datos_base!$I$11,0))*parametros_manuales!$M$107+parametros_manuales!$G$44*(datos_base!$I$5+IF(parametros_manuales!$H$44="Todos",datos_base!$I$12,0))*parametros_manuales!$M$112)*parametros_manuales!$I$44*parametros_manuales!$J$44</f>
        <v>19636.73426241</v>
      </c>
      <c r="N223" s="14" t="n">
        <f aca="false">SUM(B223:M223)</f>
        <v>218185.936249</v>
      </c>
      <c r="O223" s="14" t="n">
        <f aca="false">MAX(B223:M223)</f>
        <v>19636.73426241</v>
      </c>
      <c r="P223" s="57" t="n">
        <f aca="false">O223/(parametros_manuales!$B$7)</f>
        <v>130.9115617494</v>
      </c>
      <c r="Q223" s="13" t="str">
        <f aca="false">IF(O223=0,"-",INDEX($B$197:$M$197,MATCH(O223,B223:M223,0)))</f>
        <v>Ene</v>
      </c>
    </row>
    <row r="224" customFormat="false" ht="14.25" hidden="false" customHeight="true" outlineLevel="0" collapsed="false"/>
    <row r="225" customFormat="false" ht="14.25" hidden="false" customHeight="true" outlineLevel="0" collapsed="false">
      <c r="A225" s="12" t="s">
        <v>276</v>
      </c>
      <c r="B225" s="12" t="s">
        <v>37</v>
      </c>
      <c r="C225" s="12" t="s">
        <v>38</v>
      </c>
      <c r="D225" s="12" t="s">
        <v>39</v>
      </c>
      <c r="E225" s="12" t="s">
        <v>40</v>
      </c>
      <c r="F225" s="12" t="s">
        <v>41</v>
      </c>
      <c r="G225" s="12" t="s">
        <v>42</v>
      </c>
      <c r="H225" s="12" t="s">
        <v>43</v>
      </c>
      <c r="I225" s="12" t="s">
        <v>44</v>
      </c>
      <c r="J225" s="12" t="s">
        <v>45</v>
      </c>
      <c r="K225" s="12" t="s">
        <v>46</v>
      </c>
      <c r="L225" s="12" t="s">
        <v>47</v>
      </c>
      <c r="M225" s="12" t="s">
        <v>48</v>
      </c>
      <c r="N225" s="12" t="s">
        <v>261</v>
      </c>
      <c r="O225" s="12" t="s">
        <v>266</v>
      </c>
      <c r="P225" s="12" t="s">
        <v>267</v>
      </c>
      <c r="Q225" s="12" t="s">
        <v>268</v>
      </c>
    </row>
    <row r="226" customFormat="false" ht="14.25" hidden="false" customHeight="true" outlineLevel="0" collapsed="false">
      <c r="A226" s="13" t="str">
        <f aca="false">parametros_manuales!$B$19</f>
        <v>Recepción de materia prima</v>
      </c>
      <c r="B226" s="14" t="n">
        <f aca="false">(parametros_manuales!$D$19*(datos_base!$J$2+IF(parametros_manuales!$H$19="Todos",datos_base!$J$9,0))*parametros_manuales!$B$97+parametros_manuales!$E$19*(datos_base!$J$3+IF(parametros_manuales!$H$19="Todos",datos_base!$J$10,0))*parametros_manuales!$B$102+parametros_manuales!$F$19*(datos_base!$J$4+IF(parametros_manuales!$H$19="Todos",datos_base!$J$11,0))*parametros_manuales!$B$107+parametros_manuales!$G$19*(datos_base!$J$5+IF(parametros_manuales!$H$19="Todos",datos_base!$J$12,0))*parametros_manuales!$B$112)*parametros_manuales!$I$19*parametros_manuales!$J$19</f>
        <v>22157.78732883</v>
      </c>
      <c r="C226" s="14" t="n">
        <f aca="false">(parametros_manuales!$D$19*(datos_base!$J$2+IF(parametros_manuales!$H$19="Todos",datos_base!$J$9,0))*parametros_manuales!$C$97+parametros_manuales!$E$19*(datos_base!$J$3+IF(parametros_manuales!$H$19="Todos",datos_base!$J$10,0))*parametros_manuales!$C$102+parametros_manuales!$F$19*(datos_base!$J$4+IF(parametros_manuales!$H$19="Todos",datos_base!$J$11,0))*parametros_manuales!$C$107+parametros_manuales!$G$19*(datos_base!$J$5+IF(parametros_manuales!$H$19="Todos",datos_base!$J$12,0))*parametros_manuales!$C$112)*parametros_manuales!$I$19*parametros_manuales!$J$19</f>
        <v>21449.74232036</v>
      </c>
      <c r="D226" s="14" t="n">
        <f aca="false">(parametros_manuales!$D$19*(datos_base!$J$2+IF(parametros_manuales!$H$19="Todos",datos_base!$J$9,0))*parametros_manuales!$D$97+parametros_manuales!$E$19*(datos_base!$J$3+IF(parametros_manuales!$H$19="Todos",datos_base!$J$10,0))*parametros_manuales!$D$102+parametros_manuales!$F$19*(datos_base!$J$4+IF(parametros_manuales!$H$19="Todos",datos_base!$J$11,0))*parametros_manuales!$D$107+parametros_manuales!$G$19*(datos_base!$J$5+IF(parametros_manuales!$H$19="Todos",datos_base!$J$12,0))*parametros_manuales!$D$112)*parametros_manuales!$I$19*parametros_manuales!$J$19</f>
        <v>20049.833463195</v>
      </c>
      <c r="E226" s="14" t="n">
        <f aca="false">(parametros_manuales!$D$19*(datos_base!$J$2+IF(parametros_manuales!$H$19="Todos",datos_base!$J$9,0))*parametros_manuales!$E$97+parametros_manuales!$E$19*(datos_base!$J$3+IF(parametros_manuales!$H$19="Todos",datos_base!$J$10,0))*parametros_manuales!$E$102+parametros_manuales!$F$19*(datos_base!$J$4+IF(parametros_manuales!$H$19="Todos",datos_base!$J$11,0))*parametros_manuales!$E$107+parametros_manuales!$G$19*(datos_base!$J$5+IF(parametros_manuales!$H$19="Todos",datos_base!$J$12,0))*parametros_manuales!$E$112)*parametros_manuales!$I$19*parametros_manuales!$J$19</f>
        <v>19172.867782495</v>
      </c>
      <c r="F226" s="14" t="n">
        <f aca="false">(parametros_manuales!$D$19*(datos_base!$J$2+IF(parametros_manuales!$H$19="Todos",datos_base!$J$9,0))*parametros_manuales!$F$97+parametros_manuales!$E$19*(datos_base!$J$3+IF(parametros_manuales!$H$19="Todos",datos_base!$J$10,0))*parametros_manuales!$F$102+parametros_manuales!$F$19*(datos_base!$J$4+IF(parametros_manuales!$H$19="Todos",datos_base!$J$11,0))*parametros_manuales!$F$107+parametros_manuales!$G$19*(datos_base!$J$5+IF(parametros_manuales!$H$19="Todos",datos_base!$J$12,0))*parametros_manuales!$F$112)*parametros_manuales!$I$19*parametros_manuales!$J$19</f>
        <v>17941.87959756</v>
      </c>
      <c r="G226" s="14" t="n">
        <f aca="false">(parametros_manuales!$D$19*(datos_base!$J$2+IF(parametros_manuales!$H$19="Todos",datos_base!$J$9,0))*parametros_manuales!$G$97+parametros_manuales!$E$19*(datos_base!$J$3+IF(parametros_manuales!$H$19="Todos",datos_base!$J$10,0))*parametros_manuales!$G$102+parametros_manuales!$F$19*(datos_base!$J$4+IF(parametros_manuales!$H$19="Todos",datos_base!$J$11,0))*parametros_manuales!$G$107+parametros_manuales!$G$19*(datos_base!$J$5+IF(parametros_manuales!$H$19="Todos",datos_base!$J$12,0))*parametros_manuales!$G$112)*parametros_manuales!$I$19*parametros_manuales!$J$19</f>
        <v>17587.857093325</v>
      </c>
      <c r="H226" s="14" t="n">
        <f aca="false">(parametros_manuales!$D$19*(datos_base!$J$2+IF(parametros_manuales!$H$19="Todos",datos_base!$J$9,0))*parametros_manuales!$H$97+parametros_manuales!$E$19*(datos_base!$J$3+IF(parametros_manuales!$H$19="Todos",datos_base!$J$10,0))*parametros_manuales!$H$102+parametros_manuales!$F$19*(datos_base!$J$4+IF(parametros_manuales!$H$19="Todos",datos_base!$J$11,0))*parametros_manuales!$H$107+parametros_manuales!$G$19*(datos_base!$J$5+IF(parametros_manuales!$H$19="Todos",datos_base!$J$12,0))*parametros_manuales!$H$112)*parametros_manuales!$I$19*parametros_manuales!$J$19</f>
        <v>18818.84527826</v>
      </c>
      <c r="I226" s="14" t="n">
        <f aca="false">(parametros_manuales!$D$19*(datos_base!$J$2+IF(parametros_manuales!$H$19="Todos",datos_base!$J$9,0))*parametros_manuales!$I$97+parametros_manuales!$E$19*(datos_base!$J$3+IF(parametros_manuales!$H$19="Todos",datos_base!$J$10,0))*parametros_manuales!$I$102+parametros_manuales!$F$19*(datos_base!$J$4+IF(parametros_manuales!$H$19="Todos",datos_base!$J$11,0))*parametros_manuales!$I$107+parametros_manuales!$G$19*(datos_base!$J$5+IF(parametros_manuales!$H$19="Todos",datos_base!$J$12,0))*parametros_manuales!$I$112)*parametros_manuales!$I$19*parametros_manuales!$J$19</f>
        <v>21449.74232036</v>
      </c>
      <c r="J226" s="14" t="n">
        <f aca="false">(parametros_manuales!$D$19*(datos_base!$J$2+IF(parametros_manuales!$H$19="Todos",datos_base!$J$9,0))*parametros_manuales!$J$97+parametros_manuales!$E$19*(datos_base!$J$3+IF(parametros_manuales!$H$19="Todos",datos_base!$J$10,0))*parametros_manuales!$J$102+parametros_manuales!$F$19*(datos_base!$J$4+IF(parametros_manuales!$H$19="Todos",datos_base!$J$11,0))*parametros_manuales!$J$107+parametros_manuales!$G$19*(datos_base!$J$5+IF(parametros_manuales!$H$19="Todos",datos_base!$J$12,0))*parametros_manuales!$J$112)*parametros_manuales!$I$19*parametros_manuales!$J$19</f>
        <v>21449.74232036</v>
      </c>
      <c r="K226" s="14" t="n">
        <f aca="false">(parametros_manuales!$D$19*(datos_base!$J$2+IF(parametros_manuales!$H$19="Todos",datos_base!$J$9,0))*parametros_manuales!$K$97+parametros_manuales!$E$19*(datos_base!$J$3+IF(parametros_manuales!$H$19="Todos",datos_base!$J$10,0))*parametros_manuales!$K$102+parametros_manuales!$F$19*(datos_base!$J$4+IF(parametros_manuales!$H$19="Todos",datos_base!$J$11,0))*parametros_manuales!$K$107+parametros_manuales!$G$19*(datos_base!$J$5+IF(parametros_manuales!$H$19="Todos",datos_base!$J$12,0))*parametros_manuales!$K$112)*parametros_manuales!$I$19*parametros_manuales!$J$19</f>
        <v>21803.764824595</v>
      </c>
      <c r="L226" s="14" t="n">
        <f aca="false">(parametros_manuales!$D$19*(datos_base!$J$2+IF(parametros_manuales!$H$19="Todos",datos_base!$J$9,0))*parametros_manuales!$L$97+parametros_manuales!$E$19*(datos_base!$J$3+IF(parametros_manuales!$H$19="Todos",datos_base!$J$10,0))*parametros_manuales!$L$102+parametros_manuales!$F$19*(datos_base!$J$4+IF(parametros_manuales!$H$19="Todos",datos_base!$J$11,0))*parametros_manuales!$L$107+parametros_manuales!$G$19*(datos_base!$J$5+IF(parametros_manuales!$H$19="Todos",datos_base!$J$12,0))*parametros_manuales!$L$112)*parametros_manuales!$I$19*parametros_manuales!$J$19</f>
        <v>22157.78732883</v>
      </c>
      <c r="M226" s="14" t="n">
        <f aca="false">(parametros_manuales!$D$19*(datos_base!$J$2+IF(parametros_manuales!$H$19="Todos",datos_base!$J$9,0))*parametros_manuales!$M$97+parametros_manuales!$E$19*(datos_base!$J$3+IF(parametros_manuales!$H$19="Todos",datos_base!$J$10,0))*parametros_manuales!$M$102+parametros_manuales!$F$19*(datos_base!$J$4+IF(parametros_manuales!$H$19="Todos",datos_base!$J$11,0))*parametros_manuales!$M$107+parametros_manuales!$G$19*(datos_base!$J$5+IF(parametros_manuales!$H$19="Todos",datos_base!$J$12,0))*parametros_manuales!$M$112)*parametros_manuales!$I$19*parametros_manuales!$J$19</f>
        <v>22157.78732883</v>
      </c>
      <c r="N226" s="14" t="n">
        <f aca="false">SUM(B226:M226)</f>
        <v>246197.636987</v>
      </c>
      <c r="O226" s="14" t="n">
        <f aca="false">MAX(B226:M226)</f>
        <v>22157.78732883</v>
      </c>
      <c r="P226" s="57" t="n">
        <f aca="false">O226/(parametros_manuales!$B$7)</f>
        <v>147.7185821922</v>
      </c>
      <c r="Q226" s="13" t="str">
        <f aca="false">IF(O226=0,"-",INDEX($B$225:$M$225,MATCH(O226,B226:M226,0)))</f>
        <v>Ene</v>
      </c>
    </row>
    <row r="227" customFormat="false" ht="14.25" hidden="false" customHeight="true" outlineLevel="0" collapsed="false">
      <c r="A227" s="13" t="str">
        <f aca="false">parametros_manuales!$B$20</f>
        <v>Corte de chapa — 1.er corte en franjas (guillotina 1, manuales + carros)</v>
      </c>
      <c r="B227" s="14" t="n">
        <f aca="false">(parametros_manuales!$D$20*(datos_base!$J$2+IF(parametros_manuales!$H$20="Todos",datos_base!$J$9,0))*parametros_manuales!$B$97+parametros_manuales!$E$20*(datos_base!$J$3+IF(parametros_manuales!$H$20="Todos",datos_base!$J$10,0))*parametros_manuales!$B$102+parametros_manuales!$F$20*(datos_base!$J$4+IF(parametros_manuales!$H$20="Todos",datos_base!$J$11,0))*parametros_manuales!$B$107+parametros_manuales!$G$20*(datos_base!$J$5+IF(parametros_manuales!$H$20="Todos",datos_base!$J$12,0))*parametros_manuales!$B$112)*parametros_manuales!$I$20*parametros_manuales!$J$20+parametros_manuales!$B$156</f>
        <v>23826.1844060307</v>
      </c>
      <c r="C227" s="14" t="n">
        <f aca="false">(parametros_manuales!$D$20*(datos_base!$J$2+IF(parametros_manuales!$H$20="Todos",datos_base!$J$9,0))*parametros_manuales!$C$97+parametros_manuales!$E$20*(datos_base!$J$3+IF(parametros_manuales!$H$20="Todos",datos_base!$J$10,0))*parametros_manuales!$C$102+parametros_manuales!$F$20*(datos_base!$J$4+IF(parametros_manuales!$H$20="Todos",datos_base!$J$11,0))*parametros_manuales!$C$107+parametros_manuales!$G$20*(datos_base!$J$5+IF(parametros_manuales!$H$20="Todos",datos_base!$J$12,0))*parametros_manuales!$C$112)*parametros_manuales!$I$20*parametros_manuales!$J$20+parametros_manuales!$C$156</f>
        <v>22921.8573884782</v>
      </c>
      <c r="D227" s="14" t="n">
        <f aca="false">(parametros_manuales!$D$20*(datos_base!$J$2+IF(parametros_manuales!$H$20="Todos",datos_base!$J$9,0))*parametros_manuales!$D$97+parametros_manuales!$E$20*(datos_base!$J$3+IF(parametros_manuales!$H$20="Todos",datos_base!$J$10,0))*parametros_manuales!$D$102+parametros_manuales!$F$20*(datos_base!$J$4+IF(parametros_manuales!$H$20="Todos",datos_base!$J$11,0))*parametros_manuales!$D$107+parametros_manuales!$G$20*(datos_base!$J$5+IF(parametros_manuales!$H$20="Todos",datos_base!$J$12,0))*parametros_manuales!$D$112)*parametros_manuales!$I$20*parametros_manuales!$J$20+parametros_manuales!$D$156</f>
        <v>21816.3715449369</v>
      </c>
      <c r="E227" s="14" t="n">
        <f aca="false">(parametros_manuales!$D$20*(datos_base!$J$2+IF(parametros_manuales!$H$20="Todos",datos_base!$J$9,0))*parametros_manuales!$E$97+parametros_manuales!$E$20*(datos_base!$J$3+IF(parametros_manuales!$H$20="Todos",datos_base!$J$10,0))*parametros_manuales!$E$102+parametros_manuales!$F$20*(datos_base!$J$4+IF(parametros_manuales!$H$20="Todos",datos_base!$J$11,0))*parametros_manuales!$E$107+parametros_manuales!$G$20*(datos_base!$J$5+IF(parametros_manuales!$H$20="Todos",datos_base!$J$12,0))*parametros_manuales!$E$112)*parametros_manuales!$I$20*parametros_manuales!$J$20+parametros_manuales!$E$156</f>
        <v>20939.4058642369</v>
      </c>
      <c r="F227" s="14" t="n">
        <f aca="false">(parametros_manuales!$D$20*(datos_base!$J$2+IF(parametros_manuales!$H$20="Todos",datos_base!$J$9,0))*parametros_manuales!$F$97+parametros_manuales!$E$20*(datos_base!$J$3+IF(parametros_manuales!$H$20="Todos",datos_base!$J$10,0))*parametros_manuales!$F$102+parametros_manuales!$F$20*(datos_base!$J$4+IF(parametros_manuales!$H$20="Todos",datos_base!$J$11,0))*parametros_manuales!$F$107+parametros_manuales!$G$20*(datos_base!$J$5+IF(parametros_manuales!$H$20="Todos",datos_base!$J$12,0))*parametros_manuales!$F$112)*parametros_manuales!$I$20*parametros_manuales!$J$20+parametros_manuales!$F$156</f>
        <v>19708.4176793019</v>
      </c>
      <c r="G227" s="14" t="n">
        <f aca="false">(parametros_manuales!$D$20*(datos_base!$J$2+IF(parametros_manuales!$H$20="Todos",datos_base!$J$9,0))*parametros_manuales!$G$97+parametros_manuales!$E$20*(datos_base!$J$3+IF(parametros_manuales!$H$20="Todos",datos_base!$J$10,0))*parametros_manuales!$G$102+parametros_manuales!$F$20*(datos_base!$J$4+IF(parametros_manuales!$H$20="Todos",datos_base!$J$11,0))*parametros_manuales!$G$107+parametros_manuales!$G$20*(datos_base!$J$5+IF(parametros_manuales!$H$20="Todos",datos_base!$J$12,0))*parametros_manuales!$G$112)*parametros_manuales!$I$20*parametros_manuales!$J$20+parametros_manuales!$G$156</f>
        <v>19158.1131659845</v>
      </c>
      <c r="H227" s="14" t="n">
        <f aca="false">(parametros_manuales!$D$20*(datos_base!$J$2+IF(parametros_manuales!$H$20="Todos",datos_base!$J$9,0))*parametros_manuales!$H$97+parametros_manuales!$E$20*(datos_base!$J$3+IF(parametros_manuales!$H$20="Todos",datos_base!$J$10,0))*parametros_manuales!$H$102+parametros_manuales!$F$20*(datos_base!$J$4+IF(parametros_manuales!$H$20="Todos",datos_base!$J$11,0))*parametros_manuales!$H$107+parametros_manuales!$G$20*(datos_base!$J$5+IF(parametros_manuales!$H$20="Todos",datos_base!$J$12,0))*parametros_manuales!$H$112)*parametros_manuales!$I$20*parametros_manuales!$J$20+parametros_manuales!$H$156</f>
        <v>20585.3833600019</v>
      </c>
      <c r="I227" s="14" t="n">
        <f aca="false">(parametros_manuales!$D$20*(datos_base!$J$2+IF(parametros_manuales!$H$20="Todos",datos_base!$J$9,0))*parametros_manuales!$I$97+parametros_manuales!$E$20*(datos_base!$J$3+IF(parametros_manuales!$H$20="Todos",datos_base!$J$10,0))*parametros_manuales!$I$102+parametros_manuales!$F$20*(datos_base!$J$4+IF(parametros_manuales!$H$20="Todos",datos_base!$J$11,0))*parametros_manuales!$I$107+parametros_manuales!$G$20*(datos_base!$J$5+IF(parametros_manuales!$H$20="Todos",datos_base!$J$12,0))*parametros_manuales!$I$112)*parametros_manuales!$I$20*parametros_manuales!$J$20+parametros_manuales!$I$156</f>
        <v>23216.2804021019</v>
      </c>
      <c r="J227" s="14" t="n">
        <f aca="false">(parametros_manuales!$D$20*(datos_base!$J$2+IF(parametros_manuales!$H$20="Todos",datos_base!$J$9,0))*parametros_manuales!$J$97+parametros_manuales!$E$20*(datos_base!$J$3+IF(parametros_manuales!$H$20="Todos",datos_base!$J$10,0))*parametros_manuales!$J$102+parametros_manuales!$F$20*(datos_base!$J$4+IF(parametros_manuales!$H$20="Todos",datos_base!$J$11,0))*parametros_manuales!$J$107+parametros_manuales!$G$20*(datos_base!$J$5+IF(parametros_manuales!$H$20="Todos",datos_base!$J$12,0))*parametros_manuales!$J$112)*parametros_manuales!$I$20*parametros_manuales!$J$20+parametros_manuales!$J$156</f>
        <v>23118.1393975607</v>
      </c>
      <c r="K227" s="14" t="n">
        <f aca="false">(parametros_manuales!$D$20*(datos_base!$J$2+IF(parametros_manuales!$H$20="Todos",datos_base!$J$9,0))*parametros_manuales!$K$97+parametros_manuales!$E$20*(datos_base!$J$3+IF(parametros_manuales!$H$20="Todos",datos_base!$J$10,0))*parametros_manuales!$K$102+parametros_manuales!$F$20*(datos_base!$J$4+IF(parametros_manuales!$H$20="Todos",datos_base!$J$11,0))*parametros_manuales!$K$107+parametros_manuales!$G$20*(datos_base!$J$5+IF(parametros_manuales!$H$20="Todos",datos_base!$J$12,0))*parametros_manuales!$K$112)*parametros_manuales!$I$20*parametros_manuales!$J$20+parametros_manuales!$K$156</f>
        <v>23275.8798927132</v>
      </c>
      <c r="L227" s="14" t="n">
        <f aca="false">(parametros_manuales!$D$20*(datos_base!$J$2+IF(parametros_manuales!$H$20="Todos",datos_base!$J$9,0))*parametros_manuales!$L$97+parametros_manuales!$E$20*(datos_base!$J$3+IF(parametros_manuales!$H$20="Todos",datos_base!$J$10,0))*parametros_manuales!$L$102+parametros_manuales!$F$20*(datos_base!$J$4+IF(parametros_manuales!$H$20="Todos",datos_base!$J$11,0))*parametros_manuales!$L$107+parametros_manuales!$G$20*(datos_base!$J$5+IF(parametros_manuales!$H$20="Todos",datos_base!$J$12,0))*parametros_manuales!$L$112)*parametros_manuales!$I$20*parametros_manuales!$J$20+parametros_manuales!$L$156</f>
        <v>23531.761392407</v>
      </c>
      <c r="M227" s="14" t="n">
        <f aca="false">(parametros_manuales!$D$20*(datos_base!$J$2+IF(parametros_manuales!$H$20="Todos",datos_base!$J$9,0))*parametros_manuales!$M$97+parametros_manuales!$E$20*(datos_base!$J$3+IF(parametros_manuales!$H$20="Todos",datos_base!$J$10,0))*parametros_manuales!$M$102+parametros_manuales!$F$20*(datos_base!$J$4+IF(parametros_manuales!$H$20="Todos",datos_base!$J$11,0))*parametros_manuales!$M$107+parametros_manuales!$G$20*(datos_base!$J$5+IF(parametros_manuales!$H$20="Todos",datos_base!$J$12,0))*parametros_manuales!$M$112)*parametros_manuales!$I$20*parametros_manuales!$J$20+parametros_manuales!$M$156</f>
        <v>23728.0434014895</v>
      </c>
      <c r="N227" s="14" t="n">
        <f aca="false">SUM(B227:M227)</f>
        <v>265825.837895243</v>
      </c>
      <c r="O227" s="14" t="n">
        <f aca="false">MAX(B227:M227)</f>
        <v>23826.1844060307</v>
      </c>
      <c r="P227" s="57" t="n">
        <f aca="false">O227/(parametros_manuales!$B$7)</f>
        <v>158.841229373538</v>
      </c>
      <c r="Q227" s="13" t="str">
        <f aca="false">IF(O227=0,"-",INDEX($B$225:$M$225,MATCH(O227,B227:M227,0)))</f>
        <v>Ene</v>
      </c>
    </row>
    <row r="228" customFormat="false" ht="14.25" hidden="false" customHeight="true" outlineLevel="0" collapsed="false">
      <c r="A228" s="13" t="str">
        <f aca="false">parametros_manuales!$B$21</f>
        <v>Corte de chapa — 2.º corte en piezas (guillotina 2, manuales + carros)</v>
      </c>
      <c r="B228" s="14" t="n">
        <f aca="false">(parametros_manuales!$D$21*(datos_base!$J$2+IF(parametros_manuales!$H$21="Todos",datos_base!$J$9,0))*parametros_manuales!$B$97+parametros_manuales!$E$21*(datos_base!$J$3+IF(parametros_manuales!$H$21="Todos",datos_base!$J$10,0))*parametros_manuales!$B$102+parametros_manuales!$F$21*(datos_base!$J$4+IF(parametros_manuales!$H$21="Todos",datos_base!$J$11,0))*parametros_manuales!$B$107+parametros_manuales!$G$21*(datos_base!$J$5+IF(parametros_manuales!$H$21="Todos",datos_base!$J$12,0))*parametros_manuales!$B$112)*parametros_manuales!$I$21*parametros_manuales!$J$21+parametros_manuales!$B$168</f>
        <v>24324.0549680537</v>
      </c>
      <c r="C228" s="14" t="n">
        <f aca="false">(parametros_manuales!$D$21*(datos_base!$J$2+IF(parametros_manuales!$H$21="Todos",datos_base!$J$9,0))*parametros_manuales!$C$97+parametros_manuales!$E$21*(datos_base!$J$3+IF(parametros_manuales!$H$21="Todos",datos_base!$J$10,0))*parametros_manuales!$C$102+parametros_manuales!$F$21*(datos_base!$J$4+IF(parametros_manuales!$H$21="Todos",datos_base!$J$11,0))*parametros_manuales!$C$107+parametros_manuales!$G$21*(datos_base!$J$5+IF(parametros_manuales!$H$21="Todos",datos_base!$J$12,0))*parametros_manuales!$C$112)*parametros_manuales!$I$21*parametros_manuales!$J$21+parametros_manuales!$C$168</f>
        <v>23361.1549432044</v>
      </c>
      <c r="D228" s="14" t="n">
        <f aca="false">(parametros_manuales!$D$21*(datos_base!$J$2+IF(parametros_manuales!$H$21="Todos",datos_base!$J$9,0))*parametros_manuales!$D$97+parametros_manuales!$E$21*(datos_base!$J$3+IF(parametros_manuales!$H$21="Todos",datos_base!$J$10,0))*parametros_manuales!$D$102+parametros_manuales!$F$21*(datos_base!$J$4+IF(parametros_manuales!$H$21="Todos",datos_base!$J$11,0))*parametros_manuales!$D$107+parametros_manuales!$G$21*(datos_base!$J$5+IF(parametros_manuales!$H$21="Todos",datos_base!$J$12,0))*parametros_manuales!$D$112)*parametros_manuales!$I$21*parametros_manuales!$J$21+parametros_manuales!$D$168</f>
        <v>22343.5286106083</v>
      </c>
      <c r="E228" s="14" t="n">
        <f aca="false">(parametros_manuales!$D$21*(datos_base!$J$2+IF(parametros_manuales!$H$21="Todos",datos_base!$J$9,0))*parametros_manuales!$E$97+parametros_manuales!$E$21*(datos_base!$J$3+IF(parametros_manuales!$H$21="Todos",datos_base!$J$10,0))*parametros_manuales!$E$102+parametros_manuales!$F$21*(datos_base!$J$4+IF(parametros_manuales!$H$21="Todos",datos_base!$J$11,0))*parametros_manuales!$E$107+parametros_manuales!$G$21*(datos_base!$J$5+IF(parametros_manuales!$H$21="Todos",datos_base!$J$12,0))*parametros_manuales!$E$112)*parametros_manuales!$I$21*parametros_manuales!$J$21+parametros_manuales!$E$168</f>
        <v>21466.5629299083</v>
      </c>
      <c r="F228" s="14" t="n">
        <f aca="false">(parametros_manuales!$D$21*(datos_base!$J$2+IF(parametros_manuales!$H$21="Todos",datos_base!$J$9,0))*parametros_manuales!$F$97+parametros_manuales!$E$21*(datos_base!$J$3+IF(parametros_manuales!$H$21="Todos",datos_base!$J$10,0))*parametros_manuales!$F$102+parametros_manuales!$F$21*(datos_base!$J$4+IF(parametros_manuales!$H$21="Todos",datos_base!$J$11,0))*parametros_manuales!$F$107+parametros_manuales!$G$21*(datos_base!$J$5+IF(parametros_manuales!$H$21="Todos",datos_base!$J$12,0))*parametros_manuales!$F$112)*parametros_manuales!$I$21*parametros_manuales!$J$21+parametros_manuales!$F$168</f>
        <v>20235.5747449733</v>
      </c>
      <c r="G228" s="14" t="n">
        <f aca="false">(parametros_manuales!$D$21*(datos_base!$J$2+IF(parametros_manuales!$H$21="Todos",datos_base!$J$9,0))*parametros_manuales!$G$97+parametros_manuales!$E$21*(datos_base!$J$3+IF(parametros_manuales!$H$21="Todos",datos_base!$J$10,0))*parametros_manuales!$G$102+parametros_manuales!$F$21*(datos_base!$J$4+IF(parametros_manuales!$H$21="Todos",datos_base!$J$11,0))*parametros_manuales!$G$107+parametros_manuales!$G$21*(datos_base!$J$5+IF(parametros_manuales!$H$21="Todos",datos_base!$J$12,0))*parametros_manuales!$G$112)*parametros_manuales!$I$21*parametros_manuales!$J$21+parametros_manuales!$G$168</f>
        <v>19626.697224359</v>
      </c>
      <c r="H228" s="14" t="n">
        <f aca="false">(parametros_manuales!$D$21*(datos_base!$J$2+IF(parametros_manuales!$H$21="Todos",datos_base!$J$9,0))*parametros_manuales!$H$97+parametros_manuales!$E$21*(datos_base!$J$3+IF(parametros_manuales!$H$21="Todos",datos_base!$J$10,0))*parametros_manuales!$H$102+parametros_manuales!$F$21*(datos_base!$J$4+IF(parametros_manuales!$H$21="Todos",datos_base!$J$11,0))*parametros_manuales!$H$107+parametros_manuales!$G$21*(datos_base!$J$5+IF(parametros_manuales!$H$21="Todos",datos_base!$J$12,0))*parametros_manuales!$H$112)*parametros_manuales!$I$21*parametros_manuales!$J$21+parametros_manuales!$H$168</f>
        <v>21112.5404256733</v>
      </c>
      <c r="I228" s="14" t="n">
        <f aca="false">(parametros_manuales!$D$21*(datos_base!$J$2+IF(parametros_manuales!$H$21="Todos",datos_base!$J$9,0))*parametros_manuales!$I$97+parametros_manuales!$E$21*(datos_base!$J$3+IF(parametros_manuales!$H$21="Todos",datos_base!$J$10,0))*parametros_manuales!$I$102+parametros_manuales!$F$21*(datos_base!$J$4+IF(parametros_manuales!$H$21="Todos",datos_base!$J$11,0))*parametros_manuales!$I$107+parametros_manuales!$G$21*(datos_base!$J$5+IF(parametros_manuales!$H$21="Todos",datos_base!$J$12,0))*parametros_manuales!$I$112)*parametros_manuales!$I$21*parametros_manuales!$J$21+parametros_manuales!$I$168</f>
        <v>23743.4374677733</v>
      </c>
      <c r="J228" s="14" t="n">
        <f aca="false">(parametros_manuales!$D$21*(datos_base!$J$2+IF(parametros_manuales!$H$21="Todos",datos_base!$J$9,0))*parametros_manuales!$J$97+parametros_manuales!$E$21*(datos_base!$J$3+IF(parametros_manuales!$H$21="Todos",datos_base!$J$10,0))*parametros_manuales!$J$102+parametros_manuales!$F$21*(datos_base!$J$4+IF(parametros_manuales!$H$21="Todos",datos_base!$J$11,0))*parametros_manuales!$J$107+parametros_manuales!$G$21*(datos_base!$J$5+IF(parametros_manuales!$H$21="Todos",datos_base!$J$12,0))*parametros_manuales!$J$112)*parametros_manuales!$I$21*parametros_manuales!$J$21+parametros_manuales!$J$168</f>
        <v>23616.0099595837</v>
      </c>
      <c r="K228" s="14" t="n">
        <f aca="false">(parametros_manuales!$D$21*(datos_base!$J$2+IF(parametros_manuales!$H$21="Todos",datos_base!$J$9,0))*parametros_manuales!$K$97+parametros_manuales!$E$21*(datos_base!$J$3+IF(parametros_manuales!$H$21="Todos",datos_base!$J$10,0))*parametros_manuales!$K$102+parametros_manuales!$F$21*(datos_base!$J$4+IF(parametros_manuales!$H$21="Todos",datos_base!$J$11,0))*parametros_manuales!$K$107+parametros_manuales!$G$21*(datos_base!$J$5+IF(parametros_manuales!$H$21="Todos",datos_base!$J$12,0))*parametros_manuales!$K$112)*parametros_manuales!$I$21*parametros_manuales!$J$21+parametros_manuales!$K$168</f>
        <v>23715.1774474394</v>
      </c>
      <c r="L228" s="14" t="n">
        <f aca="false">(parametros_manuales!$D$21*(datos_base!$J$2+IF(parametros_manuales!$H$21="Todos",datos_base!$J$9,0))*parametros_manuales!$L$97+parametros_manuales!$E$21*(datos_base!$J$3+IF(parametros_manuales!$H$21="Todos",datos_base!$J$10,0))*parametros_manuales!$L$102+parametros_manuales!$F$21*(datos_base!$J$4+IF(parametros_manuales!$H$21="Todos",datos_base!$J$11,0))*parametros_manuales!$L$107+parametros_manuales!$G$21*(datos_base!$J$5+IF(parametros_manuales!$H$21="Todos",datos_base!$J$12,0))*parametros_manuales!$L$112)*parametros_manuales!$I$21*parametros_manuales!$J$21+parametros_manuales!$L$168</f>
        <v>23941.7724434848</v>
      </c>
      <c r="M228" s="14" t="n">
        <f aca="false">(parametros_manuales!$D$21*(datos_base!$J$2+IF(parametros_manuales!$H$21="Todos",datos_base!$J$9,0))*parametros_manuales!$M$97+parametros_manuales!$E$21*(datos_base!$J$3+IF(parametros_manuales!$H$21="Todos",datos_base!$J$10,0))*parametros_manuales!$M$102+parametros_manuales!$F$21*(datos_base!$J$4+IF(parametros_manuales!$H$21="Todos",datos_base!$J$11,0))*parametros_manuales!$M$107+parametros_manuales!$G$21*(datos_base!$J$5+IF(parametros_manuales!$H$21="Todos",datos_base!$J$12,0))*parametros_manuales!$M$112)*parametros_manuales!$I$21*parametros_manuales!$J$21+parametros_manuales!$M$168</f>
        <v>24196.627459864</v>
      </c>
      <c r="N228" s="14" t="n">
        <f aca="false">SUM(B228:M228)</f>
        <v>271683.138624925</v>
      </c>
      <c r="O228" s="14" t="n">
        <f aca="false">MAX(B228:M228)</f>
        <v>24324.0549680537</v>
      </c>
      <c r="P228" s="57" t="n">
        <f aca="false">O228/(parametros_manuales!$B$7)</f>
        <v>162.160366453691</v>
      </c>
      <c r="Q228" s="13" t="str">
        <f aca="false">IF(O228=0,"-",INDEX($B$225:$M$225,MATCH(O228,B228:M228,0)))</f>
        <v>Ene</v>
      </c>
    </row>
    <row r="229" customFormat="false" ht="14.25" hidden="false" customHeight="true" outlineLevel="0" collapsed="false">
      <c r="A229" s="13" t="str">
        <f aca="false">parametros_manuales!$B$22</f>
        <v>Corte de disco y embutido (cúpula y fondo)</v>
      </c>
      <c r="B229" s="14" t="n">
        <f aca="false">(parametros_manuales!$D$22*(datos_base!$J$2+IF(parametros_manuales!$H$22="Todos",datos_base!$J$9,0))*parametros_manuales!$B$97+parametros_manuales!$E$22*(datos_base!$J$3+IF(parametros_manuales!$H$22="Todos",datos_base!$J$10,0))*parametros_manuales!$B$102+parametros_manuales!$F$22*(datos_base!$J$4+IF(parametros_manuales!$H$22="Todos",datos_base!$J$11,0))*parametros_manuales!$B$107+parametros_manuales!$G$22*(datos_base!$J$5+IF(parametros_manuales!$H$22="Todos",datos_base!$J$12,0))*parametros_manuales!$B$112)*parametros_manuales!$I$22*parametros_manuales!$J$22</f>
        <v>44315.57465766</v>
      </c>
      <c r="C229" s="14" t="n">
        <f aca="false">(parametros_manuales!$D$22*(datos_base!$J$2+IF(parametros_manuales!$H$22="Todos",datos_base!$J$9,0))*parametros_manuales!$C$97+parametros_manuales!$E$22*(datos_base!$J$3+IF(parametros_manuales!$H$22="Todos",datos_base!$J$10,0))*parametros_manuales!$C$102+parametros_manuales!$F$22*(datos_base!$J$4+IF(parametros_manuales!$H$22="Todos",datos_base!$J$11,0))*parametros_manuales!$C$107+parametros_manuales!$G$22*(datos_base!$J$5+IF(parametros_manuales!$H$22="Todos",datos_base!$J$12,0))*parametros_manuales!$C$112)*parametros_manuales!$I$22*parametros_manuales!$J$22</f>
        <v>42899.48464072</v>
      </c>
      <c r="D229" s="14" t="n">
        <f aca="false">(parametros_manuales!$D$22*(datos_base!$J$2+IF(parametros_manuales!$H$22="Todos",datos_base!$J$9,0))*parametros_manuales!$D$97+parametros_manuales!$E$22*(datos_base!$J$3+IF(parametros_manuales!$H$22="Todos",datos_base!$J$10,0))*parametros_manuales!$D$102+parametros_manuales!$F$22*(datos_base!$J$4+IF(parametros_manuales!$H$22="Todos",datos_base!$J$11,0))*parametros_manuales!$D$107+parametros_manuales!$G$22*(datos_base!$J$5+IF(parametros_manuales!$H$22="Todos",datos_base!$J$12,0))*parametros_manuales!$D$112)*parametros_manuales!$I$22*parametros_manuales!$J$22</f>
        <v>40099.66692639</v>
      </c>
      <c r="E229" s="14" t="n">
        <f aca="false">(parametros_manuales!$D$22*(datos_base!$J$2+IF(parametros_manuales!$H$22="Todos",datos_base!$J$9,0))*parametros_manuales!$E$97+parametros_manuales!$E$22*(datos_base!$J$3+IF(parametros_manuales!$H$22="Todos",datos_base!$J$10,0))*parametros_manuales!$E$102+parametros_manuales!$F$22*(datos_base!$J$4+IF(parametros_manuales!$H$22="Todos",datos_base!$J$11,0))*parametros_manuales!$E$107+parametros_manuales!$G$22*(datos_base!$J$5+IF(parametros_manuales!$H$22="Todos",datos_base!$J$12,0))*parametros_manuales!$E$112)*parametros_manuales!$I$22*parametros_manuales!$J$22</f>
        <v>38345.73556499</v>
      </c>
      <c r="F229" s="14" t="n">
        <f aca="false">(parametros_manuales!$D$22*(datos_base!$J$2+IF(parametros_manuales!$H$22="Todos",datos_base!$J$9,0))*parametros_manuales!$F$97+parametros_manuales!$E$22*(datos_base!$J$3+IF(parametros_manuales!$H$22="Todos",datos_base!$J$10,0))*parametros_manuales!$F$102+parametros_manuales!$F$22*(datos_base!$J$4+IF(parametros_manuales!$H$22="Todos",datos_base!$J$11,0))*parametros_manuales!$F$107+parametros_manuales!$G$22*(datos_base!$J$5+IF(parametros_manuales!$H$22="Todos",datos_base!$J$12,0))*parametros_manuales!$F$112)*parametros_manuales!$I$22*parametros_manuales!$J$22</f>
        <v>35883.75919512</v>
      </c>
      <c r="G229" s="14" t="n">
        <f aca="false">(parametros_manuales!$D$22*(datos_base!$J$2+IF(parametros_manuales!$H$22="Todos",datos_base!$J$9,0))*parametros_manuales!$G$97+parametros_manuales!$E$22*(datos_base!$J$3+IF(parametros_manuales!$H$22="Todos",datos_base!$J$10,0))*parametros_manuales!$G$102+parametros_manuales!$F$22*(datos_base!$J$4+IF(parametros_manuales!$H$22="Todos",datos_base!$J$11,0))*parametros_manuales!$G$107+parametros_manuales!$G$22*(datos_base!$J$5+IF(parametros_manuales!$H$22="Todos",datos_base!$J$12,0))*parametros_manuales!$G$112)*parametros_manuales!$I$22*parametros_manuales!$J$22</f>
        <v>35175.71418665</v>
      </c>
      <c r="H229" s="14" t="n">
        <f aca="false">(parametros_manuales!$D$22*(datos_base!$J$2+IF(parametros_manuales!$H$22="Todos",datos_base!$J$9,0))*parametros_manuales!$H$97+parametros_manuales!$E$22*(datos_base!$J$3+IF(parametros_manuales!$H$22="Todos",datos_base!$J$10,0))*parametros_manuales!$H$102+parametros_manuales!$F$22*(datos_base!$J$4+IF(parametros_manuales!$H$22="Todos",datos_base!$J$11,0))*parametros_manuales!$H$107+parametros_manuales!$G$22*(datos_base!$J$5+IF(parametros_manuales!$H$22="Todos",datos_base!$J$12,0))*parametros_manuales!$H$112)*parametros_manuales!$I$22*parametros_manuales!$J$22</f>
        <v>37637.69055652</v>
      </c>
      <c r="I229" s="14" t="n">
        <f aca="false">(parametros_manuales!$D$22*(datos_base!$J$2+IF(parametros_manuales!$H$22="Todos",datos_base!$J$9,0))*parametros_manuales!$I$97+parametros_manuales!$E$22*(datos_base!$J$3+IF(parametros_manuales!$H$22="Todos",datos_base!$J$10,0))*parametros_manuales!$I$102+parametros_manuales!$F$22*(datos_base!$J$4+IF(parametros_manuales!$H$22="Todos",datos_base!$J$11,0))*parametros_manuales!$I$107+parametros_manuales!$G$22*(datos_base!$J$5+IF(parametros_manuales!$H$22="Todos",datos_base!$J$12,0))*parametros_manuales!$I$112)*parametros_manuales!$I$22*parametros_manuales!$J$22</f>
        <v>42899.48464072</v>
      </c>
      <c r="J229" s="14" t="n">
        <f aca="false">(parametros_manuales!$D$22*(datos_base!$J$2+IF(parametros_manuales!$H$22="Todos",datos_base!$J$9,0))*parametros_manuales!$J$97+parametros_manuales!$E$22*(datos_base!$J$3+IF(parametros_manuales!$H$22="Todos",datos_base!$J$10,0))*parametros_manuales!$J$102+parametros_manuales!$F$22*(datos_base!$J$4+IF(parametros_manuales!$H$22="Todos",datos_base!$J$11,0))*parametros_manuales!$J$107+parametros_manuales!$G$22*(datos_base!$J$5+IF(parametros_manuales!$H$22="Todos",datos_base!$J$12,0))*parametros_manuales!$J$112)*parametros_manuales!$I$22*parametros_manuales!$J$22</f>
        <v>42899.48464072</v>
      </c>
      <c r="K229" s="14" t="n">
        <f aca="false">(parametros_manuales!$D$22*(datos_base!$J$2+IF(parametros_manuales!$H$22="Todos",datos_base!$J$9,0))*parametros_manuales!$K$97+parametros_manuales!$E$22*(datos_base!$J$3+IF(parametros_manuales!$H$22="Todos",datos_base!$J$10,0))*parametros_manuales!$K$102+parametros_manuales!$F$22*(datos_base!$J$4+IF(parametros_manuales!$H$22="Todos",datos_base!$J$11,0))*parametros_manuales!$K$107+parametros_manuales!$G$22*(datos_base!$J$5+IF(parametros_manuales!$H$22="Todos",datos_base!$J$12,0))*parametros_manuales!$K$112)*parametros_manuales!$I$22*parametros_manuales!$J$22</f>
        <v>43607.52964919</v>
      </c>
      <c r="L229" s="14" t="n">
        <f aca="false">(parametros_manuales!$D$22*(datos_base!$J$2+IF(parametros_manuales!$H$22="Todos",datos_base!$J$9,0))*parametros_manuales!$L$97+parametros_manuales!$E$22*(datos_base!$J$3+IF(parametros_manuales!$H$22="Todos",datos_base!$J$10,0))*parametros_manuales!$L$102+parametros_manuales!$F$22*(datos_base!$J$4+IF(parametros_manuales!$H$22="Todos",datos_base!$J$11,0))*parametros_manuales!$L$107+parametros_manuales!$G$22*(datos_base!$J$5+IF(parametros_manuales!$H$22="Todos",datos_base!$J$12,0))*parametros_manuales!$L$112)*parametros_manuales!$I$22*parametros_manuales!$J$22</f>
        <v>44315.57465766</v>
      </c>
      <c r="M229" s="14" t="n">
        <f aca="false">(parametros_manuales!$D$22*(datos_base!$J$2+IF(parametros_manuales!$H$22="Todos",datos_base!$J$9,0))*parametros_manuales!$M$97+parametros_manuales!$E$22*(datos_base!$J$3+IF(parametros_manuales!$H$22="Todos",datos_base!$J$10,0))*parametros_manuales!$M$102+parametros_manuales!$F$22*(datos_base!$J$4+IF(parametros_manuales!$H$22="Todos",datos_base!$J$11,0))*parametros_manuales!$M$107+parametros_manuales!$G$22*(datos_base!$J$5+IF(parametros_manuales!$H$22="Todos",datos_base!$J$12,0))*parametros_manuales!$M$112)*parametros_manuales!$I$22*parametros_manuales!$J$22</f>
        <v>44315.57465766</v>
      </c>
      <c r="N229" s="14" t="n">
        <f aca="false">SUM(B229:M229)</f>
        <v>492395.273974</v>
      </c>
      <c r="O229" s="14" t="n">
        <f aca="false">MAX(B229:M229)</f>
        <v>44315.57465766</v>
      </c>
      <c r="P229" s="57" t="n">
        <f aca="false">O229/(parametros_manuales!$B$7)</f>
        <v>295.4371643844</v>
      </c>
      <c r="Q229" s="13" t="str">
        <f aca="false">IF(O229=0,"-",INDEX($B$225:$M$225,MATCH(O229,B229:M229,0)))</f>
        <v>Ene</v>
      </c>
    </row>
    <row r="230" customFormat="false" ht="14.25" hidden="false" customHeight="true" outlineLevel="0" collapsed="false">
      <c r="A230" s="13" t="str">
        <f aca="false">parametros_manuales!$B$23</f>
        <v>Preparación de cuello</v>
      </c>
      <c r="B230" s="14" t="n">
        <f aca="false">(parametros_manuales!$D$23*(datos_base!$J$2+IF(parametros_manuales!$H$23="Todos",datos_base!$J$9,0))*parametros_manuales!$B$97+parametros_manuales!$E$23*(datos_base!$J$3+IF(parametros_manuales!$H$23="Todos",datos_base!$J$10,0))*parametros_manuales!$B$102+parametros_manuales!$F$23*(datos_base!$J$4+IF(parametros_manuales!$H$23="Todos",datos_base!$J$11,0))*parametros_manuales!$B$107+parametros_manuales!$G$23*(datos_base!$J$5+IF(parametros_manuales!$H$23="Todos",datos_base!$J$12,0))*parametros_manuales!$B$112)*parametros_manuales!$I$23*parametros_manuales!$J$23</f>
        <v>22157.78732883</v>
      </c>
      <c r="C230" s="14" t="n">
        <f aca="false">(parametros_manuales!$D$23*(datos_base!$J$2+IF(parametros_manuales!$H$23="Todos",datos_base!$J$9,0))*parametros_manuales!$C$97+parametros_manuales!$E$23*(datos_base!$J$3+IF(parametros_manuales!$H$23="Todos",datos_base!$J$10,0))*parametros_manuales!$C$102+parametros_manuales!$F$23*(datos_base!$J$4+IF(parametros_manuales!$H$23="Todos",datos_base!$J$11,0))*parametros_manuales!$C$107+parametros_manuales!$G$23*(datos_base!$J$5+IF(parametros_manuales!$H$23="Todos",datos_base!$J$12,0))*parametros_manuales!$C$112)*parametros_manuales!$I$23*parametros_manuales!$J$23</f>
        <v>21449.74232036</v>
      </c>
      <c r="D230" s="14" t="n">
        <f aca="false">(parametros_manuales!$D$23*(datos_base!$J$2+IF(parametros_manuales!$H$23="Todos",datos_base!$J$9,0))*parametros_manuales!$D$97+parametros_manuales!$E$23*(datos_base!$J$3+IF(parametros_manuales!$H$23="Todos",datos_base!$J$10,0))*parametros_manuales!$D$102+parametros_manuales!$F$23*(datos_base!$J$4+IF(parametros_manuales!$H$23="Todos",datos_base!$J$11,0))*parametros_manuales!$D$107+parametros_manuales!$G$23*(datos_base!$J$5+IF(parametros_manuales!$H$23="Todos",datos_base!$J$12,0))*parametros_manuales!$D$112)*parametros_manuales!$I$23*parametros_manuales!$J$23</f>
        <v>20049.833463195</v>
      </c>
      <c r="E230" s="14" t="n">
        <f aca="false">(parametros_manuales!$D$23*(datos_base!$J$2+IF(parametros_manuales!$H$23="Todos",datos_base!$J$9,0))*parametros_manuales!$E$97+parametros_manuales!$E$23*(datos_base!$J$3+IF(parametros_manuales!$H$23="Todos",datos_base!$J$10,0))*parametros_manuales!$E$102+parametros_manuales!$F$23*(datos_base!$J$4+IF(parametros_manuales!$H$23="Todos",datos_base!$J$11,0))*parametros_manuales!$E$107+parametros_manuales!$G$23*(datos_base!$J$5+IF(parametros_manuales!$H$23="Todos",datos_base!$J$12,0))*parametros_manuales!$E$112)*parametros_manuales!$I$23*parametros_manuales!$J$23</f>
        <v>19172.867782495</v>
      </c>
      <c r="F230" s="14" t="n">
        <f aca="false">(parametros_manuales!$D$23*(datos_base!$J$2+IF(parametros_manuales!$H$23="Todos",datos_base!$J$9,0))*parametros_manuales!$F$97+parametros_manuales!$E$23*(datos_base!$J$3+IF(parametros_manuales!$H$23="Todos",datos_base!$J$10,0))*parametros_manuales!$F$102+parametros_manuales!$F$23*(datos_base!$J$4+IF(parametros_manuales!$H$23="Todos",datos_base!$J$11,0))*parametros_manuales!$F$107+parametros_manuales!$G$23*(datos_base!$J$5+IF(parametros_manuales!$H$23="Todos",datos_base!$J$12,0))*parametros_manuales!$F$112)*parametros_manuales!$I$23*parametros_manuales!$J$23</f>
        <v>17941.87959756</v>
      </c>
      <c r="G230" s="14" t="n">
        <f aca="false">(parametros_manuales!$D$23*(datos_base!$J$2+IF(parametros_manuales!$H$23="Todos",datos_base!$J$9,0))*parametros_manuales!$G$97+parametros_manuales!$E$23*(datos_base!$J$3+IF(parametros_manuales!$H$23="Todos",datos_base!$J$10,0))*parametros_manuales!$G$102+parametros_manuales!$F$23*(datos_base!$J$4+IF(parametros_manuales!$H$23="Todos",datos_base!$J$11,0))*parametros_manuales!$G$107+parametros_manuales!$G$23*(datos_base!$J$5+IF(parametros_manuales!$H$23="Todos",datos_base!$J$12,0))*parametros_manuales!$G$112)*parametros_manuales!$I$23*parametros_manuales!$J$23</f>
        <v>17587.857093325</v>
      </c>
      <c r="H230" s="14" t="n">
        <f aca="false">(parametros_manuales!$D$23*(datos_base!$J$2+IF(parametros_manuales!$H$23="Todos",datos_base!$J$9,0))*parametros_manuales!$H$97+parametros_manuales!$E$23*(datos_base!$J$3+IF(parametros_manuales!$H$23="Todos",datos_base!$J$10,0))*parametros_manuales!$H$102+parametros_manuales!$F$23*(datos_base!$J$4+IF(parametros_manuales!$H$23="Todos",datos_base!$J$11,0))*parametros_manuales!$H$107+parametros_manuales!$G$23*(datos_base!$J$5+IF(parametros_manuales!$H$23="Todos",datos_base!$J$12,0))*parametros_manuales!$H$112)*parametros_manuales!$I$23*parametros_manuales!$J$23</f>
        <v>18818.84527826</v>
      </c>
      <c r="I230" s="14" t="n">
        <f aca="false">(parametros_manuales!$D$23*(datos_base!$J$2+IF(parametros_manuales!$H$23="Todos",datos_base!$J$9,0))*parametros_manuales!$I$97+parametros_manuales!$E$23*(datos_base!$J$3+IF(parametros_manuales!$H$23="Todos",datos_base!$J$10,0))*parametros_manuales!$I$102+parametros_manuales!$F$23*(datos_base!$J$4+IF(parametros_manuales!$H$23="Todos",datos_base!$J$11,0))*parametros_manuales!$I$107+parametros_manuales!$G$23*(datos_base!$J$5+IF(parametros_manuales!$H$23="Todos",datos_base!$J$12,0))*parametros_manuales!$I$112)*parametros_manuales!$I$23*parametros_manuales!$J$23</f>
        <v>21449.74232036</v>
      </c>
      <c r="J230" s="14" t="n">
        <f aca="false">(parametros_manuales!$D$23*(datos_base!$J$2+IF(parametros_manuales!$H$23="Todos",datos_base!$J$9,0))*parametros_manuales!$J$97+parametros_manuales!$E$23*(datos_base!$J$3+IF(parametros_manuales!$H$23="Todos",datos_base!$J$10,0))*parametros_manuales!$J$102+parametros_manuales!$F$23*(datos_base!$J$4+IF(parametros_manuales!$H$23="Todos",datos_base!$J$11,0))*parametros_manuales!$J$107+parametros_manuales!$G$23*(datos_base!$J$5+IF(parametros_manuales!$H$23="Todos",datos_base!$J$12,0))*parametros_manuales!$J$112)*parametros_manuales!$I$23*parametros_manuales!$J$23</f>
        <v>21449.74232036</v>
      </c>
      <c r="K230" s="14" t="n">
        <f aca="false">(parametros_manuales!$D$23*(datos_base!$J$2+IF(parametros_manuales!$H$23="Todos",datos_base!$J$9,0))*parametros_manuales!$K$97+parametros_manuales!$E$23*(datos_base!$J$3+IF(parametros_manuales!$H$23="Todos",datos_base!$J$10,0))*parametros_manuales!$K$102+parametros_manuales!$F$23*(datos_base!$J$4+IF(parametros_manuales!$H$23="Todos",datos_base!$J$11,0))*parametros_manuales!$K$107+parametros_manuales!$G$23*(datos_base!$J$5+IF(parametros_manuales!$H$23="Todos",datos_base!$J$12,0))*parametros_manuales!$K$112)*parametros_manuales!$I$23*parametros_manuales!$J$23</f>
        <v>21803.764824595</v>
      </c>
      <c r="L230" s="14" t="n">
        <f aca="false">(parametros_manuales!$D$23*(datos_base!$J$2+IF(parametros_manuales!$H$23="Todos",datos_base!$J$9,0))*parametros_manuales!$L$97+parametros_manuales!$E$23*(datos_base!$J$3+IF(parametros_manuales!$H$23="Todos",datos_base!$J$10,0))*parametros_manuales!$L$102+parametros_manuales!$F$23*(datos_base!$J$4+IF(parametros_manuales!$H$23="Todos",datos_base!$J$11,0))*parametros_manuales!$L$107+parametros_manuales!$G$23*(datos_base!$J$5+IF(parametros_manuales!$H$23="Todos",datos_base!$J$12,0))*parametros_manuales!$L$112)*parametros_manuales!$I$23*parametros_manuales!$J$23</f>
        <v>22157.78732883</v>
      </c>
      <c r="M230" s="14" t="n">
        <f aca="false">(parametros_manuales!$D$23*(datos_base!$J$2+IF(parametros_manuales!$H$23="Todos",datos_base!$J$9,0))*parametros_manuales!$M$97+parametros_manuales!$E$23*(datos_base!$J$3+IF(parametros_manuales!$H$23="Todos",datos_base!$J$10,0))*parametros_manuales!$M$102+parametros_manuales!$F$23*(datos_base!$J$4+IF(parametros_manuales!$H$23="Todos",datos_base!$J$11,0))*parametros_manuales!$M$107+parametros_manuales!$G$23*(datos_base!$J$5+IF(parametros_manuales!$H$23="Todos",datos_base!$J$12,0))*parametros_manuales!$M$112)*parametros_manuales!$I$23*parametros_manuales!$J$23</f>
        <v>22157.78732883</v>
      </c>
      <c r="N230" s="14" t="n">
        <f aca="false">SUM(B230:M230)</f>
        <v>246197.636987</v>
      </c>
      <c r="O230" s="14" t="n">
        <f aca="false">MAX(B230:M230)</f>
        <v>22157.78732883</v>
      </c>
      <c r="P230" s="57" t="n">
        <f aca="false">O230/(parametros_manuales!$B$7)</f>
        <v>147.7185821922</v>
      </c>
      <c r="Q230" s="13" t="str">
        <f aca="false">IF(O230=0,"-",INDEX($B$225:$M$225,MATCH(O230,B230:M230,0)))</f>
        <v>Ene</v>
      </c>
    </row>
    <row r="231" customFormat="false" ht="14.25" hidden="false" customHeight="true" outlineLevel="0" collapsed="false">
      <c r="A231" s="13" t="str">
        <f aca="false">parametros_manuales!$B$24</f>
        <v>Numerado de cúpula</v>
      </c>
      <c r="B231" s="14" t="n">
        <f aca="false">(parametros_manuales!$D$24*(datos_base!$J$2+IF(parametros_manuales!$H$24="Todos",datos_base!$J$9,0))*parametros_manuales!$B$97+parametros_manuales!$E$24*(datos_base!$J$3+IF(parametros_manuales!$H$24="Todos",datos_base!$J$10,0))*parametros_manuales!$B$102+parametros_manuales!$F$24*(datos_base!$J$4+IF(parametros_manuales!$H$24="Todos",datos_base!$J$11,0))*parametros_manuales!$B$107+parametros_manuales!$G$24*(datos_base!$J$5+IF(parametros_manuales!$H$24="Todos",datos_base!$J$12,0))*parametros_manuales!$B$112)*parametros_manuales!$I$24*parametros_manuales!$J$24</f>
        <v>22157.78732883</v>
      </c>
      <c r="C231" s="14" t="n">
        <f aca="false">(parametros_manuales!$D$24*(datos_base!$J$2+IF(parametros_manuales!$H$24="Todos",datos_base!$J$9,0))*parametros_manuales!$C$97+parametros_manuales!$E$24*(datos_base!$J$3+IF(parametros_manuales!$H$24="Todos",datos_base!$J$10,0))*parametros_manuales!$C$102+parametros_manuales!$F$24*(datos_base!$J$4+IF(parametros_manuales!$H$24="Todos",datos_base!$J$11,0))*parametros_manuales!$C$107+parametros_manuales!$G$24*(datos_base!$J$5+IF(parametros_manuales!$H$24="Todos",datos_base!$J$12,0))*parametros_manuales!$C$112)*parametros_manuales!$I$24*parametros_manuales!$J$24</f>
        <v>21449.74232036</v>
      </c>
      <c r="D231" s="14" t="n">
        <f aca="false">(parametros_manuales!$D$24*(datos_base!$J$2+IF(parametros_manuales!$H$24="Todos",datos_base!$J$9,0))*parametros_manuales!$D$97+parametros_manuales!$E$24*(datos_base!$J$3+IF(parametros_manuales!$H$24="Todos",datos_base!$J$10,0))*parametros_manuales!$D$102+parametros_manuales!$F$24*(datos_base!$J$4+IF(parametros_manuales!$H$24="Todos",datos_base!$J$11,0))*parametros_manuales!$D$107+parametros_manuales!$G$24*(datos_base!$J$5+IF(parametros_manuales!$H$24="Todos",datos_base!$J$12,0))*parametros_manuales!$D$112)*parametros_manuales!$I$24*parametros_manuales!$J$24</f>
        <v>20049.833463195</v>
      </c>
      <c r="E231" s="14" t="n">
        <f aca="false">(parametros_manuales!$D$24*(datos_base!$J$2+IF(parametros_manuales!$H$24="Todos",datos_base!$J$9,0))*parametros_manuales!$E$97+parametros_manuales!$E$24*(datos_base!$J$3+IF(parametros_manuales!$H$24="Todos",datos_base!$J$10,0))*parametros_manuales!$E$102+parametros_manuales!$F$24*(datos_base!$J$4+IF(parametros_manuales!$H$24="Todos",datos_base!$J$11,0))*parametros_manuales!$E$107+parametros_manuales!$G$24*(datos_base!$J$5+IF(parametros_manuales!$H$24="Todos",datos_base!$J$12,0))*parametros_manuales!$E$112)*parametros_manuales!$I$24*parametros_manuales!$J$24</f>
        <v>19172.867782495</v>
      </c>
      <c r="F231" s="14" t="n">
        <f aca="false">(parametros_manuales!$D$24*(datos_base!$J$2+IF(parametros_manuales!$H$24="Todos",datos_base!$J$9,0))*parametros_manuales!$F$97+parametros_manuales!$E$24*(datos_base!$J$3+IF(parametros_manuales!$H$24="Todos",datos_base!$J$10,0))*parametros_manuales!$F$102+parametros_manuales!$F$24*(datos_base!$J$4+IF(parametros_manuales!$H$24="Todos",datos_base!$J$11,0))*parametros_manuales!$F$107+parametros_manuales!$G$24*(datos_base!$J$5+IF(parametros_manuales!$H$24="Todos",datos_base!$J$12,0))*parametros_manuales!$F$112)*parametros_manuales!$I$24*parametros_manuales!$J$24</f>
        <v>17941.87959756</v>
      </c>
      <c r="G231" s="14" t="n">
        <f aca="false">(parametros_manuales!$D$24*(datos_base!$J$2+IF(parametros_manuales!$H$24="Todos",datos_base!$J$9,0))*parametros_manuales!$G$97+parametros_manuales!$E$24*(datos_base!$J$3+IF(parametros_manuales!$H$24="Todos",datos_base!$J$10,0))*parametros_manuales!$G$102+parametros_manuales!$F$24*(datos_base!$J$4+IF(parametros_manuales!$H$24="Todos",datos_base!$J$11,0))*parametros_manuales!$G$107+parametros_manuales!$G$24*(datos_base!$J$5+IF(parametros_manuales!$H$24="Todos",datos_base!$J$12,0))*parametros_manuales!$G$112)*parametros_manuales!$I$24*parametros_manuales!$J$24</f>
        <v>17587.857093325</v>
      </c>
      <c r="H231" s="14" t="n">
        <f aca="false">(parametros_manuales!$D$24*(datos_base!$J$2+IF(parametros_manuales!$H$24="Todos",datos_base!$J$9,0))*parametros_manuales!$H$97+parametros_manuales!$E$24*(datos_base!$J$3+IF(parametros_manuales!$H$24="Todos",datos_base!$J$10,0))*parametros_manuales!$H$102+parametros_manuales!$F$24*(datos_base!$J$4+IF(parametros_manuales!$H$24="Todos",datos_base!$J$11,0))*parametros_manuales!$H$107+parametros_manuales!$G$24*(datos_base!$J$5+IF(parametros_manuales!$H$24="Todos",datos_base!$J$12,0))*parametros_manuales!$H$112)*parametros_manuales!$I$24*parametros_manuales!$J$24</f>
        <v>18818.84527826</v>
      </c>
      <c r="I231" s="14" t="n">
        <f aca="false">(parametros_manuales!$D$24*(datos_base!$J$2+IF(parametros_manuales!$H$24="Todos",datos_base!$J$9,0))*parametros_manuales!$I$97+parametros_manuales!$E$24*(datos_base!$J$3+IF(parametros_manuales!$H$24="Todos",datos_base!$J$10,0))*parametros_manuales!$I$102+parametros_manuales!$F$24*(datos_base!$J$4+IF(parametros_manuales!$H$24="Todos",datos_base!$J$11,0))*parametros_manuales!$I$107+parametros_manuales!$G$24*(datos_base!$J$5+IF(parametros_manuales!$H$24="Todos",datos_base!$J$12,0))*parametros_manuales!$I$112)*parametros_manuales!$I$24*parametros_manuales!$J$24</f>
        <v>21449.74232036</v>
      </c>
      <c r="J231" s="14" t="n">
        <f aca="false">(parametros_manuales!$D$24*(datos_base!$J$2+IF(parametros_manuales!$H$24="Todos",datos_base!$J$9,0))*parametros_manuales!$J$97+parametros_manuales!$E$24*(datos_base!$J$3+IF(parametros_manuales!$H$24="Todos",datos_base!$J$10,0))*parametros_manuales!$J$102+parametros_manuales!$F$24*(datos_base!$J$4+IF(parametros_manuales!$H$24="Todos",datos_base!$J$11,0))*parametros_manuales!$J$107+parametros_manuales!$G$24*(datos_base!$J$5+IF(parametros_manuales!$H$24="Todos",datos_base!$J$12,0))*parametros_manuales!$J$112)*parametros_manuales!$I$24*parametros_manuales!$J$24</f>
        <v>21449.74232036</v>
      </c>
      <c r="K231" s="14" t="n">
        <f aca="false">(parametros_manuales!$D$24*(datos_base!$J$2+IF(parametros_manuales!$H$24="Todos",datos_base!$J$9,0))*parametros_manuales!$K$97+parametros_manuales!$E$24*(datos_base!$J$3+IF(parametros_manuales!$H$24="Todos",datos_base!$J$10,0))*parametros_manuales!$K$102+parametros_manuales!$F$24*(datos_base!$J$4+IF(parametros_manuales!$H$24="Todos",datos_base!$J$11,0))*parametros_manuales!$K$107+parametros_manuales!$G$24*(datos_base!$J$5+IF(parametros_manuales!$H$24="Todos",datos_base!$J$12,0))*parametros_manuales!$K$112)*parametros_manuales!$I$24*parametros_manuales!$J$24</f>
        <v>21803.764824595</v>
      </c>
      <c r="L231" s="14" t="n">
        <f aca="false">(parametros_manuales!$D$24*(datos_base!$J$2+IF(parametros_manuales!$H$24="Todos",datos_base!$J$9,0))*parametros_manuales!$L$97+parametros_manuales!$E$24*(datos_base!$J$3+IF(parametros_manuales!$H$24="Todos",datos_base!$J$10,0))*parametros_manuales!$L$102+parametros_manuales!$F$24*(datos_base!$J$4+IF(parametros_manuales!$H$24="Todos",datos_base!$J$11,0))*parametros_manuales!$L$107+parametros_manuales!$G$24*(datos_base!$J$5+IF(parametros_manuales!$H$24="Todos",datos_base!$J$12,0))*parametros_manuales!$L$112)*parametros_manuales!$I$24*parametros_manuales!$J$24</f>
        <v>22157.78732883</v>
      </c>
      <c r="M231" s="14" t="n">
        <f aca="false">(parametros_manuales!$D$24*(datos_base!$J$2+IF(parametros_manuales!$H$24="Todos",datos_base!$J$9,0))*parametros_manuales!$M$97+parametros_manuales!$E$24*(datos_base!$J$3+IF(parametros_manuales!$H$24="Todos",datos_base!$J$10,0))*parametros_manuales!$M$102+parametros_manuales!$F$24*(datos_base!$J$4+IF(parametros_manuales!$H$24="Todos",datos_base!$J$11,0))*parametros_manuales!$M$107+parametros_manuales!$G$24*(datos_base!$J$5+IF(parametros_manuales!$H$24="Todos",datos_base!$J$12,0))*parametros_manuales!$M$112)*parametros_manuales!$I$24*parametros_manuales!$J$24</f>
        <v>22157.78732883</v>
      </c>
      <c r="N231" s="14" t="n">
        <f aca="false">SUM(B231:M231)</f>
        <v>246197.636987</v>
      </c>
      <c r="O231" s="14" t="n">
        <f aca="false">MAX(B231:M231)</f>
        <v>22157.78732883</v>
      </c>
      <c r="P231" s="57" t="n">
        <f aca="false">O231/(parametros_manuales!$B$7)</f>
        <v>147.7185821922</v>
      </c>
      <c r="Q231" s="13" t="str">
        <f aca="false">IF(O231=0,"-",INDEX($B$225:$M$225,MATCH(O231,B231:M231,0)))</f>
        <v>Ene</v>
      </c>
    </row>
    <row r="232" customFormat="false" ht="14.25" hidden="false" customHeight="true" outlineLevel="0" collapsed="false">
      <c r="A232" s="13" t="str">
        <f aca="false">parametros_manuales!$B$25</f>
        <v>Soldadura del cuello a la cúpula</v>
      </c>
      <c r="B232" s="14" t="n">
        <f aca="false">(parametros_manuales!$D$25*(datos_base!$J$2+IF(parametros_manuales!$H$25="Todos",datos_base!$J$9,0))*parametros_manuales!$B$97+parametros_manuales!$E$25*(datos_base!$J$3+IF(parametros_manuales!$H$25="Todos",datos_base!$J$10,0))*parametros_manuales!$B$102+parametros_manuales!$F$25*(datos_base!$J$4+IF(parametros_manuales!$H$25="Todos",datos_base!$J$11,0))*parametros_manuales!$B$107+parametros_manuales!$G$25*(datos_base!$J$5+IF(parametros_manuales!$H$25="Todos",datos_base!$J$12,0))*parametros_manuales!$B$112)*parametros_manuales!$I$25*parametros_manuales!$J$25</f>
        <v>22157.78732883</v>
      </c>
      <c r="C232" s="14" t="n">
        <f aca="false">(parametros_manuales!$D$25*(datos_base!$J$2+IF(parametros_manuales!$H$25="Todos",datos_base!$J$9,0))*parametros_manuales!$C$97+parametros_manuales!$E$25*(datos_base!$J$3+IF(parametros_manuales!$H$25="Todos",datos_base!$J$10,0))*parametros_manuales!$C$102+parametros_manuales!$F$25*(datos_base!$J$4+IF(parametros_manuales!$H$25="Todos",datos_base!$J$11,0))*parametros_manuales!$C$107+parametros_manuales!$G$25*(datos_base!$J$5+IF(parametros_manuales!$H$25="Todos",datos_base!$J$12,0))*parametros_manuales!$C$112)*parametros_manuales!$I$25*parametros_manuales!$J$25</f>
        <v>21449.74232036</v>
      </c>
      <c r="D232" s="14" t="n">
        <f aca="false">(parametros_manuales!$D$25*(datos_base!$J$2+IF(parametros_manuales!$H$25="Todos",datos_base!$J$9,0))*parametros_manuales!$D$97+parametros_manuales!$E$25*(datos_base!$J$3+IF(parametros_manuales!$H$25="Todos",datos_base!$J$10,0))*parametros_manuales!$D$102+parametros_manuales!$F$25*(datos_base!$J$4+IF(parametros_manuales!$H$25="Todos",datos_base!$J$11,0))*parametros_manuales!$D$107+parametros_manuales!$G$25*(datos_base!$J$5+IF(parametros_manuales!$H$25="Todos",datos_base!$J$12,0))*parametros_manuales!$D$112)*parametros_manuales!$I$25*parametros_manuales!$J$25</f>
        <v>20049.833463195</v>
      </c>
      <c r="E232" s="14" t="n">
        <f aca="false">(parametros_manuales!$D$25*(datos_base!$J$2+IF(parametros_manuales!$H$25="Todos",datos_base!$J$9,0))*parametros_manuales!$E$97+parametros_manuales!$E$25*(datos_base!$J$3+IF(parametros_manuales!$H$25="Todos",datos_base!$J$10,0))*parametros_manuales!$E$102+parametros_manuales!$F$25*(datos_base!$J$4+IF(parametros_manuales!$H$25="Todos",datos_base!$J$11,0))*parametros_manuales!$E$107+parametros_manuales!$G$25*(datos_base!$J$5+IF(parametros_manuales!$H$25="Todos",datos_base!$J$12,0))*parametros_manuales!$E$112)*parametros_manuales!$I$25*parametros_manuales!$J$25</f>
        <v>19172.867782495</v>
      </c>
      <c r="F232" s="14" t="n">
        <f aca="false">(parametros_manuales!$D$25*(datos_base!$J$2+IF(parametros_manuales!$H$25="Todos",datos_base!$J$9,0))*parametros_manuales!$F$97+parametros_manuales!$E$25*(datos_base!$J$3+IF(parametros_manuales!$H$25="Todos",datos_base!$J$10,0))*parametros_manuales!$F$102+parametros_manuales!$F$25*(datos_base!$J$4+IF(parametros_manuales!$H$25="Todos",datos_base!$J$11,0))*parametros_manuales!$F$107+parametros_manuales!$G$25*(datos_base!$J$5+IF(parametros_manuales!$H$25="Todos",datos_base!$J$12,0))*parametros_manuales!$F$112)*parametros_manuales!$I$25*parametros_manuales!$J$25</f>
        <v>17941.87959756</v>
      </c>
      <c r="G232" s="14" t="n">
        <f aca="false">(parametros_manuales!$D$25*(datos_base!$J$2+IF(parametros_manuales!$H$25="Todos",datos_base!$J$9,0))*parametros_manuales!$G$97+parametros_manuales!$E$25*(datos_base!$J$3+IF(parametros_manuales!$H$25="Todos",datos_base!$J$10,0))*parametros_manuales!$G$102+parametros_manuales!$F$25*(datos_base!$J$4+IF(parametros_manuales!$H$25="Todos",datos_base!$J$11,0))*parametros_manuales!$G$107+parametros_manuales!$G$25*(datos_base!$J$5+IF(parametros_manuales!$H$25="Todos",datos_base!$J$12,0))*parametros_manuales!$G$112)*parametros_manuales!$I$25*parametros_manuales!$J$25</f>
        <v>17587.857093325</v>
      </c>
      <c r="H232" s="14" t="n">
        <f aca="false">(parametros_manuales!$D$25*(datos_base!$J$2+IF(parametros_manuales!$H$25="Todos",datos_base!$J$9,0))*parametros_manuales!$H$97+parametros_manuales!$E$25*(datos_base!$J$3+IF(parametros_manuales!$H$25="Todos",datos_base!$J$10,0))*parametros_manuales!$H$102+parametros_manuales!$F$25*(datos_base!$J$4+IF(parametros_manuales!$H$25="Todos",datos_base!$J$11,0))*parametros_manuales!$H$107+parametros_manuales!$G$25*(datos_base!$J$5+IF(parametros_manuales!$H$25="Todos",datos_base!$J$12,0))*parametros_manuales!$H$112)*parametros_manuales!$I$25*parametros_manuales!$J$25</f>
        <v>18818.84527826</v>
      </c>
      <c r="I232" s="14" t="n">
        <f aca="false">(parametros_manuales!$D$25*(datos_base!$J$2+IF(parametros_manuales!$H$25="Todos",datos_base!$J$9,0))*parametros_manuales!$I$97+parametros_manuales!$E$25*(datos_base!$J$3+IF(parametros_manuales!$H$25="Todos",datos_base!$J$10,0))*parametros_manuales!$I$102+parametros_manuales!$F$25*(datos_base!$J$4+IF(parametros_manuales!$H$25="Todos",datos_base!$J$11,0))*parametros_manuales!$I$107+parametros_manuales!$G$25*(datos_base!$J$5+IF(parametros_manuales!$H$25="Todos",datos_base!$J$12,0))*parametros_manuales!$I$112)*parametros_manuales!$I$25*parametros_manuales!$J$25</f>
        <v>21449.74232036</v>
      </c>
      <c r="J232" s="14" t="n">
        <f aca="false">(parametros_manuales!$D$25*(datos_base!$J$2+IF(parametros_manuales!$H$25="Todos",datos_base!$J$9,0))*parametros_manuales!$J$97+parametros_manuales!$E$25*(datos_base!$J$3+IF(parametros_manuales!$H$25="Todos",datos_base!$J$10,0))*parametros_manuales!$J$102+parametros_manuales!$F$25*(datos_base!$J$4+IF(parametros_manuales!$H$25="Todos",datos_base!$J$11,0))*parametros_manuales!$J$107+parametros_manuales!$G$25*(datos_base!$J$5+IF(parametros_manuales!$H$25="Todos",datos_base!$J$12,0))*parametros_manuales!$J$112)*parametros_manuales!$I$25*parametros_manuales!$J$25</f>
        <v>21449.74232036</v>
      </c>
      <c r="K232" s="14" t="n">
        <f aca="false">(parametros_manuales!$D$25*(datos_base!$J$2+IF(parametros_manuales!$H$25="Todos",datos_base!$J$9,0))*parametros_manuales!$K$97+parametros_manuales!$E$25*(datos_base!$J$3+IF(parametros_manuales!$H$25="Todos",datos_base!$J$10,0))*parametros_manuales!$K$102+parametros_manuales!$F$25*(datos_base!$J$4+IF(parametros_manuales!$H$25="Todos",datos_base!$J$11,0))*parametros_manuales!$K$107+parametros_manuales!$G$25*(datos_base!$J$5+IF(parametros_manuales!$H$25="Todos",datos_base!$J$12,0))*parametros_manuales!$K$112)*parametros_manuales!$I$25*parametros_manuales!$J$25</f>
        <v>21803.764824595</v>
      </c>
      <c r="L232" s="14" t="n">
        <f aca="false">(parametros_manuales!$D$25*(datos_base!$J$2+IF(parametros_manuales!$H$25="Todos",datos_base!$J$9,0))*parametros_manuales!$L$97+parametros_manuales!$E$25*(datos_base!$J$3+IF(parametros_manuales!$H$25="Todos",datos_base!$J$10,0))*parametros_manuales!$L$102+parametros_manuales!$F$25*(datos_base!$J$4+IF(parametros_manuales!$H$25="Todos",datos_base!$J$11,0))*parametros_manuales!$L$107+parametros_manuales!$G$25*(datos_base!$J$5+IF(parametros_manuales!$H$25="Todos",datos_base!$J$12,0))*parametros_manuales!$L$112)*parametros_manuales!$I$25*parametros_manuales!$J$25</f>
        <v>22157.78732883</v>
      </c>
      <c r="M232" s="14" t="n">
        <f aca="false">(parametros_manuales!$D$25*(datos_base!$J$2+IF(parametros_manuales!$H$25="Todos",datos_base!$J$9,0))*parametros_manuales!$M$97+parametros_manuales!$E$25*(datos_base!$J$3+IF(parametros_manuales!$H$25="Todos",datos_base!$J$10,0))*parametros_manuales!$M$102+parametros_manuales!$F$25*(datos_base!$J$4+IF(parametros_manuales!$H$25="Todos",datos_base!$J$11,0))*parametros_manuales!$M$107+parametros_manuales!$G$25*(datos_base!$J$5+IF(parametros_manuales!$H$25="Todos",datos_base!$J$12,0))*parametros_manuales!$M$112)*parametros_manuales!$I$25*parametros_manuales!$J$25</f>
        <v>22157.78732883</v>
      </c>
      <c r="N232" s="14" t="n">
        <f aca="false">SUM(B232:M232)</f>
        <v>246197.636987</v>
      </c>
      <c r="O232" s="14" t="n">
        <f aca="false">MAX(B232:M232)</f>
        <v>22157.78732883</v>
      </c>
      <c r="P232" s="57" t="n">
        <f aca="false">O232/(parametros_manuales!$B$7)</f>
        <v>147.7185821922</v>
      </c>
      <c r="Q232" s="13" t="str">
        <f aca="false">IF(O232=0,"-",INDEX($B$225:$M$225,MATCH(O232,B232:M232,0)))</f>
        <v>Ene</v>
      </c>
    </row>
    <row r="233" customFormat="false" ht="14.25" hidden="false" customHeight="true" outlineLevel="0" collapsed="false">
      <c r="A233" s="13" t="str">
        <f aca="false">parametros_manuales!$B$26</f>
        <v>Cilindrado</v>
      </c>
      <c r="B233" s="14" t="n">
        <f aca="false">(parametros_manuales!$D$26*(datos_base!$J$2+IF(parametros_manuales!$H$26="Todos",datos_base!$J$9,0))*parametros_manuales!$B$97+parametros_manuales!$E$26*(datos_base!$J$3+IF(parametros_manuales!$H$26="Todos",datos_base!$J$10,0))*parametros_manuales!$B$102+parametros_manuales!$F$26*(datos_base!$J$4+IF(parametros_manuales!$H$26="Todos",datos_base!$J$11,0))*parametros_manuales!$B$107+parametros_manuales!$G$26*(datos_base!$J$5+IF(parametros_manuales!$H$26="Todos",datos_base!$J$12,0))*parametros_manuales!$B$112)*parametros_manuales!$I$26*parametros_manuales!$J$26</f>
        <v>22157.78732883</v>
      </c>
      <c r="C233" s="14" t="n">
        <f aca="false">(parametros_manuales!$D$26*(datos_base!$J$2+IF(parametros_manuales!$H$26="Todos",datos_base!$J$9,0))*parametros_manuales!$C$97+parametros_manuales!$E$26*(datos_base!$J$3+IF(parametros_manuales!$H$26="Todos",datos_base!$J$10,0))*parametros_manuales!$C$102+parametros_manuales!$F$26*(datos_base!$J$4+IF(parametros_manuales!$H$26="Todos",datos_base!$J$11,0))*parametros_manuales!$C$107+parametros_manuales!$G$26*(datos_base!$J$5+IF(parametros_manuales!$H$26="Todos",datos_base!$J$12,0))*parametros_manuales!$C$112)*parametros_manuales!$I$26*parametros_manuales!$J$26</f>
        <v>21449.74232036</v>
      </c>
      <c r="D233" s="14" t="n">
        <f aca="false">(parametros_manuales!$D$26*(datos_base!$J$2+IF(parametros_manuales!$H$26="Todos",datos_base!$J$9,0))*parametros_manuales!$D$97+parametros_manuales!$E$26*(datos_base!$J$3+IF(parametros_manuales!$H$26="Todos",datos_base!$J$10,0))*parametros_manuales!$D$102+parametros_manuales!$F$26*(datos_base!$J$4+IF(parametros_manuales!$H$26="Todos",datos_base!$J$11,0))*parametros_manuales!$D$107+parametros_manuales!$G$26*(datos_base!$J$5+IF(parametros_manuales!$H$26="Todos",datos_base!$J$12,0))*parametros_manuales!$D$112)*parametros_manuales!$I$26*parametros_manuales!$J$26</f>
        <v>20049.833463195</v>
      </c>
      <c r="E233" s="14" t="n">
        <f aca="false">(parametros_manuales!$D$26*(datos_base!$J$2+IF(parametros_manuales!$H$26="Todos",datos_base!$J$9,0))*parametros_manuales!$E$97+parametros_manuales!$E$26*(datos_base!$J$3+IF(parametros_manuales!$H$26="Todos",datos_base!$J$10,0))*parametros_manuales!$E$102+parametros_manuales!$F$26*(datos_base!$J$4+IF(parametros_manuales!$H$26="Todos",datos_base!$J$11,0))*parametros_manuales!$E$107+parametros_manuales!$G$26*(datos_base!$J$5+IF(parametros_manuales!$H$26="Todos",datos_base!$J$12,0))*parametros_manuales!$E$112)*parametros_manuales!$I$26*parametros_manuales!$J$26</f>
        <v>19172.867782495</v>
      </c>
      <c r="F233" s="14" t="n">
        <f aca="false">(parametros_manuales!$D$26*(datos_base!$J$2+IF(parametros_manuales!$H$26="Todos",datos_base!$J$9,0))*parametros_manuales!$F$97+parametros_manuales!$E$26*(datos_base!$J$3+IF(parametros_manuales!$H$26="Todos",datos_base!$J$10,0))*parametros_manuales!$F$102+parametros_manuales!$F$26*(datos_base!$J$4+IF(parametros_manuales!$H$26="Todos",datos_base!$J$11,0))*parametros_manuales!$F$107+parametros_manuales!$G$26*(datos_base!$J$5+IF(parametros_manuales!$H$26="Todos",datos_base!$J$12,0))*parametros_manuales!$F$112)*parametros_manuales!$I$26*parametros_manuales!$J$26</f>
        <v>17941.87959756</v>
      </c>
      <c r="G233" s="14" t="n">
        <f aca="false">(parametros_manuales!$D$26*(datos_base!$J$2+IF(parametros_manuales!$H$26="Todos",datos_base!$J$9,0))*parametros_manuales!$G$97+parametros_manuales!$E$26*(datos_base!$J$3+IF(parametros_manuales!$H$26="Todos",datos_base!$J$10,0))*parametros_manuales!$G$102+parametros_manuales!$F$26*(datos_base!$J$4+IF(parametros_manuales!$H$26="Todos",datos_base!$J$11,0))*parametros_manuales!$G$107+parametros_manuales!$G$26*(datos_base!$J$5+IF(parametros_manuales!$H$26="Todos",datos_base!$J$12,0))*parametros_manuales!$G$112)*parametros_manuales!$I$26*parametros_manuales!$J$26</f>
        <v>17587.857093325</v>
      </c>
      <c r="H233" s="14" t="n">
        <f aca="false">(parametros_manuales!$D$26*(datos_base!$J$2+IF(parametros_manuales!$H$26="Todos",datos_base!$J$9,0))*parametros_manuales!$H$97+parametros_manuales!$E$26*(datos_base!$J$3+IF(parametros_manuales!$H$26="Todos",datos_base!$J$10,0))*parametros_manuales!$H$102+parametros_manuales!$F$26*(datos_base!$J$4+IF(parametros_manuales!$H$26="Todos",datos_base!$J$11,0))*parametros_manuales!$H$107+parametros_manuales!$G$26*(datos_base!$J$5+IF(parametros_manuales!$H$26="Todos",datos_base!$J$12,0))*parametros_manuales!$H$112)*parametros_manuales!$I$26*parametros_manuales!$J$26</f>
        <v>18818.84527826</v>
      </c>
      <c r="I233" s="14" t="n">
        <f aca="false">(parametros_manuales!$D$26*(datos_base!$J$2+IF(parametros_manuales!$H$26="Todos",datos_base!$J$9,0))*parametros_manuales!$I$97+parametros_manuales!$E$26*(datos_base!$J$3+IF(parametros_manuales!$H$26="Todos",datos_base!$J$10,0))*parametros_manuales!$I$102+parametros_manuales!$F$26*(datos_base!$J$4+IF(parametros_manuales!$H$26="Todos",datos_base!$J$11,0))*parametros_manuales!$I$107+parametros_manuales!$G$26*(datos_base!$J$5+IF(parametros_manuales!$H$26="Todos",datos_base!$J$12,0))*parametros_manuales!$I$112)*parametros_manuales!$I$26*parametros_manuales!$J$26</f>
        <v>21449.74232036</v>
      </c>
      <c r="J233" s="14" t="n">
        <f aca="false">(parametros_manuales!$D$26*(datos_base!$J$2+IF(parametros_manuales!$H$26="Todos",datos_base!$J$9,0))*parametros_manuales!$J$97+parametros_manuales!$E$26*(datos_base!$J$3+IF(parametros_manuales!$H$26="Todos",datos_base!$J$10,0))*parametros_manuales!$J$102+parametros_manuales!$F$26*(datos_base!$J$4+IF(parametros_manuales!$H$26="Todos",datos_base!$J$11,0))*parametros_manuales!$J$107+parametros_manuales!$G$26*(datos_base!$J$5+IF(parametros_manuales!$H$26="Todos",datos_base!$J$12,0))*parametros_manuales!$J$112)*parametros_manuales!$I$26*parametros_manuales!$J$26</f>
        <v>21449.74232036</v>
      </c>
      <c r="K233" s="14" t="n">
        <f aca="false">(parametros_manuales!$D$26*(datos_base!$J$2+IF(parametros_manuales!$H$26="Todos",datos_base!$J$9,0))*parametros_manuales!$K$97+parametros_manuales!$E$26*(datos_base!$J$3+IF(parametros_manuales!$H$26="Todos",datos_base!$J$10,0))*parametros_manuales!$K$102+parametros_manuales!$F$26*(datos_base!$J$4+IF(parametros_manuales!$H$26="Todos",datos_base!$J$11,0))*parametros_manuales!$K$107+parametros_manuales!$G$26*(datos_base!$J$5+IF(parametros_manuales!$H$26="Todos",datos_base!$J$12,0))*parametros_manuales!$K$112)*parametros_manuales!$I$26*parametros_manuales!$J$26</f>
        <v>21803.764824595</v>
      </c>
      <c r="L233" s="14" t="n">
        <f aca="false">(parametros_manuales!$D$26*(datos_base!$J$2+IF(parametros_manuales!$H$26="Todos",datos_base!$J$9,0))*parametros_manuales!$L$97+parametros_manuales!$E$26*(datos_base!$J$3+IF(parametros_manuales!$H$26="Todos",datos_base!$J$10,0))*parametros_manuales!$L$102+parametros_manuales!$F$26*(datos_base!$J$4+IF(parametros_manuales!$H$26="Todos",datos_base!$J$11,0))*parametros_manuales!$L$107+parametros_manuales!$G$26*(datos_base!$J$5+IF(parametros_manuales!$H$26="Todos",datos_base!$J$12,0))*parametros_manuales!$L$112)*parametros_manuales!$I$26*parametros_manuales!$J$26</f>
        <v>22157.78732883</v>
      </c>
      <c r="M233" s="14" t="n">
        <f aca="false">(parametros_manuales!$D$26*(datos_base!$J$2+IF(parametros_manuales!$H$26="Todos",datos_base!$J$9,0))*parametros_manuales!$M$97+parametros_manuales!$E$26*(datos_base!$J$3+IF(parametros_manuales!$H$26="Todos",datos_base!$J$10,0))*parametros_manuales!$M$102+parametros_manuales!$F$26*(datos_base!$J$4+IF(parametros_manuales!$H$26="Todos",datos_base!$J$11,0))*parametros_manuales!$M$107+parametros_manuales!$G$26*(datos_base!$J$5+IF(parametros_manuales!$H$26="Todos",datos_base!$J$12,0))*parametros_manuales!$M$112)*parametros_manuales!$I$26*parametros_manuales!$J$26</f>
        <v>22157.78732883</v>
      </c>
      <c r="N233" s="14" t="n">
        <f aca="false">SUM(B233:M233)</f>
        <v>246197.636987</v>
      </c>
      <c r="O233" s="14" t="n">
        <f aca="false">MAX(B233:M233)</f>
        <v>22157.78732883</v>
      </c>
      <c r="P233" s="57" t="n">
        <f aca="false">O233/(parametros_manuales!$B$7)</f>
        <v>147.7185821922</v>
      </c>
      <c r="Q233" s="13" t="str">
        <f aca="false">IF(O233=0,"-",INDEX($B$225:$M$225,MATCH(O233,B233:M233,0)))</f>
        <v>Ene</v>
      </c>
    </row>
    <row r="234" customFormat="false" ht="14.25" hidden="false" customHeight="true" outlineLevel="0" collapsed="false">
      <c r="A234" s="13" t="str">
        <f aca="false">parametros_manuales!$B$27</f>
        <v>Soldadura longitudinal — 2,5 a 10 kg</v>
      </c>
      <c r="B234" s="14" t="n">
        <f aca="false">(parametros_manuales!$D$27*(datos_base!$J$2+IF(parametros_manuales!$H$27="Todos",datos_base!$J$9,0))*parametros_manuales!$B$97+parametros_manuales!$E$27*(datos_base!$J$3+IF(parametros_manuales!$H$27="Todos",datos_base!$J$10,0))*parametros_manuales!$B$102+parametros_manuales!$F$27*(datos_base!$J$4+IF(parametros_manuales!$H$27="Todos",datos_base!$J$11,0))*parametros_manuales!$B$107+parametros_manuales!$G$27*(datos_base!$J$5+IF(parametros_manuales!$H$27="Todos",datos_base!$J$12,0))*parametros_manuales!$B$112)*parametros_manuales!$I$27*parametros_manuales!$J$27</f>
        <v>6372.40507623</v>
      </c>
      <c r="C234" s="14" t="n">
        <f aca="false">(parametros_manuales!$D$27*(datos_base!$J$2+IF(parametros_manuales!$H$27="Todos",datos_base!$J$9,0))*parametros_manuales!$C$97+parametros_manuales!$E$27*(datos_base!$J$3+IF(parametros_manuales!$H$27="Todos",datos_base!$J$10,0))*parametros_manuales!$C$102+parametros_manuales!$F$27*(datos_base!$J$4+IF(parametros_manuales!$H$27="Todos",datos_base!$J$11,0))*parametros_manuales!$C$107+parametros_manuales!$G$27*(datos_base!$J$5+IF(parametros_manuales!$H$27="Todos",datos_base!$J$12,0))*parametros_manuales!$C$112)*parametros_manuales!$I$27*parametros_manuales!$J$27</f>
        <v>5664.36006776</v>
      </c>
      <c r="D234" s="14" t="n">
        <f aca="false">(parametros_manuales!$D$27*(datos_base!$J$2+IF(parametros_manuales!$H$27="Todos",datos_base!$J$9,0))*parametros_manuales!$D$97+parametros_manuales!$E$27*(datos_base!$J$3+IF(parametros_manuales!$H$27="Todos",datos_base!$J$10,0))*parametros_manuales!$D$102+parametros_manuales!$F$27*(datos_base!$J$4+IF(parametros_manuales!$H$27="Todos",datos_base!$J$11,0))*parametros_manuales!$D$107+parametros_manuales!$G$27*(datos_base!$J$5+IF(parametros_manuales!$H$27="Todos",datos_base!$J$12,0))*parametros_manuales!$D$112)*parametros_manuales!$I$27*parametros_manuales!$J$27</f>
        <v>6018.382571995</v>
      </c>
      <c r="E234" s="14" t="n">
        <f aca="false">(parametros_manuales!$D$27*(datos_base!$J$2+IF(parametros_manuales!$H$27="Todos",datos_base!$J$9,0))*parametros_manuales!$E$97+parametros_manuales!$E$27*(datos_base!$J$3+IF(parametros_manuales!$H$27="Todos",datos_base!$J$10,0))*parametros_manuales!$E$102+parametros_manuales!$F$27*(datos_base!$J$4+IF(parametros_manuales!$H$27="Todos",datos_base!$J$11,0))*parametros_manuales!$E$107+parametros_manuales!$G$27*(datos_base!$J$5+IF(parametros_manuales!$H$27="Todos",datos_base!$J$12,0))*parametros_manuales!$E$112)*parametros_manuales!$I$27*parametros_manuales!$J$27</f>
        <v>6018.382571995</v>
      </c>
      <c r="F234" s="14" t="n">
        <f aca="false">(parametros_manuales!$D$27*(datos_base!$J$2+IF(parametros_manuales!$H$27="Todos",datos_base!$J$9,0))*parametros_manuales!$F$97+parametros_manuales!$E$27*(datos_base!$J$3+IF(parametros_manuales!$H$27="Todos",datos_base!$J$10,0))*parametros_manuales!$F$102+parametros_manuales!$F$27*(datos_base!$J$4+IF(parametros_manuales!$H$27="Todos",datos_base!$J$11,0))*parametros_manuales!$F$107+parametros_manuales!$G$27*(datos_base!$J$5+IF(parametros_manuales!$H$27="Todos",datos_base!$J$12,0))*parametros_manuales!$F$112)*parametros_manuales!$I$27*parametros_manuales!$J$27</f>
        <v>5664.36006776</v>
      </c>
      <c r="G234" s="14" t="n">
        <f aca="false">(parametros_manuales!$D$27*(datos_base!$J$2+IF(parametros_manuales!$H$27="Todos",datos_base!$J$9,0))*parametros_manuales!$G$97+parametros_manuales!$E$27*(datos_base!$J$3+IF(parametros_manuales!$H$27="Todos",datos_base!$J$10,0))*parametros_manuales!$G$102+parametros_manuales!$F$27*(datos_base!$J$4+IF(parametros_manuales!$H$27="Todos",datos_base!$J$11,0))*parametros_manuales!$G$107+parametros_manuales!$G$27*(datos_base!$J$5+IF(parametros_manuales!$H$27="Todos",datos_base!$J$12,0))*parametros_manuales!$G$112)*parametros_manuales!$I$27*parametros_manuales!$J$27</f>
        <v>5310.337563525</v>
      </c>
      <c r="H234" s="14" t="n">
        <f aca="false">(parametros_manuales!$D$27*(datos_base!$J$2+IF(parametros_manuales!$H$27="Todos",datos_base!$J$9,0))*parametros_manuales!$H$97+parametros_manuales!$E$27*(datos_base!$J$3+IF(parametros_manuales!$H$27="Todos",datos_base!$J$10,0))*parametros_manuales!$H$102+parametros_manuales!$F$27*(datos_base!$J$4+IF(parametros_manuales!$H$27="Todos",datos_base!$J$11,0))*parametros_manuales!$H$107+parametros_manuales!$G$27*(datos_base!$J$5+IF(parametros_manuales!$H$27="Todos",datos_base!$J$12,0))*parametros_manuales!$H$112)*parametros_manuales!$I$27*parametros_manuales!$J$27</f>
        <v>5664.36006776</v>
      </c>
      <c r="I234" s="14" t="n">
        <f aca="false">(parametros_manuales!$D$27*(datos_base!$J$2+IF(parametros_manuales!$H$27="Todos",datos_base!$J$9,0))*parametros_manuales!$I$97+parametros_manuales!$E$27*(datos_base!$J$3+IF(parametros_manuales!$H$27="Todos",datos_base!$J$10,0))*parametros_manuales!$I$102+parametros_manuales!$F$27*(datos_base!$J$4+IF(parametros_manuales!$H$27="Todos",datos_base!$J$11,0))*parametros_manuales!$I$107+parametros_manuales!$G$27*(datos_base!$J$5+IF(parametros_manuales!$H$27="Todos",datos_base!$J$12,0))*parametros_manuales!$I$112)*parametros_manuales!$I$27*parametros_manuales!$J$27</f>
        <v>5664.36006776</v>
      </c>
      <c r="J234" s="14" t="n">
        <f aca="false">(parametros_manuales!$D$27*(datos_base!$J$2+IF(parametros_manuales!$H$27="Todos",datos_base!$J$9,0))*parametros_manuales!$J$97+parametros_manuales!$E$27*(datos_base!$J$3+IF(parametros_manuales!$H$27="Todos",datos_base!$J$10,0))*parametros_manuales!$J$102+parametros_manuales!$F$27*(datos_base!$J$4+IF(parametros_manuales!$H$27="Todos",datos_base!$J$11,0))*parametros_manuales!$J$107+parametros_manuales!$G$27*(datos_base!$J$5+IF(parametros_manuales!$H$27="Todos",datos_base!$J$12,0))*parametros_manuales!$J$112)*parametros_manuales!$I$27*parametros_manuales!$J$27</f>
        <v>5664.36006776</v>
      </c>
      <c r="K234" s="14" t="n">
        <f aca="false">(parametros_manuales!$D$27*(datos_base!$J$2+IF(parametros_manuales!$H$27="Todos",datos_base!$J$9,0))*parametros_manuales!$K$97+parametros_manuales!$E$27*(datos_base!$J$3+IF(parametros_manuales!$H$27="Todos",datos_base!$J$10,0))*parametros_manuales!$K$102+parametros_manuales!$F$27*(datos_base!$J$4+IF(parametros_manuales!$H$27="Todos",datos_base!$J$11,0))*parametros_manuales!$K$107+parametros_manuales!$G$27*(datos_base!$J$5+IF(parametros_manuales!$H$27="Todos",datos_base!$J$12,0))*parametros_manuales!$K$112)*parametros_manuales!$I$27*parametros_manuales!$J$27</f>
        <v>6018.382571995</v>
      </c>
      <c r="L234" s="14" t="n">
        <f aca="false">(parametros_manuales!$D$27*(datos_base!$J$2+IF(parametros_manuales!$H$27="Todos",datos_base!$J$9,0))*parametros_manuales!$L$97+parametros_manuales!$E$27*(datos_base!$J$3+IF(parametros_manuales!$H$27="Todos",datos_base!$J$10,0))*parametros_manuales!$L$102+parametros_manuales!$F$27*(datos_base!$J$4+IF(parametros_manuales!$H$27="Todos",datos_base!$J$11,0))*parametros_manuales!$L$107+parametros_manuales!$G$27*(datos_base!$J$5+IF(parametros_manuales!$H$27="Todos",datos_base!$J$12,0))*parametros_manuales!$L$112)*parametros_manuales!$I$27*parametros_manuales!$J$27</f>
        <v>6372.40507623</v>
      </c>
      <c r="M234" s="14" t="n">
        <f aca="false">(parametros_manuales!$D$27*(datos_base!$J$2+IF(parametros_manuales!$H$27="Todos",datos_base!$J$9,0))*parametros_manuales!$M$97+parametros_manuales!$E$27*(datos_base!$J$3+IF(parametros_manuales!$H$27="Todos",datos_base!$J$10,0))*parametros_manuales!$M$102+parametros_manuales!$F$27*(datos_base!$J$4+IF(parametros_manuales!$H$27="Todos",datos_base!$J$11,0))*parametros_manuales!$M$107+parametros_manuales!$G$27*(datos_base!$J$5+IF(parametros_manuales!$H$27="Todos",datos_base!$J$12,0))*parametros_manuales!$M$112)*parametros_manuales!$I$27*parametros_manuales!$J$27</f>
        <v>6372.40507623</v>
      </c>
      <c r="N234" s="14" t="n">
        <f aca="false">SUM(B234:M234)</f>
        <v>70804.500847</v>
      </c>
      <c r="O234" s="14" t="n">
        <f aca="false">MAX(B234:M234)</f>
        <v>6372.40507623</v>
      </c>
      <c r="P234" s="57" t="n">
        <f aca="false">O234/(parametros_manuales!$B$7)</f>
        <v>42.4827005082</v>
      </c>
      <c r="Q234" s="13" t="str">
        <f aca="false">IF(O234=0,"-",INDEX($B$225:$M$225,MATCH(O234,B234:M234,0)))</f>
        <v>Ene</v>
      </c>
    </row>
    <row r="235" customFormat="false" ht="14.25" hidden="false" customHeight="true" outlineLevel="0" collapsed="false">
      <c r="A235" s="13" t="str">
        <f aca="false">parametros_manuales!$B$28</f>
        <v>Soldadura longitudinal TIG — 1 kg</v>
      </c>
      <c r="B235" s="14" t="n">
        <f aca="false">(parametros_manuales!$D$28*(datos_base!$J$2+IF(parametros_manuales!$H$28="Todos",datos_base!$J$9,0))*parametros_manuales!$B$97+parametros_manuales!$E$28*(datos_base!$J$3+IF(parametros_manuales!$H$28="Todos",datos_base!$J$10,0))*parametros_manuales!$B$102+parametros_manuales!$F$28*(datos_base!$J$4+IF(parametros_manuales!$H$28="Todos",datos_base!$J$11,0))*parametros_manuales!$B$107+parametros_manuales!$G$28*(datos_base!$J$5+IF(parametros_manuales!$H$28="Todos",datos_base!$J$12,0))*parametros_manuales!$B$112)*parametros_manuales!$I$28*parametros_manuales!$J$28</f>
        <v>15785.3822526</v>
      </c>
      <c r="C235" s="14" t="n">
        <f aca="false">(parametros_manuales!$D$28*(datos_base!$J$2+IF(parametros_manuales!$H$28="Todos",datos_base!$J$9,0))*parametros_manuales!$C$97+parametros_manuales!$E$28*(datos_base!$J$3+IF(parametros_manuales!$H$28="Todos",datos_base!$J$10,0))*parametros_manuales!$C$102+parametros_manuales!$F$28*(datos_base!$J$4+IF(parametros_manuales!$H$28="Todos",datos_base!$J$11,0))*parametros_manuales!$C$107+parametros_manuales!$G$28*(datos_base!$J$5+IF(parametros_manuales!$H$28="Todos",datos_base!$J$12,0))*parametros_manuales!$C$112)*parametros_manuales!$I$28*parametros_manuales!$J$28</f>
        <v>15785.3822526</v>
      </c>
      <c r="D235" s="14" t="n">
        <f aca="false">(parametros_manuales!$D$28*(datos_base!$J$2+IF(parametros_manuales!$H$28="Todos",datos_base!$J$9,0))*parametros_manuales!$D$97+parametros_manuales!$E$28*(datos_base!$J$3+IF(parametros_manuales!$H$28="Todos",datos_base!$J$10,0))*parametros_manuales!$D$102+parametros_manuales!$F$28*(datos_base!$J$4+IF(parametros_manuales!$H$28="Todos",datos_base!$J$11,0))*parametros_manuales!$D$107+parametros_manuales!$G$28*(datos_base!$J$5+IF(parametros_manuales!$H$28="Todos",datos_base!$J$12,0))*parametros_manuales!$D$112)*parametros_manuales!$I$28*parametros_manuales!$J$28</f>
        <v>14031.4508912</v>
      </c>
      <c r="E235" s="14" t="n">
        <f aca="false">(parametros_manuales!$D$28*(datos_base!$J$2+IF(parametros_manuales!$H$28="Todos",datos_base!$J$9,0))*parametros_manuales!$E$97+parametros_manuales!$E$28*(datos_base!$J$3+IF(parametros_manuales!$H$28="Todos",datos_base!$J$10,0))*parametros_manuales!$E$102+parametros_manuales!$F$28*(datos_base!$J$4+IF(parametros_manuales!$H$28="Todos",datos_base!$J$11,0))*parametros_manuales!$E$107+parametros_manuales!$G$28*(datos_base!$J$5+IF(parametros_manuales!$H$28="Todos",datos_base!$J$12,0))*parametros_manuales!$E$112)*parametros_manuales!$I$28*parametros_manuales!$J$28</f>
        <v>13154.4852105</v>
      </c>
      <c r="F235" s="14" t="n">
        <f aca="false">(parametros_manuales!$D$28*(datos_base!$J$2+IF(parametros_manuales!$H$28="Todos",datos_base!$J$9,0))*parametros_manuales!$F$97+parametros_manuales!$E$28*(datos_base!$J$3+IF(parametros_manuales!$H$28="Todos",datos_base!$J$10,0))*parametros_manuales!$F$102+parametros_manuales!$F$28*(datos_base!$J$4+IF(parametros_manuales!$H$28="Todos",datos_base!$J$11,0))*parametros_manuales!$F$107+parametros_manuales!$G$28*(datos_base!$J$5+IF(parametros_manuales!$H$28="Todos",datos_base!$J$12,0))*parametros_manuales!$F$112)*parametros_manuales!$I$28*parametros_manuales!$J$28</f>
        <v>12277.5195298</v>
      </c>
      <c r="G235" s="14" t="n">
        <f aca="false">(parametros_manuales!$D$28*(datos_base!$J$2+IF(parametros_manuales!$H$28="Todos",datos_base!$J$9,0))*parametros_manuales!$G$97+parametros_manuales!$E$28*(datos_base!$J$3+IF(parametros_manuales!$H$28="Todos",datos_base!$J$10,0))*parametros_manuales!$G$102+parametros_manuales!$F$28*(datos_base!$J$4+IF(parametros_manuales!$H$28="Todos",datos_base!$J$11,0))*parametros_manuales!$G$107+parametros_manuales!$G$28*(datos_base!$J$5+IF(parametros_manuales!$H$28="Todos",datos_base!$J$12,0))*parametros_manuales!$G$112)*parametros_manuales!$I$28*parametros_manuales!$J$28</f>
        <v>12277.5195298</v>
      </c>
      <c r="H235" s="14" t="n">
        <f aca="false">(parametros_manuales!$D$28*(datos_base!$J$2+IF(parametros_manuales!$H$28="Todos",datos_base!$J$9,0))*parametros_manuales!$H$97+parametros_manuales!$E$28*(datos_base!$J$3+IF(parametros_manuales!$H$28="Todos",datos_base!$J$10,0))*parametros_manuales!$H$102+parametros_manuales!$F$28*(datos_base!$J$4+IF(parametros_manuales!$H$28="Todos",datos_base!$J$11,0))*parametros_manuales!$H$107+parametros_manuales!$G$28*(datos_base!$J$5+IF(parametros_manuales!$H$28="Todos",datos_base!$J$12,0))*parametros_manuales!$H$112)*parametros_manuales!$I$28*parametros_manuales!$J$28</f>
        <v>13154.4852105</v>
      </c>
      <c r="I235" s="14" t="n">
        <f aca="false">(parametros_manuales!$D$28*(datos_base!$J$2+IF(parametros_manuales!$H$28="Todos",datos_base!$J$9,0))*parametros_manuales!$I$97+parametros_manuales!$E$28*(datos_base!$J$3+IF(parametros_manuales!$H$28="Todos",datos_base!$J$10,0))*parametros_manuales!$I$102+parametros_manuales!$F$28*(datos_base!$J$4+IF(parametros_manuales!$H$28="Todos",datos_base!$J$11,0))*parametros_manuales!$I$107+parametros_manuales!$G$28*(datos_base!$J$5+IF(parametros_manuales!$H$28="Todos",datos_base!$J$12,0))*parametros_manuales!$I$112)*parametros_manuales!$I$28*parametros_manuales!$J$28</f>
        <v>15785.3822526</v>
      </c>
      <c r="J235" s="14" t="n">
        <f aca="false">(parametros_manuales!$D$28*(datos_base!$J$2+IF(parametros_manuales!$H$28="Todos",datos_base!$J$9,0))*parametros_manuales!$J$97+parametros_manuales!$E$28*(datos_base!$J$3+IF(parametros_manuales!$H$28="Todos",datos_base!$J$10,0))*parametros_manuales!$J$102+parametros_manuales!$F$28*(datos_base!$J$4+IF(parametros_manuales!$H$28="Todos",datos_base!$J$11,0))*parametros_manuales!$J$107+parametros_manuales!$G$28*(datos_base!$J$5+IF(parametros_manuales!$H$28="Todos",datos_base!$J$12,0))*parametros_manuales!$J$112)*parametros_manuales!$I$28*parametros_manuales!$J$28</f>
        <v>15785.3822526</v>
      </c>
      <c r="K235" s="14" t="n">
        <f aca="false">(parametros_manuales!$D$28*(datos_base!$J$2+IF(parametros_manuales!$H$28="Todos",datos_base!$J$9,0))*parametros_manuales!$K$97+parametros_manuales!$E$28*(datos_base!$J$3+IF(parametros_manuales!$H$28="Todos",datos_base!$J$10,0))*parametros_manuales!$K$102+parametros_manuales!$F$28*(datos_base!$J$4+IF(parametros_manuales!$H$28="Todos",datos_base!$J$11,0))*parametros_manuales!$K$107+parametros_manuales!$G$28*(datos_base!$J$5+IF(parametros_manuales!$H$28="Todos",datos_base!$J$12,0))*parametros_manuales!$K$112)*parametros_manuales!$I$28*parametros_manuales!$J$28</f>
        <v>15785.3822526</v>
      </c>
      <c r="L235" s="14" t="n">
        <f aca="false">(parametros_manuales!$D$28*(datos_base!$J$2+IF(parametros_manuales!$H$28="Todos",datos_base!$J$9,0))*parametros_manuales!$L$97+parametros_manuales!$E$28*(datos_base!$J$3+IF(parametros_manuales!$H$28="Todos",datos_base!$J$10,0))*parametros_manuales!$L$102+parametros_manuales!$F$28*(datos_base!$J$4+IF(parametros_manuales!$H$28="Todos",datos_base!$J$11,0))*parametros_manuales!$L$107+parametros_manuales!$G$28*(datos_base!$J$5+IF(parametros_manuales!$H$28="Todos",datos_base!$J$12,0))*parametros_manuales!$L$112)*parametros_manuales!$I$28*parametros_manuales!$J$28</f>
        <v>15785.3822526</v>
      </c>
      <c r="M235" s="14" t="n">
        <f aca="false">(parametros_manuales!$D$28*(datos_base!$J$2+IF(parametros_manuales!$H$28="Todos",datos_base!$J$9,0))*parametros_manuales!$M$97+parametros_manuales!$E$28*(datos_base!$J$3+IF(parametros_manuales!$H$28="Todos",datos_base!$J$10,0))*parametros_manuales!$M$102+parametros_manuales!$F$28*(datos_base!$J$4+IF(parametros_manuales!$H$28="Todos",datos_base!$J$11,0))*parametros_manuales!$M$107+parametros_manuales!$G$28*(datos_base!$J$5+IF(parametros_manuales!$H$28="Todos",datos_base!$J$12,0))*parametros_manuales!$M$112)*parametros_manuales!$I$28*parametros_manuales!$J$28</f>
        <v>15785.3822526</v>
      </c>
      <c r="N235" s="14" t="n">
        <f aca="false">SUM(B235:M235)</f>
        <v>175393.13614</v>
      </c>
      <c r="O235" s="14" t="n">
        <f aca="false">MAX(B235:M235)</f>
        <v>15785.3822526</v>
      </c>
      <c r="P235" s="57" t="n">
        <f aca="false">O235/(parametros_manuales!$B$7)</f>
        <v>105.235881684</v>
      </c>
      <c r="Q235" s="13" t="str">
        <f aca="false">IF(O235=0,"-",INDEX($B$225:$M$225,MATCH(O235,B235:M235,0)))</f>
        <v>Ene</v>
      </c>
    </row>
    <row r="236" customFormat="false" ht="14.25" hidden="false" customHeight="true" outlineLevel="0" collapsed="false">
      <c r="A236" s="13" t="str">
        <f aca="false">parametros_manuales!$B$29</f>
        <v>Encastre de fondo</v>
      </c>
      <c r="B236" s="14" t="n">
        <f aca="false">(parametros_manuales!$D$29*(datos_base!$J$2+IF(parametros_manuales!$H$29="Todos",datos_base!$J$9,0))*parametros_manuales!$B$97+parametros_manuales!$E$29*(datos_base!$J$3+IF(parametros_manuales!$H$29="Todos",datos_base!$J$10,0))*parametros_manuales!$B$102+parametros_manuales!$F$29*(datos_base!$J$4+IF(parametros_manuales!$H$29="Todos",datos_base!$J$11,0))*parametros_manuales!$B$107+parametros_manuales!$G$29*(datos_base!$J$5+IF(parametros_manuales!$H$29="Todos",datos_base!$J$12,0))*parametros_manuales!$B$112)*parametros_manuales!$I$29*parametros_manuales!$J$29</f>
        <v>22157.78732883</v>
      </c>
      <c r="C236" s="14" t="n">
        <f aca="false">(parametros_manuales!$D$29*(datos_base!$J$2+IF(parametros_manuales!$H$29="Todos",datos_base!$J$9,0))*parametros_manuales!$C$97+parametros_manuales!$E$29*(datos_base!$J$3+IF(parametros_manuales!$H$29="Todos",datos_base!$J$10,0))*parametros_manuales!$C$102+parametros_manuales!$F$29*(datos_base!$J$4+IF(parametros_manuales!$H$29="Todos",datos_base!$J$11,0))*parametros_manuales!$C$107+parametros_manuales!$G$29*(datos_base!$J$5+IF(parametros_manuales!$H$29="Todos",datos_base!$J$12,0))*parametros_manuales!$C$112)*parametros_manuales!$I$29*parametros_manuales!$J$29</f>
        <v>21449.74232036</v>
      </c>
      <c r="D236" s="14" t="n">
        <f aca="false">(parametros_manuales!$D$29*(datos_base!$J$2+IF(parametros_manuales!$H$29="Todos",datos_base!$J$9,0))*parametros_manuales!$D$97+parametros_manuales!$E$29*(datos_base!$J$3+IF(parametros_manuales!$H$29="Todos",datos_base!$J$10,0))*parametros_manuales!$D$102+parametros_manuales!$F$29*(datos_base!$J$4+IF(parametros_manuales!$H$29="Todos",datos_base!$J$11,0))*parametros_manuales!$D$107+parametros_manuales!$G$29*(datos_base!$J$5+IF(parametros_manuales!$H$29="Todos",datos_base!$J$12,0))*parametros_manuales!$D$112)*parametros_manuales!$I$29*parametros_manuales!$J$29</f>
        <v>20049.833463195</v>
      </c>
      <c r="E236" s="14" t="n">
        <f aca="false">(parametros_manuales!$D$29*(datos_base!$J$2+IF(parametros_manuales!$H$29="Todos",datos_base!$J$9,0))*parametros_manuales!$E$97+parametros_manuales!$E$29*(datos_base!$J$3+IF(parametros_manuales!$H$29="Todos",datos_base!$J$10,0))*parametros_manuales!$E$102+parametros_manuales!$F$29*(datos_base!$J$4+IF(parametros_manuales!$H$29="Todos",datos_base!$J$11,0))*parametros_manuales!$E$107+parametros_manuales!$G$29*(datos_base!$J$5+IF(parametros_manuales!$H$29="Todos",datos_base!$J$12,0))*parametros_manuales!$E$112)*parametros_manuales!$I$29*parametros_manuales!$J$29</f>
        <v>19172.867782495</v>
      </c>
      <c r="F236" s="14" t="n">
        <f aca="false">(parametros_manuales!$D$29*(datos_base!$J$2+IF(parametros_manuales!$H$29="Todos",datos_base!$J$9,0))*parametros_manuales!$F$97+parametros_manuales!$E$29*(datos_base!$J$3+IF(parametros_manuales!$H$29="Todos",datos_base!$J$10,0))*parametros_manuales!$F$102+parametros_manuales!$F$29*(datos_base!$J$4+IF(parametros_manuales!$H$29="Todos",datos_base!$J$11,0))*parametros_manuales!$F$107+parametros_manuales!$G$29*(datos_base!$J$5+IF(parametros_manuales!$H$29="Todos",datos_base!$J$12,0))*parametros_manuales!$F$112)*parametros_manuales!$I$29*parametros_manuales!$J$29</f>
        <v>17941.87959756</v>
      </c>
      <c r="G236" s="14" t="n">
        <f aca="false">(parametros_manuales!$D$29*(datos_base!$J$2+IF(parametros_manuales!$H$29="Todos",datos_base!$J$9,0))*parametros_manuales!$G$97+parametros_manuales!$E$29*(datos_base!$J$3+IF(parametros_manuales!$H$29="Todos",datos_base!$J$10,0))*parametros_manuales!$G$102+parametros_manuales!$F$29*(datos_base!$J$4+IF(parametros_manuales!$H$29="Todos",datos_base!$J$11,0))*parametros_manuales!$G$107+parametros_manuales!$G$29*(datos_base!$J$5+IF(parametros_manuales!$H$29="Todos",datos_base!$J$12,0))*parametros_manuales!$G$112)*parametros_manuales!$I$29*parametros_manuales!$J$29</f>
        <v>17587.857093325</v>
      </c>
      <c r="H236" s="14" t="n">
        <f aca="false">(parametros_manuales!$D$29*(datos_base!$J$2+IF(parametros_manuales!$H$29="Todos",datos_base!$J$9,0))*parametros_manuales!$H$97+parametros_manuales!$E$29*(datos_base!$J$3+IF(parametros_manuales!$H$29="Todos",datos_base!$J$10,0))*parametros_manuales!$H$102+parametros_manuales!$F$29*(datos_base!$J$4+IF(parametros_manuales!$H$29="Todos",datos_base!$J$11,0))*parametros_manuales!$H$107+parametros_manuales!$G$29*(datos_base!$J$5+IF(parametros_manuales!$H$29="Todos",datos_base!$J$12,0))*parametros_manuales!$H$112)*parametros_manuales!$I$29*parametros_manuales!$J$29</f>
        <v>18818.84527826</v>
      </c>
      <c r="I236" s="14" t="n">
        <f aca="false">(parametros_manuales!$D$29*(datos_base!$J$2+IF(parametros_manuales!$H$29="Todos",datos_base!$J$9,0))*parametros_manuales!$I$97+parametros_manuales!$E$29*(datos_base!$J$3+IF(parametros_manuales!$H$29="Todos",datos_base!$J$10,0))*parametros_manuales!$I$102+parametros_manuales!$F$29*(datos_base!$J$4+IF(parametros_manuales!$H$29="Todos",datos_base!$J$11,0))*parametros_manuales!$I$107+parametros_manuales!$G$29*(datos_base!$J$5+IF(parametros_manuales!$H$29="Todos",datos_base!$J$12,0))*parametros_manuales!$I$112)*parametros_manuales!$I$29*parametros_manuales!$J$29</f>
        <v>21449.74232036</v>
      </c>
      <c r="J236" s="14" t="n">
        <f aca="false">(parametros_manuales!$D$29*(datos_base!$J$2+IF(parametros_manuales!$H$29="Todos",datos_base!$J$9,0))*parametros_manuales!$J$97+parametros_manuales!$E$29*(datos_base!$J$3+IF(parametros_manuales!$H$29="Todos",datos_base!$J$10,0))*parametros_manuales!$J$102+parametros_manuales!$F$29*(datos_base!$J$4+IF(parametros_manuales!$H$29="Todos",datos_base!$J$11,0))*parametros_manuales!$J$107+parametros_manuales!$G$29*(datos_base!$J$5+IF(parametros_manuales!$H$29="Todos",datos_base!$J$12,0))*parametros_manuales!$J$112)*parametros_manuales!$I$29*parametros_manuales!$J$29</f>
        <v>21449.74232036</v>
      </c>
      <c r="K236" s="14" t="n">
        <f aca="false">(parametros_manuales!$D$29*(datos_base!$J$2+IF(parametros_manuales!$H$29="Todos",datos_base!$J$9,0))*parametros_manuales!$K$97+parametros_manuales!$E$29*(datos_base!$J$3+IF(parametros_manuales!$H$29="Todos",datos_base!$J$10,0))*parametros_manuales!$K$102+parametros_manuales!$F$29*(datos_base!$J$4+IF(parametros_manuales!$H$29="Todos",datos_base!$J$11,0))*parametros_manuales!$K$107+parametros_manuales!$G$29*(datos_base!$J$5+IF(parametros_manuales!$H$29="Todos",datos_base!$J$12,0))*parametros_manuales!$K$112)*parametros_manuales!$I$29*parametros_manuales!$J$29</f>
        <v>21803.764824595</v>
      </c>
      <c r="L236" s="14" t="n">
        <f aca="false">(parametros_manuales!$D$29*(datos_base!$J$2+IF(parametros_manuales!$H$29="Todos",datos_base!$J$9,0))*parametros_manuales!$L$97+parametros_manuales!$E$29*(datos_base!$J$3+IF(parametros_manuales!$H$29="Todos",datos_base!$J$10,0))*parametros_manuales!$L$102+parametros_manuales!$F$29*(datos_base!$J$4+IF(parametros_manuales!$H$29="Todos",datos_base!$J$11,0))*parametros_manuales!$L$107+parametros_manuales!$G$29*(datos_base!$J$5+IF(parametros_manuales!$H$29="Todos",datos_base!$J$12,0))*parametros_manuales!$L$112)*parametros_manuales!$I$29*parametros_manuales!$J$29</f>
        <v>22157.78732883</v>
      </c>
      <c r="M236" s="14" t="n">
        <f aca="false">(parametros_manuales!$D$29*(datos_base!$J$2+IF(parametros_manuales!$H$29="Todos",datos_base!$J$9,0))*parametros_manuales!$M$97+parametros_manuales!$E$29*(datos_base!$J$3+IF(parametros_manuales!$H$29="Todos",datos_base!$J$10,0))*parametros_manuales!$M$102+parametros_manuales!$F$29*(datos_base!$J$4+IF(parametros_manuales!$H$29="Todos",datos_base!$J$11,0))*parametros_manuales!$M$107+parametros_manuales!$G$29*(datos_base!$J$5+IF(parametros_manuales!$H$29="Todos",datos_base!$J$12,0))*parametros_manuales!$M$112)*parametros_manuales!$I$29*parametros_manuales!$J$29</f>
        <v>22157.78732883</v>
      </c>
      <c r="N236" s="14" t="n">
        <f aca="false">SUM(B236:M236)</f>
        <v>246197.636987</v>
      </c>
      <c r="O236" s="14" t="n">
        <f aca="false">MAX(B236:M236)</f>
        <v>22157.78732883</v>
      </c>
      <c r="P236" s="57" t="n">
        <f aca="false">O236/(parametros_manuales!$B$7)</f>
        <v>147.7185821922</v>
      </c>
      <c r="Q236" s="13" t="str">
        <f aca="false">IF(O236=0,"-",INDEX($B$225:$M$225,MATCH(O236,B236:M236,0)))</f>
        <v>Ene</v>
      </c>
    </row>
    <row r="237" customFormat="false" ht="14.25" hidden="false" customHeight="true" outlineLevel="0" collapsed="false">
      <c r="A237" s="13" t="str">
        <f aca="false">parametros_manuales!$B$30</f>
        <v>Bordoneado</v>
      </c>
      <c r="B237" s="14" t="n">
        <f aca="false">(parametros_manuales!$D$30*(datos_base!$J$2+IF(parametros_manuales!$H$30="Todos",datos_base!$J$9,0))*parametros_manuales!$B$97+parametros_manuales!$E$30*(datos_base!$J$3+IF(parametros_manuales!$H$30="Todos",datos_base!$J$10,0))*parametros_manuales!$B$102+parametros_manuales!$F$30*(datos_base!$J$4+IF(parametros_manuales!$H$30="Todos",datos_base!$J$11,0))*parametros_manuales!$B$107+parametros_manuales!$G$30*(datos_base!$J$5+IF(parametros_manuales!$H$30="Todos",datos_base!$J$12,0))*parametros_manuales!$B$112)*parametros_manuales!$I$30*parametros_manuales!$J$30</f>
        <v>22157.78732883</v>
      </c>
      <c r="C237" s="14" t="n">
        <f aca="false">(parametros_manuales!$D$30*(datos_base!$J$2+IF(parametros_manuales!$H$30="Todos",datos_base!$J$9,0))*parametros_manuales!$C$97+parametros_manuales!$E$30*(datos_base!$J$3+IF(parametros_manuales!$H$30="Todos",datos_base!$J$10,0))*parametros_manuales!$C$102+parametros_manuales!$F$30*(datos_base!$J$4+IF(parametros_manuales!$H$30="Todos",datos_base!$J$11,0))*parametros_manuales!$C$107+parametros_manuales!$G$30*(datos_base!$J$5+IF(parametros_manuales!$H$30="Todos",datos_base!$J$12,0))*parametros_manuales!$C$112)*parametros_manuales!$I$30*parametros_manuales!$J$30</f>
        <v>21449.74232036</v>
      </c>
      <c r="D237" s="14" t="n">
        <f aca="false">(parametros_manuales!$D$30*(datos_base!$J$2+IF(parametros_manuales!$H$30="Todos",datos_base!$J$9,0))*parametros_manuales!$D$97+parametros_manuales!$E$30*(datos_base!$J$3+IF(parametros_manuales!$H$30="Todos",datos_base!$J$10,0))*parametros_manuales!$D$102+parametros_manuales!$F$30*(datos_base!$J$4+IF(parametros_manuales!$H$30="Todos",datos_base!$J$11,0))*parametros_manuales!$D$107+parametros_manuales!$G$30*(datos_base!$J$5+IF(parametros_manuales!$H$30="Todos",datos_base!$J$12,0))*parametros_manuales!$D$112)*parametros_manuales!$I$30*parametros_manuales!$J$30</f>
        <v>20049.833463195</v>
      </c>
      <c r="E237" s="14" t="n">
        <f aca="false">(parametros_manuales!$D$30*(datos_base!$J$2+IF(parametros_manuales!$H$30="Todos",datos_base!$J$9,0))*parametros_manuales!$E$97+parametros_manuales!$E$30*(datos_base!$J$3+IF(parametros_manuales!$H$30="Todos",datos_base!$J$10,0))*parametros_manuales!$E$102+parametros_manuales!$F$30*(datos_base!$J$4+IF(parametros_manuales!$H$30="Todos",datos_base!$J$11,0))*parametros_manuales!$E$107+parametros_manuales!$G$30*(datos_base!$J$5+IF(parametros_manuales!$H$30="Todos",datos_base!$J$12,0))*parametros_manuales!$E$112)*parametros_manuales!$I$30*parametros_manuales!$J$30</f>
        <v>19172.867782495</v>
      </c>
      <c r="F237" s="14" t="n">
        <f aca="false">(parametros_manuales!$D$30*(datos_base!$J$2+IF(parametros_manuales!$H$30="Todos",datos_base!$J$9,0))*parametros_manuales!$F$97+parametros_manuales!$E$30*(datos_base!$J$3+IF(parametros_manuales!$H$30="Todos",datos_base!$J$10,0))*parametros_manuales!$F$102+parametros_manuales!$F$30*(datos_base!$J$4+IF(parametros_manuales!$H$30="Todos",datos_base!$J$11,0))*parametros_manuales!$F$107+parametros_manuales!$G$30*(datos_base!$J$5+IF(parametros_manuales!$H$30="Todos",datos_base!$J$12,0))*parametros_manuales!$F$112)*parametros_manuales!$I$30*parametros_manuales!$J$30</f>
        <v>17941.87959756</v>
      </c>
      <c r="G237" s="14" t="n">
        <f aca="false">(parametros_manuales!$D$30*(datos_base!$J$2+IF(parametros_manuales!$H$30="Todos",datos_base!$J$9,0))*parametros_manuales!$G$97+parametros_manuales!$E$30*(datos_base!$J$3+IF(parametros_manuales!$H$30="Todos",datos_base!$J$10,0))*parametros_manuales!$G$102+parametros_manuales!$F$30*(datos_base!$J$4+IF(parametros_manuales!$H$30="Todos",datos_base!$J$11,0))*parametros_manuales!$G$107+parametros_manuales!$G$30*(datos_base!$J$5+IF(parametros_manuales!$H$30="Todos",datos_base!$J$12,0))*parametros_manuales!$G$112)*parametros_manuales!$I$30*parametros_manuales!$J$30</f>
        <v>17587.857093325</v>
      </c>
      <c r="H237" s="14" t="n">
        <f aca="false">(parametros_manuales!$D$30*(datos_base!$J$2+IF(parametros_manuales!$H$30="Todos",datos_base!$J$9,0))*parametros_manuales!$H$97+parametros_manuales!$E$30*(datos_base!$J$3+IF(parametros_manuales!$H$30="Todos",datos_base!$J$10,0))*parametros_manuales!$H$102+parametros_manuales!$F$30*(datos_base!$J$4+IF(parametros_manuales!$H$30="Todos",datos_base!$J$11,0))*parametros_manuales!$H$107+parametros_manuales!$G$30*(datos_base!$J$5+IF(parametros_manuales!$H$30="Todos",datos_base!$J$12,0))*parametros_manuales!$H$112)*parametros_manuales!$I$30*parametros_manuales!$J$30</f>
        <v>18818.84527826</v>
      </c>
      <c r="I237" s="14" t="n">
        <f aca="false">(parametros_manuales!$D$30*(datos_base!$J$2+IF(parametros_manuales!$H$30="Todos",datos_base!$J$9,0))*parametros_manuales!$I$97+parametros_manuales!$E$30*(datos_base!$J$3+IF(parametros_manuales!$H$30="Todos",datos_base!$J$10,0))*parametros_manuales!$I$102+parametros_manuales!$F$30*(datos_base!$J$4+IF(parametros_manuales!$H$30="Todos",datos_base!$J$11,0))*parametros_manuales!$I$107+parametros_manuales!$G$30*(datos_base!$J$5+IF(parametros_manuales!$H$30="Todos",datos_base!$J$12,0))*parametros_manuales!$I$112)*parametros_manuales!$I$30*parametros_manuales!$J$30</f>
        <v>21449.74232036</v>
      </c>
      <c r="J237" s="14" t="n">
        <f aca="false">(parametros_manuales!$D$30*(datos_base!$J$2+IF(parametros_manuales!$H$30="Todos",datos_base!$J$9,0))*parametros_manuales!$J$97+parametros_manuales!$E$30*(datos_base!$J$3+IF(parametros_manuales!$H$30="Todos",datos_base!$J$10,0))*parametros_manuales!$J$102+parametros_manuales!$F$30*(datos_base!$J$4+IF(parametros_manuales!$H$30="Todos",datos_base!$J$11,0))*parametros_manuales!$J$107+parametros_manuales!$G$30*(datos_base!$J$5+IF(parametros_manuales!$H$30="Todos",datos_base!$J$12,0))*parametros_manuales!$J$112)*parametros_manuales!$I$30*parametros_manuales!$J$30</f>
        <v>21449.74232036</v>
      </c>
      <c r="K237" s="14" t="n">
        <f aca="false">(parametros_manuales!$D$30*(datos_base!$J$2+IF(parametros_manuales!$H$30="Todos",datos_base!$J$9,0))*parametros_manuales!$K$97+parametros_manuales!$E$30*(datos_base!$J$3+IF(parametros_manuales!$H$30="Todos",datos_base!$J$10,0))*parametros_manuales!$K$102+parametros_manuales!$F$30*(datos_base!$J$4+IF(parametros_manuales!$H$30="Todos",datos_base!$J$11,0))*parametros_manuales!$K$107+parametros_manuales!$G$30*(datos_base!$J$5+IF(parametros_manuales!$H$30="Todos",datos_base!$J$12,0))*parametros_manuales!$K$112)*parametros_manuales!$I$30*parametros_manuales!$J$30</f>
        <v>21803.764824595</v>
      </c>
      <c r="L237" s="14" t="n">
        <f aca="false">(parametros_manuales!$D$30*(datos_base!$J$2+IF(parametros_manuales!$H$30="Todos",datos_base!$J$9,0))*parametros_manuales!$L$97+parametros_manuales!$E$30*(datos_base!$J$3+IF(parametros_manuales!$H$30="Todos",datos_base!$J$10,0))*parametros_manuales!$L$102+parametros_manuales!$F$30*(datos_base!$J$4+IF(parametros_manuales!$H$30="Todos",datos_base!$J$11,0))*parametros_manuales!$L$107+parametros_manuales!$G$30*(datos_base!$J$5+IF(parametros_manuales!$H$30="Todos",datos_base!$J$12,0))*parametros_manuales!$L$112)*parametros_manuales!$I$30*parametros_manuales!$J$30</f>
        <v>22157.78732883</v>
      </c>
      <c r="M237" s="14" t="n">
        <f aca="false">(parametros_manuales!$D$30*(datos_base!$J$2+IF(parametros_manuales!$H$30="Todos",datos_base!$J$9,0))*parametros_manuales!$M$97+parametros_manuales!$E$30*(datos_base!$J$3+IF(parametros_manuales!$H$30="Todos",datos_base!$J$10,0))*parametros_manuales!$M$102+parametros_manuales!$F$30*(datos_base!$J$4+IF(parametros_manuales!$H$30="Todos",datos_base!$J$11,0))*parametros_manuales!$M$107+parametros_manuales!$G$30*(datos_base!$J$5+IF(parametros_manuales!$H$30="Todos",datos_base!$J$12,0))*parametros_manuales!$M$112)*parametros_manuales!$I$30*parametros_manuales!$J$30</f>
        <v>22157.78732883</v>
      </c>
      <c r="N237" s="14" t="n">
        <f aca="false">SUM(B237:M237)</f>
        <v>246197.636987</v>
      </c>
      <c r="O237" s="14" t="n">
        <f aca="false">MAX(B237:M237)</f>
        <v>22157.78732883</v>
      </c>
      <c r="P237" s="57" t="n">
        <f aca="false">O237/(parametros_manuales!$B$7)</f>
        <v>147.7185821922</v>
      </c>
      <c r="Q237" s="13" t="str">
        <f aca="false">IF(O237=0,"-",INDEX($B$225:$M$225,MATCH(O237,B237:M237,0)))</f>
        <v>Ene</v>
      </c>
    </row>
    <row r="238" customFormat="false" ht="14.25" hidden="false" customHeight="true" outlineLevel="0" collapsed="false">
      <c r="A238" s="13" t="str">
        <f aca="false">parametros_manuales!$B$31</f>
        <v>Soldadura circunferencial de cúpula y fondo</v>
      </c>
      <c r="B238" s="14" t="n">
        <f aca="false">(parametros_manuales!$D$31*(datos_base!$J$2+IF(parametros_manuales!$H$31="Todos",datos_base!$J$9,0))*parametros_manuales!$B$97+parametros_manuales!$E$31*(datos_base!$J$3+IF(parametros_manuales!$H$31="Todos",datos_base!$J$10,0))*parametros_manuales!$B$102+parametros_manuales!$F$31*(datos_base!$J$4+IF(parametros_manuales!$H$31="Todos",datos_base!$J$11,0))*parametros_manuales!$B$107+parametros_manuales!$G$31*(datos_base!$J$5+IF(parametros_manuales!$H$31="Todos",datos_base!$J$12,0))*parametros_manuales!$B$112)*parametros_manuales!$I$31*parametros_manuales!$J$31</f>
        <v>22157.78732883</v>
      </c>
      <c r="C238" s="14" t="n">
        <f aca="false">(parametros_manuales!$D$31*(datos_base!$J$2+IF(parametros_manuales!$H$31="Todos",datos_base!$J$9,0))*parametros_manuales!$C$97+parametros_manuales!$E$31*(datos_base!$J$3+IF(parametros_manuales!$H$31="Todos",datos_base!$J$10,0))*parametros_manuales!$C$102+parametros_manuales!$F$31*(datos_base!$J$4+IF(parametros_manuales!$H$31="Todos",datos_base!$J$11,0))*parametros_manuales!$C$107+parametros_manuales!$G$31*(datos_base!$J$5+IF(parametros_manuales!$H$31="Todos",datos_base!$J$12,0))*parametros_manuales!$C$112)*parametros_manuales!$I$31*parametros_manuales!$J$31</f>
        <v>21449.74232036</v>
      </c>
      <c r="D238" s="14" t="n">
        <f aca="false">(parametros_manuales!$D$31*(datos_base!$J$2+IF(parametros_manuales!$H$31="Todos",datos_base!$J$9,0))*parametros_manuales!$D$97+parametros_manuales!$E$31*(datos_base!$J$3+IF(parametros_manuales!$H$31="Todos",datos_base!$J$10,0))*parametros_manuales!$D$102+parametros_manuales!$F$31*(datos_base!$J$4+IF(parametros_manuales!$H$31="Todos",datos_base!$J$11,0))*parametros_manuales!$D$107+parametros_manuales!$G$31*(datos_base!$J$5+IF(parametros_manuales!$H$31="Todos",datos_base!$J$12,0))*parametros_manuales!$D$112)*parametros_manuales!$I$31*parametros_manuales!$J$31</f>
        <v>20049.833463195</v>
      </c>
      <c r="E238" s="14" t="n">
        <f aca="false">(parametros_manuales!$D$31*(datos_base!$J$2+IF(parametros_manuales!$H$31="Todos",datos_base!$J$9,0))*parametros_manuales!$E$97+parametros_manuales!$E$31*(datos_base!$J$3+IF(parametros_manuales!$H$31="Todos",datos_base!$J$10,0))*parametros_manuales!$E$102+parametros_manuales!$F$31*(datos_base!$J$4+IF(parametros_manuales!$H$31="Todos",datos_base!$J$11,0))*parametros_manuales!$E$107+parametros_manuales!$G$31*(datos_base!$J$5+IF(parametros_manuales!$H$31="Todos",datos_base!$J$12,0))*parametros_manuales!$E$112)*parametros_manuales!$I$31*parametros_manuales!$J$31</f>
        <v>19172.867782495</v>
      </c>
      <c r="F238" s="14" t="n">
        <f aca="false">(parametros_manuales!$D$31*(datos_base!$J$2+IF(parametros_manuales!$H$31="Todos",datos_base!$J$9,0))*parametros_manuales!$F$97+parametros_manuales!$E$31*(datos_base!$J$3+IF(parametros_manuales!$H$31="Todos",datos_base!$J$10,0))*parametros_manuales!$F$102+parametros_manuales!$F$31*(datos_base!$J$4+IF(parametros_manuales!$H$31="Todos",datos_base!$J$11,0))*parametros_manuales!$F$107+parametros_manuales!$G$31*(datos_base!$J$5+IF(parametros_manuales!$H$31="Todos",datos_base!$J$12,0))*parametros_manuales!$F$112)*parametros_manuales!$I$31*parametros_manuales!$J$31</f>
        <v>17941.87959756</v>
      </c>
      <c r="G238" s="14" t="n">
        <f aca="false">(parametros_manuales!$D$31*(datos_base!$J$2+IF(parametros_manuales!$H$31="Todos",datos_base!$J$9,0))*parametros_manuales!$G$97+parametros_manuales!$E$31*(datos_base!$J$3+IF(parametros_manuales!$H$31="Todos",datos_base!$J$10,0))*parametros_manuales!$G$102+parametros_manuales!$F$31*(datos_base!$J$4+IF(parametros_manuales!$H$31="Todos",datos_base!$J$11,0))*parametros_manuales!$G$107+parametros_manuales!$G$31*(datos_base!$J$5+IF(parametros_manuales!$H$31="Todos",datos_base!$J$12,0))*parametros_manuales!$G$112)*parametros_manuales!$I$31*parametros_manuales!$J$31</f>
        <v>17587.857093325</v>
      </c>
      <c r="H238" s="14" t="n">
        <f aca="false">(parametros_manuales!$D$31*(datos_base!$J$2+IF(parametros_manuales!$H$31="Todos",datos_base!$J$9,0))*parametros_manuales!$H$97+parametros_manuales!$E$31*(datos_base!$J$3+IF(parametros_manuales!$H$31="Todos",datos_base!$J$10,0))*parametros_manuales!$H$102+parametros_manuales!$F$31*(datos_base!$J$4+IF(parametros_manuales!$H$31="Todos",datos_base!$J$11,0))*parametros_manuales!$H$107+parametros_manuales!$G$31*(datos_base!$J$5+IF(parametros_manuales!$H$31="Todos",datos_base!$J$12,0))*parametros_manuales!$H$112)*parametros_manuales!$I$31*parametros_manuales!$J$31</f>
        <v>18818.84527826</v>
      </c>
      <c r="I238" s="14" t="n">
        <f aca="false">(parametros_manuales!$D$31*(datos_base!$J$2+IF(parametros_manuales!$H$31="Todos",datos_base!$J$9,0))*parametros_manuales!$I$97+parametros_manuales!$E$31*(datos_base!$J$3+IF(parametros_manuales!$H$31="Todos",datos_base!$J$10,0))*parametros_manuales!$I$102+parametros_manuales!$F$31*(datos_base!$J$4+IF(parametros_manuales!$H$31="Todos",datos_base!$J$11,0))*parametros_manuales!$I$107+parametros_manuales!$G$31*(datos_base!$J$5+IF(parametros_manuales!$H$31="Todos",datos_base!$J$12,0))*parametros_manuales!$I$112)*parametros_manuales!$I$31*parametros_manuales!$J$31</f>
        <v>21449.74232036</v>
      </c>
      <c r="J238" s="14" t="n">
        <f aca="false">(parametros_manuales!$D$31*(datos_base!$J$2+IF(parametros_manuales!$H$31="Todos",datos_base!$J$9,0))*parametros_manuales!$J$97+parametros_manuales!$E$31*(datos_base!$J$3+IF(parametros_manuales!$H$31="Todos",datos_base!$J$10,0))*parametros_manuales!$J$102+parametros_manuales!$F$31*(datos_base!$J$4+IF(parametros_manuales!$H$31="Todos",datos_base!$J$11,0))*parametros_manuales!$J$107+parametros_manuales!$G$31*(datos_base!$J$5+IF(parametros_manuales!$H$31="Todos",datos_base!$J$12,0))*parametros_manuales!$J$112)*parametros_manuales!$I$31*parametros_manuales!$J$31</f>
        <v>21449.74232036</v>
      </c>
      <c r="K238" s="14" t="n">
        <f aca="false">(parametros_manuales!$D$31*(datos_base!$J$2+IF(parametros_manuales!$H$31="Todos",datos_base!$J$9,0))*parametros_manuales!$K$97+parametros_manuales!$E$31*(datos_base!$J$3+IF(parametros_manuales!$H$31="Todos",datos_base!$J$10,0))*parametros_manuales!$K$102+parametros_manuales!$F$31*(datos_base!$J$4+IF(parametros_manuales!$H$31="Todos",datos_base!$J$11,0))*parametros_manuales!$K$107+parametros_manuales!$G$31*(datos_base!$J$5+IF(parametros_manuales!$H$31="Todos",datos_base!$J$12,0))*parametros_manuales!$K$112)*parametros_manuales!$I$31*parametros_manuales!$J$31</f>
        <v>21803.764824595</v>
      </c>
      <c r="L238" s="14" t="n">
        <f aca="false">(parametros_manuales!$D$31*(datos_base!$J$2+IF(parametros_manuales!$H$31="Todos",datos_base!$J$9,0))*parametros_manuales!$L$97+parametros_manuales!$E$31*(datos_base!$J$3+IF(parametros_manuales!$H$31="Todos",datos_base!$J$10,0))*parametros_manuales!$L$102+parametros_manuales!$F$31*(datos_base!$J$4+IF(parametros_manuales!$H$31="Todos",datos_base!$J$11,0))*parametros_manuales!$L$107+parametros_manuales!$G$31*(datos_base!$J$5+IF(parametros_manuales!$H$31="Todos",datos_base!$J$12,0))*parametros_manuales!$L$112)*parametros_manuales!$I$31*parametros_manuales!$J$31</f>
        <v>22157.78732883</v>
      </c>
      <c r="M238" s="14" t="n">
        <f aca="false">(parametros_manuales!$D$31*(datos_base!$J$2+IF(parametros_manuales!$H$31="Todos",datos_base!$J$9,0))*parametros_manuales!$M$97+parametros_manuales!$E$31*(datos_base!$J$3+IF(parametros_manuales!$H$31="Todos",datos_base!$J$10,0))*parametros_manuales!$M$102+parametros_manuales!$F$31*(datos_base!$J$4+IF(parametros_manuales!$H$31="Todos",datos_base!$J$11,0))*parametros_manuales!$M$107+parametros_manuales!$G$31*(datos_base!$J$5+IF(parametros_manuales!$H$31="Todos",datos_base!$J$12,0))*parametros_manuales!$M$112)*parametros_manuales!$I$31*parametros_manuales!$J$31</f>
        <v>22157.78732883</v>
      </c>
      <c r="N238" s="14" t="n">
        <f aca="false">SUM(B238:M238)</f>
        <v>246197.636987</v>
      </c>
      <c r="O238" s="14" t="n">
        <f aca="false">MAX(B238:M238)</f>
        <v>22157.78732883</v>
      </c>
      <c r="P238" s="57" t="n">
        <f aca="false">O238/(parametros_manuales!$B$7)</f>
        <v>147.7185821922</v>
      </c>
      <c r="Q238" s="13" t="str">
        <f aca="false">IF(O238=0,"-",INDEX($B$225:$M$225,MATCH(O238,B238:M238,0)))</f>
        <v>Ene</v>
      </c>
    </row>
    <row r="239" customFormat="false" ht="14.25" hidden="false" customHeight="true" outlineLevel="0" collapsed="false">
      <c r="A239" s="13" t="str">
        <f aca="false">parametros_manuales!$B$32</f>
        <v>Control de calidad — Espesor</v>
      </c>
      <c r="B239" s="14" t="n">
        <f aca="false">(parametros_manuales!$D$32*(datos_base!$J$2+IF(parametros_manuales!$H$32="Todos",datos_base!$J$9,0))*parametros_manuales!$B$97+parametros_manuales!$E$32*(datos_base!$J$3+IF(parametros_manuales!$H$32="Todos",datos_base!$J$10,0))*parametros_manuales!$B$102+parametros_manuales!$F$32*(datos_base!$J$4+IF(parametros_manuales!$H$32="Todos",datos_base!$J$11,0))*parametros_manuales!$B$107+parametros_manuales!$G$32*(datos_base!$J$5+IF(parametros_manuales!$H$32="Todos",datos_base!$J$12,0))*parametros_manuales!$B$112)*parametros_manuales!$I$32*parametros_manuales!$J$32</f>
        <v>443.1557465766</v>
      </c>
      <c r="C239" s="14" t="n">
        <f aca="false">(parametros_manuales!$D$32*(datos_base!$J$2+IF(parametros_manuales!$H$32="Todos",datos_base!$J$9,0))*parametros_manuales!$C$97+parametros_manuales!$E$32*(datos_base!$J$3+IF(parametros_manuales!$H$32="Todos",datos_base!$J$10,0))*parametros_manuales!$C$102+parametros_manuales!$F$32*(datos_base!$J$4+IF(parametros_manuales!$H$32="Todos",datos_base!$J$11,0))*parametros_manuales!$C$107+parametros_manuales!$G$32*(datos_base!$J$5+IF(parametros_manuales!$H$32="Todos",datos_base!$J$12,0))*parametros_manuales!$C$112)*parametros_manuales!$I$32*parametros_manuales!$J$32</f>
        <v>428.9948464072</v>
      </c>
      <c r="D239" s="14" t="n">
        <f aca="false">(parametros_manuales!$D$32*(datos_base!$J$2+IF(parametros_manuales!$H$32="Todos",datos_base!$J$9,0))*parametros_manuales!$D$97+parametros_manuales!$E$32*(datos_base!$J$3+IF(parametros_manuales!$H$32="Todos",datos_base!$J$10,0))*parametros_manuales!$D$102+parametros_manuales!$F$32*(datos_base!$J$4+IF(parametros_manuales!$H$32="Todos",datos_base!$J$11,0))*parametros_manuales!$D$107+parametros_manuales!$G$32*(datos_base!$J$5+IF(parametros_manuales!$H$32="Todos",datos_base!$J$12,0))*parametros_manuales!$D$112)*parametros_manuales!$I$32*parametros_manuales!$J$32</f>
        <v>400.9966692639</v>
      </c>
      <c r="E239" s="14" t="n">
        <f aca="false">(parametros_manuales!$D$32*(datos_base!$J$2+IF(parametros_manuales!$H$32="Todos",datos_base!$J$9,0))*parametros_manuales!$E$97+parametros_manuales!$E$32*(datos_base!$J$3+IF(parametros_manuales!$H$32="Todos",datos_base!$J$10,0))*parametros_manuales!$E$102+parametros_manuales!$F$32*(datos_base!$J$4+IF(parametros_manuales!$H$32="Todos",datos_base!$J$11,0))*parametros_manuales!$E$107+parametros_manuales!$G$32*(datos_base!$J$5+IF(parametros_manuales!$H$32="Todos",datos_base!$J$12,0))*parametros_manuales!$E$112)*parametros_manuales!$I$32*parametros_manuales!$J$32</f>
        <v>383.4573556499</v>
      </c>
      <c r="F239" s="14" t="n">
        <f aca="false">(parametros_manuales!$D$32*(datos_base!$J$2+IF(parametros_manuales!$H$32="Todos",datos_base!$J$9,0))*parametros_manuales!$F$97+parametros_manuales!$E$32*(datos_base!$J$3+IF(parametros_manuales!$H$32="Todos",datos_base!$J$10,0))*parametros_manuales!$F$102+parametros_manuales!$F$32*(datos_base!$J$4+IF(parametros_manuales!$H$32="Todos",datos_base!$J$11,0))*parametros_manuales!$F$107+parametros_manuales!$G$32*(datos_base!$J$5+IF(parametros_manuales!$H$32="Todos",datos_base!$J$12,0))*parametros_manuales!$F$112)*parametros_manuales!$I$32*parametros_manuales!$J$32</f>
        <v>358.8375919512</v>
      </c>
      <c r="G239" s="14" t="n">
        <f aca="false">(parametros_manuales!$D$32*(datos_base!$J$2+IF(parametros_manuales!$H$32="Todos",datos_base!$J$9,0))*parametros_manuales!$G$97+parametros_manuales!$E$32*(datos_base!$J$3+IF(parametros_manuales!$H$32="Todos",datos_base!$J$10,0))*parametros_manuales!$G$102+parametros_manuales!$F$32*(datos_base!$J$4+IF(parametros_manuales!$H$32="Todos",datos_base!$J$11,0))*parametros_manuales!$G$107+parametros_manuales!$G$32*(datos_base!$J$5+IF(parametros_manuales!$H$32="Todos",datos_base!$J$12,0))*parametros_manuales!$G$112)*parametros_manuales!$I$32*parametros_manuales!$J$32</f>
        <v>351.7571418665</v>
      </c>
      <c r="H239" s="14" t="n">
        <f aca="false">(parametros_manuales!$D$32*(datos_base!$J$2+IF(parametros_manuales!$H$32="Todos",datos_base!$J$9,0))*parametros_manuales!$H$97+parametros_manuales!$E$32*(datos_base!$J$3+IF(parametros_manuales!$H$32="Todos",datos_base!$J$10,0))*parametros_manuales!$H$102+parametros_manuales!$F$32*(datos_base!$J$4+IF(parametros_manuales!$H$32="Todos",datos_base!$J$11,0))*parametros_manuales!$H$107+parametros_manuales!$G$32*(datos_base!$J$5+IF(parametros_manuales!$H$32="Todos",datos_base!$J$12,0))*parametros_manuales!$H$112)*parametros_manuales!$I$32*parametros_manuales!$J$32</f>
        <v>376.3769055652</v>
      </c>
      <c r="I239" s="14" t="n">
        <f aca="false">(parametros_manuales!$D$32*(datos_base!$J$2+IF(parametros_manuales!$H$32="Todos",datos_base!$J$9,0))*parametros_manuales!$I$97+parametros_manuales!$E$32*(datos_base!$J$3+IF(parametros_manuales!$H$32="Todos",datos_base!$J$10,0))*parametros_manuales!$I$102+parametros_manuales!$F$32*(datos_base!$J$4+IF(parametros_manuales!$H$32="Todos",datos_base!$J$11,0))*parametros_manuales!$I$107+parametros_manuales!$G$32*(datos_base!$J$5+IF(parametros_manuales!$H$32="Todos",datos_base!$J$12,0))*parametros_manuales!$I$112)*parametros_manuales!$I$32*parametros_manuales!$J$32</f>
        <v>428.9948464072</v>
      </c>
      <c r="J239" s="14" t="n">
        <f aca="false">(parametros_manuales!$D$32*(datos_base!$J$2+IF(parametros_manuales!$H$32="Todos",datos_base!$J$9,0))*parametros_manuales!$J$97+parametros_manuales!$E$32*(datos_base!$J$3+IF(parametros_manuales!$H$32="Todos",datos_base!$J$10,0))*parametros_manuales!$J$102+parametros_manuales!$F$32*(datos_base!$J$4+IF(parametros_manuales!$H$32="Todos",datos_base!$J$11,0))*parametros_manuales!$J$107+parametros_manuales!$G$32*(datos_base!$J$5+IF(parametros_manuales!$H$32="Todos",datos_base!$J$12,0))*parametros_manuales!$J$112)*parametros_manuales!$I$32*parametros_manuales!$J$32</f>
        <v>428.9948464072</v>
      </c>
      <c r="K239" s="14" t="n">
        <f aca="false">(parametros_manuales!$D$32*(datos_base!$J$2+IF(parametros_manuales!$H$32="Todos",datos_base!$J$9,0))*parametros_manuales!$K$97+parametros_manuales!$E$32*(datos_base!$J$3+IF(parametros_manuales!$H$32="Todos",datos_base!$J$10,0))*parametros_manuales!$K$102+parametros_manuales!$F$32*(datos_base!$J$4+IF(parametros_manuales!$H$32="Todos",datos_base!$J$11,0))*parametros_manuales!$K$107+parametros_manuales!$G$32*(datos_base!$J$5+IF(parametros_manuales!$H$32="Todos",datos_base!$J$12,0))*parametros_manuales!$K$112)*parametros_manuales!$I$32*parametros_manuales!$J$32</f>
        <v>436.0752964919</v>
      </c>
      <c r="L239" s="14" t="n">
        <f aca="false">(parametros_manuales!$D$32*(datos_base!$J$2+IF(parametros_manuales!$H$32="Todos",datos_base!$J$9,0))*parametros_manuales!$L$97+parametros_manuales!$E$32*(datos_base!$J$3+IF(parametros_manuales!$H$32="Todos",datos_base!$J$10,0))*parametros_manuales!$L$102+parametros_manuales!$F$32*(datos_base!$J$4+IF(parametros_manuales!$H$32="Todos",datos_base!$J$11,0))*parametros_manuales!$L$107+parametros_manuales!$G$32*(datos_base!$J$5+IF(parametros_manuales!$H$32="Todos",datos_base!$J$12,0))*parametros_manuales!$L$112)*parametros_manuales!$I$32*parametros_manuales!$J$32</f>
        <v>443.1557465766</v>
      </c>
      <c r="M239" s="14" t="n">
        <f aca="false">(parametros_manuales!$D$32*(datos_base!$J$2+IF(parametros_manuales!$H$32="Todos",datos_base!$J$9,0))*parametros_manuales!$M$97+parametros_manuales!$E$32*(datos_base!$J$3+IF(parametros_manuales!$H$32="Todos",datos_base!$J$10,0))*parametros_manuales!$M$102+parametros_manuales!$F$32*(datos_base!$J$4+IF(parametros_manuales!$H$32="Todos",datos_base!$J$11,0))*parametros_manuales!$M$107+parametros_manuales!$G$32*(datos_base!$J$5+IF(parametros_manuales!$H$32="Todos",datos_base!$J$12,0))*parametros_manuales!$M$112)*parametros_manuales!$I$32*parametros_manuales!$J$32</f>
        <v>443.1557465766</v>
      </c>
      <c r="N239" s="14" t="n">
        <f aca="false">SUM(B239:M239)</f>
        <v>4923.95273974</v>
      </c>
      <c r="O239" s="14" t="n">
        <f aca="false">MAX(B239:M239)</f>
        <v>443.1557465766</v>
      </c>
      <c r="P239" s="57" t="n">
        <f aca="false">O239/(parametros_manuales!$B$7)</f>
        <v>2.954371643844</v>
      </c>
      <c r="Q239" s="13" t="str">
        <f aca="false">IF(O239=0,"-",INDEX($B$225:$M$225,MATCH(O239,B239:M239,0)))</f>
        <v>Ene</v>
      </c>
    </row>
    <row r="240" customFormat="false" ht="14.25" hidden="false" customHeight="true" outlineLevel="0" collapsed="false">
      <c r="A240" s="13" t="str">
        <f aca="false">parametros_manuales!$B$33</f>
        <v>Prueba hidráulica</v>
      </c>
      <c r="B240" s="14" t="n">
        <f aca="false">(parametros_manuales!$D$33*(datos_base!$J$2+IF(parametros_manuales!$H$33="Todos",datos_base!$J$9,0))*parametros_manuales!$B$97+parametros_manuales!$E$33*(datos_base!$J$3+IF(parametros_manuales!$H$33="Todos",datos_base!$J$10,0))*parametros_manuales!$B$102+parametros_manuales!$F$33*(datos_base!$J$4+IF(parametros_manuales!$H$33="Todos",datos_base!$J$11,0))*parametros_manuales!$B$107+parametros_manuales!$G$33*(datos_base!$J$5+IF(parametros_manuales!$H$33="Todos",datos_base!$J$12,0))*parametros_manuales!$B$112)*parametros_manuales!$I$33*parametros_manuales!$J$33</f>
        <v>22157.78732883</v>
      </c>
      <c r="C240" s="14" t="n">
        <f aca="false">(parametros_manuales!$D$33*(datos_base!$J$2+IF(parametros_manuales!$H$33="Todos",datos_base!$J$9,0))*parametros_manuales!$C$97+parametros_manuales!$E$33*(datos_base!$J$3+IF(parametros_manuales!$H$33="Todos",datos_base!$J$10,0))*parametros_manuales!$C$102+parametros_manuales!$F$33*(datos_base!$J$4+IF(parametros_manuales!$H$33="Todos",datos_base!$J$11,0))*parametros_manuales!$C$107+parametros_manuales!$G$33*(datos_base!$J$5+IF(parametros_manuales!$H$33="Todos",datos_base!$J$12,0))*parametros_manuales!$C$112)*parametros_manuales!$I$33*parametros_manuales!$J$33</f>
        <v>21449.74232036</v>
      </c>
      <c r="D240" s="14" t="n">
        <f aca="false">(parametros_manuales!$D$33*(datos_base!$J$2+IF(parametros_manuales!$H$33="Todos",datos_base!$J$9,0))*parametros_manuales!$D$97+parametros_manuales!$E$33*(datos_base!$J$3+IF(parametros_manuales!$H$33="Todos",datos_base!$J$10,0))*parametros_manuales!$D$102+parametros_manuales!$F$33*(datos_base!$J$4+IF(parametros_manuales!$H$33="Todos",datos_base!$J$11,0))*parametros_manuales!$D$107+parametros_manuales!$G$33*(datos_base!$J$5+IF(parametros_manuales!$H$33="Todos",datos_base!$J$12,0))*parametros_manuales!$D$112)*parametros_manuales!$I$33*parametros_manuales!$J$33</f>
        <v>20049.833463195</v>
      </c>
      <c r="E240" s="14" t="n">
        <f aca="false">(parametros_manuales!$D$33*(datos_base!$J$2+IF(parametros_manuales!$H$33="Todos",datos_base!$J$9,0))*parametros_manuales!$E$97+parametros_manuales!$E$33*(datos_base!$J$3+IF(parametros_manuales!$H$33="Todos",datos_base!$J$10,0))*parametros_manuales!$E$102+parametros_manuales!$F$33*(datos_base!$J$4+IF(parametros_manuales!$H$33="Todos",datos_base!$J$11,0))*parametros_manuales!$E$107+parametros_manuales!$G$33*(datos_base!$J$5+IF(parametros_manuales!$H$33="Todos",datos_base!$J$12,0))*parametros_manuales!$E$112)*parametros_manuales!$I$33*parametros_manuales!$J$33</f>
        <v>19172.867782495</v>
      </c>
      <c r="F240" s="14" t="n">
        <f aca="false">(parametros_manuales!$D$33*(datos_base!$J$2+IF(parametros_manuales!$H$33="Todos",datos_base!$J$9,0))*parametros_manuales!$F$97+parametros_manuales!$E$33*(datos_base!$J$3+IF(parametros_manuales!$H$33="Todos",datos_base!$J$10,0))*parametros_manuales!$F$102+parametros_manuales!$F$33*(datos_base!$J$4+IF(parametros_manuales!$H$33="Todos",datos_base!$J$11,0))*parametros_manuales!$F$107+parametros_manuales!$G$33*(datos_base!$J$5+IF(parametros_manuales!$H$33="Todos",datos_base!$J$12,0))*parametros_manuales!$F$112)*parametros_manuales!$I$33*parametros_manuales!$J$33</f>
        <v>17941.87959756</v>
      </c>
      <c r="G240" s="14" t="n">
        <f aca="false">(parametros_manuales!$D$33*(datos_base!$J$2+IF(parametros_manuales!$H$33="Todos",datos_base!$J$9,0))*parametros_manuales!$G$97+parametros_manuales!$E$33*(datos_base!$J$3+IF(parametros_manuales!$H$33="Todos",datos_base!$J$10,0))*parametros_manuales!$G$102+parametros_manuales!$F$33*(datos_base!$J$4+IF(parametros_manuales!$H$33="Todos",datos_base!$J$11,0))*parametros_manuales!$G$107+parametros_manuales!$G$33*(datos_base!$J$5+IF(parametros_manuales!$H$33="Todos",datos_base!$J$12,0))*parametros_manuales!$G$112)*parametros_manuales!$I$33*parametros_manuales!$J$33</f>
        <v>17587.857093325</v>
      </c>
      <c r="H240" s="14" t="n">
        <f aca="false">(parametros_manuales!$D$33*(datos_base!$J$2+IF(parametros_manuales!$H$33="Todos",datos_base!$J$9,0))*parametros_manuales!$H$97+parametros_manuales!$E$33*(datos_base!$J$3+IF(parametros_manuales!$H$33="Todos",datos_base!$J$10,0))*parametros_manuales!$H$102+parametros_manuales!$F$33*(datos_base!$J$4+IF(parametros_manuales!$H$33="Todos",datos_base!$J$11,0))*parametros_manuales!$H$107+parametros_manuales!$G$33*(datos_base!$J$5+IF(parametros_manuales!$H$33="Todos",datos_base!$J$12,0))*parametros_manuales!$H$112)*parametros_manuales!$I$33*parametros_manuales!$J$33</f>
        <v>18818.84527826</v>
      </c>
      <c r="I240" s="14" t="n">
        <f aca="false">(parametros_manuales!$D$33*(datos_base!$J$2+IF(parametros_manuales!$H$33="Todos",datos_base!$J$9,0))*parametros_manuales!$I$97+parametros_manuales!$E$33*(datos_base!$J$3+IF(parametros_manuales!$H$33="Todos",datos_base!$J$10,0))*parametros_manuales!$I$102+parametros_manuales!$F$33*(datos_base!$J$4+IF(parametros_manuales!$H$33="Todos",datos_base!$J$11,0))*parametros_manuales!$I$107+parametros_manuales!$G$33*(datos_base!$J$5+IF(parametros_manuales!$H$33="Todos",datos_base!$J$12,0))*parametros_manuales!$I$112)*parametros_manuales!$I$33*parametros_manuales!$J$33</f>
        <v>21449.74232036</v>
      </c>
      <c r="J240" s="14" t="n">
        <f aca="false">(parametros_manuales!$D$33*(datos_base!$J$2+IF(parametros_manuales!$H$33="Todos",datos_base!$J$9,0))*parametros_manuales!$J$97+parametros_manuales!$E$33*(datos_base!$J$3+IF(parametros_manuales!$H$33="Todos",datos_base!$J$10,0))*parametros_manuales!$J$102+parametros_manuales!$F$33*(datos_base!$J$4+IF(parametros_manuales!$H$33="Todos",datos_base!$J$11,0))*parametros_manuales!$J$107+parametros_manuales!$G$33*(datos_base!$J$5+IF(parametros_manuales!$H$33="Todos",datos_base!$J$12,0))*parametros_manuales!$J$112)*parametros_manuales!$I$33*parametros_manuales!$J$33</f>
        <v>21449.74232036</v>
      </c>
      <c r="K240" s="14" t="n">
        <f aca="false">(parametros_manuales!$D$33*(datos_base!$J$2+IF(parametros_manuales!$H$33="Todos",datos_base!$J$9,0))*parametros_manuales!$K$97+parametros_manuales!$E$33*(datos_base!$J$3+IF(parametros_manuales!$H$33="Todos",datos_base!$J$10,0))*parametros_manuales!$K$102+parametros_manuales!$F$33*(datos_base!$J$4+IF(parametros_manuales!$H$33="Todos",datos_base!$J$11,0))*parametros_manuales!$K$107+parametros_manuales!$G$33*(datos_base!$J$5+IF(parametros_manuales!$H$33="Todos",datos_base!$J$12,0))*parametros_manuales!$K$112)*parametros_manuales!$I$33*parametros_manuales!$J$33</f>
        <v>21803.764824595</v>
      </c>
      <c r="L240" s="14" t="n">
        <f aca="false">(parametros_manuales!$D$33*(datos_base!$J$2+IF(parametros_manuales!$H$33="Todos",datos_base!$J$9,0))*parametros_manuales!$L$97+parametros_manuales!$E$33*(datos_base!$J$3+IF(parametros_manuales!$H$33="Todos",datos_base!$J$10,0))*parametros_manuales!$L$102+parametros_manuales!$F$33*(datos_base!$J$4+IF(parametros_manuales!$H$33="Todos",datos_base!$J$11,0))*parametros_manuales!$L$107+parametros_manuales!$G$33*(datos_base!$J$5+IF(parametros_manuales!$H$33="Todos",datos_base!$J$12,0))*parametros_manuales!$L$112)*parametros_manuales!$I$33*parametros_manuales!$J$33</f>
        <v>22157.78732883</v>
      </c>
      <c r="M240" s="14" t="n">
        <f aca="false">(parametros_manuales!$D$33*(datos_base!$J$2+IF(parametros_manuales!$H$33="Todos",datos_base!$J$9,0))*parametros_manuales!$M$97+parametros_manuales!$E$33*(datos_base!$J$3+IF(parametros_manuales!$H$33="Todos",datos_base!$J$10,0))*parametros_manuales!$M$102+parametros_manuales!$F$33*(datos_base!$J$4+IF(parametros_manuales!$H$33="Todos",datos_base!$J$11,0))*parametros_manuales!$M$107+parametros_manuales!$G$33*(datos_base!$J$5+IF(parametros_manuales!$H$33="Todos",datos_base!$J$12,0))*parametros_manuales!$M$112)*parametros_manuales!$I$33*parametros_manuales!$J$33</f>
        <v>22157.78732883</v>
      </c>
      <c r="N240" s="14" t="n">
        <f aca="false">SUM(B240:M240)</f>
        <v>246197.636987</v>
      </c>
      <c r="O240" s="14" t="n">
        <f aca="false">MAX(B240:M240)</f>
        <v>22157.78732883</v>
      </c>
      <c r="P240" s="57" t="n">
        <f aca="false">O240/(parametros_manuales!$B$7)</f>
        <v>147.7185821922</v>
      </c>
      <c r="Q240" s="13" t="str">
        <f aca="false">IF(O240=0,"-",INDEX($B$225:$M$225,MATCH(O240,B240:M240,0)))</f>
        <v>Ene</v>
      </c>
    </row>
    <row r="241" customFormat="false" ht="14.25" hidden="false" customHeight="true" outlineLevel="0" collapsed="false">
      <c r="A241" s="13" t="str">
        <f aca="false">parametros_manuales!$B$34</f>
        <v>Secado</v>
      </c>
      <c r="B241" s="14" t="n">
        <f aca="false">(parametros_manuales!$D$34*(datos_base!$J$2+IF(parametros_manuales!$H$34="Todos",datos_base!$J$9,0))*parametros_manuales!$B$97+parametros_manuales!$E$34*(datos_base!$J$3+IF(parametros_manuales!$H$34="Todos",datos_base!$J$10,0))*parametros_manuales!$B$102+parametros_manuales!$F$34*(datos_base!$J$4+IF(parametros_manuales!$H$34="Todos",datos_base!$J$11,0))*parametros_manuales!$B$107+parametros_manuales!$G$34*(datos_base!$J$5+IF(parametros_manuales!$H$34="Todos",datos_base!$J$12,0))*parametros_manuales!$B$112)*parametros_manuales!$I$34*parametros_manuales!$J$34</f>
        <v>22157.78732883</v>
      </c>
      <c r="C241" s="14" t="n">
        <f aca="false">(parametros_manuales!$D$34*(datos_base!$J$2+IF(parametros_manuales!$H$34="Todos",datos_base!$J$9,0))*parametros_manuales!$C$97+parametros_manuales!$E$34*(datos_base!$J$3+IF(parametros_manuales!$H$34="Todos",datos_base!$J$10,0))*parametros_manuales!$C$102+parametros_manuales!$F$34*(datos_base!$J$4+IF(parametros_manuales!$H$34="Todos",datos_base!$J$11,0))*parametros_manuales!$C$107+parametros_manuales!$G$34*(datos_base!$J$5+IF(parametros_manuales!$H$34="Todos",datos_base!$J$12,0))*parametros_manuales!$C$112)*parametros_manuales!$I$34*parametros_manuales!$J$34</f>
        <v>21449.74232036</v>
      </c>
      <c r="D241" s="14" t="n">
        <f aca="false">(parametros_manuales!$D$34*(datos_base!$J$2+IF(parametros_manuales!$H$34="Todos",datos_base!$J$9,0))*parametros_manuales!$D$97+parametros_manuales!$E$34*(datos_base!$J$3+IF(parametros_manuales!$H$34="Todos",datos_base!$J$10,0))*parametros_manuales!$D$102+parametros_manuales!$F$34*(datos_base!$J$4+IF(parametros_manuales!$H$34="Todos",datos_base!$J$11,0))*parametros_manuales!$D$107+parametros_manuales!$G$34*(datos_base!$J$5+IF(parametros_manuales!$H$34="Todos",datos_base!$J$12,0))*parametros_manuales!$D$112)*parametros_manuales!$I$34*parametros_manuales!$J$34</f>
        <v>20049.833463195</v>
      </c>
      <c r="E241" s="14" t="n">
        <f aca="false">(parametros_manuales!$D$34*(datos_base!$J$2+IF(parametros_manuales!$H$34="Todos",datos_base!$J$9,0))*parametros_manuales!$E$97+parametros_manuales!$E$34*(datos_base!$J$3+IF(parametros_manuales!$H$34="Todos",datos_base!$J$10,0))*parametros_manuales!$E$102+parametros_manuales!$F$34*(datos_base!$J$4+IF(parametros_manuales!$H$34="Todos",datos_base!$J$11,0))*parametros_manuales!$E$107+parametros_manuales!$G$34*(datos_base!$J$5+IF(parametros_manuales!$H$34="Todos",datos_base!$J$12,0))*parametros_manuales!$E$112)*parametros_manuales!$I$34*parametros_manuales!$J$34</f>
        <v>19172.867782495</v>
      </c>
      <c r="F241" s="14" t="n">
        <f aca="false">(parametros_manuales!$D$34*(datos_base!$J$2+IF(parametros_manuales!$H$34="Todos",datos_base!$J$9,0))*parametros_manuales!$F$97+parametros_manuales!$E$34*(datos_base!$J$3+IF(parametros_manuales!$H$34="Todos",datos_base!$J$10,0))*parametros_manuales!$F$102+parametros_manuales!$F$34*(datos_base!$J$4+IF(parametros_manuales!$H$34="Todos",datos_base!$J$11,0))*parametros_manuales!$F$107+parametros_manuales!$G$34*(datos_base!$J$5+IF(parametros_manuales!$H$34="Todos",datos_base!$J$12,0))*parametros_manuales!$F$112)*parametros_manuales!$I$34*parametros_manuales!$J$34</f>
        <v>17941.87959756</v>
      </c>
      <c r="G241" s="14" t="n">
        <f aca="false">(parametros_manuales!$D$34*(datos_base!$J$2+IF(parametros_manuales!$H$34="Todos",datos_base!$J$9,0))*parametros_manuales!$G$97+parametros_manuales!$E$34*(datos_base!$J$3+IF(parametros_manuales!$H$34="Todos",datos_base!$J$10,0))*parametros_manuales!$G$102+parametros_manuales!$F$34*(datos_base!$J$4+IF(parametros_manuales!$H$34="Todos",datos_base!$J$11,0))*parametros_manuales!$G$107+parametros_manuales!$G$34*(datos_base!$J$5+IF(parametros_manuales!$H$34="Todos",datos_base!$J$12,0))*parametros_manuales!$G$112)*parametros_manuales!$I$34*parametros_manuales!$J$34</f>
        <v>17587.857093325</v>
      </c>
      <c r="H241" s="14" t="n">
        <f aca="false">(parametros_manuales!$D$34*(datos_base!$J$2+IF(parametros_manuales!$H$34="Todos",datos_base!$J$9,0))*parametros_manuales!$H$97+parametros_manuales!$E$34*(datos_base!$J$3+IF(parametros_manuales!$H$34="Todos",datos_base!$J$10,0))*parametros_manuales!$H$102+parametros_manuales!$F$34*(datos_base!$J$4+IF(parametros_manuales!$H$34="Todos",datos_base!$J$11,0))*parametros_manuales!$H$107+parametros_manuales!$G$34*(datos_base!$J$5+IF(parametros_manuales!$H$34="Todos",datos_base!$J$12,0))*parametros_manuales!$H$112)*parametros_manuales!$I$34*parametros_manuales!$J$34</f>
        <v>18818.84527826</v>
      </c>
      <c r="I241" s="14" t="n">
        <f aca="false">(parametros_manuales!$D$34*(datos_base!$J$2+IF(parametros_manuales!$H$34="Todos",datos_base!$J$9,0))*parametros_manuales!$I$97+parametros_manuales!$E$34*(datos_base!$J$3+IF(parametros_manuales!$H$34="Todos",datos_base!$J$10,0))*parametros_manuales!$I$102+parametros_manuales!$F$34*(datos_base!$J$4+IF(parametros_manuales!$H$34="Todos",datos_base!$J$11,0))*parametros_manuales!$I$107+parametros_manuales!$G$34*(datos_base!$J$5+IF(parametros_manuales!$H$34="Todos",datos_base!$J$12,0))*parametros_manuales!$I$112)*parametros_manuales!$I$34*parametros_manuales!$J$34</f>
        <v>21449.74232036</v>
      </c>
      <c r="J241" s="14" t="n">
        <f aca="false">(parametros_manuales!$D$34*(datos_base!$J$2+IF(parametros_manuales!$H$34="Todos",datos_base!$J$9,0))*parametros_manuales!$J$97+parametros_manuales!$E$34*(datos_base!$J$3+IF(parametros_manuales!$H$34="Todos",datos_base!$J$10,0))*parametros_manuales!$J$102+parametros_manuales!$F$34*(datos_base!$J$4+IF(parametros_manuales!$H$34="Todos",datos_base!$J$11,0))*parametros_manuales!$J$107+parametros_manuales!$G$34*(datos_base!$J$5+IF(parametros_manuales!$H$34="Todos",datos_base!$J$12,0))*parametros_manuales!$J$112)*parametros_manuales!$I$34*parametros_manuales!$J$34</f>
        <v>21449.74232036</v>
      </c>
      <c r="K241" s="14" t="n">
        <f aca="false">(parametros_manuales!$D$34*(datos_base!$J$2+IF(parametros_manuales!$H$34="Todos",datos_base!$J$9,0))*parametros_manuales!$K$97+parametros_manuales!$E$34*(datos_base!$J$3+IF(parametros_manuales!$H$34="Todos",datos_base!$J$10,0))*parametros_manuales!$K$102+parametros_manuales!$F$34*(datos_base!$J$4+IF(parametros_manuales!$H$34="Todos",datos_base!$J$11,0))*parametros_manuales!$K$107+parametros_manuales!$G$34*(datos_base!$J$5+IF(parametros_manuales!$H$34="Todos",datos_base!$J$12,0))*parametros_manuales!$K$112)*parametros_manuales!$I$34*parametros_manuales!$J$34</f>
        <v>21803.764824595</v>
      </c>
      <c r="L241" s="14" t="n">
        <f aca="false">(parametros_manuales!$D$34*(datos_base!$J$2+IF(parametros_manuales!$H$34="Todos",datos_base!$J$9,0))*parametros_manuales!$L$97+parametros_manuales!$E$34*(datos_base!$J$3+IF(parametros_manuales!$H$34="Todos",datos_base!$J$10,0))*parametros_manuales!$L$102+parametros_manuales!$F$34*(datos_base!$J$4+IF(parametros_manuales!$H$34="Todos",datos_base!$J$11,0))*parametros_manuales!$L$107+parametros_manuales!$G$34*(datos_base!$J$5+IF(parametros_manuales!$H$34="Todos",datos_base!$J$12,0))*parametros_manuales!$L$112)*parametros_manuales!$I$34*parametros_manuales!$J$34</f>
        <v>22157.78732883</v>
      </c>
      <c r="M241" s="14" t="n">
        <f aca="false">(parametros_manuales!$D$34*(datos_base!$J$2+IF(parametros_manuales!$H$34="Todos",datos_base!$J$9,0))*parametros_manuales!$M$97+parametros_manuales!$E$34*(datos_base!$J$3+IF(parametros_manuales!$H$34="Todos",datos_base!$J$10,0))*parametros_manuales!$M$102+parametros_manuales!$F$34*(datos_base!$J$4+IF(parametros_manuales!$H$34="Todos",datos_base!$J$11,0))*parametros_manuales!$M$107+parametros_manuales!$G$34*(datos_base!$J$5+IF(parametros_manuales!$H$34="Todos",datos_base!$J$12,0))*parametros_manuales!$M$112)*parametros_manuales!$I$34*parametros_manuales!$J$34</f>
        <v>22157.78732883</v>
      </c>
      <c r="N241" s="14" t="n">
        <f aca="false">SUM(B241:M241)</f>
        <v>246197.636987</v>
      </c>
      <c r="O241" s="14" t="n">
        <f aca="false">MAX(B241:M241)</f>
        <v>22157.78732883</v>
      </c>
      <c r="P241" s="57" t="n">
        <f aca="false">O241/(parametros_manuales!$B$7)</f>
        <v>147.7185821922</v>
      </c>
      <c r="Q241" s="13" t="str">
        <f aca="false">IF(O241=0,"-",INDEX($B$225:$M$225,MATCH(O241,B241:M241,0)))</f>
        <v>Ene</v>
      </c>
    </row>
    <row r="242" customFormat="false" ht="14.25" hidden="false" customHeight="true" outlineLevel="0" collapsed="false">
      <c r="A242" s="13" t="str">
        <f aca="false">parametros_manuales!$B$35</f>
        <v>Granallado</v>
      </c>
      <c r="B242" s="14" t="n">
        <f aca="false">(parametros_manuales!$D$35*(datos_base!$J$2+IF(parametros_manuales!$H$35="Todos",datos_base!$J$9,0))*parametros_manuales!$B$97+parametros_manuales!$E$35*(datos_base!$J$3+IF(parametros_manuales!$H$35="Todos",datos_base!$J$10,0))*parametros_manuales!$B$102+parametros_manuales!$F$35*(datos_base!$J$4+IF(parametros_manuales!$H$35="Todos",datos_base!$J$11,0))*parametros_manuales!$B$107+parametros_manuales!$G$35*(datos_base!$J$5+IF(parametros_manuales!$H$35="Todos",datos_base!$J$12,0))*parametros_manuales!$B$112)*parametros_manuales!$I$35*parametros_manuales!$J$35</f>
        <v>22157.78732883</v>
      </c>
      <c r="C242" s="14" t="n">
        <f aca="false">(parametros_manuales!$D$35*(datos_base!$J$2+IF(parametros_manuales!$H$35="Todos",datos_base!$J$9,0))*parametros_manuales!$C$97+parametros_manuales!$E$35*(datos_base!$J$3+IF(parametros_manuales!$H$35="Todos",datos_base!$J$10,0))*parametros_manuales!$C$102+parametros_manuales!$F$35*(datos_base!$J$4+IF(parametros_manuales!$H$35="Todos",datos_base!$J$11,0))*parametros_manuales!$C$107+parametros_manuales!$G$35*(datos_base!$J$5+IF(parametros_manuales!$H$35="Todos",datos_base!$J$12,0))*parametros_manuales!$C$112)*parametros_manuales!$I$35*parametros_manuales!$J$35</f>
        <v>21449.74232036</v>
      </c>
      <c r="D242" s="14" t="n">
        <f aca="false">(parametros_manuales!$D$35*(datos_base!$J$2+IF(parametros_manuales!$H$35="Todos",datos_base!$J$9,0))*parametros_manuales!$D$97+parametros_manuales!$E$35*(datos_base!$J$3+IF(parametros_manuales!$H$35="Todos",datos_base!$J$10,0))*parametros_manuales!$D$102+parametros_manuales!$F$35*(datos_base!$J$4+IF(parametros_manuales!$H$35="Todos",datos_base!$J$11,0))*parametros_manuales!$D$107+parametros_manuales!$G$35*(datos_base!$J$5+IF(parametros_manuales!$H$35="Todos",datos_base!$J$12,0))*parametros_manuales!$D$112)*parametros_manuales!$I$35*parametros_manuales!$J$35</f>
        <v>20049.833463195</v>
      </c>
      <c r="E242" s="14" t="n">
        <f aca="false">(parametros_manuales!$D$35*(datos_base!$J$2+IF(parametros_manuales!$H$35="Todos",datos_base!$J$9,0))*parametros_manuales!$E$97+parametros_manuales!$E$35*(datos_base!$J$3+IF(parametros_manuales!$H$35="Todos",datos_base!$J$10,0))*parametros_manuales!$E$102+parametros_manuales!$F$35*(datos_base!$J$4+IF(parametros_manuales!$H$35="Todos",datos_base!$J$11,0))*parametros_manuales!$E$107+parametros_manuales!$G$35*(datos_base!$J$5+IF(parametros_manuales!$H$35="Todos",datos_base!$J$12,0))*parametros_manuales!$E$112)*parametros_manuales!$I$35*parametros_manuales!$J$35</f>
        <v>19172.867782495</v>
      </c>
      <c r="F242" s="14" t="n">
        <f aca="false">(parametros_manuales!$D$35*(datos_base!$J$2+IF(parametros_manuales!$H$35="Todos",datos_base!$J$9,0))*parametros_manuales!$F$97+parametros_manuales!$E$35*(datos_base!$J$3+IF(parametros_manuales!$H$35="Todos",datos_base!$J$10,0))*parametros_manuales!$F$102+parametros_manuales!$F$35*(datos_base!$J$4+IF(parametros_manuales!$H$35="Todos",datos_base!$J$11,0))*parametros_manuales!$F$107+parametros_manuales!$G$35*(datos_base!$J$5+IF(parametros_manuales!$H$35="Todos",datos_base!$J$12,0))*parametros_manuales!$F$112)*parametros_manuales!$I$35*parametros_manuales!$J$35</f>
        <v>17941.87959756</v>
      </c>
      <c r="G242" s="14" t="n">
        <f aca="false">(parametros_manuales!$D$35*(datos_base!$J$2+IF(parametros_manuales!$H$35="Todos",datos_base!$J$9,0))*parametros_manuales!$G$97+parametros_manuales!$E$35*(datos_base!$J$3+IF(parametros_manuales!$H$35="Todos",datos_base!$J$10,0))*parametros_manuales!$G$102+parametros_manuales!$F$35*(datos_base!$J$4+IF(parametros_manuales!$H$35="Todos",datos_base!$J$11,0))*parametros_manuales!$G$107+parametros_manuales!$G$35*(datos_base!$J$5+IF(parametros_manuales!$H$35="Todos",datos_base!$J$12,0))*parametros_manuales!$G$112)*parametros_manuales!$I$35*parametros_manuales!$J$35</f>
        <v>17587.857093325</v>
      </c>
      <c r="H242" s="14" t="n">
        <f aca="false">(parametros_manuales!$D$35*(datos_base!$J$2+IF(parametros_manuales!$H$35="Todos",datos_base!$J$9,0))*parametros_manuales!$H$97+parametros_manuales!$E$35*(datos_base!$J$3+IF(parametros_manuales!$H$35="Todos",datos_base!$J$10,0))*parametros_manuales!$H$102+parametros_manuales!$F$35*(datos_base!$J$4+IF(parametros_manuales!$H$35="Todos",datos_base!$J$11,0))*parametros_manuales!$H$107+parametros_manuales!$G$35*(datos_base!$J$5+IF(parametros_manuales!$H$35="Todos",datos_base!$J$12,0))*parametros_manuales!$H$112)*parametros_manuales!$I$35*parametros_manuales!$J$35</f>
        <v>18818.84527826</v>
      </c>
      <c r="I242" s="14" t="n">
        <f aca="false">(parametros_manuales!$D$35*(datos_base!$J$2+IF(parametros_manuales!$H$35="Todos",datos_base!$J$9,0))*parametros_manuales!$I$97+parametros_manuales!$E$35*(datos_base!$J$3+IF(parametros_manuales!$H$35="Todos",datos_base!$J$10,0))*parametros_manuales!$I$102+parametros_manuales!$F$35*(datos_base!$J$4+IF(parametros_manuales!$H$35="Todos",datos_base!$J$11,0))*parametros_manuales!$I$107+parametros_manuales!$G$35*(datos_base!$J$5+IF(parametros_manuales!$H$35="Todos",datos_base!$J$12,0))*parametros_manuales!$I$112)*parametros_manuales!$I$35*parametros_manuales!$J$35</f>
        <v>21449.74232036</v>
      </c>
      <c r="J242" s="14" t="n">
        <f aca="false">(parametros_manuales!$D$35*(datos_base!$J$2+IF(parametros_manuales!$H$35="Todos",datos_base!$J$9,0))*parametros_manuales!$J$97+parametros_manuales!$E$35*(datos_base!$J$3+IF(parametros_manuales!$H$35="Todos",datos_base!$J$10,0))*parametros_manuales!$J$102+parametros_manuales!$F$35*(datos_base!$J$4+IF(parametros_manuales!$H$35="Todos",datos_base!$J$11,0))*parametros_manuales!$J$107+parametros_manuales!$G$35*(datos_base!$J$5+IF(parametros_manuales!$H$35="Todos",datos_base!$J$12,0))*parametros_manuales!$J$112)*parametros_manuales!$I$35*parametros_manuales!$J$35</f>
        <v>21449.74232036</v>
      </c>
      <c r="K242" s="14" t="n">
        <f aca="false">(parametros_manuales!$D$35*(datos_base!$J$2+IF(parametros_manuales!$H$35="Todos",datos_base!$J$9,0))*parametros_manuales!$K$97+parametros_manuales!$E$35*(datos_base!$J$3+IF(parametros_manuales!$H$35="Todos",datos_base!$J$10,0))*parametros_manuales!$K$102+parametros_manuales!$F$35*(datos_base!$J$4+IF(parametros_manuales!$H$35="Todos",datos_base!$J$11,0))*parametros_manuales!$K$107+parametros_manuales!$G$35*(datos_base!$J$5+IF(parametros_manuales!$H$35="Todos",datos_base!$J$12,0))*parametros_manuales!$K$112)*parametros_manuales!$I$35*parametros_manuales!$J$35</f>
        <v>21803.764824595</v>
      </c>
      <c r="L242" s="14" t="n">
        <f aca="false">(parametros_manuales!$D$35*(datos_base!$J$2+IF(parametros_manuales!$H$35="Todos",datos_base!$J$9,0))*parametros_manuales!$L$97+parametros_manuales!$E$35*(datos_base!$J$3+IF(parametros_manuales!$H$35="Todos",datos_base!$J$10,0))*parametros_manuales!$L$102+parametros_manuales!$F$35*(datos_base!$J$4+IF(parametros_manuales!$H$35="Todos",datos_base!$J$11,0))*parametros_manuales!$L$107+parametros_manuales!$G$35*(datos_base!$J$5+IF(parametros_manuales!$H$35="Todos",datos_base!$J$12,0))*parametros_manuales!$L$112)*parametros_manuales!$I$35*parametros_manuales!$J$35</f>
        <v>22157.78732883</v>
      </c>
      <c r="M242" s="14" t="n">
        <f aca="false">(parametros_manuales!$D$35*(datos_base!$J$2+IF(parametros_manuales!$H$35="Todos",datos_base!$J$9,0))*parametros_manuales!$M$97+parametros_manuales!$E$35*(datos_base!$J$3+IF(parametros_manuales!$H$35="Todos",datos_base!$J$10,0))*parametros_manuales!$M$102+parametros_manuales!$F$35*(datos_base!$J$4+IF(parametros_manuales!$H$35="Todos",datos_base!$J$11,0))*parametros_manuales!$M$107+parametros_manuales!$G$35*(datos_base!$J$5+IF(parametros_manuales!$H$35="Todos",datos_base!$J$12,0))*parametros_manuales!$M$112)*parametros_manuales!$I$35*parametros_manuales!$J$35</f>
        <v>22157.78732883</v>
      </c>
      <c r="N242" s="14" t="n">
        <f aca="false">SUM(B242:M242)</f>
        <v>246197.636987</v>
      </c>
      <c r="O242" s="14" t="n">
        <f aca="false">MAX(B242:M242)</f>
        <v>22157.78732883</v>
      </c>
      <c r="P242" s="57" t="n">
        <f aca="false">O242/(parametros_manuales!$B$7)</f>
        <v>147.7185821922</v>
      </c>
      <c r="Q242" s="13" t="str">
        <f aca="false">IF(O242=0,"-",INDEX($B$225:$M$225,MATCH(O242,B242:M242,0)))</f>
        <v>Ene</v>
      </c>
    </row>
    <row r="243" customFormat="false" ht="14.25" hidden="false" customHeight="true" outlineLevel="0" collapsed="false">
      <c r="A243" s="13" t="str">
        <f aca="false">parametros_manuales!$B$36</f>
        <v>Detección de defectos</v>
      </c>
      <c r="B243" s="14" t="n">
        <f aca="false">(parametros_manuales!$D$36*(datos_base!$J$2+IF(parametros_manuales!$H$36="Todos",datos_base!$J$9,0))*parametros_manuales!$B$97+parametros_manuales!$E$36*(datos_base!$J$3+IF(parametros_manuales!$H$36="Todos",datos_base!$J$10,0))*parametros_manuales!$B$102+parametros_manuales!$F$36*(datos_base!$J$4+IF(parametros_manuales!$H$36="Todos",datos_base!$J$11,0))*parametros_manuales!$B$107+parametros_manuales!$G$36*(datos_base!$J$5+IF(parametros_manuales!$H$36="Todos",datos_base!$J$12,0))*parametros_manuales!$B$112)*parametros_manuales!$I$36*parametros_manuales!$J$36</f>
        <v>22157.78732883</v>
      </c>
      <c r="C243" s="14" t="n">
        <f aca="false">(parametros_manuales!$D$36*(datos_base!$J$2+IF(parametros_manuales!$H$36="Todos",datos_base!$J$9,0))*parametros_manuales!$C$97+parametros_manuales!$E$36*(datos_base!$J$3+IF(parametros_manuales!$H$36="Todos",datos_base!$J$10,0))*parametros_manuales!$C$102+parametros_manuales!$F$36*(datos_base!$J$4+IF(parametros_manuales!$H$36="Todos",datos_base!$J$11,0))*parametros_manuales!$C$107+parametros_manuales!$G$36*(datos_base!$J$5+IF(parametros_manuales!$H$36="Todos",datos_base!$J$12,0))*parametros_manuales!$C$112)*parametros_manuales!$I$36*parametros_manuales!$J$36</f>
        <v>21449.74232036</v>
      </c>
      <c r="D243" s="14" t="n">
        <f aca="false">(parametros_manuales!$D$36*(datos_base!$J$2+IF(parametros_manuales!$H$36="Todos",datos_base!$J$9,0))*parametros_manuales!$D$97+parametros_manuales!$E$36*(datos_base!$J$3+IF(parametros_manuales!$H$36="Todos",datos_base!$J$10,0))*parametros_manuales!$D$102+parametros_manuales!$F$36*(datos_base!$J$4+IF(parametros_manuales!$H$36="Todos",datos_base!$J$11,0))*parametros_manuales!$D$107+parametros_manuales!$G$36*(datos_base!$J$5+IF(parametros_manuales!$H$36="Todos",datos_base!$J$12,0))*parametros_manuales!$D$112)*parametros_manuales!$I$36*parametros_manuales!$J$36</f>
        <v>20049.833463195</v>
      </c>
      <c r="E243" s="14" t="n">
        <f aca="false">(parametros_manuales!$D$36*(datos_base!$J$2+IF(parametros_manuales!$H$36="Todos",datos_base!$J$9,0))*parametros_manuales!$E$97+parametros_manuales!$E$36*(datos_base!$J$3+IF(parametros_manuales!$H$36="Todos",datos_base!$J$10,0))*parametros_manuales!$E$102+parametros_manuales!$F$36*(datos_base!$J$4+IF(parametros_manuales!$H$36="Todos",datos_base!$J$11,0))*parametros_manuales!$E$107+parametros_manuales!$G$36*(datos_base!$J$5+IF(parametros_manuales!$H$36="Todos",datos_base!$J$12,0))*parametros_manuales!$E$112)*parametros_manuales!$I$36*parametros_manuales!$J$36</f>
        <v>19172.867782495</v>
      </c>
      <c r="F243" s="14" t="n">
        <f aca="false">(parametros_manuales!$D$36*(datos_base!$J$2+IF(parametros_manuales!$H$36="Todos",datos_base!$J$9,0))*parametros_manuales!$F$97+parametros_manuales!$E$36*(datos_base!$J$3+IF(parametros_manuales!$H$36="Todos",datos_base!$J$10,0))*parametros_manuales!$F$102+parametros_manuales!$F$36*(datos_base!$J$4+IF(parametros_manuales!$H$36="Todos",datos_base!$J$11,0))*parametros_manuales!$F$107+parametros_manuales!$G$36*(datos_base!$J$5+IF(parametros_manuales!$H$36="Todos",datos_base!$J$12,0))*parametros_manuales!$F$112)*parametros_manuales!$I$36*parametros_manuales!$J$36</f>
        <v>17941.87959756</v>
      </c>
      <c r="G243" s="14" t="n">
        <f aca="false">(parametros_manuales!$D$36*(datos_base!$J$2+IF(parametros_manuales!$H$36="Todos",datos_base!$J$9,0))*parametros_manuales!$G$97+parametros_manuales!$E$36*(datos_base!$J$3+IF(parametros_manuales!$H$36="Todos",datos_base!$J$10,0))*parametros_manuales!$G$102+parametros_manuales!$F$36*(datos_base!$J$4+IF(parametros_manuales!$H$36="Todos",datos_base!$J$11,0))*parametros_manuales!$G$107+parametros_manuales!$G$36*(datos_base!$J$5+IF(parametros_manuales!$H$36="Todos",datos_base!$J$12,0))*parametros_manuales!$G$112)*parametros_manuales!$I$36*parametros_manuales!$J$36</f>
        <v>17587.857093325</v>
      </c>
      <c r="H243" s="14" t="n">
        <f aca="false">(parametros_manuales!$D$36*(datos_base!$J$2+IF(parametros_manuales!$H$36="Todos",datos_base!$J$9,0))*parametros_manuales!$H$97+parametros_manuales!$E$36*(datos_base!$J$3+IF(parametros_manuales!$H$36="Todos",datos_base!$J$10,0))*parametros_manuales!$H$102+parametros_manuales!$F$36*(datos_base!$J$4+IF(parametros_manuales!$H$36="Todos",datos_base!$J$11,0))*parametros_manuales!$H$107+parametros_manuales!$G$36*(datos_base!$J$5+IF(parametros_manuales!$H$36="Todos",datos_base!$J$12,0))*parametros_manuales!$H$112)*parametros_manuales!$I$36*parametros_manuales!$J$36</f>
        <v>18818.84527826</v>
      </c>
      <c r="I243" s="14" t="n">
        <f aca="false">(parametros_manuales!$D$36*(datos_base!$J$2+IF(parametros_manuales!$H$36="Todos",datos_base!$J$9,0))*parametros_manuales!$I$97+parametros_manuales!$E$36*(datos_base!$J$3+IF(parametros_manuales!$H$36="Todos",datos_base!$J$10,0))*parametros_manuales!$I$102+parametros_manuales!$F$36*(datos_base!$J$4+IF(parametros_manuales!$H$36="Todos",datos_base!$J$11,0))*parametros_manuales!$I$107+parametros_manuales!$G$36*(datos_base!$J$5+IF(parametros_manuales!$H$36="Todos",datos_base!$J$12,0))*parametros_manuales!$I$112)*parametros_manuales!$I$36*parametros_manuales!$J$36</f>
        <v>21449.74232036</v>
      </c>
      <c r="J243" s="14" t="n">
        <f aca="false">(parametros_manuales!$D$36*(datos_base!$J$2+IF(parametros_manuales!$H$36="Todos",datos_base!$J$9,0))*parametros_manuales!$J$97+parametros_manuales!$E$36*(datos_base!$J$3+IF(parametros_manuales!$H$36="Todos",datos_base!$J$10,0))*parametros_manuales!$J$102+parametros_manuales!$F$36*(datos_base!$J$4+IF(parametros_manuales!$H$36="Todos",datos_base!$J$11,0))*parametros_manuales!$J$107+parametros_manuales!$G$36*(datos_base!$J$5+IF(parametros_manuales!$H$36="Todos",datos_base!$J$12,0))*parametros_manuales!$J$112)*parametros_manuales!$I$36*parametros_manuales!$J$36</f>
        <v>21449.74232036</v>
      </c>
      <c r="K243" s="14" t="n">
        <f aca="false">(parametros_manuales!$D$36*(datos_base!$J$2+IF(parametros_manuales!$H$36="Todos",datos_base!$J$9,0))*parametros_manuales!$K$97+parametros_manuales!$E$36*(datos_base!$J$3+IF(parametros_manuales!$H$36="Todos",datos_base!$J$10,0))*parametros_manuales!$K$102+parametros_manuales!$F$36*(datos_base!$J$4+IF(parametros_manuales!$H$36="Todos",datos_base!$J$11,0))*parametros_manuales!$K$107+parametros_manuales!$G$36*(datos_base!$J$5+IF(parametros_manuales!$H$36="Todos",datos_base!$J$12,0))*parametros_manuales!$K$112)*parametros_manuales!$I$36*parametros_manuales!$J$36</f>
        <v>21803.764824595</v>
      </c>
      <c r="L243" s="14" t="n">
        <f aca="false">(parametros_manuales!$D$36*(datos_base!$J$2+IF(parametros_manuales!$H$36="Todos",datos_base!$J$9,0))*parametros_manuales!$L$97+parametros_manuales!$E$36*(datos_base!$J$3+IF(parametros_manuales!$H$36="Todos",datos_base!$J$10,0))*parametros_manuales!$L$102+parametros_manuales!$F$36*(datos_base!$J$4+IF(parametros_manuales!$H$36="Todos",datos_base!$J$11,0))*parametros_manuales!$L$107+parametros_manuales!$G$36*(datos_base!$J$5+IF(parametros_manuales!$H$36="Todos",datos_base!$J$12,0))*parametros_manuales!$L$112)*parametros_manuales!$I$36*parametros_manuales!$J$36</f>
        <v>22157.78732883</v>
      </c>
      <c r="M243" s="14" t="n">
        <f aca="false">(parametros_manuales!$D$36*(datos_base!$J$2+IF(parametros_manuales!$H$36="Todos",datos_base!$J$9,0))*parametros_manuales!$M$97+parametros_manuales!$E$36*(datos_base!$J$3+IF(parametros_manuales!$H$36="Todos",datos_base!$J$10,0))*parametros_manuales!$M$102+parametros_manuales!$F$36*(datos_base!$J$4+IF(parametros_manuales!$H$36="Todos",datos_base!$J$11,0))*parametros_manuales!$M$107+parametros_manuales!$G$36*(datos_base!$J$5+IF(parametros_manuales!$H$36="Todos",datos_base!$J$12,0))*parametros_manuales!$M$112)*parametros_manuales!$I$36*parametros_manuales!$J$36</f>
        <v>22157.78732883</v>
      </c>
      <c r="N243" s="14" t="n">
        <f aca="false">SUM(B243:M243)</f>
        <v>246197.636987</v>
      </c>
      <c r="O243" s="14" t="n">
        <f aca="false">MAX(B243:M243)</f>
        <v>22157.78732883</v>
      </c>
      <c r="P243" s="57" t="n">
        <f aca="false">O243/(parametros_manuales!$B$7)</f>
        <v>147.7185821922</v>
      </c>
      <c r="Q243" s="13" t="str">
        <f aca="false">IF(O243=0,"-",INDEX($B$225:$M$225,MATCH(O243,B243:M243,0)))</f>
        <v>Ene</v>
      </c>
    </row>
    <row r="244" customFormat="false" ht="14.25" hidden="false" customHeight="true" outlineLevel="0" collapsed="false">
      <c r="A244" s="13" t="str">
        <f aca="false">parametros_manuales!$B$37</f>
        <v>Corrección de defectos</v>
      </c>
      <c r="B244" s="14" t="n">
        <f aca="false">(parametros_manuales!$D$37*(datos_base!$J$2+IF(parametros_manuales!$H$37="Todos",datos_base!$J$9,0))*parametros_manuales!$B$97+parametros_manuales!$E$37*(datos_base!$J$3+IF(parametros_manuales!$H$37="Todos",datos_base!$J$10,0))*parametros_manuales!$B$102+parametros_manuales!$F$37*(datos_base!$J$4+IF(parametros_manuales!$H$37="Todos",datos_base!$J$11,0))*parametros_manuales!$B$107+parametros_manuales!$G$37*(datos_base!$J$5+IF(parametros_manuales!$H$37="Todos",datos_base!$J$12,0))*parametros_manuales!$B$112)*parametros_manuales!$I$37*parametros_manuales!$J$37</f>
        <v>1107.8893664415</v>
      </c>
      <c r="C244" s="14" t="n">
        <f aca="false">(parametros_manuales!$D$37*(datos_base!$J$2+IF(parametros_manuales!$H$37="Todos",datos_base!$J$9,0))*parametros_manuales!$C$97+parametros_manuales!$E$37*(datos_base!$J$3+IF(parametros_manuales!$H$37="Todos",datos_base!$J$10,0))*parametros_manuales!$C$102+parametros_manuales!$F$37*(datos_base!$J$4+IF(parametros_manuales!$H$37="Todos",datos_base!$J$11,0))*parametros_manuales!$C$107+parametros_manuales!$G$37*(datos_base!$J$5+IF(parametros_manuales!$H$37="Todos",datos_base!$J$12,0))*parametros_manuales!$C$112)*parametros_manuales!$I$37*parametros_manuales!$J$37</f>
        <v>1072.487116018</v>
      </c>
      <c r="D244" s="14" t="n">
        <f aca="false">(parametros_manuales!$D$37*(datos_base!$J$2+IF(parametros_manuales!$H$37="Todos",datos_base!$J$9,0))*parametros_manuales!$D$97+parametros_manuales!$E$37*(datos_base!$J$3+IF(parametros_manuales!$H$37="Todos",datos_base!$J$10,0))*parametros_manuales!$D$102+parametros_manuales!$F$37*(datos_base!$J$4+IF(parametros_manuales!$H$37="Todos",datos_base!$J$11,0))*parametros_manuales!$D$107+parametros_manuales!$G$37*(datos_base!$J$5+IF(parametros_manuales!$H$37="Todos",datos_base!$J$12,0))*parametros_manuales!$D$112)*parametros_manuales!$I$37*parametros_manuales!$J$37</f>
        <v>1002.49167315975</v>
      </c>
      <c r="E244" s="14" t="n">
        <f aca="false">(parametros_manuales!$D$37*(datos_base!$J$2+IF(parametros_manuales!$H$37="Todos",datos_base!$J$9,0))*parametros_manuales!$E$97+parametros_manuales!$E$37*(datos_base!$J$3+IF(parametros_manuales!$H$37="Todos",datos_base!$J$10,0))*parametros_manuales!$E$102+parametros_manuales!$F$37*(datos_base!$J$4+IF(parametros_manuales!$H$37="Todos",datos_base!$J$11,0))*parametros_manuales!$E$107+parametros_manuales!$G$37*(datos_base!$J$5+IF(parametros_manuales!$H$37="Todos",datos_base!$J$12,0))*parametros_manuales!$E$112)*parametros_manuales!$I$37*parametros_manuales!$J$37</f>
        <v>958.64338912475</v>
      </c>
      <c r="F244" s="14" t="n">
        <f aca="false">(parametros_manuales!$D$37*(datos_base!$J$2+IF(parametros_manuales!$H$37="Todos",datos_base!$J$9,0))*parametros_manuales!$F$97+parametros_manuales!$E$37*(datos_base!$J$3+IF(parametros_manuales!$H$37="Todos",datos_base!$J$10,0))*parametros_manuales!$F$102+parametros_manuales!$F$37*(datos_base!$J$4+IF(parametros_manuales!$H$37="Todos",datos_base!$J$11,0))*parametros_manuales!$F$107+parametros_manuales!$G$37*(datos_base!$J$5+IF(parametros_manuales!$H$37="Todos",datos_base!$J$12,0))*parametros_manuales!$F$112)*parametros_manuales!$I$37*parametros_manuales!$J$37</f>
        <v>897.093979878</v>
      </c>
      <c r="G244" s="14" t="n">
        <f aca="false">(parametros_manuales!$D$37*(datos_base!$J$2+IF(parametros_manuales!$H$37="Todos",datos_base!$J$9,0))*parametros_manuales!$G$97+parametros_manuales!$E$37*(datos_base!$J$3+IF(parametros_manuales!$H$37="Todos",datos_base!$J$10,0))*parametros_manuales!$G$102+parametros_manuales!$F$37*(datos_base!$J$4+IF(parametros_manuales!$H$37="Todos",datos_base!$J$11,0))*parametros_manuales!$G$107+parametros_manuales!$G$37*(datos_base!$J$5+IF(parametros_manuales!$H$37="Todos",datos_base!$J$12,0))*parametros_manuales!$G$112)*parametros_manuales!$I$37*parametros_manuales!$J$37</f>
        <v>879.39285466625</v>
      </c>
      <c r="H244" s="14" t="n">
        <f aca="false">(parametros_manuales!$D$37*(datos_base!$J$2+IF(parametros_manuales!$H$37="Todos",datos_base!$J$9,0))*parametros_manuales!$H$97+parametros_manuales!$E$37*(datos_base!$J$3+IF(parametros_manuales!$H$37="Todos",datos_base!$J$10,0))*parametros_manuales!$H$102+parametros_manuales!$F$37*(datos_base!$J$4+IF(parametros_manuales!$H$37="Todos",datos_base!$J$11,0))*parametros_manuales!$H$107+parametros_manuales!$G$37*(datos_base!$J$5+IF(parametros_manuales!$H$37="Todos",datos_base!$J$12,0))*parametros_manuales!$H$112)*parametros_manuales!$I$37*parametros_manuales!$J$37</f>
        <v>940.942263913</v>
      </c>
      <c r="I244" s="14" t="n">
        <f aca="false">(parametros_manuales!$D$37*(datos_base!$J$2+IF(parametros_manuales!$H$37="Todos",datos_base!$J$9,0))*parametros_manuales!$I$97+parametros_manuales!$E$37*(datos_base!$J$3+IF(parametros_manuales!$H$37="Todos",datos_base!$J$10,0))*parametros_manuales!$I$102+parametros_manuales!$F$37*(datos_base!$J$4+IF(parametros_manuales!$H$37="Todos",datos_base!$J$11,0))*parametros_manuales!$I$107+parametros_manuales!$G$37*(datos_base!$J$5+IF(parametros_manuales!$H$37="Todos",datos_base!$J$12,0))*parametros_manuales!$I$112)*parametros_manuales!$I$37*parametros_manuales!$J$37</f>
        <v>1072.487116018</v>
      </c>
      <c r="J244" s="14" t="n">
        <f aca="false">(parametros_manuales!$D$37*(datos_base!$J$2+IF(parametros_manuales!$H$37="Todos",datos_base!$J$9,0))*parametros_manuales!$J$97+parametros_manuales!$E$37*(datos_base!$J$3+IF(parametros_manuales!$H$37="Todos",datos_base!$J$10,0))*parametros_manuales!$J$102+parametros_manuales!$F$37*(datos_base!$J$4+IF(parametros_manuales!$H$37="Todos",datos_base!$J$11,0))*parametros_manuales!$J$107+parametros_manuales!$G$37*(datos_base!$J$5+IF(parametros_manuales!$H$37="Todos",datos_base!$J$12,0))*parametros_manuales!$J$112)*parametros_manuales!$I$37*parametros_manuales!$J$37</f>
        <v>1072.487116018</v>
      </c>
      <c r="K244" s="14" t="n">
        <f aca="false">(parametros_manuales!$D$37*(datos_base!$J$2+IF(parametros_manuales!$H$37="Todos",datos_base!$J$9,0))*parametros_manuales!$K$97+parametros_manuales!$E$37*(datos_base!$J$3+IF(parametros_manuales!$H$37="Todos",datos_base!$J$10,0))*parametros_manuales!$K$102+parametros_manuales!$F$37*(datos_base!$J$4+IF(parametros_manuales!$H$37="Todos",datos_base!$J$11,0))*parametros_manuales!$K$107+parametros_manuales!$G$37*(datos_base!$J$5+IF(parametros_manuales!$H$37="Todos",datos_base!$J$12,0))*parametros_manuales!$K$112)*parametros_manuales!$I$37*parametros_manuales!$J$37</f>
        <v>1090.18824122975</v>
      </c>
      <c r="L244" s="14" t="n">
        <f aca="false">(parametros_manuales!$D$37*(datos_base!$J$2+IF(parametros_manuales!$H$37="Todos",datos_base!$J$9,0))*parametros_manuales!$L$97+parametros_manuales!$E$37*(datos_base!$J$3+IF(parametros_manuales!$H$37="Todos",datos_base!$J$10,0))*parametros_manuales!$L$102+parametros_manuales!$F$37*(datos_base!$J$4+IF(parametros_manuales!$H$37="Todos",datos_base!$J$11,0))*parametros_manuales!$L$107+parametros_manuales!$G$37*(datos_base!$J$5+IF(parametros_manuales!$H$37="Todos",datos_base!$J$12,0))*parametros_manuales!$L$112)*parametros_manuales!$I$37*parametros_manuales!$J$37</f>
        <v>1107.8893664415</v>
      </c>
      <c r="M244" s="14" t="n">
        <f aca="false">(parametros_manuales!$D$37*(datos_base!$J$2+IF(parametros_manuales!$H$37="Todos",datos_base!$J$9,0))*parametros_manuales!$M$97+parametros_manuales!$E$37*(datos_base!$J$3+IF(parametros_manuales!$H$37="Todos",datos_base!$J$10,0))*parametros_manuales!$M$102+parametros_manuales!$F$37*(datos_base!$J$4+IF(parametros_manuales!$H$37="Todos",datos_base!$J$11,0))*parametros_manuales!$M$107+parametros_manuales!$G$37*(datos_base!$J$5+IF(parametros_manuales!$H$37="Todos",datos_base!$J$12,0))*parametros_manuales!$M$112)*parametros_manuales!$I$37*parametros_manuales!$J$37</f>
        <v>1107.8893664415</v>
      </c>
      <c r="N244" s="14" t="n">
        <f aca="false">SUM(B244:M244)</f>
        <v>12309.88184935</v>
      </c>
      <c r="O244" s="14" t="n">
        <f aca="false">MAX(B244:M244)</f>
        <v>1107.8893664415</v>
      </c>
      <c r="P244" s="57" t="n">
        <f aca="false">O244/(parametros_manuales!$B$7)</f>
        <v>7.38592910961</v>
      </c>
      <c r="Q244" s="13" t="str">
        <f aca="false">IF(O244=0,"-",INDEX($B$225:$M$225,MATCH(O244,B244:M244,0)))</f>
        <v>Ene</v>
      </c>
    </row>
    <row r="245" customFormat="false" ht="14.25" hidden="false" customHeight="true" outlineLevel="0" collapsed="false">
      <c r="A245" s="13" t="str">
        <f aca="false">parametros_manuales!$B$38</f>
        <v>Pintura en polvo + horno</v>
      </c>
      <c r="B245" s="14" t="n">
        <f aca="false">(parametros_manuales!$D$38*(datos_base!$J$2+IF(parametros_manuales!$H$38="Todos",datos_base!$J$9,0))*parametros_manuales!$B$97+parametros_manuales!$E$38*(datos_base!$J$3+IF(parametros_manuales!$H$38="Todos",datos_base!$J$10,0))*parametros_manuales!$B$102+parametros_manuales!$F$38*(datos_base!$J$4+IF(parametros_manuales!$H$38="Todos",datos_base!$J$11,0))*parametros_manuales!$B$107+parametros_manuales!$G$38*(datos_base!$J$5+IF(parametros_manuales!$H$38="Todos",datos_base!$J$12,0))*parametros_manuales!$B$112)*parametros_manuales!$I$38*parametros_manuales!$J$38</f>
        <v>22157.78732883</v>
      </c>
      <c r="C245" s="14" t="n">
        <f aca="false">(parametros_manuales!$D$38*(datos_base!$J$2+IF(parametros_manuales!$H$38="Todos",datos_base!$J$9,0))*parametros_manuales!$C$97+parametros_manuales!$E$38*(datos_base!$J$3+IF(parametros_manuales!$H$38="Todos",datos_base!$J$10,0))*parametros_manuales!$C$102+parametros_manuales!$F$38*(datos_base!$J$4+IF(parametros_manuales!$H$38="Todos",datos_base!$J$11,0))*parametros_manuales!$C$107+parametros_manuales!$G$38*(datos_base!$J$5+IF(parametros_manuales!$H$38="Todos",datos_base!$J$12,0))*parametros_manuales!$C$112)*parametros_manuales!$I$38*parametros_manuales!$J$38</f>
        <v>21449.74232036</v>
      </c>
      <c r="D245" s="14" t="n">
        <f aca="false">(parametros_manuales!$D$38*(datos_base!$J$2+IF(parametros_manuales!$H$38="Todos",datos_base!$J$9,0))*parametros_manuales!$D$97+parametros_manuales!$E$38*(datos_base!$J$3+IF(parametros_manuales!$H$38="Todos",datos_base!$J$10,0))*parametros_manuales!$D$102+parametros_manuales!$F$38*(datos_base!$J$4+IF(parametros_manuales!$H$38="Todos",datos_base!$J$11,0))*parametros_manuales!$D$107+parametros_manuales!$G$38*(datos_base!$J$5+IF(parametros_manuales!$H$38="Todos",datos_base!$J$12,0))*parametros_manuales!$D$112)*parametros_manuales!$I$38*parametros_manuales!$J$38</f>
        <v>20049.833463195</v>
      </c>
      <c r="E245" s="14" t="n">
        <f aca="false">(parametros_manuales!$D$38*(datos_base!$J$2+IF(parametros_manuales!$H$38="Todos",datos_base!$J$9,0))*parametros_manuales!$E$97+parametros_manuales!$E$38*(datos_base!$J$3+IF(parametros_manuales!$H$38="Todos",datos_base!$J$10,0))*parametros_manuales!$E$102+parametros_manuales!$F$38*(datos_base!$J$4+IF(parametros_manuales!$H$38="Todos",datos_base!$J$11,0))*parametros_manuales!$E$107+parametros_manuales!$G$38*(datos_base!$J$5+IF(parametros_manuales!$H$38="Todos",datos_base!$J$12,0))*parametros_manuales!$E$112)*parametros_manuales!$I$38*parametros_manuales!$J$38</f>
        <v>19172.867782495</v>
      </c>
      <c r="F245" s="14" t="n">
        <f aca="false">(parametros_manuales!$D$38*(datos_base!$J$2+IF(parametros_manuales!$H$38="Todos",datos_base!$J$9,0))*parametros_manuales!$F$97+parametros_manuales!$E$38*(datos_base!$J$3+IF(parametros_manuales!$H$38="Todos",datos_base!$J$10,0))*parametros_manuales!$F$102+parametros_manuales!$F$38*(datos_base!$J$4+IF(parametros_manuales!$H$38="Todos",datos_base!$J$11,0))*parametros_manuales!$F$107+parametros_manuales!$G$38*(datos_base!$J$5+IF(parametros_manuales!$H$38="Todos",datos_base!$J$12,0))*parametros_manuales!$F$112)*parametros_manuales!$I$38*parametros_manuales!$J$38</f>
        <v>17941.87959756</v>
      </c>
      <c r="G245" s="14" t="n">
        <f aca="false">(parametros_manuales!$D$38*(datos_base!$J$2+IF(parametros_manuales!$H$38="Todos",datos_base!$J$9,0))*parametros_manuales!$G$97+parametros_manuales!$E$38*(datos_base!$J$3+IF(parametros_manuales!$H$38="Todos",datos_base!$J$10,0))*parametros_manuales!$G$102+parametros_manuales!$F$38*(datos_base!$J$4+IF(parametros_manuales!$H$38="Todos",datos_base!$J$11,0))*parametros_manuales!$G$107+parametros_manuales!$G$38*(datos_base!$J$5+IF(parametros_manuales!$H$38="Todos",datos_base!$J$12,0))*parametros_manuales!$G$112)*parametros_manuales!$I$38*parametros_manuales!$J$38</f>
        <v>17587.857093325</v>
      </c>
      <c r="H245" s="14" t="n">
        <f aca="false">(parametros_manuales!$D$38*(datos_base!$J$2+IF(parametros_manuales!$H$38="Todos",datos_base!$J$9,0))*parametros_manuales!$H$97+parametros_manuales!$E$38*(datos_base!$J$3+IF(parametros_manuales!$H$38="Todos",datos_base!$J$10,0))*parametros_manuales!$H$102+parametros_manuales!$F$38*(datos_base!$J$4+IF(parametros_manuales!$H$38="Todos",datos_base!$J$11,0))*parametros_manuales!$H$107+parametros_manuales!$G$38*(datos_base!$J$5+IF(parametros_manuales!$H$38="Todos",datos_base!$J$12,0))*parametros_manuales!$H$112)*parametros_manuales!$I$38*parametros_manuales!$J$38</f>
        <v>18818.84527826</v>
      </c>
      <c r="I245" s="14" t="n">
        <f aca="false">(parametros_manuales!$D$38*(datos_base!$J$2+IF(parametros_manuales!$H$38="Todos",datos_base!$J$9,0))*parametros_manuales!$I$97+parametros_manuales!$E$38*(datos_base!$J$3+IF(parametros_manuales!$H$38="Todos",datos_base!$J$10,0))*parametros_manuales!$I$102+parametros_manuales!$F$38*(datos_base!$J$4+IF(parametros_manuales!$H$38="Todos",datos_base!$J$11,0))*parametros_manuales!$I$107+parametros_manuales!$G$38*(datos_base!$J$5+IF(parametros_manuales!$H$38="Todos",datos_base!$J$12,0))*parametros_manuales!$I$112)*parametros_manuales!$I$38*parametros_manuales!$J$38</f>
        <v>21449.74232036</v>
      </c>
      <c r="J245" s="14" t="n">
        <f aca="false">(parametros_manuales!$D$38*(datos_base!$J$2+IF(parametros_manuales!$H$38="Todos",datos_base!$J$9,0))*parametros_manuales!$J$97+parametros_manuales!$E$38*(datos_base!$J$3+IF(parametros_manuales!$H$38="Todos",datos_base!$J$10,0))*parametros_manuales!$J$102+parametros_manuales!$F$38*(datos_base!$J$4+IF(parametros_manuales!$H$38="Todos",datos_base!$J$11,0))*parametros_manuales!$J$107+parametros_manuales!$G$38*(datos_base!$J$5+IF(parametros_manuales!$H$38="Todos",datos_base!$J$12,0))*parametros_manuales!$J$112)*parametros_manuales!$I$38*parametros_manuales!$J$38</f>
        <v>21449.74232036</v>
      </c>
      <c r="K245" s="14" t="n">
        <f aca="false">(parametros_manuales!$D$38*(datos_base!$J$2+IF(parametros_manuales!$H$38="Todos",datos_base!$J$9,0))*parametros_manuales!$K$97+parametros_manuales!$E$38*(datos_base!$J$3+IF(parametros_manuales!$H$38="Todos",datos_base!$J$10,0))*parametros_manuales!$K$102+parametros_manuales!$F$38*(datos_base!$J$4+IF(parametros_manuales!$H$38="Todos",datos_base!$J$11,0))*parametros_manuales!$K$107+parametros_manuales!$G$38*(datos_base!$J$5+IF(parametros_manuales!$H$38="Todos",datos_base!$J$12,0))*parametros_manuales!$K$112)*parametros_manuales!$I$38*parametros_manuales!$J$38</f>
        <v>21803.764824595</v>
      </c>
      <c r="L245" s="14" t="n">
        <f aca="false">(parametros_manuales!$D$38*(datos_base!$J$2+IF(parametros_manuales!$H$38="Todos",datos_base!$J$9,0))*parametros_manuales!$L$97+parametros_manuales!$E$38*(datos_base!$J$3+IF(parametros_manuales!$H$38="Todos",datos_base!$J$10,0))*parametros_manuales!$L$102+parametros_manuales!$F$38*(datos_base!$J$4+IF(parametros_manuales!$H$38="Todos",datos_base!$J$11,0))*parametros_manuales!$L$107+parametros_manuales!$G$38*(datos_base!$J$5+IF(parametros_manuales!$H$38="Todos",datos_base!$J$12,0))*parametros_manuales!$L$112)*parametros_manuales!$I$38*parametros_manuales!$J$38</f>
        <v>22157.78732883</v>
      </c>
      <c r="M245" s="14" t="n">
        <f aca="false">(parametros_manuales!$D$38*(datos_base!$J$2+IF(parametros_manuales!$H$38="Todos",datos_base!$J$9,0))*parametros_manuales!$M$97+parametros_manuales!$E$38*(datos_base!$J$3+IF(parametros_manuales!$H$38="Todos",datos_base!$J$10,0))*parametros_manuales!$M$102+parametros_manuales!$F$38*(datos_base!$J$4+IF(parametros_manuales!$H$38="Todos",datos_base!$J$11,0))*parametros_manuales!$M$107+parametros_manuales!$G$38*(datos_base!$J$5+IF(parametros_manuales!$H$38="Todos",datos_base!$J$12,0))*parametros_manuales!$M$112)*parametros_manuales!$I$38*parametros_manuales!$J$38</f>
        <v>22157.78732883</v>
      </c>
      <c r="N245" s="14" t="n">
        <f aca="false">SUM(B245:M245)</f>
        <v>246197.636987</v>
      </c>
      <c r="O245" s="14" t="n">
        <f aca="false">MAX(B245:M245)</f>
        <v>22157.78732883</v>
      </c>
      <c r="P245" s="57" t="n">
        <f aca="false">O245/(parametros_manuales!$B$7)</f>
        <v>147.7185821922</v>
      </c>
      <c r="Q245" s="13" t="str">
        <f aca="false">IF(O245=0,"-",INDEX($B$225:$M$225,MATCH(O245,B245:M245,0)))</f>
        <v>Ene</v>
      </c>
    </row>
    <row r="246" customFormat="false" ht="14.25" hidden="false" customHeight="true" outlineLevel="0" collapsed="false">
      <c r="A246" s="13" t="str">
        <f aca="false">parametros_manuales!$B$39</f>
        <v>Carga de polvo</v>
      </c>
      <c r="B246" s="14" t="n">
        <f aca="false">(parametros_manuales!$D$39*(datos_base!$J$2+IF(parametros_manuales!$H$39="Todos",datos_base!$J$9,0))*parametros_manuales!$B$97+parametros_manuales!$E$39*(datos_base!$J$3+IF(parametros_manuales!$H$39="Todos",datos_base!$J$10,0))*parametros_manuales!$B$102+parametros_manuales!$F$39*(datos_base!$J$4+IF(parametros_manuales!$H$39="Todos",datos_base!$J$11,0))*parametros_manuales!$B$107+parametros_manuales!$G$39*(datos_base!$J$5+IF(parametros_manuales!$H$39="Todos",datos_base!$J$12,0))*parametros_manuales!$B$112)*parametros_manuales!$I$39*parametros_manuales!$J$39</f>
        <v>5708.11652883</v>
      </c>
      <c r="C246" s="14" t="n">
        <f aca="false">(parametros_manuales!$D$39*(datos_base!$J$2+IF(parametros_manuales!$H$39="Todos",datos_base!$J$9,0))*parametros_manuales!$C$97+parametros_manuales!$E$39*(datos_base!$J$3+IF(parametros_manuales!$H$39="Todos",datos_base!$J$10,0))*parametros_manuales!$C$102+parametros_manuales!$F$39*(datos_base!$J$4+IF(parametros_manuales!$H$39="Todos",datos_base!$J$11,0))*parametros_manuales!$C$107+parametros_manuales!$G$39*(datos_base!$J$5+IF(parametros_manuales!$H$39="Todos",datos_base!$J$12,0))*parametros_manuales!$C$112)*parametros_manuales!$I$39*parametros_manuales!$J$39</f>
        <v>5359.61472036</v>
      </c>
      <c r="D246" s="14" t="n">
        <f aca="false">(parametros_manuales!$D$39*(datos_base!$J$2+IF(parametros_manuales!$H$39="Todos",datos_base!$J$9,0))*parametros_manuales!$D$97+parametros_manuales!$E$39*(datos_base!$J$3+IF(parametros_manuales!$H$39="Todos",datos_base!$J$10,0))*parametros_manuales!$D$102+parametros_manuales!$F$39*(datos_base!$J$4+IF(parametros_manuales!$H$39="Todos",datos_base!$J$11,0))*parametros_manuales!$D$107+parametros_manuales!$G$39*(datos_base!$J$5+IF(parametros_manuales!$H$39="Todos",datos_base!$J$12,0))*parametros_manuales!$D$112)*parametros_manuales!$I$39*parametros_manuales!$J$39</f>
        <v>5248.132263195</v>
      </c>
      <c r="E246" s="14" t="n">
        <f aca="false">(parametros_manuales!$D$39*(datos_base!$J$2+IF(parametros_manuales!$H$39="Todos",datos_base!$J$9,0))*parametros_manuales!$E$97+parametros_manuales!$E$39*(datos_base!$J$3+IF(parametros_manuales!$H$39="Todos",datos_base!$J$10,0))*parametros_manuales!$E$102+parametros_manuales!$F$39*(datos_base!$J$4+IF(parametros_manuales!$H$39="Todos",datos_base!$J$11,0))*parametros_manuales!$E$107+parametros_manuales!$G$39*(datos_base!$J$5+IF(parametros_manuales!$H$39="Todos",datos_base!$J$12,0))*parametros_manuales!$E$112)*parametros_manuales!$I$39*parametros_manuales!$J$39</f>
        <v>5105.265582495</v>
      </c>
      <c r="F246" s="14" t="n">
        <f aca="false">(parametros_manuales!$D$39*(datos_base!$J$2+IF(parametros_manuales!$H$39="Todos",datos_base!$J$9,0))*parametros_manuales!$F$97+parametros_manuales!$E$39*(datos_base!$J$3+IF(parametros_manuales!$H$39="Todos",datos_base!$J$10,0))*parametros_manuales!$F$102+parametros_manuales!$F$39*(datos_base!$J$4+IF(parametros_manuales!$H$39="Todos",datos_base!$J$11,0))*parametros_manuales!$F$107+parametros_manuales!$G$39*(datos_base!$J$5+IF(parametros_manuales!$H$39="Todos",datos_base!$J$12,0))*parametros_manuales!$F$112)*parametros_manuales!$I$39*parametros_manuales!$J$39</f>
        <v>4788.14799756</v>
      </c>
      <c r="G246" s="14" t="n">
        <f aca="false">(parametros_manuales!$D$39*(datos_base!$J$2+IF(parametros_manuales!$H$39="Todos",datos_base!$J$9,0))*parametros_manuales!$G$97+parametros_manuales!$E$39*(datos_base!$J$3+IF(parametros_manuales!$H$39="Todos",datos_base!$J$10,0))*parametros_manuales!$G$102+parametros_manuales!$F$39*(datos_base!$J$4+IF(parametros_manuales!$H$39="Todos",datos_base!$J$11,0))*parametros_manuales!$G$107+parametros_manuales!$G$39*(datos_base!$J$5+IF(parametros_manuales!$H$39="Todos",datos_base!$J$12,0))*parametros_manuales!$G$112)*parametros_manuales!$I$39*parametros_manuales!$J$39</f>
        <v>4613.897093325</v>
      </c>
      <c r="H246" s="14" t="n">
        <f aca="false">(parametros_manuales!$D$39*(datos_base!$J$2+IF(parametros_manuales!$H$39="Todos",datos_base!$J$9,0))*parametros_manuales!$H$97+parametros_manuales!$E$39*(datos_base!$J$3+IF(parametros_manuales!$H$39="Todos",datos_base!$J$10,0))*parametros_manuales!$H$102+parametros_manuales!$F$39*(datos_base!$J$4+IF(parametros_manuales!$H$39="Todos",datos_base!$J$11,0))*parametros_manuales!$H$107+parametros_manuales!$G$39*(datos_base!$J$5+IF(parametros_manuales!$H$39="Todos",datos_base!$J$12,0))*parametros_manuales!$H$112)*parametros_manuales!$I$39*parametros_manuales!$J$39</f>
        <v>4931.01467826</v>
      </c>
      <c r="I246" s="14" t="n">
        <f aca="false">(parametros_manuales!$D$39*(datos_base!$J$2+IF(parametros_manuales!$H$39="Todos",datos_base!$J$9,0))*parametros_manuales!$I$97+parametros_manuales!$E$39*(datos_base!$J$3+IF(parametros_manuales!$H$39="Todos",datos_base!$J$10,0))*parametros_manuales!$I$102+parametros_manuales!$F$39*(datos_base!$J$4+IF(parametros_manuales!$H$39="Todos",datos_base!$J$11,0))*parametros_manuales!$I$107+parametros_manuales!$G$39*(datos_base!$J$5+IF(parametros_manuales!$H$39="Todos",datos_base!$J$12,0))*parametros_manuales!$I$112)*parametros_manuales!$I$39*parametros_manuales!$J$39</f>
        <v>5359.61472036</v>
      </c>
      <c r="J246" s="14" t="n">
        <f aca="false">(parametros_manuales!$D$39*(datos_base!$J$2+IF(parametros_manuales!$H$39="Todos",datos_base!$J$9,0))*parametros_manuales!$J$97+parametros_manuales!$E$39*(datos_base!$J$3+IF(parametros_manuales!$H$39="Todos",datos_base!$J$10,0))*parametros_manuales!$J$102+parametros_manuales!$F$39*(datos_base!$J$4+IF(parametros_manuales!$H$39="Todos",datos_base!$J$11,0))*parametros_manuales!$J$107+parametros_manuales!$G$39*(datos_base!$J$5+IF(parametros_manuales!$H$39="Todos",datos_base!$J$12,0))*parametros_manuales!$J$112)*parametros_manuales!$I$39*parametros_manuales!$J$39</f>
        <v>5359.61472036</v>
      </c>
      <c r="K246" s="14" t="n">
        <f aca="false">(parametros_manuales!$D$39*(datos_base!$J$2+IF(parametros_manuales!$H$39="Todos",datos_base!$J$9,0))*parametros_manuales!$K$97+parametros_manuales!$E$39*(datos_base!$J$3+IF(parametros_manuales!$H$39="Todos",datos_base!$J$10,0))*parametros_manuales!$K$102+parametros_manuales!$F$39*(datos_base!$J$4+IF(parametros_manuales!$H$39="Todos",datos_base!$J$11,0))*parametros_manuales!$K$107+parametros_manuales!$G$39*(datos_base!$J$5+IF(parametros_manuales!$H$39="Todos",datos_base!$J$12,0))*parametros_manuales!$K$112)*parametros_manuales!$I$39*parametros_manuales!$J$39</f>
        <v>5533.865624595</v>
      </c>
      <c r="L246" s="14" t="n">
        <f aca="false">(parametros_manuales!$D$39*(datos_base!$J$2+IF(parametros_manuales!$H$39="Todos",datos_base!$J$9,0))*parametros_manuales!$L$97+parametros_manuales!$E$39*(datos_base!$J$3+IF(parametros_manuales!$H$39="Todos",datos_base!$J$10,0))*parametros_manuales!$L$102+parametros_manuales!$F$39*(datos_base!$J$4+IF(parametros_manuales!$H$39="Todos",datos_base!$J$11,0))*parametros_manuales!$L$107+parametros_manuales!$G$39*(datos_base!$J$5+IF(parametros_manuales!$H$39="Todos",datos_base!$J$12,0))*parametros_manuales!$L$112)*parametros_manuales!$I$39*parametros_manuales!$J$39</f>
        <v>5708.11652883</v>
      </c>
      <c r="M246" s="14" t="n">
        <f aca="false">(parametros_manuales!$D$39*(datos_base!$J$2+IF(parametros_manuales!$H$39="Todos",datos_base!$J$9,0))*parametros_manuales!$M$97+parametros_manuales!$E$39*(datos_base!$J$3+IF(parametros_manuales!$H$39="Todos",datos_base!$J$10,0))*parametros_manuales!$M$102+parametros_manuales!$F$39*(datos_base!$J$4+IF(parametros_manuales!$H$39="Todos",datos_base!$J$11,0))*parametros_manuales!$M$107+parametros_manuales!$G$39*(datos_base!$J$5+IF(parametros_manuales!$H$39="Todos",datos_base!$J$12,0))*parametros_manuales!$M$112)*parametros_manuales!$I$39*parametros_manuales!$J$39</f>
        <v>5708.11652883</v>
      </c>
      <c r="N246" s="14" t="n">
        <f aca="false">SUM(B246:M246)</f>
        <v>63423.516987</v>
      </c>
      <c r="O246" s="14" t="n">
        <f aca="false">MAX(B246:M246)</f>
        <v>5708.11652883</v>
      </c>
      <c r="P246" s="57" t="n">
        <f aca="false">O246/(parametros_manuales!$B$7)</f>
        <v>38.0541101922</v>
      </c>
      <c r="Q246" s="13" t="str">
        <f aca="false">IF(O246=0,"-",INDEX($B$225:$M$225,MATCH(O246,B246:M246,0)))</f>
        <v>Ene</v>
      </c>
    </row>
    <row r="247" customFormat="false" ht="14.25" hidden="false" customHeight="true" outlineLevel="0" collapsed="false">
      <c r="A247" s="13" t="str">
        <f aca="false">parametros_manuales!$B$40</f>
        <v>Ensamblaje</v>
      </c>
      <c r="B247" s="14" t="n">
        <f aca="false">(parametros_manuales!$D$40*(datos_base!$J$2+IF(parametros_manuales!$H$40="Todos",datos_base!$J$9,0))*parametros_manuales!$B$97+parametros_manuales!$E$40*(datos_base!$J$3+IF(parametros_manuales!$H$40="Todos",datos_base!$J$10,0))*parametros_manuales!$B$102+parametros_manuales!$F$40*(datos_base!$J$4+IF(parametros_manuales!$H$40="Todos",datos_base!$J$11,0))*parametros_manuales!$B$107+parametros_manuales!$G$40*(datos_base!$J$5+IF(parametros_manuales!$H$40="Todos",datos_base!$J$12,0))*parametros_manuales!$B$112)*parametros_manuales!$I$40*parametros_manuales!$J$40</f>
        <v>5708.11652883</v>
      </c>
      <c r="C247" s="14" t="n">
        <f aca="false">(parametros_manuales!$D$40*(datos_base!$J$2+IF(parametros_manuales!$H$40="Todos",datos_base!$J$9,0))*parametros_manuales!$C$97+parametros_manuales!$E$40*(datos_base!$J$3+IF(parametros_manuales!$H$40="Todos",datos_base!$J$10,0))*parametros_manuales!$C$102+parametros_manuales!$F$40*(datos_base!$J$4+IF(parametros_manuales!$H$40="Todos",datos_base!$J$11,0))*parametros_manuales!$C$107+parametros_manuales!$G$40*(datos_base!$J$5+IF(parametros_manuales!$H$40="Todos",datos_base!$J$12,0))*parametros_manuales!$C$112)*parametros_manuales!$I$40*parametros_manuales!$J$40</f>
        <v>5359.61472036</v>
      </c>
      <c r="D247" s="14" t="n">
        <f aca="false">(parametros_manuales!$D$40*(datos_base!$J$2+IF(parametros_manuales!$H$40="Todos",datos_base!$J$9,0))*parametros_manuales!$D$97+parametros_manuales!$E$40*(datos_base!$J$3+IF(parametros_manuales!$H$40="Todos",datos_base!$J$10,0))*parametros_manuales!$D$102+parametros_manuales!$F$40*(datos_base!$J$4+IF(parametros_manuales!$H$40="Todos",datos_base!$J$11,0))*parametros_manuales!$D$107+parametros_manuales!$G$40*(datos_base!$J$5+IF(parametros_manuales!$H$40="Todos",datos_base!$J$12,0))*parametros_manuales!$D$112)*parametros_manuales!$I$40*parametros_manuales!$J$40</f>
        <v>5248.132263195</v>
      </c>
      <c r="E247" s="14" t="n">
        <f aca="false">(parametros_manuales!$D$40*(datos_base!$J$2+IF(parametros_manuales!$H$40="Todos",datos_base!$J$9,0))*parametros_manuales!$E$97+parametros_manuales!$E$40*(datos_base!$J$3+IF(parametros_manuales!$H$40="Todos",datos_base!$J$10,0))*parametros_manuales!$E$102+parametros_manuales!$F$40*(datos_base!$J$4+IF(parametros_manuales!$H$40="Todos",datos_base!$J$11,0))*parametros_manuales!$E$107+parametros_manuales!$G$40*(datos_base!$J$5+IF(parametros_manuales!$H$40="Todos",datos_base!$J$12,0))*parametros_manuales!$E$112)*parametros_manuales!$I$40*parametros_manuales!$J$40</f>
        <v>5105.265582495</v>
      </c>
      <c r="F247" s="14" t="n">
        <f aca="false">(parametros_manuales!$D$40*(datos_base!$J$2+IF(parametros_manuales!$H$40="Todos",datos_base!$J$9,0))*parametros_manuales!$F$97+parametros_manuales!$E$40*(datos_base!$J$3+IF(parametros_manuales!$H$40="Todos",datos_base!$J$10,0))*parametros_manuales!$F$102+parametros_manuales!$F$40*(datos_base!$J$4+IF(parametros_manuales!$H$40="Todos",datos_base!$J$11,0))*parametros_manuales!$F$107+parametros_manuales!$G$40*(datos_base!$J$5+IF(parametros_manuales!$H$40="Todos",datos_base!$J$12,0))*parametros_manuales!$F$112)*parametros_manuales!$I$40*parametros_manuales!$J$40</f>
        <v>4788.14799756</v>
      </c>
      <c r="G247" s="14" t="n">
        <f aca="false">(parametros_manuales!$D$40*(datos_base!$J$2+IF(parametros_manuales!$H$40="Todos",datos_base!$J$9,0))*parametros_manuales!$G$97+parametros_manuales!$E$40*(datos_base!$J$3+IF(parametros_manuales!$H$40="Todos",datos_base!$J$10,0))*parametros_manuales!$G$102+parametros_manuales!$F$40*(datos_base!$J$4+IF(parametros_manuales!$H$40="Todos",datos_base!$J$11,0))*parametros_manuales!$G$107+parametros_manuales!$G$40*(datos_base!$J$5+IF(parametros_manuales!$H$40="Todos",datos_base!$J$12,0))*parametros_manuales!$G$112)*parametros_manuales!$I$40*parametros_manuales!$J$40</f>
        <v>4613.897093325</v>
      </c>
      <c r="H247" s="14" t="n">
        <f aca="false">(parametros_manuales!$D$40*(datos_base!$J$2+IF(parametros_manuales!$H$40="Todos",datos_base!$J$9,0))*parametros_manuales!$H$97+parametros_manuales!$E$40*(datos_base!$J$3+IF(parametros_manuales!$H$40="Todos",datos_base!$J$10,0))*parametros_manuales!$H$102+parametros_manuales!$F$40*(datos_base!$J$4+IF(parametros_manuales!$H$40="Todos",datos_base!$J$11,0))*parametros_manuales!$H$107+parametros_manuales!$G$40*(datos_base!$J$5+IF(parametros_manuales!$H$40="Todos",datos_base!$J$12,0))*parametros_manuales!$H$112)*parametros_manuales!$I$40*parametros_manuales!$J$40</f>
        <v>4931.01467826</v>
      </c>
      <c r="I247" s="14" t="n">
        <f aca="false">(parametros_manuales!$D$40*(datos_base!$J$2+IF(parametros_manuales!$H$40="Todos",datos_base!$J$9,0))*parametros_manuales!$I$97+parametros_manuales!$E$40*(datos_base!$J$3+IF(parametros_manuales!$H$40="Todos",datos_base!$J$10,0))*parametros_manuales!$I$102+parametros_manuales!$F$40*(datos_base!$J$4+IF(parametros_manuales!$H$40="Todos",datos_base!$J$11,0))*parametros_manuales!$I$107+parametros_manuales!$G$40*(datos_base!$J$5+IF(parametros_manuales!$H$40="Todos",datos_base!$J$12,0))*parametros_manuales!$I$112)*parametros_manuales!$I$40*parametros_manuales!$J$40</f>
        <v>5359.61472036</v>
      </c>
      <c r="J247" s="14" t="n">
        <f aca="false">(parametros_manuales!$D$40*(datos_base!$J$2+IF(parametros_manuales!$H$40="Todos",datos_base!$J$9,0))*parametros_manuales!$J$97+parametros_manuales!$E$40*(datos_base!$J$3+IF(parametros_manuales!$H$40="Todos",datos_base!$J$10,0))*parametros_manuales!$J$102+parametros_manuales!$F$40*(datos_base!$J$4+IF(parametros_manuales!$H$40="Todos",datos_base!$J$11,0))*parametros_manuales!$J$107+parametros_manuales!$G$40*(datos_base!$J$5+IF(parametros_manuales!$H$40="Todos",datos_base!$J$12,0))*parametros_manuales!$J$112)*parametros_manuales!$I$40*parametros_manuales!$J$40</f>
        <v>5359.61472036</v>
      </c>
      <c r="K247" s="14" t="n">
        <f aca="false">(parametros_manuales!$D$40*(datos_base!$J$2+IF(parametros_manuales!$H$40="Todos",datos_base!$J$9,0))*parametros_manuales!$K$97+parametros_manuales!$E$40*(datos_base!$J$3+IF(parametros_manuales!$H$40="Todos",datos_base!$J$10,0))*parametros_manuales!$K$102+parametros_manuales!$F$40*(datos_base!$J$4+IF(parametros_manuales!$H$40="Todos",datos_base!$J$11,0))*parametros_manuales!$K$107+parametros_manuales!$G$40*(datos_base!$J$5+IF(parametros_manuales!$H$40="Todos",datos_base!$J$12,0))*parametros_manuales!$K$112)*parametros_manuales!$I$40*parametros_manuales!$J$40</f>
        <v>5533.865624595</v>
      </c>
      <c r="L247" s="14" t="n">
        <f aca="false">(parametros_manuales!$D$40*(datos_base!$J$2+IF(parametros_manuales!$H$40="Todos",datos_base!$J$9,0))*parametros_manuales!$L$97+parametros_manuales!$E$40*(datos_base!$J$3+IF(parametros_manuales!$H$40="Todos",datos_base!$J$10,0))*parametros_manuales!$L$102+parametros_manuales!$F$40*(datos_base!$J$4+IF(parametros_manuales!$H$40="Todos",datos_base!$J$11,0))*parametros_manuales!$L$107+parametros_manuales!$G$40*(datos_base!$J$5+IF(parametros_manuales!$H$40="Todos",datos_base!$J$12,0))*parametros_manuales!$L$112)*parametros_manuales!$I$40*parametros_manuales!$J$40</f>
        <v>5708.11652883</v>
      </c>
      <c r="M247" s="14" t="n">
        <f aca="false">(parametros_manuales!$D$40*(datos_base!$J$2+IF(parametros_manuales!$H$40="Todos",datos_base!$J$9,0))*parametros_manuales!$M$97+parametros_manuales!$E$40*(datos_base!$J$3+IF(parametros_manuales!$H$40="Todos",datos_base!$J$10,0))*parametros_manuales!$M$102+parametros_manuales!$F$40*(datos_base!$J$4+IF(parametros_manuales!$H$40="Todos",datos_base!$J$11,0))*parametros_manuales!$M$107+parametros_manuales!$G$40*(datos_base!$J$5+IF(parametros_manuales!$H$40="Todos",datos_base!$J$12,0))*parametros_manuales!$M$112)*parametros_manuales!$I$40*parametros_manuales!$J$40</f>
        <v>5708.11652883</v>
      </c>
      <c r="N247" s="14" t="n">
        <f aca="false">SUM(B247:M247)</f>
        <v>63423.516987</v>
      </c>
      <c r="O247" s="14" t="n">
        <f aca="false">MAX(B247:M247)</f>
        <v>5708.11652883</v>
      </c>
      <c r="P247" s="57" t="n">
        <f aca="false">O247/(parametros_manuales!$B$7)</f>
        <v>38.0541101922</v>
      </c>
      <c r="Q247" s="13" t="str">
        <f aca="false">IF(O247=0,"-",INDEX($B$225:$M$225,MATCH(O247,B247:M247,0)))</f>
        <v>Ene</v>
      </c>
    </row>
    <row r="248" customFormat="false" ht="14.25" hidden="false" customHeight="true" outlineLevel="0" collapsed="false">
      <c r="A248" s="13" t="str">
        <f aca="false">parametros_manuales!$B$41</f>
        <v>Presurización</v>
      </c>
      <c r="B248" s="14" t="n">
        <f aca="false">(parametros_manuales!$D$41*(datos_base!$J$2+IF(parametros_manuales!$H$41="Todos",datos_base!$J$9,0))*parametros_manuales!$B$97+parametros_manuales!$E$41*(datos_base!$J$3+IF(parametros_manuales!$H$41="Todos",datos_base!$J$10,0))*parametros_manuales!$B$102+parametros_manuales!$F$41*(datos_base!$J$4+IF(parametros_manuales!$H$41="Todos",datos_base!$J$11,0))*parametros_manuales!$B$107+parametros_manuales!$G$41*(datos_base!$J$5+IF(parametros_manuales!$H$41="Todos",datos_base!$J$12,0))*parametros_manuales!$B$112)*parametros_manuales!$I$41*parametros_manuales!$J$41</f>
        <v>5708.11652883</v>
      </c>
      <c r="C248" s="14" t="n">
        <f aca="false">(parametros_manuales!$D$41*(datos_base!$J$2+IF(parametros_manuales!$H$41="Todos",datos_base!$J$9,0))*parametros_manuales!$C$97+parametros_manuales!$E$41*(datos_base!$J$3+IF(parametros_manuales!$H$41="Todos",datos_base!$J$10,0))*parametros_manuales!$C$102+parametros_manuales!$F$41*(datos_base!$J$4+IF(parametros_manuales!$H$41="Todos",datos_base!$J$11,0))*parametros_manuales!$C$107+parametros_manuales!$G$41*(datos_base!$J$5+IF(parametros_manuales!$H$41="Todos",datos_base!$J$12,0))*parametros_manuales!$C$112)*parametros_manuales!$I$41*parametros_manuales!$J$41</f>
        <v>5359.61472036</v>
      </c>
      <c r="D248" s="14" t="n">
        <f aca="false">(parametros_manuales!$D$41*(datos_base!$J$2+IF(parametros_manuales!$H$41="Todos",datos_base!$J$9,0))*parametros_manuales!$D$97+parametros_manuales!$E$41*(datos_base!$J$3+IF(parametros_manuales!$H$41="Todos",datos_base!$J$10,0))*parametros_manuales!$D$102+parametros_manuales!$F$41*(datos_base!$J$4+IF(parametros_manuales!$H$41="Todos",datos_base!$J$11,0))*parametros_manuales!$D$107+parametros_manuales!$G$41*(datos_base!$J$5+IF(parametros_manuales!$H$41="Todos",datos_base!$J$12,0))*parametros_manuales!$D$112)*parametros_manuales!$I$41*parametros_manuales!$J$41</f>
        <v>5248.132263195</v>
      </c>
      <c r="E248" s="14" t="n">
        <f aca="false">(parametros_manuales!$D$41*(datos_base!$J$2+IF(parametros_manuales!$H$41="Todos",datos_base!$J$9,0))*parametros_manuales!$E$97+parametros_manuales!$E$41*(datos_base!$J$3+IF(parametros_manuales!$H$41="Todos",datos_base!$J$10,0))*parametros_manuales!$E$102+parametros_manuales!$F$41*(datos_base!$J$4+IF(parametros_manuales!$H$41="Todos",datos_base!$J$11,0))*parametros_manuales!$E$107+parametros_manuales!$G$41*(datos_base!$J$5+IF(parametros_manuales!$H$41="Todos",datos_base!$J$12,0))*parametros_manuales!$E$112)*parametros_manuales!$I$41*parametros_manuales!$J$41</f>
        <v>5105.265582495</v>
      </c>
      <c r="F248" s="14" t="n">
        <f aca="false">(parametros_manuales!$D$41*(datos_base!$J$2+IF(parametros_manuales!$H$41="Todos",datos_base!$J$9,0))*parametros_manuales!$F$97+parametros_manuales!$E$41*(datos_base!$J$3+IF(parametros_manuales!$H$41="Todos",datos_base!$J$10,0))*parametros_manuales!$F$102+parametros_manuales!$F$41*(datos_base!$J$4+IF(parametros_manuales!$H$41="Todos",datos_base!$J$11,0))*parametros_manuales!$F$107+parametros_manuales!$G$41*(datos_base!$J$5+IF(parametros_manuales!$H$41="Todos",datos_base!$J$12,0))*parametros_manuales!$F$112)*parametros_manuales!$I$41*parametros_manuales!$J$41</f>
        <v>4788.14799756</v>
      </c>
      <c r="G248" s="14" t="n">
        <f aca="false">(parametros_manuales!$D$41*(datos_base!$J$2+IF(parametros_manuales!$H$41="Todos",datos_base!$J$9,0))*parametros_manuales!$G$97+parametros_manuales!$E$41*(datos_base!$J$3+IF(parametros_manuales!$H$41="Todos",datos_base!$J$10,0))*parametros_manuales!$G$102+parametros_manuales!$F$41*(datos_base!$J$4+IF(parametros_manuales!$H$41="Todos",datos_base!$J$11,0))*parametros_manuales!$G$107+parametros_manuales!$G$41*(datos_base!$J$5+IF(parametros_manuales!$H$41="Todos",datos_base!$J$12,0))*parametros_manuales!$G$112)*parametros_manuales!$I$41*parametros_manuales!$J$41</f>
        <v>4613.897093325</v>
      </c>
      <c r="H248" s="14" t="n">
        <f aca="false">(parametros_manuales!$D$41*(datos_base!$J$2+IF(parametros_manuales!$H$41="Todos",datos_base!$J$9,0))*parametros_manuales!$H$97+parametros_manuales!$E$41*(datos_base!$J$3+IF(parametros_manuales!$H$41="Todos",datos_base!$J$10,0))*parametros_manuales!$H$102+parametros_manuales!$F$41*(datos_base!$J$4+IF(parametros_manuales!$H$41="Todos",datos_base!$J$11,0))*parametros_manuales!$H$107+parametros_manuales!$G$41*(datos_base!$J$5+IF(parametros_manuales!$H$41="Todos",datos_base!$J$12,0))*parametros_manuales!$H$112)*parametros_manuales!$I$41*parametros_manuales!$J$41</f>
        <v>4931.01467826</v>
      </c>
      <c r="I248" s="14" t="n">
        <f aca="false">(parametros_manuales!$D$41*(datos_base!$J$2+IF(parametros_manuales!$H$41="Todos",datos_base!$J$9,0))*parametros_manuales!$I$97+parametros_manuales!$E$41*(datos_base!$J$3+IF(parametros_manuales!$H$41="Todos",datos_base!$J$10,0))*parametros_manuales!$I$102+parametros_manuales!$F$41*(datos_base!$J$4+IF(parametros_manuales!$H$41="Todos",datos_base!$J$11,0))*parametros_manuales!$I$107+parametros_manuales!$G$41*(datos_base!$J$5+IF(parametros_manuales!$H$41="Todos",datos_base!$J$12,0))*parametros_manuales!$I$112)*parametros_manuales!$I$41*parametros_manuales!$J$41</f>
        <v>5359.61472036</v>
      </c>
      <c r="J248" s="14" t="n">
        <f aca="false">(parametros_manuales!$D$41*(datos_base!$J$2+IF(parametros_manuales!$H$41="Todos",datos_base!$J$9,0))*parametros_manuales!$J$97+parametros_manuales!$E$41*(datos_base!$J$3+IF(parametros_manuales!$H$41="Todos",datos_base!$J$10,0))*parametros_manuales!$J$102+parametros_manuales!$F$41*(datos_base!$J$4+IF(parametros_manuales!$H$41="Todos",datos_base!$J$11,0))*parametros_manuales!$J$107+parametros_manuales!$G$41*(datos_base!$J$5+IF(parametros_manuales!$H$41="Todos",datos_base!$J$12,0))*parametros_manuales!$J$112)*parametros_manuales!$I$41*parametros_manuales!$J$41</f>
        <v>5359.61472036</v>
      </c>
      <c r="K248" s="14" t="n">
        <f aca="false">(parametros_manuales!$D$41*(datos_base!$J$2+IF(parametros_manuales!$H$41="Todos",datos_base!$J$9,0))*parametros_manuales!$K$97+parametros_manuales!$E$41*(datos_base!$J$3+IF(parametros_manuales!$H$41="Todos",datos_base!$J$10,0))*parametros_manuales!$K$102+parametros_manuales!$F$41*(datos_base!$J$4+IF(parametros_manuales!$H$41="Todos",datos_base!$J$11,0))*parametros_manuales!$K$107+parametros_manuales!$G$41*(datos_base!$J$5+IF(parametros_manuales!$H$41="Todos",datos_base!$J$12,0))*parametros_manuales!$K$112)*parametros_manuales!$I$41*parametros_manuales!$J$41</f>
        <v>5533.865624595</v>
      </c>
      <c r="L248" s="14" t="n">
        <f aca="false">(parametros_manuales!$D$41*(datos_base!$J$2+IF(parametros_manuales!$H$41="Todos",datos_base!$J$9,0))*parametros_manuales!$L$97+parametros_manuales!$E$41*(datos_base!$J$3+IF(parametros_manuales!$H$41="Todos",datos_base!$J$10,0))*parametros_manuales!$L$102+parametros_manuales!$F$41*(datos_base!$J$4+IF(parametros_manuales!$H$41="Todos",datos_base!$J$11,0))*parametros_manuales!$L$107+parametros_manuales!$G$41*(datos_base!$J$5+IF(parametros_manuales!$H$41="Todos",datos_base!$J$12,0))*parametros_manuales!$L$112)*parametros_manuales!$I$41*parametros_manuales!$J$41</f>
        <v>5708.11652883</v>
      </c>
      <c r="M248" s="14" t="n">
        <f aca="false">(parametros_manuales!$D$41*(datos_base!$J$2+IF(parametros_manuales!$H$41="Todos",datos_base!$J$9,0))*parametros_manuales!$M$97+parametros_manuales!$E$41*(datos_base!$J$3+IF(parametros_manuales!$H$41="Todos",datos_base!$J$10,0))*parametros_manuales!$M$102+parametros_manuales!$F$41*(datos_base!$J$4+IF(parametros_manuales!$H$41="Todos",datos_base!$J$11,0))*parametros_manuales!$M$107+parametros_manuales!$G$41*(datos_base!$J$5+IF(parametros_manuales!$H$41="Todos",datos_base!$J$12,0))*parametros_manuales!$M$112)*parametros_manuales!$I$41*parametros_manuales!$J$41</f>
        <v>5708.11652883</v>
      </c>
      <c r="N248" s="14" t="n">
        <f aca="false">SUM(B248:M248)</f>
        <v>63423.516987</v>
      </c>
      <c r="O248" s="14" t="n">
        <f aca="false">MAX(B248:M248)</f>
        <v>5708.11652883</v>
      </c>
      <c r="P248" s="57" t="n">
        <f aca="false">O248/(parametros_manuales!$B$7)</f>
        <v>38.0541101922</v>
      </c>
      <c r="Q248" s="13" t="str">
        <f aca="false">IF(O248=0,"-",INDEX($B$225:$M$225,MATCH(O248,B248:M248,0)))</f>
        <v>Ene</v>
      </c>
    </row>
    <row r="249" customFormat="false" ht="14.25" hidden="false" customHeight="true" outlineLevel="0" collapsed="false">
      <c r="A249" s="13" t="str">
        <f aca="false">parametros_manuales!$B$42</f>
        <v>Control de calidad — Ensayo de pérdidas</v>
      </c>
      <c r="B249" s="14" t="n">
        <f aca="false">(parametros_manuales!$D$42*(datos_base!$J$2+IF(parametros_manuales!$H$42="Todos",datos_base!$J$9,0))*parametros_manuales!$B$97+parametros_manuales!$E$42*(datos_base!$J$3+IF(parametros_manuales!$H$42="Todos",datos_base!$J$10,0))*parametros_manuales!$B$102+parametros_manuales!$F$42*(datos_base!$J$4+IF(parametros_manuales!$H$42="Todos",datos_base!$J$11,0))*parametros_manuales!$B$107+parametros_manuales!$G$42*(datos_base!$J$5+IF(parametros_manuales!$H$42="Todos",datos_base!$J$12,0))*parametros_manuales!$B$112)*parametros_manuales!$I$42*parametros_manuales!$J$42</f>
        <v>5708.11652883</v>
      </c>
      <c r="C249" s="14" t="n">
        <f aca="false">(parametros_manuales!$D$42*(datos_base!$J$2+IF(parametros_manuales!$H$42="Todos",datos_base!$J$9,0))*parametros_manuales!$C$97+parametros_manuales!$E$42*(datos_base!$J$3+IF(parametros_manuales!$H$42="Todos",datos_base!$J$10,0))*parametros_manuales!$C$102+parametros_manuales!$F$42*(datos_base!$J$4+IF(parametros_manuales!$H$42="Todos",datos_base!$J$11,0))*parametros_manuales!$C$107+parametros_manuales!$G$42*(datos_base!$J$5+IF(parametros_manuales!$H$42="Todos",datos_base!$J$12,0))*parametros_manuales!$C$112)*parametros_manuales!$I$42*parametros_manuales!$J$42</f>
        <v>5359.61472036</v>
      </c>
      <c r="D249" s="14" t="n">
        <f aca="false">(parametros_manuales!$D$42*(datos_base!$J$2+IF(parametros_manuales!$H$42="Todos",datos_base!$J$9,0))*parametros_manuales!$D$97+parametros_manuales!$E$42*(datos_base!$J$3+IF(parametros_manuales!$H$42="Todos",datos_base!$J$10,0))*parametros_manuales!$D$102+parametros_manuales!$F$42*(datos_base!$J$4+IF(parametros_manuales!$H$42="Todos",datos_base!$J$11,0))*parametros_manuales!$D$107+parametros_manuales!$G$42*(datos_base!$J$5+IF(parametros_manuales!$H$42="Todos",datos_base!$J$12,0))*parametros_manuales!$D$112)*parametros_manuales!$I$42*parametros_manuales!$J$42</f>
        <v>5248.132263195</v>
      </c>
      <c r="E249" s="14" t="n">
        <f aca="false">(parametros_manuales!$D$42*(datos_base!$J$2+IF(parametros_manuales!$H$42="Todos",datos_base!$J$9,0))*parametros_manuales!$E$97+parametros_manuales!$E$42*(datos_base!$J$3+IF(parametros_manuales!$H$42="Todos",datos_base!$J$10,0))*parametros_manuales!$E$102+parametros_manuales!$F$42*(datos_base!$J$4+IF(parametros_manuales!$H$42="Todos",datos_base!$J$11,0))*parametros_manuales!$E$107+parametros_manuales!$G$42*(datos_base!$J$5+IF(parametros_manuales!$H$42="Todos",datos_base!$J$12,0))*parametros_manuales!$E$112)*parametros_manuales!$I$42*parametros_manuales!$J$42</f>
        <v>5105.265582495</v>
      </c>
      <c r="F249" s="14" t="n">
        <f aca="false">(parametros_manuales!$D$42*(datos_base!$J$2+IF(parametros_manuales!$H$42="Todos",datos_base!$J$9,0))*parametros_manuales!$F$97+parametros_manuales!$E$42*(datos_base!$J$3+IF(parametros_manuales!$H$42="Todos",datos_base!$J$10,0))*parametros_manuales!$F$102+parametros_manuales!$F$42*(datos_base!$J$4+IF(parametros_manuales!$H$42="Todos",datos_base!$J$11,0))*parametros_manuales!$F$107+parametros_manuales!$G$42*(datos_base!$J$5+IF(parametros_manuales!$H$42="Todos",datos_base!$J$12,0))*parametros_manuales!$F$112)*parametros_manuales!$I$42*parametros_manuales!$J$42</f>
        <v>4788.14799756</v>
      </c>
      <c r="G249" s="14" t="n">
        <f aca="false">(parametros_manuales!$D$42*(datos_base!$J$2+IF(parametros_manuales!$H$42="Todos",datos_base!$J$9,0))*parametros_manuales!$G$97+parametros_manuales!$E$42*(datos_base!$J$3+IF(parametros_manuales!$H$42="Todos",datos_base!$J$10,0))*parametros_manuales!$G$102+parametros_manuales!$F$42*(datos_base!$J$4+IF(parametros_manuales!$H$42="Todos",datos_base!$J$11,0))*parametros_manuales!$G$107+parametros_manuales!$G$42*(datos_base!$J$5+IF(parametros_manuales!$H$42="Todos",datos_base!$J$12,0))*parametros_manuales!$G$112)*parametros_manuales!$I$42*parametros_manuales!$J$42</f>
        <v>4613.897093325</v>
      </c>
      <c r="H249" s="14" t="n">
        <f aca="false">(parametros_manuales!$D$42*(datos_base!$J$2+IF(parametros_manuales!$H$42="Todos",datos_base!$J$9,0))*parametros_manuales!$H$97+parametros_manuales!$E$42*(datos_base!$J$3+IF(parametros_manuales!$H$42="Todos",datos_base!$J$10,0))*parametros_manuales!$H$102+parametros_manuales!$F$42*(datos_base!$J$4+IF(parametros_manuales!$H$42="Todos",datos_base!$J$11,0))*parametros_manuales!$H$107+parametros_manuales!$G$42*(datos_base!$J$5+IF(parametros_manuales!$H$42="Todos",datos_base!$J$12,0))*parametros_manuales!$H$112)*parametros_manuales!$I$42*parametros_manuales!$J$42</f>
        <v>4931.01467826</v>
      </c>
      <c r="I249" s="14" t="n">
        <f aca="false">(parametros_manuales!$D$42*(datos_base!$J$2+IF(parametros_manuales!$H$42="Todos",datos_base!$J$9,0))*parametros_manuales!$I$97+parametros_manuales!$E$42*(datos_base!$J$3+IF(parametros_manuales!$H$42="Todos",datos_base!$J$10,0))*parametros_manuales!$I$102+parametros_manuales!$F$42*(datos_base!$J$4+IF(parametros_manuales!$H$42="Todos",datos_base!$J$11,0))*parametros_manuales!$I$107+parametros_manuales!$G$42*(datos_base!$J$5+IF(parametros_manuales!$H$42="Todos",datos_base!$J$12,0))*parametros_manuales!$I$112)*parametros_manuales!$I$42*parametros_manuales!$J$42</f>
        <v>5359.61472036</v>
      </c>
      <c r="J249" s="14" t="n">
        <f aca="false">(parametros_manuales!$D$42*(datos_base!$J$2+IF(parametros_manuales!$H$42="Todos",datos_base!$J$9,0))*parametros_manuales!$J$97+parametros_manuales!$E$42*(datos_base!$J$3+IF(parametros_manuales!$H$42="Todos",datos_base!$J$10,0))*parametros_manuales!$J$102+parametros_manuales!$F$42*(datos_base!$J$4+IF(parametros_manuales!$H$42="Todos",datos_base!$J$11,0))*parametros_manuales!$J$107+parametros_manuales!$G$42*(datos_base!$J$5+IF(parametros_manuales!$H$42="Todos",datos_base!$J$12,0))*parametros_manuales!$J$112)*parametros_manuales!$I$42*parametros_manuales!$J$42</f>
        <v>5359.61472036</v>
      </c>
      <c r="K249" s="14" t="n">
        <f aca="false">(parametros_manuales!$D$42*(datos_base!$J$2+IF(parametros_manuales!$H$42="Todos",datos_base!$J$9,0))*parametros_manuales!$K$97+parametros_manuales!$E$42*(datos_base!$J$3+IF(parametros_manuales!$H$42="Todos",datos_base!$J$10,0))*parametros_manuales!$K$102+parametros_manuales!$F$42*(datos_base!$J$4+IF(parametros_manuales!$H$42="Todos",datos_base!$J$11,0))*parametros_manuales!$K$107+parametros_manuales!$G$42*(datos_base!$J$5+IF(parametros_manuales!$H$42="Todos",datos_base!$J$12,0))*parametros_manuales!$K$112)*parametros_manuales!$I$42*parametros_manuales!$J$42</f>
        <v>5533.865624595</v>
      </c>
      <c r="L249" s="14" t="n">
        <f aca="false">(parametros_manuales!$D$42*(datos_base!$J$2+IF(parametros_manuales!$H$42="Todos",datos_base!$J$9,0))*parametros_manuales!$L$97+parametros_manuales!$E$42*(datos_base!$J$3+IF(parametros_manuales!$H$42="Todos",datos_base!$J$10,0))*parametros_manuales!$L$102+parametros_manuales!$F$42*(datos_base!$J$4+IF(parametros_manuales!$H$42="Todos",datos_base!$J$11,0))*parametros_manuales!$L$107+parametros_manuales!$G$42*(datos_base!$J$5+IF(parametros_manuales!$H$42="Todos",datos_base!$J$12,0))*parametros_manuales!$L$112)*parametros_manuales!$I$42*parametros_manuales!$J$42</f>
        <v>5708.11652883</v>
      </c>
      <c r="M249" s="14" t="n">
        <f aca="false">(parametros_manuales!$D$42*(datos_base!$J$2+IF(parametros_manuales!$H$42="Todos",datos_base!$J$9,0))*parametros_manuales!$M$97+parametros_manuales!$E$42*(datos_base!$J$3+IF(parametros_manuales!$H$42="Todos",datos_base!$J$10,0))*parametros_manuales!$M$102+parametros_manuales!$F$42*(datos_base!$J$4+IF(parametros_manuales!$H$42="Todos",datos_base!$J$11,0))*parametros_manuales!$M$107+parametros_manuales!$G$42*(datos_base!$J$5+IF(parametros_manuales!$H$42="Todos",datos_base!$J$12,0))*parametros_manuales!$M$112)*parametros_manuales!$I$42*parametros_manuales!$J$42</f>
        <v>5708.11652883</v>
      </c>
      <c r="N249" s="14" t="n">
        <f aca="false">SUM(B249:M249)</f>
        <v>63423.516987</v>
      </c>
      <c r="O249" s="14" t="n">
        <f aca="false">MAX(B249:M249)</f>
        <v>5708.11652883</v>
      </c>
      <c r="P249" s="57" t="n">
        <f aca="false">O249/(parametros_manuales!$B$7)</f>
        <v>38.0541101922</v>
      </c>
      <c r="Q249" s="13" t="str">
        <f aca="false">IF(O249=0,"-",INDEX($B$225:$M$225,MATCH(O249,B249:M249,0)))</f>
        <v>Ene</v>
      </c>
    </row>
    <row r="250" customFormat="false" ht="14.25" hidden="false" customHeight="true" outlineLevel="0" collapsed="false">
      <c r="A250" s="13" t="str">
        <f aca="false">parametros_manuales!$B$43</f>
        <v>Etiquetado</v>
      </c>
      <c r="B250" s="14" t="n">
        <f aca="false">(parametros_manuales!$D$43*(datos_base!$J$2+IF(parametros_manuales!$H$43="Todos",datos_base!$J$9,0))*parametros_manuales!$B$97+parametros_manuales!$E$43*(datos_base!$J$3+IF(parametros_manuales!$H$43="Todos",datos_base!$J$10,0))*parametros_manuales!$B$102+parametros_manuales!$F$43*(datos_base!$J$4+IF(parametros_manuales!$H$43="Todos",datos_base!$J$11,0))*parametros_manuales!$B$107+parametros_manuales!$G$43*(datos_base!$J$5+IF(parametros_manuales!$H$43="Todos",datos_base!$J$12,0))*parametros_manuales!$B$112)*parametros_manuales!$I$43*parametros_manuales!$J$43</f>
        <v>5708.11652883</v>
      </c>
      <c r="C250" s="14" t="n">
        <f aca="false">(parametros_manuales!$D$43*(datos_base!$J$2+IF(parametros_manuales!$H$43="Todos",datos_base!$J$9,0))*parametros_manuales!$C$97+parametros_manuales!$E$43*(datos_base!$J$3+IF(parametros_manuales!$H$43="Todos",datos_base!$J$10,0))*parametros_manuales!$C$102+parametros_manuales!$F$43*(datos_base!$J$4+IF(parametros_manuales!$H$43="Todos",datos_base!$J$11,0))*parametros_manuales!$C$107+parametros_manuales!$G$43*(datos_base!$J$5+IF(parametros_manuales!$H$43="Todos",datos_base!$J$12,0))*parametros_manuales!$C$112)*parametros_manuales!$I$43*parametros_manuales!$J$43</f>
        <v>5359.61472036</v>
      </c>
      <c r="D250" s="14" t="n">
        <f aca="false">(parametros_manuales!$D$43*(datos_base!$J$2+IF(parametros_manuales!$H$43="Todos",datos_base!$J$9,0))*parametros_manuales!$D$97+parametros_manuales!$E$43*(datos_base!$J$3+IF(parametros_manuales!$H$43="Todos",datos_base!$J$10,0))*parametros_manuales!$D$102+parametros_manuales!$F$43*(datos_base!$J$4+IF(parametros_manuales!$H$43="Todos",datos_base!$J$11,0))*parametros_manuales!$D$107+parametros_manuales!$G$43*(datos_base!$J$5+IF(parametros_manuales!$H$43="Todos",datos_base!$J$12,0))*parametros_manuales!$D$112)*parametros_manuales!$I$43*parametros_manuales!$J$43</f>
        <v>5248.132263195</v>
      </c>
      <c r="E250" s="14" t="n">
        <f aca="false">(parametros_manuales!$D$43*(datos_base!$J$2+IF(parametros_manuales!$H$43="Todos",datos_base!$J$9,0))*parametros_manuales!$E$97+parametros_manuales!$E$43*(datos_base!$J$3+IF(parametros_manuales!$H$43="Todos",datos_base!$J$10,0))*parametros_manuales!$E$102+parametros_manuales!$F$43*(datos_base!$J$4+IF(parametros_manuales!$H$43="Todos",datos_base!$J$11,0))*parametros_manuales!$E$107+parametros_manuales!$G$43*(datos_base!$J$5+IF(parametros_manuales!$H$43="Todos",datos_base!$J$12,0))*parametros_manuales!$E$112)*parametros_manuales!$I$43*parametros_manuales!$J$43</f>
        <v>5105.265582495</v>
      </c>
      <c r="F250" s="14" t="n">
        <f aca="false">(parametros_manuales!$D$43*(datos_base!$J$2+IF(parametros_manuales!$H$43="Todos",datos_base!$J$9,0))*parametros_manuales!$F$97+parametros_manuales!$E$43*(datos_base!$J$3+IF(parametros_manuales!$H$43="Todos",datos_base!$J$10,0))*parametros_manuales!$F$102+parametros_manuales!$F$43*(datos_base!$J$4+IF(parametros_manuales!$H$43="Todos",datos_base!$J$11,0))*parametros_manuales!$F$107+parametros_manuales!$G$43*(datos_base!$J$5+IF(parametros_manuales!$H$43="Todos",datos_base!$J$12,0))*parametros_manuales!$F$112)*parametros_manuales!$I$43*parametros_manuales!$J$43</f>
        <v>4788.14799756</v>
      </c>
      <c r="G250" s="14" t="n">
        <f aca="false">(parametros_manuales!$D$43*(datos_base!$J$2+IF(parametros_manuales!$H$43="Todos",datos_base!$J$9,0))*parametros_manuales!$G$97+parametros_manuales!$E$43*(datos_base!$J$3+IF(parametros_manuales!$H$43="Todos",datos_base!$J$10,0))*parametros_manuales!$G$102+parametros_manuales!$F$43*(datos_base!$J$4+IF(parametros_manuales!$H$43="Todos",datos_base!$J$11,0))*parametros_manuales!$G$107+parametros_manuales!$G$43*(datos_base!$J$5+IF(parametros_manuales!$H$43="Todos",datos_base!$J$12,0))*parametros_manuales!$G$112)*parametros_manuales!$I$43*parametros_manuales!$J$43</f>
        <v>4613.897093325</v>
      </c>
      <c r="H250" s="14" t="n">
        <f aca="false">(parametros_manuales!$D$43*(datos_base!$J$2+IF(parametros_manuales!$H$43="Todos",datos_base!$J$9,0))*parametros_manuales!$H$97+parametros_manuales!$E$43*(datos_base!$J$3+IF(parametros_manuales!$H$43="Todos",datos_base!$J$10,0))*parametros_manuales!$H$102+parametros_manuales!$F$43*(datos_base!$J$4+IF(parametros_manuales!$H$43="Todos",datos_base!$J$11,0))*parametros_manuales!$H$107+parametros_manuales!$G$43*(datos_base!$J$5+IF(parametros_manuales!$H$43="Todos",datos_base!$J$12,0))*parametros_manuales!$H$112)*parametros_manuales!$I$43*parametros_manuales!$J$43</f>
        <v>4931.01467826</v>
      </c>
      <c r="I250" s="14" t="n">
        <f aca="false">(parametros_manuales!$D$43*(datos_base!$J$2+IF(parametros_manuales!$H$43="Todos",datos_base!$J$9,0))*parametros_manuales!$I$97+parametros_manuales!$E$43*(datos_base!$J$3+IF(parametros_manuales!$H$43="Todos",datos_base!$J$10,0))*parametros_manuales!$I$102+parametros_manuales!$F$43*(datos_base!$J$4+IF(parametros_manuales!$H$43="Todos",datos_base!$J$11,0))*parametros_manuales!$I$107+parametros_manuales!$G$43*(datos_base!$J$5+IF(parametros_manuales!$H$43="Todos",datos_base!$J$12,0))*parametros_manuales!$I$112)*parametros_manuales!$I$43*parametros_manuales!$J$43</f>
        <v>5359.61472036</v>
      </c>
      <c r="J250" s="14" t="n">
        <f aca="false">(parametros_manuales!$D$43*(datos_base!$J$2+IF(parametros_manuales!$H$43="Todos",datos_base!$J$9,0))*parametros_manuales!$J$97+parametros_manuales!$E$43*(datos_base!$J$3+IF(parametros_manuales!$H$43="Todos",datos_base!$J$10,0))*parametros_manuales!$J$102+parametros_manuales!$F$43*(datos_base!$J$4+IF(parametros_manuales!$H$43="Todos",datos_base!$J$11,0))*parametros_manuales!$J$107+parametros_manuales!$G$43*(datos_base!$J$5+IF(parametros_manuales!$H$43="Todos",datos_base!$J$12,0))*parametros_manuales!$J$112)*parametros_manuales!$I$43*parametros_manuales!$J$43</f>
        <v>5359.61472036</v>
      </c>
      <c r="K250" s="14" t="n">
        <f aca="false">(parametros_manuales!$D$43*(datos_base!$J$2+IF(parametros_manuales!$H$43="Todos",datos_base!$J$9,0))*parametros_manuales!$K$97+parametros_manuales!$E$43*(datos_base!$J$3+IF(parametros_manuales!$H$43="Todos",datos_base!$J$10,0))*parametros_manuales!$K$102+parametros_manuales!$F$43*(datos_base!$J$4+IF(parametros_manuales!$H$43="Todos",datos_base!$J$11,0))*parametros_manuales!$K$107+parametros_manuales!$G$43*(datos_base!$J$5+IF(parametros_manuales!$H$43="Todos",datos_base!$J$12,0))*parametros_manuales!$K$112)*parametros_manuales!$I$43*parametros_manuales!$J$43</f>
        <v>5533.865624595</v>
      </c>
      <c r="L250" s="14" t="n">
        <f aca="false">(parametros_manuales!$D$43*(datos_base!$J$2+IF(parametros_manuales!$H$43="Todos",datos_base!$J$9,0))*parametros_manuales!$L$97+parametros_manuales!$E$43*(datos_base!$J$3+IF(parametros_manuales!$H$43="Todos",datos_base!$J$10,0))*parametros_manuales!$L$102+parametros_manuales!$F$43*(datos_base!$J$4+IF(parametros_manuales!$H$43="Todos",datos_base!$J$11,0))*parametros_manuales!$L$107+parametros_manuales!$G$43*(datos_base!$J$5+IF(parametros_manuales!$H$43="Todos",datos_base!$J$12,0))*parametros_manuales!$L$112)*parametros_manuales!$I$43*parametros_manuales!$J$43</f>
        <v>5708.11652883</v>
      </c>
      <c r="M250" s="14" t="n">
        <f aca="false">(parametros_manuales!$D$43*(datos_base!$J$2+IF(parametros_manuales!$H$43="Todos",datos_base!$J$9,0))*parametros_manuales!$M$97+parametros_manuales!$E$43*(datos_base!$J$3+IF(parametros_manuales!$H$43="Todos",datos_base!$J$10,0))*parametros_manuales!$M$102+parametros_manuales!$F$43*(datos_base!$J$4+IF(parametros_manuales!$H$43="Todos",datos_base!$J$11,0))*parametros_manuales!$M$107+parametros_manuales!$G$43*(datos_base!$J$5+IF(parametros_manuales!$H$43="Todos",datos_base!$J$12,0))*parametros_manuales!$M$112)*parametros_manuales!$I$43*parametros_manuales!$J$43</f>
        <v>5708.11652883</v>
      </c>
      <c r="N250" s="14" t="n">
        <f aca="false">SUM(B250:M250)</f>
        <v>63423.516987</v>
      </c>
      <c r="O250" s="14" t="n">
        <f aca="false">MAX(B250:M250)</f>
        <v>5708.11652883</v>
      </c>
      <c r="P250" s="57" t="n">
        <f aca="false">O250/(parametros_manuales!$B$7)</f>
        <v>38.0541101922</v>
      </c>
      <c r="Q250" s="13" t="str">
        <f aca="false">IF(O250=0,"-",INDEX($B$225:$M$225,MATCH(O250,B250:M250,0)))</f>
        <v>Ene</v>
      </c>
    </row>
    <row r="251" customFormat="false" ht="14.25" hidden="false" customHeight="true" outlineLevel="0" collapsed="false">
      <c r="A251" s="13" t="str">
        <f aca="false">parametros_manuales!$B$44</f>
        <v>Embalaje y paletizado</v>
      </c>
      <c r="B251" s="14" t="n">
        <f aca="false">(parametros_manuales!$D$44*(datos_base!$J$2+IF(parametros_manuales!$H$44="Todos",datos_base!$J$9,0))*parametros_manuales!$B$97+parametros_manuales!$E$44*(datos_base!$J$3+IF(parametros_manuales!$H$44="Todos",datos_base!$J$10,0))*parametros_manuales!$B$102+parametros_manuales!$F$44*(datos_base!$J$4+IF(parametros_manuales!$H$44="Todos",datos_base!$J$11,0))*parametros_manuales!$B$107+parametros_manuales!$G$44*(datos_base!$J$5+IF(parametros_manuales!$H$44="Todos",datos_base!$J$12,0))*parametros_manuales!$B$112)*parametros_manuales!$I$44*parametros_manuales!$J$44</f>
        <v>22157.78732883</v>
      </c>
      <c r="C251" s="14" t="n">
        <f aca="false">(parametros_manuales!$D$44*(datos_base!$J$2+IF(parametros_manuales!$H$44="Todos",datos_base!$J$9,0))*parametros_manuales!$C$97+parametros_manuales!$E$44*(datos_base!$J$3+IF(parametros_manuales!$H$44="Todos",datos_base!$J$10,0))*parametros_manuales!$C$102+parametros_manuales!$F$44*(datos_base!$J$4+IF(parametros_manuales!$H$44="Todos",datos_base!$J$11,0))*parametros_manuales!$C$107+parametros_manuales!$G$44*(datos_base!$J$5+IF(parametros_manuales!$H$44="Todos",datos_base!$J$12,0))*parametros_manuales!$C$112)*parametros_manuales!$I$44*parametros_manuales!$J$44</f>
        <v>21449.74232036</v>
      </c>
      <c r="D251" s="14" t="n">
        <f aca="false">(parametros_manuales!$D$44*(datos_base!$J$2+IF(parametros_manuales!$H$44="Todos",datos_base!$J$9,0))*parametros_manuales!$D$97+parametros_manuales!$E$44*(datos_base!$J$3+IF(parametros_manuales!$H$44="Todos",datos_base!$J$10,0))*parametros_manuales!$D$102+parametros_manuales!$F$44*(datos_base!$J$4+IF(parametros_manuales!$H$44="Todos",datos_base!$J$11,0))*parametros_manuales!$D$107+parametros_manuales!$G$44*(datos_base!$J$5+IF(parametros_manuales!$H$44="Todos",datos_base!$J$12,0))*parametros_manuales!$D$112)*parametros_manuales!$I$44*parametros_manuales!$J$44</f>
        <v>20049.833463195</v>
      </c>
      <c r="E251" s="14" t="n">
        <f aca="false">(parametros_manuales!$D$44*(datos_base!$J$2+IF(parametros_manuales!$H$44="Todos",datos_base!$J$9,0))*parametros_manuales!$E$97+parametros_manuales!$E$44*(datos_base!$J$3+IF(parametros_manuales!$H$44="Todos",datos_base!$J$10,0))*parametros_manuales!$E$102+parametros_manuales!$F$44*(datos_base!$J$4+IF(parametros_manuales!$H$44="Todos",datos_base!$J$11,0))*parametros_manuales!$E$107+parametros_manuales!$G$44*(datos_base!$J$5+IF(parametros_manuales!$H$44="Todos",datos_base!$J$12,0))*parametros_manuales!$E$112)*parametros_manuales!$I$44*parametros_manuales!$J$44</f>
        <v>19172.867782495</v>
      </c>
      <c r="F251" s="14" t="n">
        <f aca="false">(parametros_manuales!$D$44*(datos_base!$J$2+IF(parametros_manuales!$H$44="Todos",datos_base!$J$9,0))*parametros_manuales!$F$97+parametros_manuales!$E$44*(datos_base!$J$3+IF(parametros_manuales!$H$44="Todos",datos_base!$J$10,0))*parametros_manuales!$F$102+parametros_manuales!$F$44*(datos_base!$J$4+IF(parametros_manuales!$H$44="Todos",datos_base!$J$11,0))*parametros_manuales!$F$107+parametros_manuales!$G$44*(datos_base!$J$5+IF(parametros_manuales!$H$44="Todos",datos_base!$J$12,0))*parametros_manuales!$F$112)*parametros_manuales!$I$44*parametros_manuales!$J$44</f>
        <v>17941.87959756</v>
      </c>
      <c r="G251" s="14" t="n">
        <f aca="false">(parametros_manuales!$D$44*(datos_base!$J$2+IF(parametros_manuales!$H$44="Todos",datos_base!$J$9,0))*parametros_manuales!$G$97+parametros_manuales!$E$44*(datos_base!$J$3+IF(parametros_manuales!$H$44="Todos",datos_base!$J$10,0))*parametros_manuales!$G$102+parametros_manuales!$F$44*(datos_base!$J$4+IF(parametros_manuales!$H$44="Todos",datos_base!$J$11,0))*parametros_manuales!$G$107+parametros_manuales!$G$44*(datos_base!$J$5+IF(parametros_manuales!$H$44="Todos",datos_base!$J$12,0))*parametros_manuales!$G$112)*parametros_manuales!$I$44*parametros_manuales!$J$44</f>
        <v>17587.857093325</v>
      </c>
      <c r="H251" s="14" t="n">
        <f aca="false">(parametros_manuales!$D$44*(datos_base!$J$2+IF(parametros_manuales!$H$44="Todos",datos_base!$J$9,0))*parametros_manuales!$H$97+parametros_manuales!$E$44*(datos_base!$J$3+IF(parametros_manuales!$H$44="Todos",datos_base!$J$10,0))*parametros_manuales!$H$102+parametros_manuales!$F$44*(datos_base!$J$4+IF(parametros_manuales!$H$44="Todos",datos_base!$J$11,0))*parametros_manuales!$H$107+parametros_manuales!$G$44*(datos_base!$J$5+IF(parametros_manuales!$H$44="Todos",datos_base!$J$12,0))*parametros_manuales!$H$112)*parametros_manuales!$I$44*parametros_manuales!$J$44</f>
        <v>18818.84527826</v>
      </c>
      <c r="I251" s="14" t="n">
        <f aca="false">(parametros_manuales!$D$44*(datos_base!$J$2+IF(parametros_manuales!$H$44="Todos",datos_base!$J$9,0))*parametros_manuales!$I$97+parametros_manuales!$E$44*(datos_base!$J$3+IF(parametros_manuales!$H$44="Todos",datos_base!$J$10,0))*parametros_manuales!$I$102+parametros_manuales!$F$44*(datos_base!$J$4+IF(parametros_manuales!$H$44="Todos",datos_base!$J$11,0))*parametros_manuales!$I$107+parametros_manuales!$G$44*(datos_base!$J$5+IF(parametros_manuales!$H$44="Todos",datos_base!$J$12,0))*parametros_manuales!$I$112)*parametros_manuales!$I$44*parametros_manuales!$J$44</f>
        <v>21449.74232036</v>
      </c>
      <c r="J251" s="14" t="n">
        <f aca="false">(parametros_manuales!$D$44*(datos_base!$J$2+IF(parametros_manuales!$H$44="Todos",datos_base!$J$9,0))*parametros_manuales!$J$97+parametros_manuales!$E$44*(datos_base!$J$3+IF(parametros_manuales!$H$44="Todos",datos_base!$J$10,0))*parametros_manuales!$J$102+parametros_manuales!$F$44*(datos_base!$J$4+IF(parametros_manuales!$H$44="Todos",datos_base!$J$11,0))*parametros_manuales!$J$107+parametros_manuales!$G$44*(datos_base!$J$5+IF(parametros_manuales!$H$44="Todos",datos_base!$J$12,0))*parametros_manuales!$J$112)*parametros_manuales!$I$44*parametros_manuales!$J$44</f>
        <v>21449.74232036</v>
      </c>
      <c r="K251" s="14" t="n">
        <f aca="false">(parametros_manuales!$D$44*(datos_base!$J$2+IF(parametros_manuales!$H$44="Todos",datos_base!$J$9,0))*parametros_manuales!$K$97+parametros_manuales!$E$44*(datos_base!$J$3+IF(parametros_manuales!$H$44="Todos",datos_base!$J$10,0))*parametros_manuales!$K$102+parametros_manuales!$F$44*(datos_base!$J$4+IF(parametros_manuales!$H$44="Todos",datos_base!$J$11,0))*parametros_manuales!$K$107+parametros_manuales!$G$44*(datos_base!$J$5+IF(parametros_manuales!$H$44="Todos",datos_base!$J$12,0))*parametros_manuales!$K$112)*parametros_manuales!$I$44*parametros_manuales!$J$44</f>
        <v>21803.764824595</v>
      </c>
      <c r="L251" s="14" t="n">
        <f aca="false">(parametros_manuales!$D$44*(datos_base!$J$2+IF(parametros_manuales!$H$44="Todos",datos_base!$J$9,0))*parametros_manuales!$L$97+parametros_manuales!$E$44*(datos_base!$J$3+IF(parametros_manuales!$H$44="Todos",datos_base!$J$10,0))*parametros_manuales!$L$102+parametros_manuales!$F$44*(datos_base!$J$4+IF(parametros_manuales!$H$44="Todos",datos_base!$J$11,0))*parametros_manuales!$L$107+parametros_manuales!$G$44*(datos_base!$J$5+IF(parametros_manuales!$H$44="Todos",datos_base!$J$12,0))*parametros_manuales!$L$112)*parametros_manuales!$I$44*parametros_manuales!$J$44</f>
        <v>22157.78732883</v>
      </c>
      <c r="M251" s="14" t="n">
        <f aca="false">(parametros_manuales!$D$44*(datos_base!$J$2+IF(parametros_manuales!$H$44="Todos",datos_base!$J$9,0))*parametros_manuales!$M$97+parametros_manuales!$E$44*(datos_base!$J$3+IF(parametros_manuales!$H$44="Todos",datos_base!$J$10,0))*parametros_manuales!$M$102+parametros_manuales!$F$44*(datos_base!$J$4+IF(parametros_manuales!$H$44="Todos",datos_base!$J$11,0))*parametros_manuales!$M$107+parametros_manuales!$G$44*(datos_base!$J$5+IF(parametros_manuales!$H$44="Todos",datos_base!$J$12,0))*parametros_manuales!$M$112)*parametros_manuales!$I$44*parametros_manuales!$J$44</f>
        <v>22157.78732883</v>
      </c>
      <c r="N251" s="14" t="n">
        <f aca="false">SUM(B251:M251)</f>
        <v>246197.636987</v>
      </c>
      <c r="O251" s="14" t="n">
        <f aca="false">MAX(B251:M251)</f>
        <v>22157.78732883</v>
      </c>
      <c r="P251" s="57" t="n">
        <f aca="false">O251/(parametros_manuales!$B$7)</f>
        <v>147.7185821922</v>
      </c>
      <c r="Q251" s="13" t="str">
        <f aca="false">IF(O251=0,"-",INDEX($B$225:$M$225,MATCH(O251,B251:M251,0)))</f>
        <v>Ene</v>
      </c>
    </row>
    <row r="252" customFormat="false" ht="14.25" hidden="false" customHeight="true" outlineLevel="0" collapsed="false"/>
    <row r="253" customFormat="false" ht="14.25" hidden="false" customHeight="true" outlineLevel="0" collapsed="false">
      <c r="A253" s="12" t="s">
        <v>277</v>
      </c>
      <c r="B253" s="12" t="s">
        <v>37</v>
      </c>
      <c r="C253" s="12" t="s">
        <v>38</v>
      </c>
      <c r="D253" s="12" t="s">
        <v>39</v>
      </c>
      <c r="E253" s="12" t="s">
        <v>40</v>
      </c>
      <c r="F253" s="12" t="s">
        <v>41</v>
      </c>
      <c r="G253" s="12" t="s">
        <v>42</v>
      </c>
      <c r="H253" s="12" t="s">
        <v>43</v>
      </c>
      <c r="I253" s="12" t="s">
        <v>44</v>
      </c>
      <c r="J253" s="12" t="s">
        <v>45</v>
      </c>
      <c r="K253" s="12" t="s">
        <v>46</v>
      </c>
      <c r="L253" s="12" t="s">
        <v>47</v>
      </c>
      <c r="M253" s="12" t="s">
        <v>48</v>
      </c>
      <c r="N253" s="12" t="s">
        <v>261</v>
      </c>
      <c r="O253" s="12" t="s">
        <v>266</v>
      </c>
      <c r="P253" s="12" t="s">
        <v>267</v>
      </c>
      <c r="Q253" s="12" t="s">
        <v>268</v>
      </c>
    </row>
    <row r="254" customFormat="false" ht="14.25" hidden="false" customHeight="true" outlineLevel="0" collapsed="false">
      <c r="A254" s="13" t="str">
        <f aca="false">parametros_manuales!$B$19</f>
        <v>Recepción de materia prima</v>
      </c>
      <c r="B254" s="14" t="n">
        <f aca="false">(parametros_manuales!$D$19*(datos_base!$K$2+IF(parametros_manuales!$H$19="Todos",datos_base!$K$9,0))*parametros_manuales!$B$97+parametros_manuales!$E$19*(datos_base!$K$3+IF(parametros_manuales!$H$19="Todos",datos_base!$K$10,0))*parametros_manuales!$B$102+parametros_manuales!$F$19*(datos_base!$K$4+IF(parametros_manuales!$H$19="Todos",datos_base!$K$11,0))*parametros_manuales!$B$107+parametros_manuales!$G$19*(datos_base!$K$5+IF(parametros_manuales!$H$19="Todos",datos_base!$K$12,0))*parametros_manuales!$B$112)*parametros_manuales!$I$19*parametros_manuales!$J$19</f>
        <v>25601.63079357</v>
      </c>
      <c r="C254" s="14" t="n">
        <f aca="false">(parametros_manuales!$D$19*(datos_base!$K$2+IF(parametros_manuales!$H$19="Todos",datos_base!$K$9,0))*parametros_manuales!$C$97+parametros_manuales!$E$19*(datos_base!$K$3+IF(parametros_manuales!$H$19="Todos",datos_base!$K$10,0))*parametros_manuales!$C$102+parametros_manuales!$F$19*(datos_base!$K$4+IF(parametros_manuales!$H$19="Todos",datos_base!$K$11,0))*parametros_manuales!$C$107+parametros_manuales!$G$19*(datos_base!$K$5+IF(parametros_manuales!$H$19="Todos",datos_base!$K$12,0))*parametros_manuales!$C$112)*parametros_manuales!$I$19*parametros_manuales!$J$19</f>
        <v>24783.21154114</v>
      </c>
      <c r="D254" s="14" t="n">
        <f aca="false">(parametros_manuales!$D$19*(datos_base!$K$2+IF(parametros_manuales!$H$19="Todos",datos_base!$K$9,0))*parametros_manuales!$D$97+parametros_manuales!$E$19*(datos_base!$K$3+IF(parametros_manuales!$H$19="Todos",datos_base!$K$10,0))*parametros_manuales!$D$102+parametros_manuales!$F$19*(datos_base!$K$4+IF(parametros_manuales!$H$19="Todos",datos_base!$K$11,0))*parametros_manuales!$D$107+parametros_manuales!$G$19*(datos_base!$K$5+IF(parametros_manuales!$H$19="Todos",datos_base!$K$12,0))*parametros_manuales!$D$112)*parametros_manuales!$I$19*parametros_manuales!$J$19</f>
        <v>23166.214776055</v>
      </c>
      <c r="E254" s="14" t="n">
        <f aca="false">(parametros_manuales!$D$19*(datos_base!$K$2+IF(parametros_manuales!$H$19="Todos",datos_base!$K$9,0))*parametros_manuales!$E$97+parametros_manuales!$E$19*(datos_base!$K$3+IF(parametros_manuales!$H$19="Todos",datos_base!$K$10,0))*parametros_manuales!$E$102+parametros_manuales!$F$19*(datos_base!$K$4+IF(parametros_manuales!$H$19="Todos",datos_base!$K$11,0))*parametros_manuales!$E$107+parametros_manuales!$G$19*(datos_base!$K$5+IF(parametros_manuales!$H$19="Todos",datos_base!$K$12,0))*parametros_manuales!$E$112)*parametros_manuales!$I$19*parametros_manuales!$J$19</f>
        <v>22153.111580405</v>
      </c>
      <c r="F254" s="14" t="n">
        <f aca="false">(parametros_manuales!$D$19*(datos_base!$K$2+IF(parametros_manuales!$H$19="Todos",datos_base!$K$9,0))*parametros_manuales!$F$97+parametros_manuales!$E$19*(datos_base!$K$3+IF(parametros_manuales!$H$19="Todos",datos_base!$K$10,0))*parametros_manuales!$F$102+parametros_manuales!$F$19*(datos_base!$K$4+IF(parametros_manuales!$H$19="Todos",datos_base!$K$11,0))*parametros_manuales!$F$107+parametros_manuales!$G$19*(datos_base!$K$5+IF(parametros_manuales!$H$19="Todos",datos_base!$K$12,0))*parametros_manuales!$F$112)*parametros_manuales!$I$19*parametros_manuales!$J$19</f>
        <v>20730.79875854</v>
      </c>
      <c r="G254" s="14" t="n">
        <f aca="false">(parametros_manuales!$D$19*(datos_base!$K$2+IF(parametros_manuales!$H$19="Todos",datos_base!$K$9,0))*parametros_manuales!$G$97+parametros_manuales!$E$19*(datos_base!$K$3+IF(parametros_manuales!$H$19="Todos",datos_base!$K$10,0))*parametros_manuales!$G$102+parametros_manuales!$F$19*(datos_base!$K$4+IF(parametros_manuales!$H$19="Todos",datos_base!$K$11,0))*parametros_manuales!$G$107+parametros_manuales!$G$19*(datos_base!$K$5+IF(parametros_manuales!$H$19="Todos",datos_base!$K$12,0))*parametros_manuales!$G$112)*parametros_manuales!$I$19*parametros_manuales!$J$19</f>
        <v>20321.589132325</v>
      </c>
      <c r="H254" s="14" t="n">
        <f aca="false">(parametros_manuales!$D$19*(datos_base!$K$2+IF(parametros_manuales!$H$19="Todos",datos_base!$K$9,0))*parametros_manuales!$H$97+parametros_manuales!$E$19*(datos_base!$K$3+IF(parametros_manuales!$H$19="Todos",datos_base!$K$10,0))*parametros_manuales!$H$102+parametros_manuales!$F$19*(datos_base!$K$4+IF(parametros_manuales!$H$19="Todos",datos_base!$K$11,0))*parametros_manuales!$H$107+parametros_manuales!$G$19*(datos_base!$K$5+IF(parametros_manuales!$H$19="Todos",datos_base!$K$12,0))*parametros_manuales!$H$112)*parametros_manuales!$I$19*parametros_manuales!$J$19</f>
        <v>21743.90195419</v>
      </c>
      <c r="I254" s="14" t="n">
        <f aca="false">(parametros_manuales!$D$19*(datos_base!$K$2+IF(parametros_manuales!$H$19="Todos",datos_base!$K$9,0))*parametros_manuales!$I$97+parametros_manuales!$E$19*(datos_base!$K$3+IF(parametros_manuales!$H$19="Todos",datos_base!$K$10,0))*parametros_manuales!$I$102+parametros_manuales!$F$19*(datos_base!$K$4+IF(parametros_manuales!$H$19="Todos",datos_base!$K$11,0))*parametros_manuales!$I$107+parametros_manuales!$G$19*(datos_base!$K$5+IF(parametros_manuales!$H$19="Todos",datos_base!$K$12,0))*parametros_manuales!$I$112)*parametros_manuales!$I$19*parametros_manuales!$J$19</f>
        <v>24783.21154114</v>
      </c>
      <c r="J254" s="14" t="n">
        <f aca="false">(parametros_manuales!$D$19*(datos_base!$K$2+IF(parametros_manuales!$H$19="Todos",datos_base!$K$9,0))*parametros_manuales!$J$97+parametros_manuales!$E$19*(datos_base!$K$3+IF(parametros_manuales!$H$19="Todos",datos_base!$K$10,0))*parametros_manuales!$J$102+parametros_manuales!$F$19*(datos_base!$K$4+IF(parametros_manuales!$H$19="Todos",datos_base!$K$11,0))*parametros_manuales!$J$107+parametros_manuales!$G$19*(datos_base!$K$5+IF(parametros_manuales!$H$19="Todos",datos_base!$K$12,0))*parametros_manuales!$J$112)*parametros_manuales!$I$19*parametros_manuales!$J$19</f>
        <v>24783.21154114</v>
      </c>
      <c r="K254" s="14" t="n">
        <f aca="false">(parametros_manuales!$D$19*(datos_base!$K$2+IF(parametros_manuales!$H$19="Todos",datos_base!$K$9,0))*parametros_manuales!$K$97+parametros_manuales!$E$19*(datos_base!$K$3+IF(parametros_manuales!$H$19="Todos",datos_base!$K$10,0))*parametros_manuales!$K$102+parametros_manuales!$F$19*(datos_base!$K$4+IF(parametros_manuales!$H$19="Todos",datos_base!$K$11,0))*parametros_manuales!$K$107+parametros_manuales!$G$19*(datos_base!$K$5+IF(parametros_manuales!$H$19="Todos",datos_base!$K$12,0))*parametros_manuales!$K$112)*parametros_manuales!$I$19*parametros_manuales!$J$19</f>
        <v>25192.421167355</v>
      </c>
      <c r="L254" s="14" t="n">
        <f aca="false">(parametros_manuales!$D$19*(datos_base!$K$2+IF(parametros_manuales!$H$19="Todos",datos_base!$K$9,0))*parametros_manuales!$L$97+parametros_manuales!$E$19*(datos_base!$K$3+IF(parametros_manuales!$H$19="Todos",datos_base!$K$10,0))*parametros_manuales!$L$102+parametros_manuales!$F$19*(datos_base!$K$4+IF(parametros_manuales!$H$19="Todos",datos_base!$K$11,0))*parametros_manuales!$L$107+parametros_manuales!$G$19*(datos_base!$K$5+IF(parametros_manuales!$H$19="Todos",datos_base!$K$12,0))*parametros_manuales!$L$112)*parametros_manuales!$I$19*parametros_manuales!$J$19</f>
        <v>25601.63079357</v>
      </c>
      <c r="M254" s="14" t="n">
        <f aca="false">(parametros_manuales!$D$19*(datos_base!$K$2+IF(parametros_manuales!$H$19="Todos",datos_base!$K$9,0))*parametros_manuales!$M$97+parametros_manuales!$E$19*(datos_base!$K$3+IF(parametros_manuales!$H$19="Todos",datos_base!$K$10,0))*parametros_manuales!$M$102+parametros_manuales!$F$19*(datos_base!$K$4+IF(parametros_manuales!$H$19="Todos",datos_base!$K$11,0))*parametros_manuales!$M$107+parametros_manuales!$G$19*(datos_base!$K$5+IF(parametros_manuales!$H$19="Todos",datos_base!$K$12,0))*parametros_manuales!$M$112)*parametros_manuales!$I$19*parametros_manuales!$J$19</f>
        <v>25601.63079357</v>
      </c>
      <c r="N254" s="14" t="n">
        <f aca="false">SUM(B254:M254)</f>
        <v>284462.564373</v>
      </c>
      <c r="O254" s="14" t="n">
        <f aca="false">MAX(B254:M254)</f>
        <v>25601.63079357</v>
      </c>
      <c r="P254" s="57" t="n">
        <f aca="false">O254/(parametros_manuales!$B$7)</f>
        <v>170.6775386238</v>
      </c>
      <c r="Q254" s="13" t="str">
        <f aca="false">IF(O254=0,"-",INDEX($B$253:$M$253,MATCH(O254,B254:M254,0)))</f>
        <v>Ene</v>
      </c>
    </row>
    <row r="255" customFormat="false" ht="14.25" hidden="false" customHeight="true" outlineLevel="0" collapsed="false">
      <c r="A255" s="13" t="str">
        <f aca="false">parametros_manuales!$B$20</f>
        <v>Corte de chapa — 1.er corte en franjas (guillotina 1, manuales + carros)</v>
      </c>
      <c r="B255" s="14" t="n">
        <f aca="false">(parametros_manuales!$D$20*(datos_base!$K$2+IF(parametros_manuales!$H$20="Todos",datos_base!$K$9,0))*parametros_manuales!$B$97+parametros_manuales!$E$20*(datos_base!$K$3+IF(parametros_manuales!$H$20="Todos",datos_base!$K$10,0))*parametros_manuales!$B$102+parametros_manuales!$F$20*(datos_base!$K$4+IF(parametros_manuales!$H$20="Todos",datos_base!$K$11,0))*parametros_manuales!$B$107+parametros_manuales!$G$20*(datos_base!$K$5+IF(parametros_manuales!$H$20="Todos",datos_base!$K$12,0))*parametros_manuales!$B$112)*parametros_manuales!$I$20*parametros_manuales!$J$20+parametros_manuales!$B$157</f>
        <v>27529.2188522717</v>
      </c>
      <c r="C255" s="14" t="n">
        <f aca="false">(parametros_manuales!$D$20*(datos_base!$K$2+IF(parametros_manuales!$H$20="Todos",datos_base!$K$9,0))*parametros_manuales!$C$97+parametros_manuales!$E$20*(datos_base!$K$3+IF(parametros_manuales!$H$20="Todos",datos_base!$K$10,0))*parametros_manuales!$C$102+parametros_manuales!$F$20*(datos_base!$K$4+IF(parametros_manuales!$H$20="Todos",datos_base!$K$11,0))*parametros_manuales!$C$107+parametros_manuales!$G$20*(datos_base!$K$5+IF(parametros_manuales!$H$20="Todos",datos_base!$K$12,0))*parametros_manuales!$C$112)*parametros_manuales!$I$20*parametros_manuales!$J$20+parametros_manuales!$C$157</f>
        <v>26484.0245341121</v>
      </c>
      <c r="D255" s="14" t="n">
        <f aca="false">(parametros_manuales!$D$20*(datos_base!$K$2+IF(parametros_manuales!$H$20="Todos",datos_base!$K$9,0))*parametros_manuales!$D$97+parametros_manuales!$E$20*(datos_base!$K$3+IF(parametros_manuales!$H$20="Todos",datos_base!$K$10,0))*parametros_manuales!$D$102+parametros_manuales!$F$20*(datos_base!$K$4+IF(parametros_manuales!$H$20="Todos",datos_base!$K$11,0))*parametros_manuales!$D$107+parametros_manuales!$G$20*(datos_base!$K$5+IF(parametros_manuales!$H$20="Todos",datos_base!$K$12,0))*parametros_manuales!$D$112)*parametros_manuales!$I$20*parametros_manuales!$J$20+parametros_manuales!$D$157</f>
        <v>25207.1903676216</v>
      </c>
      <c r="E255" s="14" t="n">
        <f aca="false">(parametros_manuales!$D$20*(datos_base!$K$2+IF(parametros_manuales!$H$20="Todos",datos_base!$K$9,0))*parametros_manuales!$E$97+parametros_manuales!$E$20*(datos_base!$K$3+IF(parametros_manuales!$H$20="Todos",datos_base!$K$10,0))*parametros_manuales!$E$102+parametros_manuales!$F$20*(datos_base!$K$4+IF(parametros_manuales!$H$20="Todos",datos_base!$K$11,0))*parametros_manuales!$E$107+parametros_manuales!$G$20*(datos_base!$K$5+IF(parametros_manuales!$H$20="Todos",datos_base!$K$12,0))*parametros_manuales!$E$112)*parametros_manuales!$I$20*parametros_manuales!$J$20+parametros_manuales!$E$157</f>
        <v>24194.0871719716</v>
      </c>
      <c r="F255" s="14" t="n">
        <f aca="false">(parametros_manuales!$D$20*(datos_base!$K$2+IF(parametros_manuales!$H$20="Todos",datos_base!$K$9,0))*parametros_manuales!$F$97+parametros_manuales!$E$20*(datos_base!$K$3+IF(parametros_manuales!$H$20="Todos",datos_base!$K$10,0))*parametros_manuales!$F$102+parametros_manuales!$F$20*(datos_base!$K$4+IF(parametros_manuales!$H$20="Todos",datos_base!$K$11,0))*parametros_manuales!$F$107+parametros_manuales!$G$20*(datos_base!$K$5+IF(parametros_manuales!$H$20="Todos",datos_base!$K$12,0))*parametros_manuales!$F$112)*parametros_manuales!$I$20*parametros_manuales!$J$20+parametros_manuales!$F$157</f>
        <v>22771.7743501066</v>
      </c>
      <c r="G255" s="14" t="n">
        <f aca="false">(parametros_manuales!$D$20*(datos_base!$K$2+IF(parametros_manuales!$H$20="Todos",datos_base!$K$9,0))*parametros_manuales!$G$97+parametros_manuales!$E$20*(datos_base!$K$3+IF(parametros_manuales!$H$20="Todos",datos_base!$K$10,0))*parametros_manuales!$G$102+parametros_manuales!$F$20*(datos_base!$K$4+IF(parametros_manuales!$H$20="Todos",datos_base!$K$11,0))*parametros_manuales!$G$107+parametros_manuales!$G$20*(datos_base!$K$5+IF(parametros_manuales!$H$20="Todos",datos_base!$K$12,0))*parametros_manuales!$G$112)*parametros_manuales!$I$20*parametros_manuales!$J$20+parametros_manuales!$G$157</f>
        <v>22135.7896581619</v>
      </c>
      <c r="H255" s="14" t="n">
        <f aca="false">(parametros_manuales!$D$20*(datos_base!$K$2+IF(parametros_manuales!$H$20="Todos",datos_base!$K$9,0))*parametros_manuales!$H$97+parametros_manuales!$E$20*(datos_base!$K$3+IF(parametros_manuales!$H$20="Todos",datos_base!$K$10,0))*parametros_manuales!$H$102+parametros_manuales!$F$20*(datos_base!$K$4+IF(parametros_manuales!$H$20="Todos",datos_base!$K$11,0))*parametros_manuales!$H$107+parametros_manuales!$G$20*(datos_base!$K$5+IF(parametros_manuales!$H$20="Todos",datos_base!$K$12,0))*parametros_manuales!$H$112)*parametros_manuales!$I$20*parametros_manuales!$J$20+parametros_manuales!$H$157</f>
        <v>23784.8775457566</v>
      </c>
      <c r="I255" s="14" t="n">
        <f aca="false">(parametros_manuales!$D$20*(datos_base!$K$2+IF(parametros_manuales!$H$20="Todos",datos_base!$K$9,0))*parametros_manuales!$I$97+parametros_manuales!$E$20*(datos_base!$K$3+IF(parametros_manuales!$H$20="Todos",datos_base!$K$10,0))*parametros_manuales!$I$102+parametros_manuales!$F$20*(datos_base!$K$4+IF(parametros_manuales!$H$20="Todos",datos_base!$K$11,0))*parametros_manuales!$I$107+parametros_manuales!$G$20*(datos_base!$K$5+IF(parametros_manuales!$H$20="Todos",datos_base!$K$12,0))*parametros_manuales!$I$112)*parametros_manuales!$I$20*parametros_manuales!$J$20+parametros_manuales!$I$157</f>
        <v>26824.1871327065</v>
      </c>
      <c r="J255" s="14" t="n">
        <f aca="false">(parametros_manuales!$D$20*(datos_base!$K$2+IF(parametros_manuales!$H$20="Todos",datos_base!$K$9,0))*parametros_manuales!$J$97+parametros_manuales!$E$20*(datos_base!$K$3+IF(parametros_manuales!$H$20="Todos",datos_base!$K$10,0))*parametros_manuales!$J$102+parametros_manuales!$F$20*(datos_base!$K$4+IF(parametros_manuales!$H$20="Todos",datos_base!$K$11,0))*parametros_manuales!$J$107+parametros_manuales!$G$20*(datos_base!$K$5+IF(parametros_manuales!$H$20="Todos",datos_base!$K$12,0))*parametros_manuales!$J$112)*parametros_manuales!$I$20*parametros_manuales!$J$20+parametros_manuales!$J$157</f>
        <v>26710.7995998417</v>
      </c>
      <c r="K255" s="14" t="n">
        <f aca="false">(parametros_manuales!$D$20*(datos_base!$K$2+IF(parametros_manuales!$H$20="Todos",datos_base!$K$9,0))*parametros_manuales!$K$97+parametros_manuales!$E$20*(datos_base!$K$3+IF(parametros_manuales!$H$20="Todos",datos_base!$K$10,0))*parametros_manuales!$K$102+parametros_manuales!$F$20*(datos_base!$K$4+IF(parametros_manuales!$H$20="Todos",datos_base!$K$11,0))*parametros_manuales!$K$107+parametros_manuales!$G$20*(datos_base!$K$5+IF(parametros_manuales!$H$20="Todos",datos_base!$K$12,0))*parametros_manuales!$K$112)*parametros_manuales!$I$20*parametros_manuales!$J$20+parametros_manuales!$K$157</f>
        <v>26893.2341603271</v>
      </c>
      <c r="L255" s="14" t="n">
        <f aca="false">(parametros_manuales!$D$20*(datos_base!$K$2+IF(parametros_manuales!$H$20="Todos",datos_base!$K$9,0))*parametros_manuales!$L$97+parametros_manuales!$E$20*(datos_base!$K$3+IF(parametros_manuales!$H$20="Todos",datos_base!$K$10,0))*parametros_manuales!$L$102+parametros_manuales!$F$20*(datos_base!$K$4+IF(parametros_manuales!$H$20="Todos",datos_base!$K$11,0))*parametros_manuales!$L$107+parametros_manuales!$G$20*(datos_base!$K$5+IF(parametros_manuales!$H$20="Todos",datos_base!$K$12,0))*parametros_manuales!$L$112)*parametros_manuales!$I$20*parametros_manuales!$J$20+parametros_manuales!$L$157</f>
        <v>27189.0562536773</v>
      </c>
      <c r="M255" s="14" t="n">
        <f aca="false">(parametros_manuales!$D$20*(datos_base!$K$2+IF(parametros_manuales!$H$20="Todos",datos_base!$K$9,0))*parametros_manuales!$M$97+parametros_manuales!$E$20*(datos_base!$K$3+IF(parametros_manuales!$H$20="Todos",datos_base!$K$10,0))*parametros_manuales!$M$102+parametros_manuales!$F$20*(datos_base!$K$4+IF(parametros_manuales!$H$20="Todos",datos_base!$K$11,0))*parametros_manuales!$M$107+parametros_manuales!$G$20*(datos_base!$K$5+IF(parametros_manuales!$H$20="Todos",datos_base!$K$12,0))*parametros_manuales!$M$112)*parametros_manuales!$I$20*parametros_manuales!$J$20+parametros_manuales!$M$157</f>
        <v>27415.8313194069</v>
      </c>
      <c r="N255" s="14" t="n">
        <f aca="false">SUM(B255:M255)</f>
        <v>307140.070945962</v>
      </c>
      <c r="O255" s="14" t="n">
        <f aca="false">MAX(B255:M255)</f>
        <v>27529.2188522717</v>
      </c>
      <c r="P255" s="57" t="n">
        <f aca="false">O255/(parametros_manuales!$B$7)</f>
        <v>183.528125681812</v>
      </c>
      <c r="Q255" s="13" t="str">
        <f aca="false">IF(O255=0,"-",INDEX($B$253:$M$253,MATCH(O255,B255:M255,0)))</f>
        <v>Ene</v>
      </c>
    </row>
    <row r="256" customFormat="false" ht="14.25" hidden="false" customHeight="true" outlineLevel="0" collapsed="false">
      <c r="A256" s="13" t="str">
        <f aca="false">parametros_manuales!$B$21</f>
        <v>Corte de chapa — 2.º corte en piezas (guillotina 2, manuales + carros)</v>
      </c>
      <c r="B256" s="14" t="n">
        <f aca="false">(parametros_manuales!$D$21*(datos_base!$K$2+IF(parametros_manuales!$H$21="Todos",datos_base!$K$9,0))*parametros_manuales!$B$97+parametros_manuales!$E$21*(datos_base!$K$3+IF(parametros_manuales!$H$21="Todos",datos_base!$K$10,0))*parametros_manuales!$B$102+parametros_manuales!$F$21*(datos_base!$K$4+IF(parametros_manuales!$H$21="Todos",datos_base!$K$11,0))*parametros_manuales!$B$107+parametros_manuales!$G$21*(datos_base!$K$5+IF(parametros_manuales!$H$21="Todos",datos_base!$K$12,0))*parametros_manuales!$B$112)*parametros_manuales!$I$21*parametros_manuales!$J$21+parametros_manuales!$B$169</f>
        <v>28104.2751659764</v>
      </c>
      <c r="C256" s="14" t="n">
        <f aca="false">(parametros_manuales!$D$21*(datos_base!$K$2+IF(parametros_manuales!$H$21="Todos",datos_base!$K$9,0))*parametros_manuales!$C$97+parametros_manuales!$E$21*(datos_base!$K$3+IF(parametros_manuales!$H$21="Todos",datos_base!$K$10,0))*parametros_manuales!$C$102+parametros_manuales!$F$21*(datos_base!$K$4+IF(parametros_manuales!$H$21="Todos",datos_base!$K$11,0))*parametros_manuales!$C$107+parametros_manuales!$G$21*(datos_base!$K$5+IF(parametros_manuales!$H$21="Todos",datos_base!$K$12,0))*parametros_manuales!$C$112)*parametros_manuales!$I$21*parametros_manuales!$J$21+parametros_manuales!$C$169</f>
        <v>26991.4271638516</v>
      </c>
      <c r="D256" s="14" t="n">
        <f aca="false">(parametros_manuales!$D$21*(datos_base!$K$2+IF(parametros_manuales!$H$21="Todos",datos_base!$K$9,0))*parametros_manuales!$D$97+parametros_manuales!$E$21*(datos_base!$K$3+IF(parametros_manuales!$H$21="Todos",datos_base!$K$10,0))*parametros_manuales!$D$102+parametros_manuales!$F$21*(datos_base!$K$4+IF(parametros_manuales!$H$21="Todos",datos_base!$K$11,0))*parametros_manuales!$D$107+parametros_manuales!$G$21*(datos_base!$K$5+IF(parametros_manuales!$H$21="Todos",datos_base!$K$12,0))*parametros_manuales!$D$112)*parametros_manuales!$I$21*parametros_manuales!$J$21+parametros_manuales!$D$169</f>
        <v>25816.0735233089</v>
      </c>
      <c r="E256" s="14" t="n">
        <f aca="false">(parametros_manuales!$D$21*(datos_base!$K$2+IF(parametros_manuales!$H$21="Todos",datos_base!$K$9,0))*parametros_manuales!$E$97+parametros_manuales!$E$21*(datos_base!$K$3+IF(parametros_manuales!$H$21="Todos",datos_base!$K$10,0))*parametros_manuales!$E$102+parametros_manuales!$F$21*(datos_base!$K$4+IF(parametros_manuales!$H$21="Todos",datos_base!$K$11,0))*parametros_manuales!$E$107+parametros_manuales!$G$21*(datos_base!$K$5+IF(parametros_manuales!$H$21="Todos",datos_base!$K$12,0))*parametros_manuales!$E$112)*parametros_manuales!$I$21*parametros_manuales!$J$21+parametros_manuales!$E$169</f>
        <v>24802.9703276589</v>
      </c>
      <c r="F256" s="14" t="n">
        <f aca="false">(parametros_manuales!$D$21*(datos_base!$K$2+IF(parametros_manuales!$H$21="Todos",datos_base!$K$9,0))*parametros_manuales!$F$97+parametros_manuales!$E$21*(datos_base!$K$3+IF(parametros_manuales!$H$21="Todos",datos_base!$K$10,0))*parametros_manuales!$F$102+parametros_manuales!$F$21*(datos_base!$K$4+IF(parametros_manuales!$H$21="Todos",datos_base!$K$11,0))*parametros_manuales!$F$107+parametros_manuales!$G$21*(datos_base!$K$5+IF(parametros_manuales!$H$21="Todos",datos_base!$K$12,0))*parametros_manuales!$F$112)*parametros_manuales!$I$21*parametros_manuales!$J$21+parametros_manuales!$F$169</f>
        <v>23380.6575057939</v>
      </c>
      <c r="G256" s="14" t="n">
        <f aca="false">(parametros_manuales!$D$21*(datos_base!$K$2+IF(parametros_manuales!$H$21="Todos",datos_base!$K$9,0))*parametros_manuales!$G$97+parametros_manuales!$E$21*(datos_base!$K$3+IF(parametros_manuales!$H$21="Todos",datos_base!$K$10,0))*parametros_manuales!$G$102+parametros_manuales!$F$21*(datos_base!$K$4+IF(parametros_manuales!$H$21="Todos",datos_base!$K$11,0))*parametros_manuales!$G$107+parametros_manuales!$G$21*(datos_base!$K$5+IF(parametros_manuales!$H$21="Todos",datos_base!$K$12,0))*parametros_manuales!$G$112)*parametros_manuales!$I$21*parametros_manuales!$J$21+parametros_manuales!$G$169</f>
        <v>22677.019129884</v>
      </c>
      <c r="H256" s="14" t="n">
        <f aca="false">(parametros_manuales!$D$21*(datos_base!$K$2+IF(parametros_manuales!$H$21="Todos",datos_base!$K$9,0))*parametros_manuales!$H$97+parametros_manuales!$E$21*(datos_base!$K$3+IF(parametros_manuales!$H$21="Todos",datos_base!$K$10,0))*parametros_manuales!$H$102+parametros_manuales!$F$21*(datos_base!$K$4+IF(parametros_manuales!$H$21="Todos",datos_base!$K$11,0))*parametros_manuales!$H$107+parametros_manuales!$G$21*(datos_base!$K$5+IF(parametros_manuales!$H$21="Todos",datos_base!$K$12,0))*parametros_manuales!$H$112)*parametros_manuales!$I$21*parametros_manuales!$J$21+parametros_manuales!$H$169</f>
        <v>24393.7607014439</v>
      </c>
      <c r="I256" s="14" t="n">
        <f aca="false">(parametros_manuales!$D$21*(datos_base!$K$2+IF(parametros_manuales!$H$21="Todos",datos_base!$K$9,0))*parametros_manuales!$I$97+parametros_manuales!$E$21*(datos_base!$K$3+IF(parametros_manuales!$H$21="Todos",datos_base!$K$10,0))*parametros_manuales!$I$102+parametros_manuales!$F$21*(datos_base!$K$4+IF(parametros_manuales!$H$21="Todos",datos_base!$K$11,0))*parametros_manuales!$I$107+parametros_manuales!$G$21*(datos_base!$K$5+IF(parametros_manuales!$H$21="Todos",datos_base!$K$12,0))*parametros_manuales!$I$112)*parametros_manuales!$I$21*parametros_manuales!$J$21+parametros_manuales!$I$169</f>
        <v>27433.0702883939</v>
      </c>
      <c r="J256" s="14" t="n">
        <f aca="false">(parametros_manuales!$D$21*(datos_base!$K$2+IF(parametros_manuales!$H$21="Todos",datos_base!$K$9,0))*parametros_manuales!$J$97+parametros_manuales!$E$21*(datos_base!$K$3+IF(parametros_manuales!$H$21="Todos",datos_base!$K$10,0))*parametros_manuales!$J$102+parametros_manuales!$F$21*(datos_base!$K$4+IF(parametros_manuales!$H$21="Todos",datos_base!$K$11,0))*parametros_manuales!$J$107+parametros_manuales!$G$21*(datos_base!$K$5+IF(parametros_manuales!$H$21="Todos",datos_base!$K$12,0))*parametros_manuales!$J$112)*parametros_manuales!$I$21*parametros_manuales!$J$21+parametros_manuales!$J$169</f>
        <v>27285.8559135465</v>
      </c>
      <c r="K256" s="14" t="n">
        <f aca="false">(parametros_manuales!$D$21*(datos_base!$K$2+IF(parametros_manuales!$H$21="Todos",datos_base!$K$9,0))*parametros_manuales!$K$97+parametros_manuales!$E$21*(datos_base!$K$3+IF(parametros_manuales!$H$21="Todos",datos_base!$K$10,0))*parametros_manuales!$K$102+parametros_manuales!$F$21*(datos_base!$K$4+IF(parametros_manuales!$H$21="Todos",datos_base!$K$11,0))*parametros_manuales!$K$107+parametros_manuales!$G$21*(datos_base!$K$5+IF(parametros_manuales!$H$21="Todos",datos_base!$K$12,0))*parametros_manuales!$K$112)*parametros_manuales!$I$21*parametros_manuales!$J$21+parametros_manuales!$K$169</f>
        <v>27400.6367900666</v>
      </c>
      <c r="L256" s="14" t="n">
        <f aca="false">(parametros_manuales!$D$21*(datos_base!$K$2+IF(parametros_manuales!$H$21="Todos",datos_base!$K$9,0))*parametros_manuales!$L$97+parametros_manuales!$E$21*(datos_base!$K$3+IF(parametros_manuales!$H$21="Todos",datos_base!$K$10,0))*parametros_manuales!$L$102+parametros_manuales!$F$21*(datos_base!$K$4+IF(parametros_manuales!$H$21="Todos",datos_base!$K$11,0))*parametros_manuales!$L$107+parametros_manuales!$G$21*(datos_base!$K$5+IF(parametros_manuales!$H$21="Todos",datos_base!$K$12,0))*parametros_manuales!$L$112)*parametros_manuales!$I$21*parametros_manuales!$J$21+parametros_manuales!$L$169</f>
        <v>27662.6320414341</v>
      </c>
      <c r="M256" s="14" t="n">
        <f aca="false">(parametros_manuales!$D$21*(datos_base!$K$2+IF(parametros_manuales!$H$21="Todos",datos_base!$K$9,0))*parametros_manuales!$M$97+parametros_manuales!$E$21*(datos_base!$K$3+IF(parametros_manuales!$H$21="Todos",datos_base!$K$10,0))*parametros_manuales!$M$102+parametros_manuales!$F$21*(datos_base!$K$4+IF(parametros_manuales!$H$21="Todos",datos_base!$K$11,0))*parametros_manuales!$M$107+parametros_manuales!$G$21*(datos_base!$K$5+IF(parametros_manuales!$H$21="Todos",datos_base!$K$12,0))*parametros_manuales!$M$112)*parametros_manuales!$I$21*parametros_manuales!$J$21+parametros_manuales!$M$169</f>
        <v>27957.060791129</v>
      </c>
      <c r="N256" s="14" t="n">
        <f aca="false">SUM(B256:M256)</f>
        <v>313905.439342488</v>
      </c>
      <c r="O256" s="14" t="n">
        <f aca="false">MAX(B256:M256)</f>
        <v>28104.2751659764</v>
      </c>
      <c r="P256" s="57" t="n">
        <f aca="false">O256/(parametros_manuales!$B$7)</f>
        <v>187.361834439843</v>
      </c>
      <c r="Q256" s="13" t="str">
        <f aca="false">IF(O256=0,"-",INDEX($B$253:$M$253,MATCH(O256,B256:M256,0)))</f>
        <v>Ene</v>
      </c>
    </row>
    <row r="257" customFormat="false" ht="14.25" hidden="false" customHeight="true" outlineLevel="0" collapsed="false">
      <c r="A257" s="13" t="str">
        <f aca="false">parametros_manuales!$B$22</f>
        <v>Corte de disco y embutido (cúpula y fondo)</v>
      </c>
      <c r="B257" s="14" t="n">
        <f aca="false">(parametros_manuales!$D$22*(datos_base!$K$2+IF(parametros_manuales!$H$22="Todos",datos_base!$K$9,0))*parametros_manuales!$B$97+parametros_manuales!$E$22*(datos_base!$K$3+IF(parametros_manuales!$H$22="Todos",datos_base!$K$10,0))*parametros_manuales!$B$102+parametros_manuales!$F$22*(datos_base!$K$4+IF(parametros_manuales!$H$22="Todos",datos_base!$K$11,0))*parametros_manuales!$B$107+parametros_manuales!$G$22*(datos_base!$K$5+IF(parametros_manuales!$H$22="Todos",datos_base!$K$12,0))*parametros_manuales!$B$112)*parametros_manuales!$I$22*parametros_manuales!$J$22</f>
        <v>51203.26158714</v>
      </c>
      <c r="C257" s="14" t="n">
        <f aca="false">(parametros_manuales!$D$22*(datos_base!$K$2+IF(parametros_manuales!$H$22="Todos",datos_base!$K$9,0))*parametros_manuales!$C$97+parametros_manuales!$E$22*(datos_base!$K$3+IF(parametros_manuales!$H$22="Todos",datos_base!$K$10,0))*parametros_manuales!$C$102+parametros_manuales!$F$22*(datos_base!$K$4+IF(parametros_manuales!$H$22="Todos",datos_base!$K$11,0))*parametros_manuales!$C$107+parametros_manuales!$G$22*(datos_base!$K$5+IF(parametros_manuales!$H$22="Todos",datos_base!$K$12,0))*parametros_manuales!$C$112)*parametros_manuales!$I$22*parametros_manuales!$J$22</f>
        <v>49566.42308228</v>
      </c>
      <c r="D257" s="14" t="n">
        <f aca="false">(parametros_manuales!$D$22*(datos_base!$K$2+IF(parametros_manuales!$H$22="Todos",datos_base!$K$9,0))*parametros_manuales!$D$97+parametros_manuales!$E$22*(datos_base!$K$3+IF(parametros_manuales!$H$22="Todos",datos_base!$K$10,0))*parametros_manuales!$D$102+parametros_manuales!$F$22*(datos_base!$K$4+IF(parametros_manuales!$H$22="Todos",datos_base!$K$11,0))*parametros_manuales!$D$107+parametros_manuales!$G$22*(datos_base!$K$5+IF(parametros_manuales!$H$22="Todos",datos_base!$K$12,0))*parametros_manuales!$D$112)*parametros_manuales!$I$22*parametros_manuales!$J$22</f>
        <v>46332.42955211</v>
      </c>
      <c r="E257" s="14" t="n">
        <f aca="false">(parametros_manuales!$D$22*(datos_base!$K$2+IF(parametros_manuales!$H$22="Todos",datos_base!$K$9,0))*parametros_manuales!$E$97+parametros_manuales!$E$22*(datos_base!$K$3+IF(parametros_manuales!$H$22="Todos",datos_base!$K$10,0))*parametros_manuales!$E$102+parametros_manuales!$F$22*(datos_base!$K$4+IF(parametros_manuales!$H$22="Todos",datos_base!$K$11,0))*parametros_manuales!$E$107+parametros_manuales!$G$22*(datos_base!$K$5+IF(parametros_manuales!$H$22="Todos",datos_base!$K$12,0))*parametros_manuales!$E$112)*parametros_manuales!$I$22*parametros_manuales!$J$22</f>
        <v>44306.22316081</v>
      </c>
      <c r="F257" s="14" t="n">
        <f aca="false">(parametros_manuales!$D$22*(datos_base!$K$2+IF(parametros_manuales!$H$22="Todos",datos_base!$K$9,0))*parametros_manuales!$F$97+parametros_manuales!$E$22*(datos_base!$K$3+IF(parametros_manuales!$H$22="Todos",datos_base!$K$10,0))*parametros_manuales!$F$102+parametros_manuales!$F$22*(datos_base!$K$4+IF(parametros_manuales!$H$22="Todos",datos_base!$K$11,0))*parametros_manuales!$F$107+parametros_manuales!$G$22*(datos_base!$K$5+IF(parametros_manuales!$H$22="Todos",datos_base!$K$12,0))*parametros_manuales!$F$112)*parametros_manuales!$I$22*parametros_manuales!$J$22</f>
        <v>41461.59751708</v>
      </c>
      <c r="G257" s="14" t="n">
        <f aca="false">(parametros_manuales!$D$22*(datos_base!$K$2+IF(parametros_manuales!$H$22="Todos",datos_base!$K$9,0))*parametros_manuales!$G$97+parametros_manuales!$E$22*(datos_base!$K$3+IF(parametros_manuales!$H$22="Todos",datos_base!$K$10,0))*parametros_manuales!$G$102+parametros_manuales!$F$22*(datos_base!$K$4+IF(parametros_manuales!$H$22="Todos",datos_base!$K$11,0))*parametros_manuales!$G$107+parametros_manuales!$G$22*(datos_base!$K$5+IF(parametros_manuales!$H$22="Todos",datos_base!$K$12,0))*parametros_manuales!$G$112)*parametros_manuales!$I$22*parametros_manuales!$J$22</f>
        <v>40643.17826465</v>
      </c>
      <c r="H257" s="14" t="n">
        <f aca="false">(parametros_manuales!$D$22*(datos_base!$K$2+IF(parametros_manuales!$H$22="Todos",datos_base!$K$9,0))*parametros_manuales!$H$97+parametros_manuales!$E$22*(datos_base!$K$3+IF(parametros_manuales!$H$22="Todos",datos_base!$K$10,0))*parametros_manuales!$H$102+parametros_manuales!$F$22*(datos_base!$K$4+IF(parametros_manuales!$H$22="Todos",datos_base!$K$11,0))*parametros_manuales!$H$107+parametros_manuales!$G$22*(datos_base!$K$5+IF(parametros_manuales!$H$22="Todos",datos_base!$K$12,0))*parametros_manuales!$H$112)*parametros_manuales!$I$22*parametros_manuales!$J$22</f>
        <v>43487.80390838</v>
      </c>
      <c r="I257" s="14" t="n">
        <f aca="false">(parametros_manuales!$D$22*(datos_base!$K$2+IF(parametros_manuales!$H$22="Todos",datos_base!$K$9,0))*parametros_manuales!$I$97+parametros_manuales!$E$22*(datos_base!$K$3+IF(parametros_manuales!$H$22="Todos",datos_base!$K$10,0))*parametros_manuales!$I$102+parametros_manuales!$F$22*(datos_base!$K$4+IF(parametros_manuales!$H$22="Todos",datos_base!$K$11,0))*parametros_manuales!$I$107+parametros_manuales!$G$22*(datos_base!$K$5+IF(parametros_manuales!$H$22="Todos",datos_base!$K$12,0))*parametros_manuales!$I$112)*parametros_manuales!$I$22*parametros_manuales!$J$22</f>
        <v>49566.42308228</v>
      </c>
      <c r="J257" s="14" t="n">
        <f aca="false">(parametros_manuales!$D$22*(datos_base!$K$2+IF(parametros_manuales!$H$22="Todos",datos_base!$K$9,0))*parametros_manuales!$J$97+parametros_manuales!$E$22*(datos_base!$K$3+IF(parametros_manuales!$H$22="Todos",datos_base!$K$10,0))*parametros_manuales!$J$102+parametros_manuales!$F$22*(datos_base!$K$4+IF(parametros_manuales!$H$22="Todos",datos_base!$K$11,0))*parametros_manuales!$J$107+parametros_manuales!$G$22*(datos_base!$K$5+IF(parametros_manuales!$H$22="Todos",datos_base!$K$12,0))*parametros_manuales!$J$112)*parametros_manuales!$I$22*parametros_manuales!$J$22</f>
        <v>49566.42308228</v>
      </c>
      <c r="K257" s="14" t="n">
        <f aca="false">(parametros_manuales!$D$22*(datos_base!$K$2+IF(parametros_manuales!$H$22="Todos",datos_base!$K$9,0))*parametros_manuales!$K$97+parametros_manuales!$E$22*(datos_base!$K$3+IF(parametros_manuales!$H$22="Todos",datos_base!$K$10,0))*parametros_manuales!$K$102+parametros_manuales!$F$22*(datos_base!$K$4+IF(parametros_manuales!$H$22="Todos",datos_base!$K$11,0))*parametros_manuales!$K$107+parametros_manuales!$G$22*(datos_base!$K$5+IF(parametros_manuales!$H$22="Todos",datos_base!$K$12,0))*parametros_manuales!$K$112)*parametros_manuales!$I$22*parametros_manuales!$J$22</f>
        <v>50384.84233471</v>
      </c>
      <c r="L257" s="14" t="n">
        <f aca="false">(parametros_manuales!$D$22*(datos_base!$K$2+IF(parametros_manuales!$H$22="Todos",datos_base!$K$9,0))*parametros_manuales!$L$97+parametros_manuales!$E$22*(datos_base!$K$3+IF(parametros_manuales!$H$22="Todos",datos_base!$K$10,0))*parametros_manuales!$L$102+parametros_manuales!$F$22*(datos_base!$K$4+IF(parametros_manuales!$H$22="Todos",datos_base!$K$11,0))*parametros_manuales!$L$107+parametros_manuales!$G$22*(datos_base!$K$5+IF(parametros_manuales!$H$22="Todos",datos_base!$K$12,0))*parametros_manuales!$L$112)*parametros_manuales!$I$22*parametros_manuales!$J$22</f>
        <v>51203.26158714</v>
      </c>
      <c r="M257" s="14" t="n">
        <f aca="false">(parametros_manuales!$D$22*(datos_base!$K$2+IF(parametros_manuales!$H$22="Todos",datos_base!$K$9,0))*parametros_manuales!$M$97+parametros_manuales!$E$22*(datos_base!$K$3+IF(parametros_manuales!$H$22="Todos",datos_base!$K$10,0))*parametros_manuales!$M$102+parametros_manuales!$F$22*(datos_base!$K$4+IF(parametros_manuales!$H$22="Todos",datos_base!$K$11,0))*parametros_manuales!$M$107+parametros_manuales!$G$22*(datos_base!$K$5+IF(parametros_manuales!$H$22="Todos",datos_base!$K$12,0))*parametros_manuales!$M$112)*parametros_manuales!$I$22*parametros_manuales!$J$22</f>
        <v>51203.26158714</v>
      </c>
      <c r="N257" s="14" t="n">
        <f aca="false">SUM(B257:M257)</f>
        <v>568925.128746</v>
      </c>
      <c r="O257" s="14" t="n">
        <f aca="false">MAX(B257:M257)</f>
        <v>51203.26158714</v>
      </c>
      <c r="P257" s="57" t="n">
        <f aca="false">O257/(parametros_manuales!$B$7)</f>
        <v>341.3550772476</v>
      </c>
      <c r="Q257" s="13" t="str">
        <f aca="false">IF(O257=0,"-",INDEX($B$253:$M$253,MATCH(O257,B257:M257,0)))</f>
        <v>Ene</v>
      </c>
    </row>
    <row r="258" customFormat="false" ht="14.25" hidden="false" customHeight="true" outlineLevel="0" collapsed="false">
      <c r="A258" s="13" t="str">
        <f aca="false">parametros_manuales!$B$23</f>
        <v>Preparación de cuello</v>
      </c>
      <c r="B258" s="14" t="n">
        <f aca="false">(parametros_manuales!$D$23*(datos_base!$K$2+IF(parametros_manuales!$H$23="Todos",datos_base!$K$9,0))*parametros_manuales!$B$97+parametros_manuales!$E$23*(datos_base!$K$3+IF(parametros_manuales!$H$23="Todos",datos_base!$K$10,0))*parametros_manuales!$B$102+parametros_manuales!$F$23*(datos_base!$K$4+IF(parametros_manuales!$H$23="Todos",datos_base!$K$11,0))*parametros_manuales!$B$107+parametros_manuales!$G$23*(datos_base!$K$5+IF(parametros_manuales!$H$23="Todos",datos_base!$K$12,0))*parametros_manuales!$B$112)*parametros_manuales!$I$23*parametros_manuales!$J$23</f>
        <v>25601.63079357</v>
      </c>
      <c r="C258" s="14" t="n">
        <f aca="false">(parametros_manuales!$D$23*(datos_base!$K$2+IF(parametros_manuales!$H$23="Todos",datos_base!$K$9,0))*parametros_manuales!$C$97+parametros_manuales!$E$23*(datos_base!$K$3+IF(parametros_manuales!$H$23="Todos",datos_base!$K$10,0))*parametros_manuales!$C$102+parametros_manuales!$F$23*(datos_base!$K$4+IF(parametros_manuales!$H$23="Todos",datos_base!$K$11,0))*parametros_manuales!$C$107+parametros_manuales!$G$23*(datos_base!$K$5+IF(parametros_manuales!$H$23="Todos",datos_base!$K$12,0))*parametros_manuales!$C$112)*parametros_manuales!$I$23*parametros_manuales!$J$23</f>
        <v>24783.21154114</v>
      </c>
      <c r="D258" s="14" t="n">
        <f aca="false">(parametros_manuales!$D$23*(datos_base!$K$2+IF(parametros_manuales!$H$23="Todos",datos_base!$K$9,0))*parametros_manuales!$D$97+parametros_manuales!$E$23*(datos_base!$K$3+IF(parametros_manuales!$H$23="Todos",datos_base!$K$10,0))*parametros_manuales!$D$102+parametros_manuales!$F$23*(datos_base!$K$4+IF(parametros_manuales!$H$23="Todos",datos_base!$K$11,0))*parametros_manuales!$D$107+parametros_manuales!$G$23*(datos_base!$K$5+IF(parametros_manuales!$H$23="Todos",datos_base!$K$12,0))*parametros_manuales!$D$112)*parametros_manuales!$I$23*parametros_manuales!$J$23</f>
        <v>23166.214776055</v>
      </c>
      <c r="E258" s="14" t="n">
        <f aca="false">(parametros_manuales!$D$23*(datos_base!$K$2+IF(parametros_manuales!$H$23="Todos",datos_base!$K$9,0))*parametros_manuales!$E$97+parametros_manuales!$E$23*(datos_base!$K$3+IF(parametros_manuales!$H$23="Todos",datos_base!$K$10,0))*parametros_manuales!$E$102+parametros_manuales!$F$23*(datos_base!$K$4+IF(parametros_manuales!$H$23="Todos",datos_base!$K$11,0))*parametros_manuales!$E$107+parametros_manuales!$G$23*(datos_base!$K$5+IF(parametros_manuales!$H$23="Todos",datos_base!$K$12,0))*parametros_manuales!$E$112)*parametros_manuales!$I$23*parametros_manuales!$J$23</f>
        <v>22153.111580405</v>
      </c>
      <c r="F258" s="14" t="n">
        <f aca="false">(parametros_manuales!$D$23*(datos_base!$K$2+IF(parametros_manuales!$H$23="Todos",datos_base!$K$9,0))*parametros_manuales!$F$97+parametros_manuales!$E$23*(datos_base!$K$3+IF(parametros_manuales!$H$23="Todos",datos_base!$K$10,0))*parametros_manuales!$F$102+parametros_manuales!$F$23*(datos_base!$K$4+IF(parametros_manuales!$H$23="Todos",datos_base!$K$11,0))*parametros_manuales!$F$107+parametros_manuales!$G$23*(datos_base!$K$5+IF(parametros_manuales!$H$23="Todos",datos_base!$K$12,0))*parametros_manuales!$F$112)*parametros_manuales!$I$23*parametros_manuales!$J$23</f>
        <v>20730.79875854</v>
      </c>
      <c r="G258" s="14" t="n">
        <f aca="false">(parametros_manuales!$D$23*(datos_base!$K$2+IF(parametros_manuales!$H$23="Todos",datos_base!$K$9,0))*parametros_manuales!$G$97+parametros_manuales!$E$23*(datos_base!$K$3+IF(parametros_manuales!$H$23="Todos",datos_base!$K$10,0))*parametros_manuales!$G$102+parametros_manuales!$F$23*(datos_base!$K$4+IF(parametros_manuales!$H$23="Todos",datos_base!$K$11,0))*parametros_manuales!$G$107+parametros_manuales!$G$23*(datos_base!$K$5+IF(parametros_manuales!$H$23="Todos",datos_base!$K$12,0))*parametros_manuales!$G$112)*parametros_manuales!$I$23*parametros_manuales!$J$23</f>
        <v>20321.589132325</v>
      </c>
      <c r="H258" s="14" t="n">
        <f aca="false">(parametros_manuales!$D$23*(datos_base!$K$2+IF(parametros_manuales!$H$23="Todos",datos_base!$K$9,0))*parametros_manuales!$H$97+parametros_manuales!$E$23*(datos_base!$K$3+IF(parametros_manuales!$H$23="Todos",datos_base!$K$10,0))*parametros_manuales!$H$102+parametros_manuales!$F$23*(datos_base!$K$4+IF(parametros_manuales!$H$23="Todos",datos_base!$K$11,0))*parametros_manuales!$H$107+parametros_manuales!$G$23*(datos_base!$K$5+IF(parametros_manuales!$H$23="Todos",datos_base!$K$12,0))*parametros_manuales!$H$112)*parametros_manuales!$I$23*parametros_manuales!$J$23</f>
        <v>21743.90195419</v>
      </c>
      <c r="I258" s="14" t="n">
        <f aca="false">(parametros_manuales!$D$23*(datos_base!$K$2+IF(parametros_manuales!$H$23="Todos",datos_base!$K$9,0))*parametros_manuales!$I$97+parametros_manuales!$E$23*(datos_base!$K$3+IF(parametros_manuales!$H$23="Todos",datos_base!$K$10,0))*parametros_manuales!$I$102+parametros_manuales!$F$23*(datos_base!$K$4+IF(parametros_manuales!$H$23="Todos",datos_base!$K$11,0))*parametros_manuales!$I$107+parametros_manuales!$G$23*(datos_base!$K$5+IF(parametros_manuales!$H$23="Todos",datos_base!$K$12,0))*parametros_manuales!$I$112)*parametros_manuales!$I$23*parametros_manuales!$J$23</f>
        <v>24783.21154114</v>
      </c>
      <c r="J258" s="14" t="n">
        <f aca="false">(parametros_manuales!$D$23*(datos_base!$K$2+IF(parametros_manuales!$H$23="Todos",datos_base!$K$9,0))*parametros_manuales!$J$97+parametros_manuales!$E$23*(datos_base!$K$3+IF(parametros_manuales!$H$23="Todos",datos_base!$K$10,0))*parametros_manuales!$J$102+parametros_manuales!$F$23*(datos_base!$K$4+IF(parametros_manuales!$H$23="Todos",datos_base!$K$11,0))*parametros_manuales!$J$107+parametros_manuales!$G$23*(datos_base!$K$5+IF(parametros_manuales!$H$23="Todos",datos_base!$K$12,0))*parametros_manuales!$J$112)*parametros_manuales!$I$23*parametros_manuales!$J$23</f>
        <v>24783.21154114</v>
      </c>
      <c r="K258" s="14" t="n">
        <f aca="false">(parametros_manuales!$D$23*(datos_base!$K$2+IF(parametros_manuales!$H$23="Todos",datos_base!$K$9,0))*parametros_manuales!$K$97+parametros_manuales!$E$23*(datos_base!$K$3+IF(parametros_manuales!$H$23="Todos",datos_base!$K$10,0))*parametros_manuales!$K$102+parametros_manuales!$F$23*(datos_base!$K$4+IF(parametros_manuales!$H$23="Todos",datos_base!$K$11,0))*parametros_manuales!$K$107+parametros_manuales!$G$23*(datos_base!$K$5+IF(parametros_manuales!$H$23="Todos",datos_base!$K$12,0))*parametros_manuales!$K$112)*parametros_manuales!$I$23*parametros_manuales!$J$23</f>
        <v>25192.421167355</v>
      </c>
      <c r="L258" s="14" t="n">
        <f aca="false">(parametros_manuales!$D$23*(datos_base!$K$2+IF(parametros_manuales!$H$23="Todos",datos_base!$K$9,0))*parametros_manuales!$L$97+parametros_manuales!$E$23*(datos_base!$K$3+IF(parametros_manuales!$H$23="Todos",datos_base!$K$10,0))*parametros_manuales!$L$102+parametros_manuales!$F$23*(datos_base!$K$4+IF(parametros_manuales!$H$23="Todos",datos_base!$K$11,0))*parametros_manuales!$L$107+parametros_manuales!$G$23*(datos_base!$K$5+IF(parametros_manuales!$H$23="Todos",datos_base!$K$12,0))*parametros_manuales!$L$112)*parametros_manuales!$I$23*parametros_manuales!$J$23</f>
        <v>25601.63079357</v>
      </c>
      <c r="M258" s="14" t="n">
        <f aca="false">(parametros_manuales!$D$23*(datos_base!$K$2+IF(parametros_manuales!$H$23="Todos",datos_base!$K$9,0))*parametros_manuales!$M$97+parametros_manuales!$E$23*(datos_base!$K$3+IF(parametros_manuales!$H$23="Todos",datos_base!$K$10,0))*parametros_manuales!$M$102+parametros_manuales!$F$23*(datos_base!$K$4+IF(parametros_manuales!$H$23="Todos",datos_base!$K$11,0))*parametros_manuales!$M$107+parametros_manuales!$G$23*(datos_base!$K$5+IF(parametros_manuales!$H$23="Todos",datos_base!$K$12,0))*parametros_manuales!$M$112)*parametros_manuales!$I$23*parametros_manuales!$J$23</f>
        <v>25601.63079357</v>
      </c>
      <c r="N258" s="14" t="n">
        <f aca="false">SUM(B258:M258)</f>
        <v>284462.564373</v>
      </c>
      <c r="O258" s="14" t="n">
        <f aca="false">MAX(B258:M258)</f>
        <v>25601.63079357</v>
      </c>
      <c r="P258" s="57" t="n">
        <f aca="false">O258/(parametros_manuales!$B$7)</f>
        <v>170.6775386238</v>
      </c>
      <c r="Q258" s="13" t="str">
        <f aca="false">IF(O258=0,"-",INDEX($B$253:$M$253,MATCH(O258,B258:M258,0)))</f>
        <v>Ene</v>
      </c>
    </row>
    <row r="259" customFormat="false" ht="14.25" hidden="false" customHeight="true" outlineLevel="0" collapsed="false">
      <c r="A259" s="13" t="str">
        <f aca="false">parametros_manuales!$B$24</f>
        <v>Numerado de cúpula</v>
      </c>
      <c r="B259" s="14" t="n">
        <f aca="false">(parametros_manuales!$D$24*(datos_base!$K$2+IF(parametros_manuales!$H$24="Todos",datos_base!$K$9,0))*parametros_manuales!$B$97+parametros_manuales!$E$24*(datos_base!$K$3+IF(parametros_manuales!$H$24="Todos",datos_base!$K$10,0))*parametros_manuales!$B$102+parametros_manuales!$F$24*(datos_base!$K$4+IF(parametros_manuales!$H$24="Todos",datos_base!$K$11,0))*parametros_manuales!$B$107+parametros_manuales!$G$24*(datos_base!$K$5+IF(parametros_manuales!$H$24="Todos",datos_base!$K$12,0))*parametros_manuales!$B$112)*parametros_manuales!$I$24*parametros_manuales!$J$24</f>
        <v>25601.63079357</v>
      </c>
      <c r="C259" s="14" t="n">
        <f aca="false">(parametros_manuales!$D$24*(datos_base!$K$2+IF(parametros_manuales!$H$24="Todos",datos_base!$K$9,0))*parametros_manuales!$C$97+parametros_manuales!$E$24*(datos_base!$K$3+IF(parametros_manuales!$H$24="Todos",datos_base!$K$10,0))*parametros_manuales!$C$102+parametros_manuales!$F$24*(datos_base!$K$4+IF(parametros_manuales!$H$24="Todos",datos_base!$K$11,0))*parametros_manuales!$C$107+parametros_manuales!$G$24*(datos_base!$K$5+IF(parametros_manuales!$H$24="Todos",datos_base!$K$12,0))*parametros_manuales!$C$112)*parametros_manuales!$I$24*parametros_manuales!$J$24</f>
        <v>24783.21154114</v>
      </c>
      <c r="D259" s="14" t="n">
        <f aca="false">(parametros_manuales!$D$24*(datos_base!$K$2+IF(parametros_manuales!$H$24="Todos",datos_base!$K$9,0))*parametros_manuales!$D$97+parametros_manuales!$E$24*(datos_base!$K$3+IF(parametros_manuales!$H$24="Todos",datos_base!$K$10,0))*parametros_manuales!$D$102+parametros_manuales!$F$24*(datos_base!$K$4+IF(parametros_manuales!$H$24="Todos",datos_base!$K$11,0))*parametros_manuales!$D$107+parametros_manuales!$G$24*(datos_base!$K$5+IF(parametros_manuales!$H$24="Todos",datos_base!$K$12,0))*parametros_manuales!$D$112)*parametros_manuales!$I$24*parametros_manuales!$J$24</f>
        <v>23166.214776055</v>
      </c>
      <c r="E259" s="14" t="n">
        <f aca="false">(parametros_manuales!$D$24*(datos_base!$K$2+IF(parametros_manuales!$H$24="Todos",datos_base!$K$9,0))*parametros_manuales!$E$97+parametros_manuales!$E$24*(datos_base!$K$3+IF(parametros_manuales!$H$24="Todos",datos_base!$K$10,0))*parametros_manuales!$E$102+parametros_manuales!$F$24*(datos_base!$K$4+IF(parametros_manuales!$H$24="Todos",datos_base!$K$11,0))*parametros_manuales!$E$107+parametros_manuales!$G$24*(datos_base!$K$5+IF(parametros_manuales!$H$24="Todos",datos_base!$K$12,0))*parametros_manuales!$E$112)*parametros_manuales!$I$24*parametros_manuales!$J$24</f>
        <v>22153.111580405</v>
      </c>
      <c r="F259" s="14" t="n">
        <f aca="false">(parametros_manuales!$D$24*(datos_base!$K$2+IF(parametros_manuales!$H$24="Todos",datos_base!$K$9,0))*parametros_manuales!$F$97+parametros_manuales!$E$24*(datos_base!$K$3+IF(parametros_manuales!$H$24="Todos",datos_base!$K$10,0))*parametros_manuales!$F$102+parametros_manuales!$F$24*(datos_base!$K$4+IF(parametros_manuales!$H$24="Todos",datos_base!$K$11,0))*parametros_manuales!$F$107+parametros_manuales!$G$24*(datos_base!$K$5+IF(parametros_manuales!$H$24="Todos",datos_base!$K$12,0))*parametros_manuales!$F$112)*parametros_manuales!$I$24*parametros_manuales!$J$24</f>
        <v>20730.79875854</v>
      </c>
      <c r="G259" s="14" t="n">
        <f aca="false">(parametros_manuales!$D$24*(datos_base!$K$2+IF(parametros_manuales!$H$24="Todos",datos_base!$K$9,0))*parametros_manuales!$G$97+parametros_manuales!$E$24*(datos_base!$K$3+IF(parametros_manuales!$H$24="Todos",datos_base!$K$10,0))*parametros_manuales!$G$102+parametros_manuales!$F$24*(datos_base!$K$4+IF(parametros_manuales!$H$24="Todos",datos_base!$K$11,0))*parametros_manuales!$G$107+parametros_manuales!$G$24*(datos_base!$K$5+IF(parametros_manuales!$H$24="Todos",datos_base!$K$12,0))*parametros_manuales!$G$112)*parametros_manuales!$I$24*parametros_manuales!$J$24</f>
        <v>20321.589132325</v>
      </c>
      <c r="H259" s="14" t="n">
        <f aca="false">(parametros_manuales!$D$24*(datos_base!$K$2+IF(parametros_manuales!$H$24="Todos",datos_base!$K$9,0))*parametros_manuales!$H$97+parametros_manuales!$E$24*(datos_base!$K$3+IF(parametros_manuales!$H$24="Todos",datos_base!$K$10,0))*parametros_manuales!$H$102+parametros_manuales!$F$24*(datos_base!$K$4+IF(parametros_manuales!$H$24="Todos",datos_base!$K$11,0))*parametros_manuales!$H$107+parametros_manuales!$G$24*(datos_base!$K$5+IF(parametros_manuales!$H$24="Todos",datos_base!$K$12,0))*parametros_manuales!$H$112)*parametros_manuales!$I$24*parametros_manuales!$J$24</f>
        <v>21743.90195419</v>
      </c>
      <c r="I259" s="14" t="n">
        <f aca="false">(parametros_manuales!$D$24*(datos_base!$K$2+IF(parametros_manuales!$H$24="Todos",datos_base!$K$9,0))*parametros_manuales!$I$97+parametros_manuales!$E$24*(datos_base!$K$3+IF(parametros_manuales!$H$24="Todos",datos_base!$K$10,0))*parametros_manuales!$I$102+parametros_manuales!$F$24*(datos_base!$K$4+IF(parametros_manuales!$H$24="Todos",datos_base!$K$11,0))*parametros_manuales!$I$107+parametros_manuales!$G$24*(datos_base!$K$5+IF(parametros_manuales!$H$24="Todos",datos_base!$K$12,0))*parametros_manuales!$I$112)*parametros_manuales!$I$24*parametros_manuales!$J$24</f>
        <v>24783.21154114</v>
      </c>
      <c r="J259" s="14" t="n">
        <f aca="false">(parametros_manuales!$D$24*(datos_base!$K$2+IF(parametros_manuales!$H$24="Todos",datos_base!$K$9,0))*parametros_manuales!$J$97+parametros_manuales!$E$24*(datos_base!$K$3+IF(parametros_manuales!$H$24="Todos",datos_base!$K$10,0))*parametros_manuales!$J$102+parametros_manuales!$F$24*(datos_base!$K$4+IF(parametros_manuales!$H$24="Todos",datos_base!$K$11,0))*parametros_manuales!$J$107+parametros_manuales!$G$24*(datos_base!$K$5+IF(parametros_manuales!$H$24="Todos",datos_base!$K$12,0))*parametros_manuales!$J$112)*parametros_manuales!$I$24*parametros_manuales!$J$24</f>
        <v>24783.21154114</v>
      </c>
      <c r="K259" s="14" t="n">
        <f aca="false">(parametros_manuales!$D$24*(datos_base!$K$2+IF(parametros_manuales!$H$24="Todos",datos_base!$K$9,0))*parametros_manuales!$K$97+parametros_manuales!$E$24*(datos_base!$K$3+IF(parametros_manuales!$H$24="Todos",datos_base!$K$10,0))*parametros_manuales!$K$102+parametros_manuales!$F$24*(datos_base!$K$4+IF(parametros_manuales!$H$24="Todos",datos_base!$K$11,0))*parametros_manuales!$K$107+parametros_manuales!$G$24*(datos_base!$K$5+IF(parametros_manuales!$H$24="Todos",datos_base!$K$12,0))*parametros_manuales!$K$112)*parametros_manuales!$I$24*parametros_manuales!$J$24</f>
        <v>25192.421167355</v>
      </c>
      <c r="L259" s="14" t="n">
        <f aca="false">(parametros_manuales!$D$24*(datos_base!$K$2+IF(parametros_manuales!$H$24="Todos",datos_base!$K$9,0))*parametros_manuales!$L$97+parametros_manuales!$E$24*(datos_base!$K$3+IF(parametros_manuales!$H$24="Todos",datos_base!$K$10,0))*parametros_manuales!$L$102+parametros_manuales!$F$24*(datos_base!$K$4+IF(parametros_manuales!$H$24="Todos",datos_base!$K$11,0))*parametros_manuales!$L$107+parametros_manuales!$G$24*(datos_base!$K$5+IF(parametros_manuales!$H$24="Todos",datos_base!$K$12,0))*parametros_manuales!$L$112)*parametros_manuales!$I$24*parametros_manuales!$J$24</f>
        <v>25601.63079357</v>
      </c>
      <c r="M259" s="14" t="n">
        <f aca="false">(parametros_manuales!$D$24*(datos_base!$K$2+IF(parametros_manuales!$H$24="Todos",datos_base!$K$9,0))*parametros_manuales!$M$97+parametros_manuales!$E$24*(datos_base!$K$3+IF(parametros_manuales!$H$24="Todos",datos_base!$K$10,0))*parametros_manuales!$M$102+parametros_manuales!$F$24*(datos_base!$K$4+IF(parametros_manuales!$H$24="Todos",datos_base!$K$11,0))*parametros_manuales!$M$107+parametros_manuales!$G$24*(datos_base!$K$5+IF(parametros_manuales!$H$24="Todos",datos_base!$K$12,0))*parametros_manuales!$M$112)*parametros_manuales!$I$24*parametros_manuales!$J$24</f>
        <v>25601.63079357</v>
      </c>
      <c r="N259" s="14" t="n">
        <f aca="false">SUM(B259:M259)</f>
        <v>284462.564373</v>
      </c>
      <c r="O259" s="14" t="n">
        <f aca="false">MAX(B259:M259)</f>
        <v>25601.63079357</v>
      </c>
      <c r="P259" s="57" t="n">
        <f aca="false">O259/(parametros_manuales!$B$7)</f>
        <v>170.6775386238</v>
      </c>
      <c r="Q259" s="13" t="str">
        <f aca="false">IF(O259=0,"-",INDEX($B$253:$M$253,MATCH(O259,B259:M259,0)))</f>
        <v>Ene</v>
      </c>
    </row>
    <row r="260" customFormat="false" ht="14.25" hidden="false" customHeight="true" outlineLevel="0" collapsed="false">
      <c r="A260" s="13" t="str">
        <f aca="false">parametros_manuales!$B$25</f>
        <v>Soldadura del cuello a la cúpula</v>
      </c>
      <c r="B260" s="14" t="n">
        <f aca="false">(parametros_manuales!$D$25*(datos_base!$K$2+IF(parametros_manuales!$H$25="Todos",datos_base!$K$9,0))*parametros_manuales!$B$97+parametros_manuales!$E$25*(datos_base!$K$3+IF(parametros_manuales!$H$25="Todos",datos_base!$K$10,0))*parametros_manuales!$B$102+parametros_manuales!$F$25*(datos_base!$K$4+IF(parametros_manuales!$H$25="Todos",datos_base!$K$11,0))*parametros_manuales!$B$107+parametros_manuales!$G$25*(datos_base!$K$5+IF(parametros_manuales!$H$25="Todos",datos_base!$K$12,0))*parametros_manuales!$B$112)*parametros_manuales!$I$25*parametros_manuales!$J$25</f>
        <v>25601.63079357</v>
      </c>
      <c r="C260" s="14" t="n">
        <f aca="false">(parametros_manuales!$D$25*(datos_base!$K$2+IF(parametros_manuales!$H$25="Todos",datos_base!$K$9,0))*parametros_manuales!$C$97+parametros_manuales!$E$25*(datos_base!$K$3+IF(parametros_manuales!$H$25="Todos",datos_base!$K$10,0))*parametros_manuales!$C$102+parametros_manuales!$F$25*(datos_base!$K$4+IF(parametros_manuales!$H$25="Todos",datos_base!$K$11,0))*parametros_manuales!$C$107+parametros_manuales!$G$25*(datos_base!$K$5+IF(parametros_manuales!$H$25="Todos",datos_base!$K$12,0))*parametros_manuales!$C$112)*parametros_manuales!$I$25*parametros_manuales!$J$25</f>
        <v>24783.21154114</v>
      </c>
      <c r="D260" s="14" t="n">
        <f aca="false">(parametros_manuales!$D$25*(datos_base!$K$2+IF(parametros_manuales!$H$25="Todos",datos_base!$K$9,0))*parametros_manuales!$D$97+parametros_manuales!$E$25*(datos_base!$K$3+IF(parametros_manuales!$H$25="Todos",datos_base!$K$10,0))*parametros_manuales!$D$102+parametros_manuales!$F$25*(datos_base!$K$4+IF(parametros_manuales!$H$25="Todos",datos_base!$K$11,0))*parametros_manuales!$D$107+parametros_manuales!$G$25*(datos_base!$K$5+IF(parametros_manuales!$H$25="Todos",datos_base!$K$12,0))*parametros_manuales!$D$112)*parametros_manuales!$I$25*parametros_manuales!$J$25</f>
        <v>23166.214776055</v>
      </c>
      <c r="E260" s="14" t="n">
        <f aca="false">(parametros_manuales!$D$25*(datos_base!$K$2+IF(parametros_manuales!$H$25="Todos",datos_base!$K$9,0))*parametros_manuales!$E$97+parametros_manuales!$E$25*(datos_base!$K$3+IF(parametros_manuales!$H$25="Todos",datos_base!$K$10,0))*parametros_manuales!$E$102+parametros_manuales!$F$25*(datos_base!$K$4+IF(parametros_manuales!$H$25="Todos",datos_base!$K$11,0))*parametros_manuales!$E$107+parametros_manuales!$G$25*(datos_base!$K$5+IF(parametros_manuales!$H$25="Todos",datos_base!$K$12,0))*parametros_manuales!$E$112)*parametros_manuales!$I$25*parametros_manuales!$J$25</f>
        <v>22153.111580405</v>
      </c>
      <c r="F260" s="14" t="n">
        <f aca="false">(parametros_manuales!$D$25*(datos_base!$K$2+IF(parametros_manuales!$H$25="Todos",datos_base!$K$9,0))*parametros_manuales!$F$97+parametros_manuales!$E$25*(datos_base!$K$3+IF(parametros_manuales!$H$25="Todos",datos_base!$K$10,0))*parametros_manuales!$F$102+parametros_manuales!$F$25*(datos_base!$K$4+IF(parametros_manuales!$H$25="Todos",datos_base!$K$11,0))*parametros_manuales!$F$107+parametros_manuales!$G$25*(datos_base!$K$5+IF(parametros_manuales!$H$25="Todos",datos_base!$K$12,0))*parametros_manuales!$F$112)*parametros_manuales!$I$25*parametros_manuales!$J$25</f>
        <v>20730.79875854</v>
      </c>
      <c r="G260" s="14" t="n">
        <f aca="false">(parametros_manuales!$D$25*(datos_base!$K$2+IF(parametros_manuales!$H$25="Todos",datos_base!$K$9,0))*parametros_manuales!$G$97+parametros_manuales!$E$25*(datos_base!$K$3+IF(parametros_manuales!$H$25="Todos",datos_base!$K$10,0))*parametros_manuales!$G$102+parametros_manuales!$F$25*(datos_base!$K$4+IF(parametros_manuales!$H$25="Todos",datos_base!$K$11,0))*parametros_manuales!$G$107+parametros_manuales!$G$25*(datos_base!$K$5+IF(parametros_manuales!$H$25="Todos",datos_base!$K$12,0))*parametros_manuales!$G$112)*parametros_manuales!$I$25*parametros_manuales!$J$25</f>
        <v>20321.589132325</v>
      </c>
      <c r="H260" s="14" t="n">
        <f aca="false">(parametros_manuales!$D$25*(datos_base!$K$2+IF(parametros_manuales!$H$25="Todos",datos_base!$K$9,0))*parametros_manuales!$H$97+parametros_manuales!$E$25*(datos_base!$K$3+IF(parametros_manuales!$H$25="Todos",datos_base!$K$10,0))*parametros_manuales!$H$102+parametros_manuales!$F$25*(datos_base!$K$4+IF(parametros_manuales!$H$25="Todos",datos_base!$K$11,0))*parametros_manuales!$H$107+parametros_manuales!$G$25*(datos_base!$K$5+IF(parametros_manuales!$H$25="Todos",datos_base!$K$12,0))*parametros_manuales!$H$112)*parametros_manuales!$I$25*parametros_manuales!$J$25</f>
        <v>21743.90195419</v>
      </c>
      <c r="I260" s="14" t="n">
        <f aca="false">(parametros_manuales!$D$25*(datos_base!$K$2+IF(parametros_manuales!$H$25="Todos",datos_base!$K$9,0))*parametros_manuales!$I$97+parametros_manuales!$E$25*(datos_base!$K$3+IF(parametros_manuales!$H$25="Todos",datos_base!$K$10,0))*parametros_manuales!$I$102+parametros_manuales!$F$25*(datos_base!$K$4+IF(parametros_manuales!$H$25="Todos",datos_base!$K$11,0))*parametros_manuales!$I$107+parametros_manuales!$G$25*(datos_base!$K$5+IF(parametros_manuales!$H$25="Todos",datos_base!$K$12,0))*parametros_manuales!$I$112)*parametros_manuales!$I$25*parametros_manuales!$J$25</f>
        <v>24783.21154114</v>
      </c>
      <c r="J260" s="14" t="n">
        <f aca="false">(parametros_manuales!$D$25*(datos_base!$K$2+IF(parametros_manuales!$H$25="Todos",datos_base!$K$9,0))*parametros_manuales!$J$97+parametros_manuales!$E$25*(datos_base!$K$3+IF(parametros_manuales!$H$25="Todos",datos_base!$K$10,0))*parametros_manuales!$J$102+parametros_manuales!$F$25*(datos_base!$K$4+IF(parametros_manuales!$H$25="Todos",datos_base!$K$11,0))*parametros_manuales!$J$107+parametros_manuales!$G$25*(datos_base!$K$5+IF(parametros_manuales!$H$25="Todos",datos_base!$K$12,0))*parametros_manuales!$J$112)*parametros_manuales!$I$25*parametros_manuales!$J$25</f>
        <v>24783.21154114</v>
      </c>
      <c r="K260" s="14" t="n">
        <f aca="false">(parametros_manuales!$D$25*(datos_base!$K$2+IF(parametros_manuales!$H$25="Todos",datos_base!$K$9,0))*parametros_manuales!$K$97+parametros_manuales!$E$25*(datos_base!$K$3+IF(parametros_manuales!$H$25="Todos",datos_base!$K$10,0))*parametros_manuales!$K$102+parametros_manuales!$F$25*(datos_base!$K$4+IF(parametros_manuales!$H$25="Todos",datos_base!$K$11,0))*parametros_manuales!$K$107+parametros_manuales!$G$25*(datos_base!$K$5+IF(parametros_manuales!$H$25="Todos",datos_base!$K$12,0))*parametros_manuales!$K$112)*parametros_manuales!$I$25*parametros_manuales!$J$25</f>
        <v>25192.421167355</v>
      </c>
      <c r="L260" s="14" t="n">
        <f aca="false">(parametros_manuales!$D$25*(datos_base!$K$2+IF(parametros_manuales!$H$25="Todos",datos_base!$K$9,0))*parametros_manuales!$L$97+parametros_manuales!$E$25*(datos_base!$K$3+IF(parametros_manuales!$H$25="Todos",datos_base!$K$10,0))*parametros_manuales!$L$102+parametros_manuales!$F$25*(datos_base!$K$4+IF(parametros_manuales!$H$25="Todos",datos_base!$K$11,0))*parametros_manuales!$L$107+parametros_manuales!$G$25*(datos_base!$K$5+IF(parametros_manuales!$H$25="Todos",datos_base!$K$12,0))*parametros_manuales!$L$112)*parametros_manuales!$I$25*parametros_manuales!$J$25</f>
        <v>25601.63079357</v>
      </c>
      <c r="M260" s="14" t="n">
        <f aca="false">(parametros_manuales!$D$25*(datos_base!$K$2+IF(parametros_manuales!$H$25="Todos",datos_base!$K$9,0))*parametros_manuales!$M$97+parametros_manuales!$E$25*(datos_base!$K$3+IF(parametros_manuales!$H$25="Todos",datos_base!$K$10,0))*parametros_manuales!$M$102+parametros_manuales!$F$25*(datos_base!$K$4+IF(parametros_manuales!$H$25="Todos",datos_base!$K$11,0))*parametros_manuales!$M$107+parametros_manuales!$G$25*(datos_base!$K$5+IF(parametros_manuales!$H$25="Todos",datos_base!$K$12,0))*parametros_manuales!$M$112)*parametros_manuales!$I$25*parametros_manuales!$J$25</f>
        <v>25601.63079357</v>
      </c>
      <c r="N260" s="14" t="n">
        <f aca="false">SUM(B260:M260)</f>
        <v>284462.564373</v>
      </c>
      <c r="O260" s="14" t="n">
        <f aca="false">MAX(B260:M260)</f>
        <v>25601.63079357</v>
      </c>
      <c r="P260" s="57" t="n">
        <f aca="false">O260/(parametros_manuales!$B$7)</f>
        <v>170.6775386238</v>
      </c>
      <c r="Q260" s="13" t="str">
        <f aca="false">IF(O260=0,"-",INDEX($B$253:$M$253,MATCH(O260,B260:M260,0)))</f>
        <v>Ene</v>
      </c>
    </row>
    <row r="261" customFormat="false" ht="14.25" hidden="false" customHeight="true" outlineLevel="0" collapsed="false">
      <c r="A261" s="13" t="str">
        <f aca="false">parametros_manuales!$B$26</f>
        <v>Cilindrado</v>
      </c>
      <c r="B261" s="14" t="n">
        <f aca="false">(parametros_manuales!$D$26*(datos_base!$K$2+IF(parametros_manuales!$H$26="Todos",datos_base!$K$9,0))*parametros_manuales!$B$97+parametros_manuales!$E$26*(datos_base!$K$3+IF(parametros_manuales!$H$26="Todos",datos_base!$K$10,0))*parametros_manuales!$B$102+parametros_manuales!$F$26*(datos_base!$K$4+IF(parametros_manuales!$H$26="Todos",datos_base!$K$11,0))*parametros_manuales!$B$107+parametros_manuales!$G$26*(datos_base!$K$5+IF(parametros_manuales!$H$26="Todos",datos_base!$K$12,0))*parametros_manuales!$B$112)*parametros_manuales!$I$26*parametros_manuales!$J$26</f>
        <v>25601.63079357</v>
      </c>
      <c r="C261" s="14" t="n">
        <f aca="false">(parametros_manuales!$D$26*(datos_base!$K$2+IF(parametros_manuales!$H$26="Todos",datos_base!$K$9,0))*parametros_manuales!$C$97+parametros_manuales!$E$26*(datos_base!$K$3+IF(parametros_manuales!$H$26="Todos",datos_base!$K$10,0))*parametros_manuales!$C$102+parametros_manuales!$F$26*(datos_base!$K$4+IF(parametros_manuales!$H$26="Todos",datos_base!$K$11,0))*parametros_manuales!$C$107+parametros_manuales!$G$26*(datos_base!$K$5+IF(parametros_manuales!$H$26="Todos",datos_base!$K$12,0))*parametros_manuales!$C$112)*parametros_manuales!$I$26*parametros_manuales!$J$26</f>
        <v>24783.21154114</v>
      </c>
      <c r="D261" s="14" t="n">
        <f aca="false">(parametros_manuales!$D$26*(datos_base!$K$2+IF(parametros_manuales!$H$26="Todos",datos_base!$K$9,0))*parametros_manuales!$D$97+parametros_manuales!$E$26*(datos_base!$K$3+IF(parametros_manuales!$H$26="Todos",datos_base!$K$10,0))*parametros_manuales!$D$102+parametros_manuales!$F$26*(datos_base!$K$4+IF(parametros_manuales!$H$26="Todos",datos_base!$K$11,0))*parametros_manuales!$D$107+parametros_manuales!$G$26*(datos_base!$K$5+IF(parametros_manuales!$H$26="Todos",datos_base!$K$12,0))*parametros_manuales!$D$112)*parametros_manuales!$I$26*parametros_manuales!$J$26</f>
        <v>23166.214776055</v>
      </c>
      <c r="E261" s="14" t="n">
        <f aca="false">(parametros_manuales!$D$26*(datos_base!$K$2+IF(parametros_manuales!$H$26="Todos",datos_base!$K$9,0))*parametros_manuales!$E$97+parametros_manuales!$E$26*(datos_base!$K$3+IF(parametros_manuales!$H$26="Todos",datos_base!$K$10,0))*parametros_manuales!$E$102+parametros_manuales!$F$26*(datos_base!$K$4+IF(parametros_manuales!$H$26="Todos",datos_base!$K$11,0))*parametros_manuales!$E$107+parametros_manuales!$G$26*(datos_base!$K$5+IF(parametros_manuales!$H$26="Todos",datos_base!$K$12,0))*parametros_manuales!$E$112)*parametros_manuales!$I$26*parametros_manuales!$J$26</f>
        <v>22153.111580405</v>
      </c>
      <c r="F261" s="14" t="n">
        <f aca="false">(parametros_manuales!$D$26*(datos_base!$K$2+IF(parametros_manuales!$H$26="Todos",datos_base!$K$9,0))*parametros_manuales!$F$97+parametros_manuales!$E$26*(datos_base!$K$3+IF(parametros_manuales!$H$26="Todos",datos_base!$K$10,0))*parametros_manuales!$F$102+parametros_manuales!$F$26*(datos_base!$K$4+IF(parametros_manuales!$H$26="Todos",datos_base!$K$11,0))*parametros_manuales!$F$107+parametros_manuales!$G$26*(datos_base!$K$5+IF(parametros_manuales!$H$26="Todos",datos_base!$K$12,0))*parametros_manuales!$F$112)*parametros_manuales!$I$26*parametros_manuales!$J$26</f>
        <v>20730.79875854</v>
      </c>
      <c r="G261" s="14" t="n">
        <f aca="false">(parametros_manuales!$D$26*(datos_base!$K$2+IF(parametros_manuales!$H$26="Todos",datos_base!$K$9,0))*parametros_manuales!$G$97+parametros_manuales!$E$26*(datos_base!$K$3+IF(parametros_manuales!$H$26="Todos",datos_base!$K$10,0))*parametros_manuales!$G$102+parametros_manuales!$F$26*(datos_base!$K$4+IF(parametros_manuales!$H$26="Todos",datos_base!$K$11,0))*parametros_manuales!$G$107+parametros_manuales!$G$26*(datos_base!$K$5+IF(parametros_manuales!$H$26="Todos",datos_base!$K$12,0))*parametros_manuales!$G$112)*parametros_manuales!$I$26*parametros_manuales!$J$26</f>
        <v>20321.589132325</v>
      </c>
      <c r="H261" s="14" t="n">
        <f aca="false">(parametros_manuales!$D$26*(datos_base!$K$2+IF(parametros_manuales!$H$26="Todos",datos_base!$K$9,0))*parametros_manuales!$H$97+parametros_manuales!$E$26*(datos_base!$K$3+IF(parametros_manuales!$H$26="Todos",datos_base!$K$10,0))*parametros_manuales!$H$102+parametros_manuales!$F$26*(datos_base!$K$4+IF(parametros_manuales!$H$26="Todos",datos_base!$K$11,0))*parametros_manuales!$H$107+parametros_manuales!$G$26*(datos_base!$K$5+IF(parametros_manuales!$H$26="Todos",datos_base!$K$12,0))*parametros_manuales!$H$112)*parametros_manuales!$I$26*parametros_manuales!$J$26</f>
        <v>21743.90195419</v>
      </c>
      <c r="I261" s="14" t="n">
        <f aca="false">(parametros_manuales!$D$26*(datos_base!$K$2+IF(parametros_manuales!$H$26="Todos",datos_base!$K$9,0))*parametros_manuales!$I$97+parametros_manuales!$E$26*(datos_base!$K$3+IF(parametros_manuales!$H$26="Todos",datos_base!$K$10,0))*parametros_manuales!$I$102+parametros_manuales!$F$26*(datos_base!$K$4+IF(parametros_manuales!$H$26="Todos",datos_base!$K$11,0))*parametros_manuales!$I$107+parametros_manuales!$G$26*(datos_base!$K$5+IF(parametros_manuales!$H$26="Todos",datos_base!$K$12,0))*parametros_manuales!$I$112)*parametros_manuales!$I$26*parametros_manuales!$J$26</f>
        <v>24783.21154114</v>
      </c>
      <c r="J261" s="14" t="n">
        <f aca="false">(parametros_manuales!$D$26*(datos_base!$K$2+IF(parametros_manuales!$H$26="Todos",datos_base!$K$9,0))*parametros_manuales!$J$97+parametros_manuales!$E$26*(datos_base!$K$3+IF(parametros_manuales!$H$26="Todos",datos_base!$K$10,0))*parametros_manuales!$J$102+parametros_manuales!$F$26*(datos_base!$K$4+IF(parametros_manuales!$H$26="Todos",datos_base!$K$11,0))*parametros_manuales!$J$107+parametros_manuales!$G$26*(datos_base!$K$5+IF(parametros_manuales!$H$26="Todos",datos_base!$K$12,0))*parametros_manuales!$J$112)*parametros_manuales!$I$26*parametros_manuales!$J$26</f>
        <v>24783.21154114</v>
      </c>
      <c r="K261" s="14" t="n">
        <f aca="false">(parametros_manuales!$D$26*(datos_base!$K$2+IF(parametros_manuales!$H$26="Todos",datos_base!$K$9,0))*parametros_manuales!$K$97+parametros_manuales!$E$26*(datos_base!$K$3+IF(parametros_manuales!$H$26="Todos",datos_base!$K$10,0))*parametros_manuales!$K$102+parametros_manuales!$F$26*(datos_base!$K$4+IF(parametros_manuales!$H$26="Todos",datos_base!$K$11,0))*parametros_manuales!$K$107+parametros_manuales!$G$26*(datos_base!$K$5+IF(parametros_manuales!$H$26="Todos",datos_base!$K$12,0))*parametros_manuales!$K$112)*parametros_manuales!$I$26*parametros_manuales!$J$26</f>
        <v>25192.421167355</v>
      </c>
      <c r="L261" s="14" t="n">
        <f aca="false">(parametros_manuales!$D$26*(datos_base!$K$2+IF(parametros_manuales!$H$26="Todos",datos_base!$K$9,0))*parametros_manuales!$L$97+parametros_manuales!$E$26*(datos_base!$K$3+IF(parametros_manuales!$H$26="Todos",datos_base!$K$10,0))*parametros_manuales!$L$102+parametros_manuales!$F$26*(datos_base!$K$4+IF(parametros_manuales!$H$26="Todos",datos_base!$K$11,0))*parametros_manuales!$L$107+parametros_manuales!$G$26*(datos_base!$K$5+IF(parametros_manuales!$H$26="Todos",datos_base!$K$12,0))*parametros_manuales!$L$112)*parametros_manuales!$I$26*parametros_manuales!$J$26</f>
        <v>25601.63079357</v>
      </c>
      <c r="M261" s="14" t="n">
        <f aca="false">(parametros_manuales!$D$26*(datos_base!$K$2+IF(parametros_manuales!$H$26="Todos",datos_base!$K$9,0))*parametros_manuales!$M$97+parametros_manuales!$E$26*(datos_base!$K$3+IF(parametros_manuales!$H$26="Todos",datos_base!$K$10,0))*parametros_manuales!$M$102+parametros_manuales!$F$26*(datos_base!$K$4+IF(parametros_manuales!$H$26="Todos",datos_base!$K$11,0))*parametros_manuales!$M$107+parametros_manuales!$G$26*(datos_base!$K$5+IF(parametros_manuales!$H$26="Todos",datos_base!$K$12,0))*parametros_manuales!$M$112)*parametros_manuales!$I$26*parametros_manuales!$J$26</f>
        <v>25601.63079357</v>
      </c>
      <c r="N261" s="14" t="n">
        <f aca="false">SUM(B261:M261)</f>
        <v>284462.564373</v>
      </c>
      <c r="O261" s="14" t="n">
        <f aca="false">MAX(B261:M261)</f>
        <v>25601.63079357</v>
      </c>
      <c r="P261" s="57" t="n">
        <f aca="false">O261/(parametros_manuales!$B$7)</f>
        <v>170.6775386238</v>
      </c>
      <c r="Q261" s="13" t="str">
        <f aca="false">IF(O261=0,"-",INDEX($B$253:$M$253,MATCH(O261,B261:M261,0)))</f>
        <v>Ene</v>
      </c>
    </row>
    <row r="262" customFormat="false" ht="14.25" hidden="false" customHeight="true" outlineLevel="0" collapsed="false">
      <c r="A262" s="13" t="str">
        <f aca="false">parametros_manuales!$B$27</f>
        <v>Soldadura longitudinal — 2,5 a 10 kg</v>
      </c>
      <c r="B262" s="14" t="n">
        <f aca="false">(parametros_manuales!$D$27*(datos_base!$K$2+IF(parametros_manuales!$H$27="Todos",datos_base!$K$9,0))*parametros_manuales!$B$97+parametros_manuales!$E$27*(datos_base!$K$3+IF(parametros_manuales!$H$27="Todos",datos_base!$K$10,0))*parametros_manuales!$B$102+parametros_manuales!$F$27*(datos_base!$K$4+IF(parametros_manuales!$H$27="Todos",datos_base!$K$11,0))*parametros_manuales!$B$107+parametros_manuales!$G$27*(datos_base!$K$5+IF(parametros_manuales!$H$27="Todos",datos_base!$K$12,0))*parametros_manuales!$B$112)*parametros_manuales!$I$27*parametros_manuales!$J$27</f>
        <v>7365.77327187</v>
      </c>
      <c r="C262" s="14" t="n">
        <f aca="false">(parametros_manuales!$D$27*(datos_base!$K$2+IF(parametros_manuales!$H$27="Todos",datos_base!$K$9,0))*parametros_manuales!$C$97+parametros_manuales!$E$27*(datos_base!$K$3+IF(parametros_manuales!$H$27="Todos",datos_base!$K$10,0))*parametros_manuales!$C$102+parametros_manuales!$F$27*(datos_base!$K$4+IF(parametros_manuales!$H$27="Todos",datos_base!$K$11,0))*parametros_manuales!$C$107+parametros_manuales!$G$27*(datos_base!$K$5+IF(parametros_manuales!$H$27="Todos",datos_base!$K$12,0))*parametros_manuales!$C$112)*parametros_manuales!$I$27*parametros_manuales!$J$27</f>
        <v>6547.35401944</v>
      </c>
      <c r="D262" s="14" t="n">
        <f aca="false">(parametros_manuales!$D$27*(datos_base!$K$2+IF(parametros_manuales!$H$27="Todos",datos_base!$K$9,0))*parametros_manuales!$D$97+parametros_manuales!$E$27*(datos_base!$K$3+IF(parametros_manuales!$H$27="Todos",datos_base!$K$10,0))*parametros_manuales!$D$102+parametros_manuales!$F$27*(datos_base!$K$4+IF(parametros_manuales!$H$27="Todos",datos_base!$K$11,0))*parametros_manuales!$D$107+parametros_manuales!$G$27*(datos_base!$K$5+IF(parametros_manuales!$H$27="Todos",datos_base!$K$12,0))*parametros_manuales!$D$112)*parametros_manuales!$I$27*parametros_manuales!$J$27</f>
        <v>6956.563645655</v>
      </c>
      <c r="E262" s="14" t="n">
        <f aca="false">(parametros_manuales!$D$27*(datos_base!$K$2+IF(parametros_manuales!$H$27="Todos",datos_base!$K$9,0))*parametros_manuales!$E$97+parametros_manuales!$E$27*(datos_base!$K$3+IF(parametros_manuales!$H$27="Todos",datos_base!$K$10,0))*parametros_manuales!$E$102+parametros_manuales!$F$27*(datos_base!$K$4+IF(parametros_manuales!$H$27="Todos",datos_base!$K$11,0))*parametros_manuales!$E$107+parametros_manuales!$G$27*(datos_base!$K$5+IF(parametros_manuales!$H$27="Todos",datos_base!$K$12,0))*parametros_manuales!$E$112)*parametros_manuales!$I$27*parametros_manuales!$J$27</f>
        <v>6956.563645655</v>
      </c>
      <c r="F262" s="14" t="n">
        <f aca="false">(parametros_manuales!$D$27*(datos_base!$K$2+IF(parametros_manuales!$H$27="Todos",datos_base!$K$9,0))*parametros_manuales!$F$97+parametros_manuales!$E$27*(datos_base!$K$3+IF(parametros_manuales!$H$27="Todos",datos_base!$K$10,0))*parametros_manuales!$F$102+parametros_manuales!$F$27*(datos_base!$K$4+IF(parametros_manuales!$H$27="Todos",datos_base!$K$11,0))*parametros_manuales!$F$107+parametros_manuales!$G$27*(datos_base!$K$5+IF(parametros_manuales!$H$27="Todos",datos_base!$K$12,0))*parametros_manuales!$F$112)*parametros_manuales!$I$27*parametros_manuales!$J$27</f>
        <v>6547.35401944</v>
      </c>
      <c r="G262" s="14" t="n">
        <f aca="false">(parametros_manuales!$D$27*(datos_base!$K$2+IF(parametros_manuales!$H$27="Todos",datos_base!$K$9,0))*parametros_manuales!$G$97+parametros_manuales!$E$27*(datos_base!$K$3+IF(parametros_manuales!$H$27="Todos",datos_base!$K$10,0))*parametros_manuales!$G$102+parametros_manuales!$F$27*(datos_base!$K$4+IF(parametros_manuales!$H$27="Todos",datos_base!$K$11,0))*parametros_manuales!$G$107+parametros_manuales!$G$27*(datos_base!$K$5+IF(parametros_manuales!$H$27="Todos",datos_base!$K$12,0))*parametros_manuales!$G$112)*parametros_manuales!$I$27*parametros_manuales!$J$27</f>
        <v>6138.144393225</v>
      </c>
      <c r="H262" s="14" t="n">
        <f aca="false">(parametros_manuales!$D$27*(datos_base!$K$2+IF(parametros_manuales!$H$27="Todos",datos_base!$K$9,0))*parametros_manuales!$H$97+parametros_manuales!$E$27*(datos_base!$K$3+IF(parametros_manuales!$H$27="Todos",datos_base!$K$10,0))*parametros_manuales!$H$102+parametros_manuales!$F$27*(datos_base!$K$4+IF(parametros_manuales!$H$27="Todos",datos_base!$K$11,0))*parametros_manuales!$H$107+parametros_manuales!$G$27*(datos_base!$K$5+IF(parametros_manuales!$H$27="Todos",datos_base!$K$12,0))*parametros_manuales!$H$112)*parametros_manuales!$I$27*parametros_manuales!$J$27</f>
        <v>6547.35401944</v>
      </c>
      <c r="I262" s="14" t="n">
        <f aca="false">(parametros_manuales!$D$27*(datos_base!$K$2+IF(parametros_manuales!$H$27="Todos",datos_base!$K$9,0))*parametros_manuales!$I$97+parametros_manuales!$E$27*(datos_base!$K$3+IF(parametros_manuales!$H$27="Todos",datos_base!$K$10,0))*parametros_manuales!$I$102+parametros_manuales!$F$27*(datos_base!$K$4+IF(parametros_manuales!$H$27="Todos",datos_base!$K$11,0))*parametros_manuales!$I$107+parametros_manuales!$G$27*(datos_base!$K$5+IF(parametros_manuales!$H$27="Todos",datos_base!$K$12,0))*parametros_manuales!$I$112)*parametros_manuales!$I$27*parametros_manuales!$J$27</f>
        <v>6547.35401944</v>
      </c>
      <c r="J262" s="14" t="n">
        <f aca="false">(parametros_manuales!$D$27*(datos_base!$K$2+IF(parametros_manuales!$H$27="Todos",datos_base!$K$9,0))*parametros_manuales!$J$97+parametros_manuales!$E$27*(datos_base!$K$3+IF(parametros_manuales!$H$27="Todos",datos_base!$K$10,0))*parametros_manuales!$J$102+parametros_manuales!$F$27*(datos_base!$K$4+IF(parametros_manuales!$H$27="Todos",datos_base!$K$11,0))*parametros_manuales!$J$107+parametros_manuales!$G$27*(datos_base!$K$5+IF(parametros_manuales!$H$27="Todos",datos_base!$K$12,0))*parametros_manuales!$J$112)*parametros_manuales!$I$27*parametros_manuales!$J$27</f>
        <v>6547.35401944</v>
      </c>
      <c r="K262" s="14" t="n">
        <f aca="false">(parametros_manuales!$D$27*(datos_base!$K$2+IF(parametros_manuales!$H$27="Todos",datos_base!$K$9,0))*parametros_manuales!$K$97+parametros_manuales!$E$27*(datos_base!$K$3+IF(parametros_manuales!$H$27="Todos",datos_base!$K$10,0))*parametros_manuales!$K$102+parametros_manuales!$F$27*(datos_base!$K$4+IF(parametros_manuales!$H$27="Todos",datos_base!$K$11,0))*parametros_manuales!$K$107+parametros_manuales!$G$27*(datos_base!$K$5+IF(parametros_manuales!$H$27="Todos",datos_base!$K$12,0))*parametros_manuales!$K$112)*parametros_manuales!$I$27*parametros_manuales!$J$27</f>
        <v>6956.563645655</v>
      </c>
      <c r="L262" s="14" t="n">
        <f aca="false">(parametros_manuales!$D$27*(datos_base!$K$2+IF(parametros_manuales!$H$27="Todos",datos_base!$K$9,0))*parametros_manuales!$L$97+parametros_manuales!$E$27*(datos_base!$K$3+IF(parametros_manuales!$H$27="Todos",datos_base!$K$10,0))*parametros_manuales!$L$102+parametros_manuales!$F$27*(datos_base!$K$4+IF(parametros_manuales!$H$27="Todos",datos_base!$K$11,0))*parametros_manuales!$L$107+parametros_manuales!$G$27*(datos_base!$K$5+IF(parametros_manuales!$H$27="Todos",datos_base!$K$12,0))*parametros_manuales!$L$112)*parametros_manuales!$I$27*parametros_manuales!$J$27</f>
        <v>7365.77327187</v>
      </c>
      <c r="M262" s="14" t="n">
        <f aca="false">(parametros_manuales!$D$27*(datos_base!$K$2+IF(parametros_manuales!$H$27="Todos",datos_base!$K$9,0))*parametros_manuales!$M$97+parametros_manuales!$E$27*(datos_base!$K$3+IF(parametros_manuales!$H$27="Todos",datos_base!$K$10,0))*parametros_manuales!$M$102+parametros_manuales!$F$27*(datos_base!$K$4+IF(parametros_manuales!$H$27="Todos",datos_base!$K$11,0))*parametros_manuales!$M$107+parametros_manuales!$G$27*(datos_base!$K$5+IF(parametros_manuales!$H$27="Todos",datos_base!$K$12,0))*parametros_manuales!$M$112)*parametros_manuales!$I$27*parametros_manuales!$J$27</f>
        <v>7365.77327187</v>
      </c>
      <c r="N262" s="14" t="n">
        <f aca="false">SUM(B262:M262)</f>
        <v>81841.925243</v>
      </c>
      <c r="O262" s="14" t="n">
        <f aca="false">MAX(B262:M262)</f>
        <v>7365.77327187</v>
      </c>
      <c r="P262" s="57" t="n">
        <f aca="false">O262/(parametros_manuales!$B$7)</f>
        <v>49.1051551458</v>
      </c>
      <c r="Q262" s="13" t="str">
        <f aca="false">IF(O262=0,"-",INDEX($B$253:$M$253,MATCH(O262,B262:M262,0)))</f>
        <v>Ene</v>
      </c>
    </row>
    <row r="263" customFormat="false" ht="14.25" hidden="false" customHeight="true" outlineLevel="0" collapsed="false">
      <c r="A263" s="13" t="str">
        <f aca="false">parametros_manuales!$B$28</f>
        <v>Soldadura longitudinal TIG — 1 kg</v>
      </c>
      <c r="B263" s="14" t="n">
        <f aca="false">(parametros_manuales!$D$28*(datos_base!$K$2+IF(parametros_manuales!$H$28="Todos",datos_base!$K$9,0))*parametros_manuales!$B$97+parametros_manuales!$E$28*(datos_base!$K$3+IF(parametros_manuales!$H$28="Todos",datos_base!$K$10,0))*parametros_manuales!$B$102+parametros_manuales!$F$28*(datos_base!$K$4+IF(parametros_manuales!$H$28="Todos",datos_base!$K$11,0))*parametros_manuales!$B$107+parametros_manuales!$G$28*(datos_base!$K$5+IF(parametros_manuales!$H$28="Todos",datos_base!$K$12,0))*parametros_manuales!$B$112)*parametros_manuales!$I$28*parametros_manuales!$J$28</f>
        <v>18235.8575217</v>
      </c>
      <c r="C263" s="14" t="n">
        <f aca="false">(parametros_manuales!$D$28*(datos_base!$K$2+IF(parametros_manuales!$H$28="Todos",datos_base!$K$9,0))*parametros_manuales!$C$97+parametros_manuales!$E$28*(datos_base!$K$3+IF(parametros_manuales!$H$28="Todos",datos_base!$K$10,0))*parametros_manuales!$C$102+parametros_manuales!$F$28*(datos_base!$K$4+IF(parametros_manuales!$H$28="Todos",datos_base!$K$11,0))*parametros_manuales!$C$107+parametros_manuales!$G$28*(datos_base!$K$5+IF(parametros_manuales!$H$28="Todos",datos_base!$K$12,0))*parametros_manuales!$C$112)*parametros_manuales!$I$28*parametros_manuales!$J$28</f>
        <v>18235.8575217</v>
      </c>
      <c r="D263" s="14" t="n">
        <f aca="false">(parametros_manuales!$D$28*(datos_base!$K$2+IF(parametros_manuales!$H$28="Todos",datos_base!$K$9,0))*parametros_manuales!$D$97+parametros_manuales!$E$28*(datos_base!$K$3+IF(parametros_manuales!$H$28="Todos",datos_base!$K$10,0))*parametros_manuales!$D$102+parametros_manuales!$F$28*(datos_base!$K$4+IF(parametros_manuales!$H$28="Todos",datos_base!$K$11,0))*parametros_manuales!$D$107+parametros_manuales!$G$28*(datos_base!$K$5+IF(parametros_manuales!$H$28="Todos",datos_base!$K$12,0))*parametros_manuales!$D$112)*parametros_manuales!$I$28*parametros_manuales!$J$28</f>
        <v>16209.6511304</v>
      </c>
      <c r="E263" s="14" t="n">
        <f aca="false">(parametros_manuales!$D$28*(datos_base!$K$2+IF(parametros_manuales!$H$28="Todos",datos_base!$K$9,0))*parametros_manuales!$E$97+parametros_manuales!$E$28*(datos_base!$K$3+IF(parametros_manuales!$H$28="Todos",datos_base!$K$10,0))*parametros_manuales!$E$102+parametros_manuales!$F$28*(datos_base!$K$4+IF(parametros_manuales!$H$28="Todos",datos_base!$K$11,0))*parametros_manuales!$E$107+parametros_manuales!$G$28*(datos_base!$K$5+IF(parametros_manuales!$H$28="Todos",datos_base!$K$12,0))*parametros_manuales!$E$112)*parametros_manuales!$I$28*parametros_manuales!$J$28</f>
        <v>15196.54793475</v>
      </c>
      <c r="F263" s="14" t="n">
        <f aca="false">(parametros_manuales!$D$28*(datos_base!$K$2+IF(parametros_manuales!$H$28="Todos",datos_base!$K$9,0))*parametros_manuales!$F$97+parametros_manuales!$E$28*(datos_base!$K$3+IF(parametros_manuales!$H$28="Todos",datos_base!$K$10,0))*parametros_manuales!$F$102+parametros_manuales!$F$28*(datos_base!$K$4+IF(parametros_manuales!$H$28="Todos",datos_base!$K$11,0))*parametros_manuales!$F$107+parametros_manuales!$G$28*(datos_base!$K$5+IF(parametros_manuales!$H$28="Todos",datos_base!$K$12,0))*parametros_manuales!$F$112)*parametros_manuales!$I$28*parametros_manuales!$J$28</f>
        <v>14183.4447391</v>
      </c>
      <c r="G263" s="14" t="n">
        <f aca="false">(parametros_manuales!$D$28*(datos_base!$K$2+IF(parametros_manuales!$H$28="Todos",datos_base!$K$9,0))*parametros_manuales!$G$97+parametros_manuales!$E$28*(datos_base!$K$3+IF(parametros_manuales!$H$28="Todos",datos_base!$K$10,0))*parametros_manuales!$G$102+parametros_manuales!$F$28*(datos_base!$K$4+IF(parametros_manuales!$H$28="Todos",datos_base!$K$11,0))*parametros_manuales!$G$107+parametros_manuales!$G$28*(datos_base!$K$5+IF(parametros_manuales!$H$28="Todos",datos_base!$K$12,0))*parametros_manuales!$G$112)*parametros_manuales!$I$28*parametros_manuales!$J$28</f>
        <v>14183.4447391</v>
      </c>
      <c r="H263" s="14" t="n">
        <f aca="false">(parametros_manuales!$D$28*(datos_base!$K$2+IF(parametros_manuales!$H$28="Todos",datos_base!$K$9,0))*parametros_manuales!$H$97+parametros_manuales!$E$28*(datos_base!$K$3+IF(parametros_manuales!$H$28="Todos",datos_base!$K$10,0))*parametros_manuales!$H$102+parametros_manuales!$F$28*(datos_base!$K$4+IF(parametros_manuales!$H$28="Todos",datos_base!$K$11,0))*parametros_manuales!$H$107+parametros_manuales!$G$28*(datos_base!$K$5+IF(parametros_manuales!$H$28="Todos",datos_base!$K$12,0))*parametros_manuales!$H$112)*parametros_manuales!$I$28*parametros_manuales!$J$28</f>
        <v>15196.54793475</v>
      </c>
      <c r="I263" s="14" t="n">
        <f aca="false">(parametros_manuales!$D$28*(datos_base!$K$2+IF(parametros_manuales!$H$28="Todos",datos_base!$K$9,0))*parametros_manuales!$I$97+parametros_manuales!$E$28*(datos_base!$K$3+IF(parametros_manuales!$H$28="Todos",datos_base!$K$10,0))*parametros_manuales!$I$102+parametros_manuales!$F$28*(datos_base!$K$4+IF(parametros_manuales!$H$28="Todos",datos_base!$K$11,0))*parametros_manuales!$I$107+parametros_manuales!$G$28*(datos_base!$K$5+IF(parametros_manuales!$H$28="Todos",datos_base!$K$12,0))*parametros_manuales!$I$112)*parametros_manuales!$I$28*parametros_manuales!$J$28</f>
        <v>18235.8575217</v>
      </c>
      <c r="J263" s="14" t="n">
        <f aca="false">(parametros_manuales!$D$28*(datos_base!$K$2+IF(parametros_manuales!$H$28="Todos",datos_base!$K$9,0))*parametros_manuales!$J$97+parametros_manuales!$E$28*(datos_base!$K$3+IF(parametros_manuales!$H$28="Todos",datos_base!$K$10,0))*parametros_manuales!$J$102+parametros_manuales!$F$28*(datos_base!$K$4+IF(parametros_manuales!$H$28="Todos",datos_base!$K$11,0))*parametros_manuales!$J$107+parametros_manuales!$G$28*(datos_base!$K$5+IF(parametros_manuales!$H$28="Todos",datos_base!$K$12,0))*parametros_manuales!$J$112)*parametros_manuales!$I$28*parametros_manuales!$J$28</f>
        <v>18235.8575217</v>
      </c>
      <c r="K263" s="14" t="n">
        <f aca="false">(parametros_manuales!$D$28*(datos_base!$K$2+IF(parametros_manuales!$H$28="Todos",datos_base!$K$9,0))*parametros_manuales!$K$97+parametros_manuales!$E$28*(datos_base!$K$3+IF(parametros_manuales!$H$28="Todos",datos_base!$K$10,0))*parametros_manuales!$K$102+parametros_manuales!$F$28*(datos_base!$K$4+IF(parametros_manuales!$H$28="Todos",datos_base!$K$11,0))*parametros_manuales!$K$107+parametros_manuales!$G$28*(datos_base!$K$5+IF(parametros_manuales!$H$28="Todos",datos_base!$K$12,0))*parametros_manuales!$K$112)*parametros_manuales!$I$28*parametros_manuales!$J$28</f>
        <v>18235.8575217</v>
      </c>
      <c r="L263" s="14" t="n">
        <f aca="false">(parametros_manuales!$D$28*(datos_base!$K$2+IF(parametros_manuales!$H$28="Todos",datos_base!$K$9,0))*parametros_manuales!$L$97+parametros_manuales!$E$28*(datos_base!$K$3+IF(parametros_manuales!$H$28="Todos",datos_base!$K$10,0))*parametros_manuales!$L$102+parametros_manuales!$F$28*(datos_base!$K$4+IF(parametros_manuales!$H$28="Todos",datos_base!$K$11,0))*parametros_manuales!$L$107+parametros_manuales!$G$28*(datos_base!$K$5+IF(parametros_manuales!$H$28="Todos",datos_base!$K$12,0))*parametros_manuales!$L$112)*parametros_manuales!$I$28*parametros_manuales!$J$28</f>
        <v>18235.8575217</v>
      </c>
      <c r="M263" s="14" t="n">
        <f aca="false">(parametros_manuales!$D$28*(datos_base!$K$2+IF(parametros_manuales!$H$28="Todos",datos_base!$K$9,0))*parametros_manuales!$M$97+parametros_manuales!$E$28*(datos_base!$K$3+IF(parametros_manuales!$H$28="Todos",datos_base!$K$10,0))*parametros_manuales!$M$102+parametros_manuales!$F$28*(datos_base!$K$4+IF(parametros_manuales!$H$28="Todos",datos_base!$K$11,0))*parametros_manuales!$M$107+parametros_manuales!$G$28*(datos_base!$K$5+IF(parametros_manuales!$H$28="Todos",datos_base!$K$12,0))*parametros_manuales!$M$112)*parametros_manuales!$I$28*parametros_manuales!$J$28</f>
        <v>18235.8575217</v>
      </c>
      <c r="N263" s="14" t="n">
        <f aca="false">SUM(B263:M263)</f>
        <v>202620.63913</v>
      </c>
      <c r="O263" s="14" t="n">
        <f aca="false">MAX(B263:M263)</f>
        <v>18235.8575217</v>
      </c>
      <c r="P263" s="57" t="n">
        <f aca="false">O263/(parametros_manuales!$B$7)</f>
        <v>121.572383478</v>
      </c>
      <c r="Q263" s="13" t="str">
        <f aca="false">IF(O263=0,"-",INDEX($B$253:$M$253,MATCH(O263,B263:M263,0)))</f>
        <v>Ene</v>
      </c>
    </row>
    <row r="264" customFormat="false" ht="14.25" hidden="false" customHeight="true" outlineLevel="0" collapsed="false">
      <c r="A264" s="13" t="str">
        <f aca="false">parametros_manuales!$B$29</f>
        <v>Encastre de fondo</v>
      </c>
      <c r="B264" s="14" t="n">
        <f aca="false">(parametros_manuales!$D$29*(datos_base!$K$2+IF(parametros_manuales!$H$29="Todos",datos_base!$K$9,0))*parametros_manuales!$B$97+parametros_manuales!$E$29*(datos_base!$K$3+IF(parametros_manuales!$H$29="Todos",datos_base!$K$10,0))*parametros_manuales!$B$102+parametros_manuales!$F$29*(datos_base!$K$4+IF(parametros_manuales!$H$29="Todos",datos_base!$K$11,0))*parametros_manuales!$B$107+parametros_manuales!$G$29*(datos_base!$K$5+IF(parametros_manuales!$H$29="Todos",datos_base!$K$12,0))*parametros_manuales!$B$112)*parametros_manuales!$I$29*parametros_manuales!$J$29</f>
        <v>25601.63079357</v>
      </c>
      <c r="C264" s="14" t="n">
        <f aca="false">(parametros_manuales!$D$29*(datos_base!$K$2+IF(parametros_manuales!$H$29="Todos",datos_base!$K$9,0))*parametros_manuales!$C$97+parametros_manuales!$E$29*(datos_base!$K$3+IF(parametros_manuales!$H$29="Todos",datos_base!$K$10,0))*parametros_manuales!$C$102+parametros_manuales!$F$29*(datos_base!$K$4+IF(parametros_manuales!$H$29="Todos",datos_base!$K$11,0))*parametros_manuales!$C$107+parametros_manuales!$G$29*(datos_base!$K$5+IF(parametros_manuales!$H$29="Todos",datos_base!$K$12,0))*parametros_manuales!$C$112)*parametros_manuales!$I$29*parametros_manuales!$J$29</f>
        <v>24783.21154114</v>
      </c>
      <c r="D264" s="14" t="n">
        <f aca="false">(parametros_manuales!$D$29*(datos_base!$K$2+IF(parametros_manuales!$H$29="Todos",datos_base!$K$9,0))*parametros_manuales!$D$97+parametros_manuales!$E$29*(datos_base!$K$3+IF(parametros_manuales!$H$29="Todos",datos_base!$K$10,0))*parametros_manuales!$D$102+parametros_manuales!$F$29*(datos_base!$K$4+IF(parametros_manuales!$H$29="Todos",datos_base!$K$11,0))*parametros_manuales!$D$107+parametros_manuales!$G$29*(datos_base!$K$5+IF(parametros_manuales!$H$29="Todos",datos_base!$K$12,0))*parametros_manuales!$D$112)*parametros_manuales!$I$29*parametros_manuales!$J$29</f>
        <v>23166.214776055</v>
      </c>
      <c r="E264" s="14" t="n">
        <f aca="false">(parametros_manuales!$D$29*(datos_base!$K$2+IF(parametros_manuales!$H$29="Todos",datos_base!$K$9,0))*parametros_manuales!$E$97+parametros_manuales!$E$29*(datos_base!$K$3+IF(parametros_manuales!$H$29="Todos",datos_base!$K$10,0))*parametros_manuales!$E$102+parametros_manuales!$F$29*(datos_base!$K$4+IF(parametros_manuales!$H$29="Todos",datos_base!$K$11,0))*parametros_manuales!$E$107+parametros_manuales!$G$29*(datos_base!$K$5+IF(parametros_manuales!$H$29="Todos",datos_base!$K$12,0))*parametros_manuales!$E$112)*parametros_manuales!$I$29*parametros_manuales!$J$29</f>
        <v>22153.111580405</v>
      </c>
      <c r="F264" s="14" t="n">
        <f aca="false">(parametros_manuales!$D$29*(datos_base!$K$2+IF(parametros_manuales!$H$29="Todos",datos_base!$K$9,0))*parametros_manuales!$F$97+parametros_manuales!$E$29*(datos_base!$K$3+IF(parametros_manuales!$H$29="Todos",datos_base!$K$10,0))*parametros_manuales!$F$102+parametros_manuales!$F$29*(datos_base!$K$4+IF(parametros_manuales!$H$29="Todos",datos_base!$K$11,0))*parametros_manuales!$F$107+parametros_manuales!$G$29*(datos_base!$K$5+IF(parametros_manuales!$H$29="Todos",datos_base!$K$12,0))*parametros_manuales!$F$112)*parametros_manuales!$I$29*parametros_manuales!$J$29</f>
        <v>20730.79875854</v>
      </c>
      <c r="G264" s="14" t="n">
        <f aca="false">(parametros_manuales!$D$29*(datos_base!$K$2+IF(parametros_manuales!$H$29="Todos",datos_base!$K$9,0))*parametros_manuales!$G$97+parametros_manuales!$E$29*(datos_base!$K$3+IF(parametros_manuales!$H$29="Todos",datos_base!$K$10,0))*parametros_manuales!$G$102+parametros_manuales!$F$29*(datos_base!$K$4+IF(parametros_manuales!$H$29="Todos",datos_base!$K$11,0))*parametros_manuales!$G$107+parametros_manuales!$G$29*(datos_base!$K$5+IF(parametros_manuales!$H$29="Todos",datos_base!$K$12,0))*parametros_manuales!$G$112)*parametros_manuales!$I$29*parametros_manuales!$J$29</f>
        <v>20321.589132325</v>
      </c>
      <c r="H264" s="14" t="n">
        <f aca="false">(parametros_manuales!$D$29*(datos_base!$K$2+IF(parametros_manuales!$H$29="Todos",datos_base!$K$9,0))*parametros_manuales!$H$97+parametros_manuales!$E$29*(datos_base!$K$3+IF(parametros_manuales!$H$29="Todos",datos_base!$K$10,0))*parametros_manuales!$H$102+parametros_manuales!$F$29*(datos_base!$K$4+IF(parametros_manuales!$H$29="Todos",datos_base!$K$11,0))*parametros_manuales!$H$107+parametros_manuales!$G$29*(datos_base!$K$5+IF(parametros_manuales!$H$29="Todos",datos_base!$K$12,0))*parametros_manuales!$H$112)*parametros_manuales!$I$29*parametros_manuales!$J$29</f>
        <v>21743.90195419</v>
      </c>
      <c r="I264" s="14" t="n">
        <f aca="false">(parametros_manuales!$D$29*(datos_base!$K$2+IF(parametros_manuales!$H$29="Todos",datos_base!$K$9,0))*parametros_manuales!$I$97+parametros_manuales!$E$29*(datos_base!$K$3+IF(parametros_manuales!$H$29="Todos",datos_base!$K$10,0))*parametros_manuales!$I$102+parametros_manuales!$F$29*(datos_base!$K$4+IF(parametros_manuales!$H$29="Todos",datos_base!$K$11,0))*parametros_manuales!$I$107+parametros_manuales!$G$29*(datos_base!$K$5+IF(parametros_manuales!$H$29="Todos",datos_base!$K$12,0))*parametros_manuales!$I$112)*parametros_manuales!$I$29*parametros_manuales!$J$29</f>
        <v>24783.21154114</v>
      </c>
      <c r="J264" s="14" t="n">
        <f aca="false">(parametros_manuales!$D$29*(datos_base!$K$2+IF(parametros_manuales!$H$29="Todos",datos_base!$K$9,0))*parametros_manuales!$J$97+parametros_manuales!$E$29*(datos_base!$K$3+IF(parametros_manuales!$H$29="Todos",datos_base!$K$10,0))*parametros_manuales!$J$102+parametros_manuales!$F$29*(datos_base!$K$4+IF(parametros_manuales!$H$29="Todos",datos_base!$K$11,0))*parametros_manuales!$J$107+parametros_manuales!$G$29*(datos_base!$K$5+IF(parametros_manuales!$H$29="Todos",datos_base!$K$12,0))*parametros_manuales!$J$112)*parametros_manuales!$I$29*parametros_manuales!$J$29</f>
        <v>24783.21154114</v>
      </c>
      <c r="K264" s="14" t="n">
        <f aca="false">(parametros_manuales!$D$29*(datos_base!$K$2+IF(parametros_manuales!$H$29="Todos",datos_base!$K$9,0))*parametros_manuales!$K$97+parametros_manuales!$E$29*(datos_base!$K$3+IF(parametros_manuales!$H$29="Todos",datos_base!$K$10,0))*parametros_manuales!$K$102+parametros_manuales!$F$29*(datos_base!$K$4+IF(parametros_manuales!$H$29="Todos",datos_base!$K$11,0))*parametros_manuales!$K$107+parametros_manuales!$G$29*(datos_base!$K$5+IF(parametros_manuales!$H$29="Todos",datos_base!$K$12,0))*parametros_manuales!$K$112)*parametros_manuales!$I$29*parametros_manuales!$J$29</f>
        <v>25192.421167355</v>
      </c>
      <c r="L264" s="14" t="n">
        <f aca="false">(parametros_manuales!$D$29*(datos_base!$K$2+IF(parametros_manuales!$H$29="Todos",datos_base!$K$9,0))*parametros_manuales!$L$97+parametros_manuales!$E$29*(datos_base!$K$3+IF(parametros_manuales!$H$29="Todos",datos_base!$K$10,0))*parametros_manuales!$L$102+parametros_manuales!$F$29*(datos_base!$K$4+IF(parametros_manuales!$H$29="Todos",datos_base!$K$11,0))*parametros_manuales!$L$107+parametros_manuales!$G$29*(datos_base!$K$5+IF(parametros_manuales!$H$29="Todos",datos_base!$K$12,0))*parametros_manuales!$L$112)*parametros_manuales!$I$29*parametros_manuales!$J$29</f>
        <v>25601.63079357</v>
      </c>
      <c r="M264" s="14" t="n">
        <f aca="false">(parametros_manuales!$D$29*(datos_base!$K$2+IF(parametros_manuales!$H$29="Todos",datos_base!$K$9,0))*parametros_manuales!$M$97+parametros_manuales!$E$29*(datos_base!$K$3+IF(parametros_manuales!$H$29="Todos",datos_base!$K$10,0))*parametros_manuales!$M$102+parametros_manuales!$F$29*(datos_base!$K$4+IF(parametros_manuales!$H$29="Todos",datos_base!$K$11,0))*parametros_manuales!$M$107+parametros_manuales!$G$29*(datos_base!$K$5+IF(parametros_manuales!$H$29="Todos",datos_base!$K$12,0))*parametros_manuales!$M$112)*parametros_manuales!$I$29*parametros_manuales!$J$29</f>
        <v>25601.63079357</v>
      </c>
      <c r="N264" s="14" t="n">
        <f aca="false">SUM(B264:M264)</f>
        <v>284462.564373</v>
      </c>
      <c r="O264" s="14" t="n">
        <f aca="false">MAX(B264:M264)</f>
        <v>25601.63079357</v>
      </c>
      <c r="P264" s="57" t="n">
        <f aca="false">O264/(parametros_manuales!$B$7)</f>
        <v>170.6775386238</v>
      </c>
      <c r="Q264" s="13" t="str">
        <f aca="false">IF(O264=0,"-",INDEX($B$253:$M$253,MATCH(O264,B264:M264,0)))</f>
        <v>Ene</v>
      </c>
    </row>
    <row r="265" customFormat="false" ht="14.25" hidden="false" customHeight="true" outlineLevel="0" collapsed="false">
      <c r="A265" s="13" t="str">
        <f aca="false">parametros_manuales!$B$30</f>
        <v>Bordoneado</v>
      </c>
      <c r="B265" s="14" t="n">
        <f aca="false">(parametros_manuales!$D$30*(datos_base!$K$2+IF(parametros_manuales!$H$30="Todos",datos_base!$K$9,0))*parametros_manuales!$B$97+parametros_manuales!$E$30*(datos_base!$K$3+IF(parametros_manuales!$H$30="Todos",datos_base!$K$10,0))*parametros_manuales!$B$102+parametros_manuales!$F$30*(datos_base!$K$4+IF(parametros_manuales!$H$30="Todos",datos_base!$K$11,0))*parametros_manuales!$B$107+parametros_manuales!$G$30*(datos_base!$K$5+IF(parametros_manuales!$H$30="Todos",datos_base!$K$12,0))*parametros_manuales!$B$112)*parametros_manuales!$I$30*parametros_manuales!$J$30</f>
        <v>25601.63079357</v>
      </c>
      <c r="C265" s="14" t="n">
        <f aca="false">(parametros_manuales!$D$30*(datos_base!$K$2+IF(parametros_manuales!$H$30="Todos",datos_base!$K$9,0))*parametros_manuales!$C$97+parametros_manuales!$E$30*(datos_base!$K$3+IF(parametros_manuales!$H$30="Todos",datos_base!$K$10,0))*parametros_manuales!$C$102+parametros_manuales!$F$30*(datos_base!$K$4+IF(parametros_manuales!$H$30="Todos",datos_base!$K$11,0))*parametros_manuales!$C$107+parametros_manuales!$G$30*(datos_base!$K$5+IF(parametros_manuales!$H$30="Todos",datos_base!$K$12,0))*parametros_manuales!$C$112)*parametros_manuales!$I$30*parametros_manuales!$J$30</f>
        <v>24783.21154114</v>
      </c>
      <c r="D265" s="14" t="n">
        <f aca="false">(parametros_manuales!$D$30*(datos_base!$K$2+IF(parametros_manuales!$H$30="Todos",datos_base!$K$9,0))*parametros_manuales!$D$97+parametros_manuales!$E$30*(datos_base!$K$3+IF(parametros_manuales!$H$30="Todos",datos_base!$K$10,0))*parametros_manuales!$D$102+parametros_manuales!$F$30*(datos_base!$K$4+IF(parametros_manuales!$H$30="Todos",datos_base!$K$11,0))*parametros_manuales!$D$107+parametros_manuales!$G$30*(datos_base!$K$5+IF(parametros_manuales!$H$30="Todos",datos_base!$K$12,0))*parametros_manuales!$D$112)*parametros_manuales!$I$30*parametros_manuales!$J$30</f>
        <v>23166.214776055</v>
      </c>
      <c r="E265" s="14" t="n">
        <f aca="false">(parametros_manuales!$D$30*(datos_base!$K$2+IF(parametros_manuales!$H$30="Todos",datos_base!$K$9,0))*parametros_manuales!$E$97+parametros_manuales!$E$30*(datos_base!$K$3+IF(parametros_manuales!$H$30="Todos",datos_base!$K$10,0))*parametros_manuales!$E$102+parametros_manuales!$F$30*(datos_base!$K$4+IF(parametros_manuales!$H$30="Todos",datos_base!$K$11,0))*parametros_manuales!$E$107+parametros_manuales!$G$30*(datos_base!$K$5+IF(parametros_manuales!$H$30="Todos",datos_base!$K$12,0))*parametros_manuales!$E$112)*parametros_manuales!$I$30*parametros_manuales!$J$30</f>
        <v>22153.111580405</v>
      </c>
      <c r="F265" s="14" t="n">
        <f aca="false">(parametros_manuales!$D$30*(datos_base!$K$2+IF(parametros_manuales!$H$30="Todos",datos_base!$K$9,0))*parametros_manuales!$F$97+parametros_manuales!$E$30*(datos_base!$K$3+IF(parametros_manuales!$H$30="Todos",datos_base!$K$10,0))*parametros_manuales!$F$102+parametros_manuales!$F$30*(datos_base!$K$4+IF(parametros_manuales!$H$30="Todos",datos_base!$K$11,0))*parametros_manuales!$F$107+parametros_manuales!$G$30*(datos_base!$K$5+IF(parametros_manuales!$H$30="Todos",datos_base!$K$12,0))*parametros_manuales!$F$112)*parametros_manuales!$I$30*parametros_manuales!$J$30</f>
        <v>20730.79875854</v>
      </c>
      <c r="G265" s="14" t="n">
        <f aca="false">(parametros_manuales!$D$30*(datos_base!$K$2+IF(parametros_manuales!$H$30="Todos",datos_base!$K$9,0))*parametros_manuales!$G$97+parametros_manuales!$E$30*(datos_base!$K$3+IF(parametros_manuales!$H$30="Todos",datos_base!$K$10,0))*parametros_manuales!$G$102+parametros_manuales!$F$30*(datos_base!$K$4+IF(parametros_manuales!$H$30="Todos",datos_base!$K$11,0))*parametros_manuales!$G$107+parametros_manuales!$G$30*(datos_base!$K$5+IF(parametros_manuales!$H$30="Todos",datos_base!$K$12,0))*parametros_manuales!$G$112)*parametros_manuales!$I$30*parametros_manuales!$J$30</f>
        <v>20321.589132325</v>
      </c>
      <c r="H265" s="14" t="n">
        <f aca="false">(parametros_manuales!$D$30*(datos_base!$K$2+IF(parametros_manuales!$H$30="Todos",datos_base!$K$9,0))*parametros_manuales!$H$97+parametros_manuales!$E$30*(datos_base!$K$3+IF(parametros_manuales!$H$30="Todos",datos_base!$K$10,0))*parametros_manuales!$H$102+parametros_manuales!$F$30*(datos_base!$K$4+IF(parametros_manuales!$H$30="Todos",datos_base!$K$11,0))*parametros_manuales!$H$107+parametros_manuales!$G$30*(datos_base!$K$5+IF(parametros_manuales!$H$30="Todos",datos_base!$K$12,0))*parametros_manuales!$H$112)*parametros_manuales!$I$30*parametros_manuales!$J$30</f>
        <v>21743.90195419</v>
      </c>
      <c r="I265" s="14" t="n">
        <f aca="false">(parametros_manuales!$D$30*(datos_base!$K$2+IF(parametros_manuales!$H$30="Todos",datos_base!$K$9,0))*parametros_manuales!$I$97+parametros_manuales!$E$30*(datos_base!$K$3+IF(parametros_manuales!$H$30="Todos",datos_base!$K$10,0))*parametros_manuales!$I$102+parametros_manuales!$F$30*(datos_base!$K$4+IF(parametros_manuales!$H$30="Todos",datos_base!$K$11,0))*parametros_manuales!$I$107+parametros_manuales!$G$30*(datos_base!$K$5+IF(parametros_manuales!$H$30="Todos",datos_base!$K$12,0))*parametros_manuales!$I$112)*parametros_manuales!$I$30*parametros_manuales!$J$30</f>
        <v>24783.21154114</v>
      </c>
      <c r="J265" s="14" t="n">
        <f aca="false">(parametros_manuales!$D$30*(datos_base!$K$2+IF(parametros_manuales!$H$30="Todos",datos_base!$K$9,0))*parametros_manuales!$J$97+parametros_manuales!$E$30*(datos_base!$K$3+IF(parametros_manuales!$H$30="Todos",datos_base!$K$10,0))*parametros_manuales!$J$102+parametros_manuales!$F$30*(datos_base!$K$4+IF(parametros_manuales!$H$30="Todos",datos_base!$K$11,0))*parametros_manuales!$J$107+parametros_manuales!$G$30*(datos_base!$K$5+IF(parametros_manuales!$H$30="Todos",datos_base!$K$12,0))*parametros_manuales!$J$112)*parametros_manuales!$I$30*parametros_manuales!$J$30</f>
        <v>24783.21154114</v>
      </c>
      <c r="K265" s="14" t="n">
        <f aca="false">(parametros_manuales!$D$30*(datos_base!$K$2+IF(parametros_manuales!$H$30="Todos",datos_base!$K$9,0))*parametros_manuales!$K$97+parametros_manuales!$E$30*(datos_base!$K$3+IF(parametros_manuales!$H$30="Todos",datos_base!$K$10,0))*parametros_manuales!$K$102+parametros_manuales!$F$30*(datos_base!$K$4+IF(parametros_manuales!$H$30="Todos",datos_base!$K$11,0))*parametros_manuales!$K$107+parametros_manuales!$G$30*(datos_base!$K$5+IF(parametros_manuales!$H$30="Todos",datos_base!$K$12,0))*parametros_manuales!$K$112)*parametros_manuales!$I$30*parametros_manuales!$J$30</f>
        <v>25192.421167355</v>
      </c>
      <c r="L265" s="14" t="n">
        <f aca="false">(parametros_manuales!$D$30*(datos_base!$K$2+IF(parametros_manuales!$H$30="Todos",datos_base!$K$9,0))*parametros_manuales!$L$97+parametros_manuales!$E$30*(datos_base!$K$3+IF(parametros_manuales!$H$30="Todos",datos_base!$K$10,0))*parametros_manuales!$L$102+parametros_manuales!$F$30*(datos_base!$K$4+IF(parametros_manuales!$H$30="Todos",datos_base!$K$11,0))*parametros_manuales!$L$107+parametros_manuales!$G$30*(datos_base!$K$5+IF(parametros_manuales!$H$30="Todos",datos_base!$K$12,0))*parametros_manuales!$L$112)*parametros_manuales!$I$30*parametros_manuales!$J$30</f>
        <v>25601.63079357</v>
      </c>
      <c r="M265" s="14" t="n">
        <f aca="false">(parametros_manuales!$D$30*(datos_base!$K$2+IF(parametros_manuales!$H$30="Todos",datos_base!$K$9,0))*parametros_manuales!$M$97+parametros_manuales!$E$30*(datos_base!$K$3+IF(parametros_manuales!$H$30="Todos",datos_base!$K$10,0))*parametros_manuales!$M$102+parametros_manuales!$F$30*(datos_base!$K$4+IF(parametros_manuales!$H$30="Todos",datos_base!$K$11,0))*parametros_manuales!$M$107+parametros_manuales!$G$30*(datos_base!$K$5+IF(parametros_manuales!$H$30="Todos",datos_base!$K$12,0))*parametros_manuales!$M$112)*parametros_manuales!$I$30*parametros_manuales!$J$30</f>
        <v>25601.63079357</v>
      </c>
      <c r="N265" s="14" t="n">
        <f aca="false">SUM(B265:M265)</f>
        <v>284462.564373</v>
      </c>
      <c r="O265" s="14" t="n">
        <f aca="false">MAX(B265:M265)</f>
        <v>25601.63079357</v>
      </c>
      <c r="P265" s="57" t="n">
        <f aca="false">O265/(parametros_manuales!$B$7)</f>
        <v>170.6775386238</v>
      </c>
      <c r="Q265" s="13" t="str">
        <f aca="false">IF(O265=0,"-",INDEX($B$253:$M$253,MATCH(O265,B265:M265,0)))</f>
        <v>Ene</v>
      </c>
    </row>
    <row r="266" customFormat="false" ht="14.25" hidden="false" customHeight="true" outlineLevel="0" collapsed="false">
      <c r="A266" s="13" t="str">
        <f aca="false">parametros_manuales!$B$31</f>
        <v>Soldadura circunferencial de cúpula y fondo</v>
      </c>
      <c r="B266" s="14" t="n">
        <f aca="false">(parametros_manuales!$D$31*(datos_base!$K$2+IF(parametros_manuales!$H$31="Todos",datos_base!$K$9,0))*parametros_manuales!$B$97+parametros_manuales!$E$31*(datos_base!$K$3+IF(parametros_manuales!$H$31="Todos",datos_base!$K$10,0))*parametros_manuales!$B$102+parametros_manuales!$F$31*(datos_base!$K$4+IF(parametros_manuales!$H$31="Todos",datos_base!$K$11,0))*parametros_manuales!$B$107+parametros_manuales!$G$31*(datos_base!$K$5+IF(parametros_manuales!$H$31="Todos",datos_base!$K$12,0))*parametros_manuales!$B$112)*parametros_manuales!$I$31*parametros_manuales!$J$31</f>
        <v>25601.63079357</v>
      </c>
      <c r="C266" s="14" t="n">
        <f aca="false">(parametros_manuales!$D$31*(datos_base!$K$2+IF(parametros_manuales!$H$31="Todos",datos_base!$K$9,0))*parametros_manuales!$C$97+parametros_manuales!$E$31*(datos_base!$K$3+IF(parametros_manuales!$H$31="Todos",datos_base!$K$10,0))*parametros_manuales!$C$102+parametros_manuales!$F$31*(datos_base!$K$4+IF(parametros_manuales!$H$31="Todos",datos_base!$K$11,0))*parametros_manuales!$C$107+parametros_manuales!$G$31*(datos_base!$K$5+IF(parametros_manuales!$H$31="Todos",datos_base!$K$12,0))*parametros_manuales!$C$112)*parametros_manuales!$I$31*parametros_manuales!$J$31</f>
        <v>24783.21154114</v>
      </c>
      <c r="D266" s="14" t="n">
        <f aca="false">(parametros_manuales!$D$31*(datos_base!$K$2+IF(parametros_manuales!$H$31="Todos",datos_base!$K$9,0))*parametros_manuales!$D$97+parametros_manuales!$E$31*(datos_base!$K$3+IF(parametros_manuales!$H$31="Todos",datos_base!$K$10,0))*parametros_manuales!$D$102+parametros_manuales!$F$31*(datos_base!$K$4+IF(parametros_manuales!$H$31="Todos",datos_base!$K$11,0))*parametros_manuales!$D$107+parametros_manuales!$G$31*(datos_base!$K$5+IF(parametros_manuales!$H$31="Todos",datos_base!$K$12,0))*parametros_manuales!$D$112)*parametros_manuales!$I$31*parametros_manuales!$J$31</f>
        <v>23166.214776055</v>
      </c>
      <c r="E266" s="14" t="n">
        <f aca="false">(parametros_manuales!$D$31*(datos_base!$K$2+IF(parametros_manuales!$H$31="Todos",datos_base!$K$9,0))*parametros_manuales!$E$97+parametros_manuales!$E$31*(datos_base!$K$3+IF(parametros_manuales!$H$31="Todos",datos_base!$K$10,0))*parametros_manuales!$E$102+parametros_manuales!$F$31*(datos_base!$K$4+IF(parametros_manuales!$H$31="Todos",datos_base!$K$11,0))*parametros_manuales!$E$107+parametros_manuales!$G$31*(datos_base!$K$5+IF(parametros_manuales!$H$31="Todos",datos_base!$K$12,0))*parametros_manuales!$E$112)*parametros_manuales!$I$31*parametros_manuales!$J$31</f>
        <v>22153.111580405</v>
      </c>
      <c r="F266" s="14" t="n">
        <f aca="false">(parametros_manuales!$D$31*(datos_base!$K$2+IF(parametros_manuales!$H$31="Todos",datos_base!$K$9,0))*parametros_manuales!$F$97+parametros_manuales!$E$31*(datos_base!$K$3+IF(parametros_manuales!$H$31="Todos",datos_base!$K$10,0))*parametros_manuales!$F$102+parametros_manuales!$F$31*(datos_base!$K$4+IF(parametros_manuales!$H$31="Todos",datos_base!$K$11,0))*parametros_manuales!$F$107+parametros_manuales!$G$31*(datos_base!$K$5+IF(parametros_manuales!$H$31="Todos",datos_base!$K$12,0))*parametros_manuales!$F$112)*parametros_manuales!$I$31*parametros_manuales!$J$31</f>
        <v>20730.79875854</v>
      </c>
      <c r="G266" s="14" t="n">
        <f aca="false">(parametros_manuales!$D$31*(datos_base!$K$2+IF(parametros_manuales!$H$31="Todos",datos_base!$K$9,0))*parametros_manuales!$G$97+parametros_manuales!$E$31*(datos_base!$K$3+IF(parametros_manuales!$H$31="Todos",datos_base!$K$10,0))*parametros_manuales!$G$102+parametros_manuales!$F$31*(datos_base!$K$4+IF(parametros_manuales!$H$31="Todos",datos_base!$K$11,0))*parametros_manuales!$G$107+parametros_manuales!$G$31*(datos_base!$K$5+IF(parametros_manuales!$H$31="Todos",datos_base!$K$12,0))*parametros_manuales!$G$112)*parametros_manuales!$I$31*parametros_manuales!$J$31</f>
        <v>20321.589132325</v>
      </c>
      <c r="H266" s="14" t="n">
        <f aca="false">(parametros_manuales!$D$31*(datos_base!$K$2+IF(parametros_manuales!$H$31="Todos",datos_base!$K$9,0))*parametros_manuales!$H$97+parametros_manuales!$E$31*(datos_base!$K$3+IF(parametros_manuales!$H$31="Todos",datos_base!$K$10,0))*parametros_manuales!$H$102+parametros_manuales!$F$31*(datos_base!$K$4+IF(parametros_manuales!$H$31="Todos",datos_base!$K$11,0))*parametros_manuales!$H$107+parametros_manuales!$G$31*(datos_base!$K$5+IF(parametros_manuales!$H$31="Todos",datos_base!$K$12,0))*parametros_manuales!$H$112)*parametros_manuales!$I$31*parametros_manuales!$J$31</f>
        <v>21743.90195419</v>
      </c>
      <c r="I266" s="14" t="n">
        <f aca="false">(parametros_manuales!$D$31*(datos_base!$K$2+IF(parametros_manuales!$H$31="Todos",datos_base!$K$9,0))*parametros_manuales!$I$97+parametros_manuales!$E$31*(datos_base!$K$3+IF(parametros_manuales!$H$31="Todos",datos_base!$K$10,0))*parametros_manuales!$I$102+parametros_manuales!$F$31*(datos_base!$K$4+IF(parametros_manuales!$H$31="Todos",datos_base!$K$11,0))*parametros_manuales!$I$107+parametros_manuales!$G$31*(datos_base!$K$5+IF(parametros_manuales!$H$31="Todos",datos_base!$K$12,0))*parametros_manuales!$I$112)*parametros_manuales!$I$31*parametros_manuales!$J$31</f>
        <v>24783.21154114</v>
      </c>
      <c r="J266" s="14" t="n">
        <f aca="false">(parametros_manuales!$D$31*(datos_base!$K$2+IF(parametros_manuales!$H$31="Todos",datos_base!$K$9,0))*parametros_manuales!$J$97+parametros_manuales!$E$31*(datos_base!$K$3+IF(parametros_manuales!$H$31="Todos",datos_base!$K$10,0))*parametros_manuales!$J$102+parametros_manuales!$F$31*(datos_base!$K$4+IF(parametros_manuales!$H$31="Todos",datos_base!$K$11,0))*parametros_manuales!$J$107+parametros_manuales!$G$31*(datos_base!$K$5+IF(parametros_manuales!$H$31="Todos",datos_base!$K$12,0))*parametros_manuales!$J$112)*parametros_manuales!$I$31*parametros_manuales!$J$31</f>
        <v>24783.21154114</v>
      </c>
      <c r="K266" s="14" t="n">
        <f aca="false">(parametros_manuales!$D$31*(datos_base!$K$2+IF(parametros_manuales!$H$31="Todos",datos_base!$K$9,0))*parametros_manuales!$K$97+parametros_manuales!$E$31*(datos_base!$K$3+IF(parametros_manuales!$H$31="Todos",datos_base!$K$10,0))*parametros_manuales!$K$102+parametros_manuales!$F$31*(datos_base!$K$4+IF(parametros_manuales!$H$31="Todos",datos_base!$K$11,0))*parametros_manuales!$K$107+parametros_manuales!$G$31*(datos_base!$K$5+IF(parametros_manuales!$H$31="Todos",datos_base!$K$12,0))*parametros_manuales!$K$112)*parametros_manuales!$I$31*parametros_manuales!$J$31</f>
        <v>25192.421167355</v>
      </c>
      <c r="L266" s="14" t="n">
        <f aca="false">(parametros_manuales!$D$31*(datos_base!$K$2+IF(parametros_manuales!$H$31="Todos",datos_base!$K$9,0))*parametros_manuales!$L$97+parametros_manuales!$E$31*(datos_base!$K$3+IF(parametros_manuales!$H$31="Todos",datos_base!$K$10,0))*parametros_manuales!$L$102+parametros_manuales!$F$31*(datos_base!$K$4+IF(parametros_manuales!$H$31="Todos",datos_base!$K$11,0))*parametros_manuales!$L$107+parametros_manuales!$G$31*(datos_base!$K$5+IF(parametros_manuales!$H$31="Todos",datos_base!$K$12,0))*parametros_manuales!$L$112)*parametros_manuales!$I$31*parametros_manuales!$J$31</f>
        <v>25601.63079357</v>
      </c>
      <c r="M266" s="14" t="n">
        <f aca="false">(parametros_manuales!$D$31*(datos_base!$K$2+IF(parametros_manuales!$H$31="Todos",datos_base!$K$9,0))*parametros_manuales!$M$97+parametros_manuales!$E$31*(datos_base!$K$3+IF(parametros_manuales!$H$31="Todos",datos_base!$K$10,0))*parametros_manuales!$M$102+parametros_manuales!$F$31*(datos_base!$K$4+IF(parametros_manuales!$H$31="Todos",datos_base!$K$11,0))*parametros_manuales!$M$107+parametros_manuales!$G$31*(datos_base!$K$5+IF(parametros_manuales!$H$31="Todos",datos_base!$K$12,0))*parametros_manuales!$M$112)*parametros_manuales!$I$31*parametros_manuales!$J$31</f>
        <v>25601.63079357</v>
      </c>
      <c r="N266" s="14" t="n">
        <f aca="false">SUM(B266:M266)</f>
        <v>284462.564373</v>
      </c>
      <c r="O266" s="14" t="n">
        <f aca="false">MAX(B266:M266)</f>
        <v>25601.63079357</v>
      </c>
      <c r="P266" s="57" t="n">
        <f aca="false">O266/(parametros_manuales!$B$7)</f>
        <v>170.6775386238</v>
      </c>
      <c r="Q266" s="13" t="str">
        <f aca="false">IF(O266=0,"-",INDEX($B$253:$M$253,MATCH(O266,B266:M266,0)))</f>
        <v>Ene</v>
      </c>
    </row>
    <row r="267" customFormat="false" ht="14.25" hidden="false" customHeight="true" outlineLevel="0" collapsed="false">
      <c r="A267" s="13" t="str">
        <f aca="false">parametros_manuales!$B$32</f>
        <v>Control de calidad — Espesor</v>
      </c>
      <c r="B267" s="14" t="n">
        <f aca="false">(parametros_manuales!$D$32*(datos_base!$K$2+IF(parametros_manuales!$H$32="Todos",datos_base!$K$9,0))*parametros_manuales!$B$97+parametros_manuales!$E$32*(datos_base!$K$3+IF(parametros_manuales!$H$32="Todos",datos_base!$K$10,0))*parametros_manuales!$B$102+parametros_manuales!$F$32*(datos_base!$K$4+IF(parametros_manuales!$H$32="Todos",datos_base!$K$11,0))*parametros_manuales!$B$107+parametros_manuales!$G$32*(datos_base!$K$5+IF(parametros_manuales!$H$32="Todos",datos_base!$K$12,0))*parametros_manuales!$B$112)*parametros_manuales!$I$32*parametros_manuales!$J$32</f>
        <v>512.0326158714</v>
      </c>
      <c r="C267" s="14" t="n">
        <f aca="false">(parametros_manuales!$D$32*(datos_base!$K$2+IF(parametros_manuales!$H$32="Todos",datos_base!$K$9,0))*parametros_manuales!$C$97+parametros_manuales!$E$32*(datos_base!$K$3+IF(parametros_manuales!$H$32="Todos",datos_base!$K$10,0))*parametros_manuales!$C$102+parametros_manuales!$F$32*(datos_base!$K$4+IF(parametros_manuales!$H$32="Todos",datos_base!$K$11,0))*parametros_manuales!$C$107+parametros_manuales!$G$32*(datos_base!$K$5+IF(parametros_manuales!$H$32="Todos",datos_base!$K$12,0))*parametros_manuales!$C$112)*parametros_manuales!$I$32*parametros_manuales!$J$32</f>
        <v>495.6642308228</v>
      </c>
      <c r="D267" s="14" t="n">
        <f aca="false">(parametros_manuales!$D$32*(datos_base!$K$2+IF(parametros_manuales!$H$32="Todos",datos_base!$K$9,0))*parametros_manuales!$D$97+parametros_manuales!$E$32*(datos_base!$K$3+IF(parametros_manuales!$H$32="Todos",datos_base!$K$10,0))*parametros_manuales!$D$102+parametros_manuales!$F$32*(datos_base!$K$4+IF(parametros_manuales!$H$32="Todos",datos_base!$K$11,0))*parametros_manuales!$D$107+parametros_manuales!$G$32*(datos_base!$K$5+IF(parametros_manuales!$H$32="Todos",datos_base!$K$12,0))*parametros_manuales!$D$112)*parametros_manuales!$I$32*parametros_manuales!$J$32</f>
        <v>463.3242955211</v>
      </c>
      <c r="E267" s="14" t="n">
        <f aca="false">(parametros_manuales!$D$32*(datos_base!$K$2+IF(parametros_manuales!$H$32="Todos",datos_base!$K$9,0))*parametros_manuales!$E$97+parametros_manuales!$E$32*(datos_base!$K$3+IF(parametros_manuales!$H$32="Todos",datos_base!$K$10,0))*parametros_manuales!$E$102+parametros_manuales!$F$32*(datos_base!$K$4+IF(parametros_manuales!$H$32="Todos",datos_base!$K$11,0))*parametros_manuales!$E$107+parametros_manuales!$G$32*(datos_base!$K$5+IF(parametros_manuales!$H$32="Todos",datos_base!$K$12,0))*parametros_manuales!$E$112)*parametros_manuales!$I$32*parametros_manuales!$J$32</f>
        <v>443.0622316081</v>
      </c>
      <c r="F267" s="14" t="n">
        <f aca="false">(parametros_manuales!$D$32*(datos_base!$K$2+IF(parametros_manuales!$H$32="Todos",datos_base!$K$9,0))*parametros_manuales!$F$97+parametros_manuales!$E$32*(datos_base!$K$3+IF(parametros_manuales!$H$32="Todos",datos_base!$K$10,0))*parametros_manuales!$F$102+parametros_manuales!$F$32*(datos_base!$K$4+IF(parametros_manuales!$H$32="Todos",datos_base!$K$11,0))*parametros_manuales!$F$107+parametros_manuales!$G$32*(datos_base!$K$5+IF(parametros_manuales!$H$32="Todos",datos_base!$K$12,0))*parametros_manuales!$F$112)*parametros_manuales!$I$32*parametros_manuales!$J$32</f>
        <v>414.6159751708</v>
      </c>
      <c r="G267" s="14" t="n">
        <f aca="false">(parametros_manuales!$D$32*(datos_base!$K$2+IF(parametros_manuales!$H$32="Todos",datos_base!$K$9,0))*parametros_manuales!$G$97+parametros_manuales!$E$32*(datos_base!$K$3+IF(parametros_manuales!$H$32="Todos",datos_base!$K$10,0))*parametros_manuales!$G$102+parametros_manuales!$F$32*(datos_base!$K$4+IF(parametros_manuales!$H$32="Todos",datos_base!$K$11,0))*parametros_manuales!$G$107+parametros_manuales!$G$32*(datos_base!$K$5+IF(parametros_manuales!$H$32="Todos",datos_base!$K$12,0))*parametros_manuales!$G$112)*parametros_manuales!$I$32*parametros_manuales!$J$32</f>
        <v>406.4317826465</v>
      </c>
      <c r="H267" s="14" t="n">
        <f aca="false">(parametros_manuales!$D$32*(datos_base!$K$2+IF(parametros_manuales!$H$32="Todos",datos_base!$K$9,0))*parametros_manuales!$H$97+parametros_manuales!$E$32*(datos_base!$K$3+IF(parametros_manuales!$H$32="Todos",datos_base!$K$10,0))*parametros_manuales!$H$102+parametros_manuales!$F$32*(datos_base!$K$4+IF(parametros_manuales!$H$32="Todos",datos_base!$K$11,0))*parametros_manuales!$H$107+parametros_manuales!$G$32*(datos_base!$K$5+IF(parametros_manuales!$H$32="Todos",datos_base!$K$12,0))*parametros_manuales!$H$112)*parametros_manuales!$I$32*parametros_manuales!$J$32</f>
        <v>434.8780390838</v>
      </c>
      <c r="I267" s="14" t="n">
        <f aca="false">(parametros_manuales!$D$32*(datos_base!$K$2+IF(parametros_manuales!$H$32="Todos",datos_base!$K$9,0))*parametros_manuales!$I$97+parametros_manuales!$E$32*(datos_base!$K$3+IF(parametros_manuales!$H$32="Todos",datos_base!$K$10,0))*parametros_manuales!$I$102+parametros_manuales!$F$32*(datos_base!$K$4+IF(parametros_manuales!$H$32="Todos",datos_base!$K$11,0))*parametros_manuales!$I$107+parametros_manuales!$G$32*(datos_base!$K$5+IF(parametros_manuales!$H$32="Todos",datos_base!$K$12,0))*parametros_manuales!$I$112)*parametros_manuales!$I$32*parametros_manuales!$J$32</f>
        <v>495.6642308228</v>
      </c>
      <c r="J267" s="14" t="n">
        <f aca="false">(parametros_manuales!$D$32*(datos_base!$K$2+IF(parametros_manuales!$H$32="Todos",datos_base!$K$9,0))*parametros_manuales!$J$97+parametros_manuales!$E$32*(datos_base!$K$3+IF(parametros_manuales!$H$32="Todos",datos_base!$K$10,0))*parametros_manuales!$J$102+parametros_manuales!$F$32*(datos_base!$K$4+IF(parametros_manuales!$H$32="Todos",datos_base!$K$11,0))*parametros_manuales!$J$107+parametros_manuales!$G$32*(datos_base!$K$5+IF(parametros_manuales!$H$32="Todos",datos_base!$K$12,0))*parametros_manuales!$J$112)*parametros_manuales!$I$32*parametros_manuales!$J$32</f>
        <v>495.6642308228</v>
      </c>
      <c r="K267" s="14" t="n">
        <f aca="false">(parametros_manuales!$D$32*(datos_base!$K$2+IF(parametros_manuales!$H$32="Todos",datos_base!$K$9,0))*parametros_manuales!$K$97+parametros_manuales!$E$32*(datos_base!$K$3+IF(parametros_manuales!$H$32="Todos",datos_base!$K$10,0))*parametros_manuales!$K$102+parametros_manuales!$F$32*(datos_base!$K$4+IF(parametros_manuales!$H$32="Todos",datos_base!$K$11,0))*parametros_manuales!$K$107+parametros_manuales!$G$32*(datos_base!$K$5+IF(parametros_manuales!$H$32="Todos",datos_base!$K$12,0))*parametros_manuales!$K$112)*parametros_manuales!$I$32*parametros_manuales!$J$32</f>
        <v>503.8484233471</v>
      </c>
      <c r="L267" s="14" t="n">
        <f aca="false">(parametros_manuales!$D$32*(datos_base!$K$2+IF(parametros_manuales!$H$32="Todos",datos_base!$K$9,0))*parametros_manuales!$L$97+parametros_manuales!$E$32*(datos_base!$K$3+IF(parametros_manuales!$H$32="Todos",datos_base!$K$10,0))*parametros_manuales!$L$102+parametros_manuales!$F$32*(datos_base!$K$4+IF(parametros_manuales!$H$32="Todos",datos_base!$K$11,0))*parametros_manuales!$L$107+parametros_manuales!$G$32*(datos_base!$K$5+IF(parametros_manuales!$H$32="Todos",datos_base!$K$12,0))*parametros_manuales!$L$112)*parametros_manuales!$I$32*parametros_manuales!$J$32</f>
        <v>512.0326158714</v>
      </c>
      <c r="M267" s="14" t="n">
        <f aca="false">(parametros_manuales!$D$32*(datos_base!$K$2+IF(parametros_manuales!$H$32="Todos",datos_base!$K$9,0))*parametros_manuales!$M$97+parametros_manuales!$E$32*(datos_base!$K$3+IF(parametros_manuales!$H$32="Todos",datos_base!$K$10,0))*parametros_manuales!$M$102+parametros_manuales!$F$32*(datos_base!$K$4+IF(parametros_manuales!$H$32="Todos",datos_base!$K$11,0))*parametros_manuales!$M$107+parametros_manuales!$G$32*(datos_base!$K$5+IF(parametros_manuales!$H$32="Todos",datos_base!$K$12,0))*parametros_manuales!$M$112)*parametros_manuales!$I$32*parametros_manuales!$J$32</f>
        <v>512.0326158714</v>
      </c>
      <c r="N267" s="14" t="n">
        <f aca="false">SUM(B267:M267)</f>
        <v>5689.25128746</v>
      </c>
      <c r="O267" s="14" t="n">
        <f aca="false">MAX(B267:M267)</f>
        <v>512.0326158714</v>
      </c>
      <c r="P267" s="57" t="n">
        <f aca="false">O267/(parametros_manuales!$B$7)</f>
        <v>3.413550772476</v>
      </c>
      <c r="Q267" s="13" t="str">
        <f aca="false">IF(O267=0,"-",INDEX($B$253:$M$253,MATCH(O267,B267:M267,0)))</f>
        <v>Ene</v>
      </c>
    </row>
    <row r="268" customFormat="false" ht="14.25" hidden="false" customHeight="true" outlineLevel="0" collapsed="false">
      <c r="A268" s="13" t="str">
        <f aca="false">parametros_manuales!$B$33</f>
        <v>Prueba hidráulica</v>
      </c>
      <c r="B268" s="14" t="n">
        <f aca="false">(parametros_manuales!$D$33*(datos_base!$K$2+IF(parametros_manuales!$H$33="Todos",datos_base!$K$9,0))*parametros_manuales!$B$97+parametros_manuales!$E$33*(datos_base!$K$3+IF(parametros_manuales!$H$33="Todos",datos_base!$K$10,0))*parametros_manuales!$B$102+parametros_manuales!$F$33*(datos_base!$K$4+IF(parametros_manuales!$H$33="Todos",datos_base!$K$11,0))*parametros_manuales!$B$107+parametros_manuales!$G$33*(datos_base!$K$5+IF(parametros_manuales!$H$33="Todos",datos_base!$K$12,0))*parametros_manuales!$B$112)*parametros_manuales!$I$33*parametros_manuales!$J$33</f>
        <v>25601.63079357</v>
      </c>
      <c r="C268" s="14" t="n">
        <f aca="false">(parametros_manuales!$D$33*(datos_base!$K$2+IF(parametros_manuales!$H$33="Todos",datos_base!$K$9,0))*parametros_manuales!$C$97+parametros_manuales!$E$33*(datos_base!$K$3+IF(parametros_manuales!$H$33="Todos",datos_base!$K$10,0))*parametros_manuales!$C$102+parametros_manuales!$F$33*(datos_base!$K$4+IF(parametros_manuales!$H$33="Todos",datos_base!$K$11,0))*parametros_manuales!$C$107+parametros_manuales!$G$33*(datos_base!$K$5+IF(parametros_manuales!$H$33="Todos",datos_base!$K$12,0))*parametros_manuales!$C$112)*parametros_manuales!$I$33*parametros_manuales!$J$33</f>
        <v>24783.21154114</v>
      </c>
      <c r="D268" s="14" t="n">
        <f aca="false">(parametros_manuales!$D$33*(datos_base!$K$2+IF(parametros_manuales!$H$33="Todos",datos_base!$K$9,0))*parametros_manuales!$D$97+parametros_manuales!$E$33*(datos_base!$K$3+IF(parametros_manuales!$H$33="Todos",datos_base!$K$10,0))*parametros_manuales!$D$102+parametros_manuales!$F$33*(datos_base!$K$4+IF(parametros_manuales!$H$33="Todos",datos_base!$K$11,0))*parametros_manuales!$D$107+parametros_manuales!$G$33*(datos_base!$K$5+IF(parametros_manuales!$H$33="Todos",datos_base!$K$12,0))*parametros_manuales!$D$112)*parametros_manuales!$I$33*parametros_manuales!$J$33</f>
        <v>23166.214776055</v>
      </c>
      <c r="E268" s="14" t="n">
        <f aca="false">(parametros_manuales!$D$33*(datos_base!$K$2+IF(parametros_manuales!$H$33="Todos",datos_base!$K$9,0))*parametros_manuales!$E$97+parametros_manuales!$E$33*(datos_base!$K$3+IF(parametros_manuales!$H$33="Todos",datos_base!$K$10,0))*parametros_manuales!$E$102+parametros_manuales!$F$33*(datos_base!$K$4+IF(parametros_manuales!$H$33="Todos",datos_base!$K$11,0))*parametros_manuales!$E$107+parametros_manuales!$G$33*(datos_base!$K$5+IF(parametros_manuales!$H$33="Todos",datos_base!$K$12,0))*parametros_manuales!$E$112)*parametros_manuales!$I$33*parametros_manuales!$J$33</f>
        <v>22153.111580405</v>
      </c>
      <c r="F268" s="14" t="n">
        <f aca="false">(parametros_manuales!$D$33*(datos_base!$K$2+IF(parametros_manuales!$H$33="Todos",datos_base!$K$9,0))*parametros_manuales!$F$97+parametros_manuales!$E$33*(datos_base!$K$3+IF(parametros_manuales!$H$33="Todos",datos_base!$K$10,0))*parametros_manuales!$F$102+parametros_manuales!$F$33*(datos_base!$K$4+IF(parametros_manuales!$H$33="Todos",datos_base!$K$11,0))*parametros_manuales!$F$107+parametros_manuales!$G$33*(datos_base!$K$5+IF(parametros_manuales!$H$33="Todos",datos_base!$K$12,0))*parametros_manuales!$F$112)*parametros_manuales!$I$33*parametros_manuales!$J$33</f>
        <v>20730.79875854</v>
      </c>
      <c r="G268" s="14" t="n">
        <f aca="false">(parametros_manuales!$D$33*(datos_base!$K$2+IF(parametros_manuales!$H$33="Todos",datos_base!$K$9,0))*parametros_manuales!$G$97+parametros_manuales!$E$33*(datos_base!$K$3+IF(parametros_manuales!$H$33="Todos",datos_base!$K$10,0))*parametros_manuales!$G$102+parametros_manuales!$F$33*(datos_base!$K$4+IF(parametros_manuales!$H$33="Todos",datos_base!$K$11,0))*parametros_manuales!$G$107+parametros_manuales!$G$33*(datos_base!$K$5+IF(parametros_manuales!$H$33="Todos",datos_base!$K$12,0))*parametros_manuales!$G$112)*parametros_manuales!$I$33*parametros_manuales!$J$33</f>
        <v>20321.589132325</v>
      </c>
      <c r="H268" s="14" t="n">
        <f aca="false">(parametros_manuales!$D$33*(datos_base!$K$2+IF(parametros_manuales!$H$33="Todos",datos_base!$K$9,0))*parametros_manuales!$H$97+parametros_manuales!$E$33*(datos_base!$K$3+IF(parametros_manuales!$H$33="Todos",datos_base!$K$10,0))*parametros_manuales!$H$102+parametros_manuales!$F$33*(datos_base!$K$4+IF(parametros_manuales!$H$33="Todos",datos_base!$K$11,0))*parametros_manuales!$H$107+parametros_manuales!$G$33*(datos_base!$K$5+IF(parametros_manuales!$H$33="Todos",datos_base!$K$12,0))*parametros_manuales!$H$112)*parametros_manuales!$I$33*parametros_manuales!$J$33</f>
        <v>21743.90195419</v>
      </c>
      <c r="I268" s="14" t="n">
        <f aca="false">(parametros_manuales!$D$33*(datos_base!$K$2+IF(parametros_manuales!$H$33="Todos",datos_base!$K$9,0))*parametros_manuales!$I$97+parametros_manuales!$E$33*(datos_base!$K$3+IF(parametros_manuales!$H$33="Todos",datos_base!$K$10,0))*parametros_manuales!$I$102+parametros_manuales!$F$33*(datos_base!$K$4+IF(parametros_manuales!$H$33="Todos",datos_base!$K$11,0))*parametros_manuales!$I$107+parametros_manuales!$G$33*(datos_base!$K$5+IF(parametros_manuales!$H$33="Todos",datos_base!$K$12,0))*parametros_manuales!$I$112)*parametros_manuales!$I$33*parametros_manuales!$J$33</f>
        <v>24783.21154114</v>
      </c>
      <c r="J268" s="14" t="n">
        <f aca="false">(parametros_manuales!$D$33*(datos_base!$K$2+IF(parametros_manuales!$H$33="Todos",datos_base!$K$9,0))*parametros_manuales!$J$97+parametros_manuales!$E$33*(datos_base!$K$3+IF(parametros_manuales!$H$33="Todos",datos_base!$K$10,0))*parametros_manuales!$J$102+parametros_manuales!$F$33*(datos_base!$K$4+IF(parametros_manuales!$H$33="Todos",datos_base!$K$11,0))*parametros_manuales!$J$107+parametros_manuales!$G$33*(datos_base!$K$5+IF(parametros_manuales!$H$33="Todos",datos_base!$K$12,0))*parametros_manuales!$J$112)*parametros_manuales!$I$33*parametros_manuales!$J$33</f>
        <v>24783.21154114</v>
      </c>
      <c r="K268" s="14" t="n">
        <f aca="false">(parametros_manuales!$D$33*(datos_base!$K$2+IF(parametros_manuales!$H$33="Todos",datos_base!$K$9,0))*parametros_manuales!$K$97+parametros_manuales!$E$33*(datos_base!$K$3+IF(parametros_manuales!$H$33="Todos",datos_base!$K$10,0))*parametros_manuales!$K$102+parametros_manuales!$F$33*(datos_base!$K$4+IF(parametros_manuales!$H$33="Todos",datos_base!$K$11,0))*parametros_manuales!$K$107+parametros_manuales!$G$33*(datos_base!$K$5+IF(parametros_manuales!$H$33="Todos",datos_base!$K$12,0))*parametros_manuales!$K$112)*parametros_manuales!$I$33*parametros_manuales!$J$33</f>
        <v>25192.421167355</v>
      </c>
      <c r="L268" s="14" t="n">
        <f aca="false">(parametros_manuales!$D$33*(datos_base!$K$2+IF(parametros_manuales!$H$33="Todos",datos_base!$K$9,0))*parametros_manuales!$L$97+parametros_manuales!$E$33*(datos_base!$K$3+IF(parametros_manuales!$H$33="Todos",datos_base!$K$10,0))*parametros_manuales!$L$102+parametros_manuales!$F$33*(datos_base!$K$4+IF(parametros_manuales!$H$33="Todos",datos_base!$K$11,0))*parametros_manuales!$L$107+parametros_manuales!$G$33*(datos_base!$K$5+IF(parametros_manuales!$H$33="Todos",datos_base!$K$12,0))*parametros_manuales!$L$112)*parametros_manuales!$I$33*parametros_manuales!$J$33</f>
        <v>25601.63079357</v>
      </c>
      <c r="M268" s="14" t="n">
        <f aca="false">(parametros_manuales!$D$33*(datos_base!$K$2+IF(parametros_manuales!$H$33="Todos",datos_base!$K$9,0))*parametros_manuales!$M$97+parametros_manuales!$E$33*(datos_base!$K$3+IF(parametros_manuales!$H$33="Todos",datos_base!$K$10,0))*parametros_manuales!$M$102+parametros_manuales!$F$33*(datos_base!$K$4+IF(parametros_manuales!$H$33="Todos",datos_base!$K$11,0))*parametros_manuales!$M$107+parametros_manuales!$G$33*(datos_base!$K$5+IF(parametros_manuales!$H$33="Todos",datos_base!$K$12,0))*parametros_manuales!$M$112)*parametros_manuales!$I$33*parametros_manuales!$J$33</f>
        <v>25601.63079357</v>
      </c>
      <c r="N268" s="14" t="n">
        <f aca="false">SUM(B268:M268)</f>
        <v>284462.564373</v>
      </c>
      <c r="O268" s="14" t="n">
        <f aca="false">MAX(B268:M268)</f>
        <v>25601.63079357</v>
      </c>
      <c r="P268" s="57" t="n">
        <f aca="false">O268/(parametros_manuales!$B$7)</f>
        <v>170.6775386238</v>
      </c>
      <c r="Q268" s="13" t="str">
        <f aca="false">IF(O268=0,"-",INDEX($B$253:$M$253,MATCH(O268,B268:M268,0)))</f>
        <v>Ene</v>
      </c>
    </row>
    <row r="269" customFormat="false" ht="14.25" hidden="false" customHeight="true" outlineLevel="0" collapsed="false">
      <c r="A269" s="13" t="str">
        <f aca="false">parametros_manuales!$B$34</f>
        <v>Secado</v>
      </c>
      <c r="B269" s="14" t="n">
        <f aca="false">(parametros_manuales!$D$34*(datos_base!$K$2+IF(parametros_manuales!$H$34="Todos",datos_base!$K$9,0))*parametros_manuales!$B$97+parametros_manuales!$E$34*(datos_base!$K$3+IF(parametros_manuales!$H$34="Todos",datos_base!$K$10,0))*parametros_manuales!$B$102+parametros_manuales!$F$34*(datos_base!$K$4+IF(parametros_manuales!$H$34="Todos",datos_base!$K$11,0))*parametros_manuales!$B$107+parametros_manuales!$G$34*(datos_base!$K$5+IF(parametros_manuales!$H$34="Todos",datos_base!$K$12,0))*parametros_manuales!$B$112)*parametros_manuales!$I$34*parametros_manuales!$J$34</f>
        <v>25601.63079357</v>
      </c>
      <c r="C269" s="14" t="n">
        <f aca="false">(parametros_manuales!$D$34*(datos_base!$K$2+IF(parametros_manuales!$H$34="Todos",datos_base!$K$9,0))*parametros_manuales!$C$97+parametros_manuales!$E$34*(datos_base!$K$3+IF(parametros_manuales!$H$34="Todos",datos_base!$K$10,0))*parametros_manuales!$C$102+parametros_manuales!$F$34*(datos_base!$K$4+IF(parametros_manuales!$H$34="Todos",datos_base!$K$11,0))*parametros_manuales!$C$107+parametros_manuales!$G$34*(datos_base!$K$5+IF(parametros_manuales!$H$34="Todos",datos_base!$K$12,0))*parametros_manuales!$C$112)*parametros_manuales!$I$34*parametros_manuales!$J$34</f>
        <v>24783.21154114</v>
      </c>
      <c r="D269" s="14" t="n">
        <f aca="false">(parametros_manuales!$D$34*(datos_base!$K$2+IF(parametros_manuales!$H$34="Todos",datos_base!$K$9,0))*parametros_manuales!$D$97+parametros_manuales!$E$34*(datos_base!$K$3+IF(parametros_manuales!$H$34="Todos",datos_base!$K$10,0))*parametros_manuales!$D$102+parametros_manuales!$F$34*(datos_base!$K$4+IF(parametros_manuales!$H$34="Todos",datos_base!$K$11,0))*parametros_manuales!$D$107+parametros_manuales!$G$34*(datos_base!$K$5+IF(parametros_manuales!$H$34="Todos",datos_base!$K$12,0))*parametros_manuales!$D$112)*parametros_manuales!$I$34*parametros_manuales!$J$34</f>
        <v>23166.214776055</v>
      </c>
      <c r="E269" s="14" t="n">
        <f aca="false">(parametros_manuales!$D$34*(datos_base!$K$2+IF(parametros_manuales!$H$34="Todos",datos_base!$K$9,0))*parametros_manuales!$E$97+parametros_manuales!$E$34*(datos_base!$K$3+IF(parametros_manuales!$H$34="Todos",datos_base!$K$10,0))*parametros_manuales!$E$102+parametros_manuales!$F$34*(datos_base!$K$4+IF(parametros_manuales!$H$34="Todos",datos_base!$K$11,0))*parametros_manuales!$E$107+parametros_manuales!$G$34*(datos_base!$K$5+IF(parametros_manuales!$H$34="Todos",datos_base!$K$12,0))*parametros_manuales!$E$112)*parametros_manuales!$I$34*parametros_manuales!$J$34</f>
        <v>22153.111580405</v>
      </c>
      <c r="F269" s="14" t="n">
        <f aca="false">(parametros_manuales!$D$34*(datos_base!$K$2+IF(parametros_manuales!$H$34="Todos",datos_base!$K$9,0))*parametros_manuales!$F$97+parametros_manuales!$E$34*(datos_base!$K$3+IF(parametros_manuales!$H$34="Todos",datos_base!$K$10,0))*parametros_manuales!$F$102+parametros_manuales!$F$34*(datos_base!$K$4+IF(parametros_manuales!$H$34="Todos",datos_base!$K$11,0))*parametros_manuales!$F$107+parametros_manuales!$G$34*(datos_base!$K$5+IF(parametros_manuales!$H$34="Todos",datos_base!$K$12,0))*parametros_manuales!$F$112)*parametros_manuales!$I$34*parametros_manuales!$J$34</f>
        <v>20730.79875854</v>
      </c>
      <c r="G269" s="14" t="n">
        <f aca="false">(parametros_manuales!$D$34*(datos_base!$K$2+IF(parametros_manuales!$H$34="Todos",datos_base!$K$9,0))*parametros_manuales!$G$97+parametros_manuales!$E$34*(datos_base!$K$3+IF(parametros_manuales!$H$34="Todos",datos_base!$K$10,0))*parametros_manuales!$G$102+parametros_manuales!$F$34*(datos_base!$K$4+IF(parametros_manuales!$H$34="Todos",datos_base!$K$11,0))*parametros_manuales!$G$107+parametros_manuales!$G$34*(datos_base!$K$5+IF(parametros_manuales!$H$34="Todos",datos_base!$K$12,0))*parametros_manuales!$G$112)*parametros_manuales!$I$34*parametros_manuales!$J$34</f>
        <v>20321.589132325</v>
      </c>
      <c r="H269" s="14" t="n">
        <f aca="false">(parametros_manuales!$D$34*(datos_base!$K$2+IF(parametros_manuales!$H$34="Todos",datos_base!$K$9,0))*parametros_manuales!$H$97+parametros_manuales!$E$34*(datos_base!$K$3+IF(parametros_manuales!$H$34="Todos",datos_base!$K$10,0))*parametros_manuales!$H$102+parametros_manuales!$F$34*(datos_base!$K$4+IF(parametros_manuales!$H$34="Todos",datos_base!$K$11,0))*parametros_manuales!$H$107+parametros_manuales!$G$34*(datos_base!$K$5+IF(parametros_manuales!$H$34="Todos",datos_base!$K$12,0))*parametros_manuales!$H$112)*parametros_manuales!$I$34*parametros_manuales!$J$34</f>
        <v>21743.90195419</v>
      </c>
      <c r="I269" s="14" t="n">
        <f aca="false">(parametros_manuales!$D$34*(datos_base!$K$2+IF(parametros_manuales!$H$34="Todos",datos_base!$K$9,0))*parametros_manuales!$I$97+parametros_manuales!$E$34*(datos_base!$K$3+IF(parametros_manuales!$H$34="Todos",datos_base!$K$10,0))*parametros_manuales!$I$102+parametros_manuales!$F$34*(datos_base!$K$4+IF(parametros_manuales!$H$34="Todos",datos_base!$K$11,0))*parametros_manuales!$I$107+parametros_manuales!$G$34*(datos_base!$K$5+IF(parametros_manuales!$H$34="Todos",datos_base!$K$12,0))*parametros_manuales!$I$112)*parametros_manuales!$I$34*parametros_manuales!$J$34</f>
        <v>24783.21154114</v>
      </c>
      <c r="J269" s="14" t="n">
        <f aca="false">(parametros_manuales!$D$34*(datos_base!$K$2+IF(parametros_manuales!$H$34="Todos",datos_base!$K$9,0))*parametros_manuales!$J$97+parametros_manuales!$E$34*(datos_base!$K$3+IF(parametros_manuales!$H$34="Todos",datos_base!$K$10,0))*parametros_manuales!$J$102+parametros_manuales!$F$34*(datos_base!$K$4+IF(parametros_manuales!$H$34="Todos",datos_base!$K$11,0))*parametros_manuales!$J$107+parametros_manuales!$G$34*(datos_base!$K$5+IF(parametros_manuales!$H$34="Todos",datos_base!$K$12,0))*parametros_manuales!$J$112)*parametros_manuales!$I$34*parametros_manuales!$J$34</f>
        <v>24783.21154114</v>
      </c>
      <c r="K269" s="14" t="n">
        <f aca="false">(parametros_manuales!$D$34*(datos_base!$K$2+IF(parametros_manuales!$H$34="Todos",datos_base!$K$9,0))*parametros_manuales!$K$97+parametros_manuales!$E$34*(datos_base!$K$3+IF(parametros_manuales!$H$34="Todos",datos_base!$K$10,0))*parametros_manuales!$K$102+parametros_manuales!$F$34*(datos_base!$K$4+IF(parametros_manuales!$H$34="Todos",datos_base!$K$11,0))*parametros_manuales!$K$107+parametros_manuales!$G$34*(datos_base!$K$5+IF(parametros_manuales!$H$34="Todos",datos_base!$K$12,0))*parametros_manuales!$K$112)*parametros_manuales!$I$34*parametros_manuales!$J$34</f>
        <v>25192.421167355</v>
      </c>
      <c r="L269" s="14" t="n">
        <f aca="false">(parametros_manuales!$D$34*(datos_base!$K$2+IF(parametros_manuales!$H$34="Todos",datos_base!$K$9,0))*parametros_manuales!$L$97+parametros_manuales!$E$34*(datos_base!$K$3+IF(parametros_manuales!$H$34="Todos",datos_base!$K$10,0))*parametros_manuales!$L$102+parametros_manuales!$F$34*(datos_base!$K$4+IF(parametros_manuales!$H$34="Todos",datos_base!$K$11,0))*parametros_manuales!$L$107+parametros_manuales!$G$34*(datos_base!$K$5+IF(parametros_manuales!$H$34="Todos",datos_base!$K$12,0))*parametros_manuales!$L$112)*parametros_manuales!$I$34*parametros_manuales!$J$34</f>
        <v>25601.63079357</v>
      </c>
      <c r="M269" s="14" t="n">
        <f aca="false">(parametros_manuales!$D$34*(datos_base!$K$2+IF(parametros_manuales!$H$34="Todos",datos_base!$K$9,0))*parametros_manuales!$M$97+parametros_manuales!$E$34*(datos_base!$K$3+IF(parametros_manuales!$H$34="Todos",datos_base!$K$10,0))*parametros_manuales!$M$102+parametros_manuales!$F$34*(datos_base!$K$4+IF(parametros_manuales!$H$34="Todos",datos_base!$K$11,0))*parametros_manuales!$M$107+parametros_manuales!$G$34*(datos_base!$K$5+IF(parametros_manuales!$H$34="Todos",datos_base!$K$12,0))*parametros_manuales!$M$112)*parametros_manuales!$I$34*parametros_manuales!$J$34</f>
        <v>25601.63079357</v>
      </c>
      <c r="N269" s="14" t="n">
        <f aca="false">SUM(B269:M269)</f>
        <v>284462.564373</v>
      </c>
      <c r="O269" s="14" t="n">
        <f aca="false">MAX(B269:M269)</f>
        <v>25601.63079357</v>
      </c>
      <c r="P269" s="57" t="n">
        <f aca="false">O269/(parametros_manuales!$B$7)</f>
        <v>170.6775386238</v>
      </c>
      <c r="Q269" s="13" t="str">
        <f aca="false">IF(O269=0,"-",INDEX($B$253:$M$253,MATCH(O269,B269:M269,0)))</f>
        <v>Ene</v>
      </c>
    </row>
    <row r="270" customFormat="false" ht="14.25" hidden="false" customHeight="true" outlineLevel="0" collapsed="false">
      <c r="A270" s="13" t="str">
        <f aca="false">parametros_manuales!$B$35</f>
        <v>Granallado</v>
      </c>
      <c r="B270" s="14" t="n">
        <f aca="false">(parametros_manuales!$D$35*(datos_base!$K$2+IF(parametros_manuales!$H$35="Todos",datos_base!$K$9,0))*parametros_manuales!$B$97+parametros_manuales!$E$35*(datos_base!$K$3+IF(parametros_manuales!$H$35="Todos",datos_base!$K$10,0))*parametros_manuales!$B$102+parametros_manuales!$F$35*(datos_base!$K$4+IF(parametros_manuales!$H$35="Todos",datos_base!$K$11,0))*parametros_manuales!$B$107+parametros_manuales!$G$35*(datos_base!$K$5+IF(parametros_manuales!$H$35="Todos",datos_base!$K$12,0))*parametros_manuales!$B$112)*parametros_manuales!$I$35*parametros_manuales!$J$35</f>
        <v>25601.63079357</v>
      </c>
      <c r="C270" s="14" t="n">
        <f aca="false">(parametros_manuales!$D$35*(datos_base!$K$2+IF(parametros_manuales!$H$35="Todos",datos_base!$K$9,0))*parametros_manuales!$C$97+parametros_manuales!$E$35*(datos_base!$K$3+IF(parametros_manuales!$H$35="Todos",datos_base!$K$10,0))*parametros_manuales!$C$102+parametros_manuales!$F$35*(datos_base!$K$4+IF(parametros_manuales!$H$35="Todos",datos_base!$K$11,0))*parametros_manuales!$C$107+parametros_manuales!$G$35*(datos_base!$K$5+IF(parametros_manuales!$H$35="Todos",datos_base!$K$12,0))*parametros_manuales!$C$112)*parametros_manuales!$I$35*parametros_manuales!$J$35</f>
        <v>24783.21154114</v>
      </c>
      <c r="D270" s="14" t="n">
        <f aca="false">(parametros_manuales!$D$35*(datos_base!$K$2+IF(parametros_manuales!$H$35="Todos",datos_base!$K$9,0))*parametros_manuales!$D$97+parametros_manuales!$E$35*(datos_base!$K$3+IF(parametros_manuales!$H$35="Todos",datos_base!$K$10,0))*parametros_manuales!$D$102+parametros_manuales!$F$35*(datos_base!$K$4+IF(parametros_manuales!$H$35="Todos",datos_base!$K$11,0))*parametros_manuales!$D$107+parametros_manuales!$G$35*(datos_base!$K$5+IF(parametros_manuales!$H$35="Todos",datos_base!$K$12,0))*parametros_manuales!$D$112)*parametros_manuales!$I$35*parametros_manuales!$J$35</f>
        <v>23166.214776055</v>
      </c>
      <c r="E270" s="14" t="n">
        <f aca="false">(parametros_manuales!$D$35*(datos_base!$K$2+IF(parametros_manuales!$H$35="Todos",datos_base!$K$9,0))*parametros_manuales!$E$97+parametros_manuales!$E$35*(datos_base!$K$3+IF(parametros_manuales!$H$35="Todos",datos_base!$K$10,0))*parametros_manuales!$E$102+parametros_manuales!$F$35*(datos_base!$K$4+IF(parametros_manuales!$H$35="Todos",datos_base!$K$11,0))*parametros_manuales!$E$107+parametros_manuales!$G$35*(datos_base!$K$5+IF(parametros_manuales!$H$35="Todos",datos_base!$K$12,0))*parametros_manuales!$E$112)*parametros_manuales!$I$35*parametros_manuales!$J$35</f>
        <v>22153.111580405</v>
      </c>
      <c r="F270" s="14" t="n">
        <f aca="false">(parametros_manuales!$D$35*(datos_base!$K$2+IF(parametros_manuales!$H$35="Todos",datos_base!$K$9,0))*parametros_manuales!$F$97+parametros_manuales!$E$35*(datos_base!$K$3+IF(parametros_manuales!$H$35="Todos",datos_base!$K$10,0))*parametros_manuales!$F$102+parametros_manuales!$F$35*(datos_base!$K$4+IF(parametros_manuales!$H$35="Todos",datos_base!$K$11,0))*parametros_manuales!$F$107+parametros_manuales!$G$35*(datos_base!$K$5+IF(parametros_manuales!$H$35="Todos",datos_base!$K$12,0))*parametros_manuales!$F$112)*parametros_manuales!$I$35*parametros_manuales!$J$35</f>
        <v>20730.79875854</v>
      </c>
      <c r="G270" s="14" t="n">
        <f aca="false">(parametros_manuales!$D$35*(datos_base!$K$2+IF(parametros_manuales!$H$35="Todos",datos_base!$K$9,0))*parametros_manuales!$G$97+parametros_manuales!$E$35*(datos_base!$K$3+IF(parametros_manuales!$H$35="Todos",datos_base!$K$10,0))*parametros_manuales!$G$102+parametros_manuales!$F$35*(datos_base!$K$4+IF(parametros_manuales!$H$35="Todos",datos_base!$K$11,0))*parametros_manuales!$G$107+parametros_manuales!$G$35*(datos_base!$K$5+IF(parametros_manuales!$H$35="Todos",datos_base!$K$12,0))*parametros_manuales!$G$112)*parametros_manuales!$I$35*parametros_manuales!$J$35</f>
        <v>20321.589132325</v>
      </c>
      <c r="H270" s="14" t="n">
        <f aca="false">(parametros_manuales!$D$35*(datos_base!$K$2+IF(parametros_manuales!$H$35="Todos",datos_base!$K$9,0))*parametros_manuales!$H$97+parametros_manuales!$E$35*(datos_base!$K$3+IF(parametros_manuales!$H$35="Todos",datos_base!$K$10,0))*parametros_manuales!$H$102+parametros_manuales!$F$35*(datos_base!$K$4+IF(parametros_manuales!$H$35="Todos",datos_base!$K$11,0))*parametros_manuales!$H$107+parametros_manuales!$G$35*(datos_base!$K$5+IF(parametros_manuales!$H$35="Todos",datos_base!$K$12,0))*parametros_manuales!$H$112)*parametros_manuales!$I$35*parametros_manuales!$J$35</f>
        <v>21743.90195419</v>
      </c>
      <c r="I270" s="14" t="n">
        <f aca="false">(parametros_manuales!$D$35*(datos_base!$K$2+IF(parametros_manuales!$H$35="Todos",datos_base!$K$9,0))*parametros_manuales!$I$97+parametros_manuales!$E$35*(datos_base!$K$3+IF(parametros_manuales!$H$35="Todos",datos_base!$K$10,0))*parametros_manuales!$I$102+parametros_manuales!$F$35*(datos_base!$K$4+IF(parametros_manuales!$H$35="Todos",datos_base!$K$11,0))*parametros_manuales!$I$107+parametros_manuales!$G$35*(datos_base!$K$5+IF(parametros_manuales!$H$35="Todos",datos_base!$K$12,0))*parametros_manuales!$I$112)*parametros_manuales!$I$35*parametros_manuales!$J$35</f>
        <v>24783.21154114</v>
      </c>
      <c r="J270" s="14" t="n">
        <f aca="false">(parametros_manuales!$D$35*(datos_base!$K$2+IF(parametros_manuales!$H$35="Todos",datos_base!$K$9,0))*parametros_manuales!$J$97+parametros_manuales!$E$35*(datos_base!$K$3+IF(parametros_manuales!$H$35="Todos",datos_base!$K$10,0))*parametros_manuales!$J$102+parametros_manuales!$F$35*(datos_base!$K$4+IF(parametros_manuales!$H$35="Todos",datos_base!$K$11,0))*parametros_manuales!$J$107+parametros_manuales!$G$35*(datos_base!$K$5+IF(parametros_manuales!$H$35="Todos",datos_base!$K$12,0))*parametros_manuales!$J$112)*parametros_manuales!$I$35*parametros_manuales!$J$35</f>
        <v>24783.21154114</v>
      </c>
      <c r="K270" s="14" t="n">
        <f aca="false">(parametros_manuales!$D$35*(datos_base!$K$2+IF(parametros_manuales!$H$35="Todos",datos_base!$K$9,0))*parametros_manuales!$K$97+parametros_manuales!$E$35*(datos_base!$K$3+IF(parametros_manuales!$H$35="Todos",datos_base!$K$10,0))*parametros_manuales!$K$102+parametros_manuales!$F$35*(datos_base!$K$4+IF(parametros_manuales!$H$35="Todos",datos_base!$K$11,0))*parametros_manuales!$K$107+parametros_manuales!$G$35*(datos_base!$K$5+IF(parametros_manuales!$H$35="Todos",datos_base!$K$12,0))*parametros_manuales!$K$112)*parametros_manuales!$I$35*parametros_manuales!$J$35</f>
        <v>25192.421167355</v>
      </c>
      <c r="L270" s="14" t="n">
        <f aca="false">(parametros_manuales!$D$35*(datos_base!$K$2+IF(parametros_manuales!$H$35="Todos",datos_base!$K$9,0))*parametros_manuales!$L$97+parametros_manuales!$E$35*(datos_base!$K$3+IF(parametros_manuales!$H$35="Todos",datos_base!$K$10,0))*parametros_manuales!$L$102+parametros_manuales!$F$35*(datos_base!$K$4+IF(parametros_manuales!$H$35="Todos",datos_base!$K$11,0))*parametros_manuales!$L$107+parametros_manuales!$G$35*(datos_base!$K$5+IF(parametros_manuales!$H$35="Todos",datos_base!$K$12,0))*parametros_manuales!$L$112)*parametros_manuales!$I$35*parametros_manuales!$J$35</f>
        <v>25601.63079357</v>
      </c>
      <c r="M270" s="14" t="n">
        <f aca="false">(parametros_manuales!$D$35*(datos_base!$K$2+IF(parametros_manuales!$H$35="Todos",datos_base!$K$9,0))*parametros_manuales!$M$97+parametros_manuales!$E$35*(datos_base!$K$3+IF(parametros_manuales!$H$35="Todos",datos_base!$K$10,0))*parametros_manuales!$M$102+parametros_manuales!$F$35*(datos_base!$K$4+IF(parametros_manuales!$H$35="Todos",datos_base!$K$11,0))*parametros_manuales!$M$107+parametros_manuales!$G$35*(datos_base!$K$5+IF(parametros_manuales!$H$35="Todos",datos_base!$K$12,0))*parametros_manuales!$M$112)*parametros_manuales!$I$35*parametros_manuales!$J$35</f>
        <v>25601.63079357</v>
      </c>
      <c r="N270" s="14" t="n">
        <f aca="false">SUM(B270:M270)</f>
        <v>284462.564373</v>
      </c>
      <c r="O270" s="14" t="n">
        <f aca="false">MAX(B270:M270)</f>
        <v>25601.63079357</v>
      </c>
      <c r="P270" s="57" t="n">
        <f aca="false">O270/(parametros_manuales!$B$7)</f>
        <v>170.6775386238</v>
      </c>
      <c r="Q270" s="13" t="str">
        <f aca="false">IF(O270=0,"-",INDEX($B$253:$M$253,MATCH(O270,B270:M270,0)))</f>
        <v>Ene</v>
      </c>
    </row>
    <row r="271" customFormat="false" ht="14.25" hidden="false" customHeight="true" outlineLevel="0" collapsed="false">
      <c r="A271" s="13" t="str">
        <f aca="false">parametros_manuales!$B$36</f>
        <v>Detección de defectos</v>
      </c>
      <c r="B271" s="14" t="n">
        <f aca="false">(parametros_manuales!$D$36*(datos_base!$K$2+IF(parametros_manuales!$H$36="Todos",datos_base!$K$9,0))*parametros_manuales!$B$97+parametros_manuales!$E$36*(datos_base!$K$3+IF(parametros_manuales!$H$36="Todos",datos_base!$K$10,0))*parametros_manuales!$B$102+parametros_manuales!$F$36*(datos_base!$K$4+IF(parametros_manuales!$H$36="Todos",datos_base!$K$11,0))*parametros_manuales!$B$107+parametros_manuales!$G$36*(datos_base!$K$5+IF(parametros_manuales!$H$36="Todos",datos_base!$K$12,0))*parametros_manuales!$B$112)*parametros_manuales!$I$36*parametros_manuales!$J$36</f>
        <v>25601.63079357</v>
      </c>
      <c r="C271" s="14" t="n">
        <f aca="false">(parametros_manuales!$D$36*(datos_base!$K$2+IF(parametros_manuales!$H$36="Todos",datos_base!$K$9,0))*parametros_manuales!$C$97+parametros_manuales!$E$36*(datos_base!$K$3+IF(parametros_manuales!$H$36="Todos",datos_base!$K$10,0))*parametros_manuales!$C$102+parametros_manuales!$F$36*(datos_base!$K$4+IF(parametros_manuales!$H$36="Todos",datos_base!$K$11,0))*parametros_manuales!$C$107+parametros_manuales!$G$36*(datos_base!$K$5+IF(parametros_manuales!$H$36="Todos",datos_base!$K$12,0))*parametros_manuales!$C$112)*parametros_manuales!$I$36*parametros_manuales!$J$36</f>
        <v>24783.21154114</v>
      </c>
      <c r="D271" s="14" t="n">
        <f aca="false">(parametros_manuales!$D$36*(datos_base!$K$2+IF(parametros_manuales!$H$36="Todos",datos_base!$K$9,0))*parametros_manuales!$D$97+parametros_manuales!$E$36*(datos_base!$K$3+IF(parametros_manuales!$H$36="Todos",datos_base!$K$10,0))*parametros_manuales!$D$102+parametros_manuales!$F$36*(datos_base!$K$4+IF(parametros_manuales!$H$36="Todos",datos_base!$K$11,0))*parametros_manuales!$D$107+parametros_manuales!$G$36*(datos_base!$K$5+IF(parametros_manuales!$H$36="Todos",datos_base!$K$12,0))*parametros_manuales!$D$112)*parametros_manuales!$I$36*parametros_manuales!$J$36</f>
        <v>23166.214776055</v>
      </c>
      <c r="E271" s="14" t="n">
        <f aca="false">(parametros_manuales!$D$36*(datos_base!$K$2+IF(parametros_manuales!$H$36="Todos",datos_base!$K$9,0))*parametros_manuales!$E$97+parametros_manuales!$E$36*(datos_base!$K$3+IF(parametros_manuales!$H$36="Todos",datos_base!$K$10,0))*parametros_manuales!$E$102+parametros_manuales!$F$36*(datos_base!$K$4+IF(parametros_manuales!$H$36="Todos",datos_base!$K$11,0))*parametros_manuales!$E$107+parametros_manuales!$G$36*(datos_base!$K$5+IF(parametros_manuales!$H$36="Todos",datos_base!$K$12,0))*parametros_manuales!$E$112)*parametros_manuales!$I$36*parametros_manuales!$J$36</f>
        <v>22153.111580405</v>
      </c>
      <c r="F271" s="14" t="n">
        <f aca="false">(parametros_manuales!$D$36*(datos_base!$K$2+IF(parametros_manuales!$H$36="Todos",datos_base!$K$9,0))*parametros_manuales!$F$97+parametros_manuales!$E$36*(datos_base!$K$3+IF(parametros_manuales!$H$36="Todos",datos_base!$K$10,0))*parametros_manuales!$F$102+parametros_manuales!$F$36*(datos_base!$K$4+IF(parametros_manuales!$H$36="Todos",datos_base!$K$11,0))*parametros_manuales!$F$107+parametros_manuales!$G$36*(datos_base!$K$5+IF(parametros_manuales!$H$36="Todos",datos_base!$K$12,0))*parametros_manuales!$F$112)*parametros_manuales!$I$36*parametros_manuales!$J$36</f>
        <v>20730.79875854</v>
      </c>
      <c r="G271" s="14" t="n">
        <f aca="false">(parametros_manuales!$D$36*(datos_base!$K$2+IF(parametros_manuales!$H$36="Todos",datos_base!$K$9,0))*parametros_manuales!$G$97+parametros_manuales!$E$36*(datos_base!$K$3+IF(parametros_manuales!$H$36="Todos",datos_base!$K$10,0))*parametros_manuales!$G$102+parametros_manuales!$F$36*(datos_base!$K$4+IF(parametros_manuales!$H$36="Todos",datos_base!$K$11,0))*parametros_manuales!$G$107+parametros_manuales!$G$36*(datos_base!$K$5+IF(parametros_manuales!$H$36="Todos",datos_base!$K$12,0))*parametros_manuales!$G$112)*parametros_manuales!$I$36*parametros_manuales!$J$36</f>
        <v>20321.589132325</v>
      </c>
      <c r="H271" s="14" t="n">
        <f aca="false">(parametros_manuales!$D$36*(datos_base!$K$2+IF(parametros_manuales!$H$36="Todos",datos_base!$K$9,0))*parametros_manuales!$H$97+parametros_manuales!$E$36*(datos_base!$K$3+IF(parametros_manuales!$H$36="Todos",datos_base!$K$10,0))*parametros_manuales!$H$102+parametros_manuales!$F$36*(datos_base!$K$4+IF(parametros_manuales!$H$36="Todos",datos_base!$K$11,0))*parametros_manuales!$H$107+parametros_manuales!$G$36*(datos_base!$K$5+IF(parametros_manuales!$H$36="Todos",datos_base!$K$12,0))*parametros_manuales!$H$112)*parametros_manuales!$I$36*parametros_manuales!$J$36</f>
        <v>21743.90195419</v>
      </c>
      <c r="I271" s="14" t="n">
        <f aca="false">(parametros_manuales!$D$36*(datos_base!$K$2+IF(parametros_manuales!$H$36="Todos",datos_base!$K$9,0))*parametros_manuales!$I$97+parametros_manuales!$E$36*(datos_base!$K$3+IF(parametros_manuales!$H$36="Todos",datos_base!$K$10,0))*parametros_manuales!$I$102+parametros_manuales!$F$36*(datos_base!$K$4+IF(parametros_manuales!$H$36="Todos",datos_base!$K$11,0))*parametros_manuales!$I$107+parametros_manuales!$G$36*(datos_base!$K$5+IF(parametros_manuales!$H$36="Todos",datos_base!$K$12,0))*parametros_manuales!$I$112)*parametros_manuales!$I$36*parametros_manuales!$J$36</f>
        <v>24783.21154114</v>
      </c>
      <c r="J271" s="14" t="n">
        <f aca="false">(parametros_manuales!$D$36*(datos_base!$K$2+IF(parametros_manuales!$H$36="Todos",datos_base!$K$9,0))*parametros_manuales!$J$97+parametros_manuales!$E$36*(datos_base!$K$3+IF(parametros_manuales!$H$36="Todos",datos_base!$K$10,0))*parametros_manuales!$J$102+parametros_manuales!$F$36*(datos_base!$K$4+IF(parametros_manuales!$H$36="Todos",datos_base!$K$11,0))*parametros_manuales!$J$107+parametros_manuales!$G$36*(datos_base!$K$5+IF(parametros_manuales!$H$36="Todos",datos_base!$K$12,0))*parametros_manuales!$J$112)*parametros_manuales!$I$36*parametros_manuales!$J$36</f>
        <v>24783.21154114</v>
      </c>
      <c r="K271" s="14" t="n">
        <f aca="false">(parametros_manuales!$D$36*(datos_base!$K$2+IF(parametros_manuales!$H$36="Todos",datos_base!$K$9,0))*parametros_manuales!$K$97+parametros_manuales!$E$36*(datos_base!$K$3+IF(parametros_manuales!$H$36="Todos",datos_base!$K$10,0))*parametros_manuales!$K$102+parametros_manuales!$F$36*(datos_base!$K$4+IF(parametros_manuales!$H$36="Todos",datos_base!$K$11,0))*parametros_manuales!$K$107+parametros_manuales!$G$36*(datos_base!$K$5+IF(parametros_manuales!$H$36="Todos",datos_base!$K$12,0))*parametros_manuales!$K$112)*parametros_manuales!$I$36*parametros_manuales!$J$36</f>
        <v>25192.421167355</v>
      </c>
      <c r="L271" s="14" t="n">
        <f aca="false">(parametros_manuales!$D$36*(datos_base!$K$2+IF(parametros_manuales!$H$36="Todos",datos_base!$K$9,0))*parametros_manuales!$L$97+parametros_manuales!$E$36*(datos_base!$K$3+IF(parametros_manuales!$H$36="Todos",datos_base!$K$10,0))*parametros_manuales!$L$102+parametros_manuales!$F$36*(datos_base!$K$4+IF(parametros_manuales!$H$36="Todos",datos_base!$K$11,0))*parametros_manuales!$L$107+parametros_manuales!$G$36*(datos_base!$K$5+IF(parametros_manuales!$H$36="Todos",datos_base!$K$12,0))*parametros_manuales!$L$112)*parametros_manuales!$I$36*parametros_manuales!$J$36</f>
        <v>25601.63079357</v>
      </c>
      <c r="M271" s="14" t="n">
        <f aca="false">(parametros_manuales!$D$36*(datos_base!$K$2+IF(parametros_manuales!$H$36="Todos",datos_base!$K$9,0))*parametros_manuales!$M$97+parametros_manuales!$E$36*(datos_base!$K$3+IF(parametros_manuales!$H$36="Todos",datos_base!$K$10,0))*parametros_manuales!$M$102+parametros_manuales!$F$36*(datos_base!$K$4+IF(parametros_manuales!$H$36="Todos",datos_base!$K$11,0))*parametros_manuales!$M$107+parametros_manuales!$G$36*(datos_base!$K$5+IF(parametros_manuales!$H$36="Todos",datos_base!$K$12,0))*parametros_manuales!$M$112)*parametros_manuales!$I$36*parametros_manuales!$J$36</f>
        <v>25601.63079357</v>
      </c>
      <c r="N271" s="14" t="n">
        <f aca="false">SUM(B271:M271)</f>
        <v>284462.564373</v>
      </c>
      <c r="O271" s="14" t="n">
        <f aca="false">MAX(B271:M271)</f>
        <v>25601.63079357</v>
      </c>
      <c r="P271" s="57" t="n">
        <f aca="false">O271/(parametros_manuales!$B$7)</f>
        <v>170.6775386238</v>
      </c>
      <c r="Q271" s="13" t="str">
        <f aca="false">IF(O271=0,"-",INDEX($B$253:$M$253,MATCH(O271,B271:M271,0)))</f>
        <v>Ene</v>
      </c>
    </row>
    <row r="272" customFormat="false" ht="14.25" hidden="false" customHeight="true" outlineLevel="0" collapsed="false">
      <c r="A272" s="13" t="str">
        <f aca="false">parametros_manuales!$B$37</f>
        <v>Corrección de defectos</v>
      </c>
      <c r="B272" s="14" t="n">
        <f aca="false">(parametros_manuales!$D$37*(datos_base!$K$2+IF(parametros_manuales!$H$37="Todos",datos_base!$K$9,0))*parametros_manuales!$B$97+parametros_manuales!$E$37*(datos_base!$K$3+IF(parametros_manuales!$H$37="Todos",datos_base!$K$10,0))*parametros_manuales!$B$102+parametros_manuales!$F$37*(datos_base!$K$4+IF(parametros_manuales!$H$37="Todos",datos_base!$K$11,0))*parametros_manuales!$B$107+parametros_manuales!$G$37*(datos_base!$K$5+IF(parametros_manuales!$H$37="Todos",datos_base!$K$12,0))*parametros_manuales!$B$112)*parametros_manuales!$I$37*parametros_manuales!$J$37</f>
        <v>1280.0815396785</v>
      </c>
      <c r="C272" s="14" t="n">
        <f aca="false">(parametros_manuales!$D$37*(datos_base!$K$2+IF(parametros_manuales!$H$37="Todos",datos_base!$K$9,0))*parametros_manuales!$C$97+parametros_manuales!$E$37*(datos_base!$K$3+IF(parametros_manuales!$H$37="Todos",datos_base!$K$10,0))*parametros_manuales!$C$102+parametros_manuales!$F$37*(datos_base!$K$4+IF(parametros_manuales!$H$37="Todos",datos_base!$K$11,0))*parametros_manuales!$C$107+parametros_manuales!$G$37*(datos_base!$K$5+IF(parametros_manuales!$H$37="Todos",datos_base!$K$12,0))*parametros_manuales!$C$112)*parametros_manuales!$I$37*parametros_manuales!$J$37</f>
        <v>1239.160577057</v>
      </c>
      <c r="D272" s="14" t="n">
        <f aca="false">(parametros_manuales!$D$37*(datos_base!$K$2+IF(parametros_manuales!$H$37="Todos",datos_base!$K$9,0))*parametros_manuales!$D$97+parametros_manuales!$E$37*(datos_base!$K$3+IF(parametros_manuales!$H$37="Todos",datos_base!$K$10,0))*parametros_manuales!$D$102+parametros_manuales!$F$37*(datos_base!$K$4+IF(parametros_manuales!$H$37="Todos",datos_base!$K$11,0))*parametros_manuales!$D$107+parametros_manuales!$G$37*(datos_base!$K$5+IF(parametros_manuales!$H$37="Todos",datos_base!$K$12,0))*parametros_manuales!$D$112)*parametros_manuales!$I$37*parametros_manuales!$J$37</f>
        <v>1158.31073880275</v>
      </c>
      <c r="E272" s="14" t="n">
        <f aca="false">(parametros_manuales!$D$37*(datos_base!$K$2+IF(parametros_manuales!$H$37="Todos",datos_base!$K$9,0))*parametros_manuales!$E$97+parametros_manuales!$E$37*(datos_base!$K$3+IF(parametros_manuales!$H$37="Todos",datos_base!$K$10,0))*parametros_manuales!$E$102+parametros_manuales!$F$37*(datos_base!$K$4+IF(parametros_manuales!$H$37="Todos",datos_base!$K$11,0))*parametros_manuales!$E$107+parametros_manuales!$G$37*(datos_base!$K$5+IF(parametros_manuales!$H$37="Todos",datos_base!$K$12,0))*parametros_manuales!$E$112)*parametros_manuales!$I$37*parametros_manuales!$J$37</f>
        <v>1107.65557902025</v>
      </c>
      <c r="F272" s="14" t="n">
        <f aca="false">(parametros_manuales!$D$37*(datos_base!$K$2+IF(parametros_manuales!$H$37="Todos",datos_base!$K$9,0))*parametros_manuales!$F$97+parametros_manuales!$E$37*(datos_base!$K$3+IF(parametros_manuales!$H$37="Todos",datos_base!$K$10,0))*parametros_manuales!$F$102+parametros_manuales!$F$37*(datos_base!$K$4+IF(parametros_manuales!$H$37="Todos",datos_base!$K$11,0))*parametros_manuales!$F$107+parametros_manuales!$G$37*(datos_base!$K$5+IF(parametros_manuales!$H$37="Todos",datos_base!$K$12,0))*parametros_manuales!$F$112)*parametros_manuales!$I$37*parametros_manuales!$J$37</f>
        <v>1036.539937927</v>
      </c>
      <c r="G272" s="14" t="n">
        <f aca="false">(parametros_manuales!$D$37*(datos_base!$K$2+IF(parametros_manuales!$H$37="Todos",datos_base!$K$9,0))*parametros_manuales!$G$97+parametros_manuales!$E$37*(datos_base!$K$3+IF(parametros_manuales!$H$37="Todos",datos_base!$K$10,0))*parametros_manuales!$G$102+parametros_manuales!$F$37*(datos_base!$K$4+IF(parametros_manuales!$H$37="Todos",datos_base!$K$11,0))*parametros_manuales!$G$107+parametros_manuales!$G$37*(datos_base!$K$5+IF(parametros_manuales!$H$37="Todos",datos_base!$K$12,0))*parametros_manuales!$G$112)*parametros_manuales!$I$37*parametros_manuales!$J$37</f>
        <v>1016.07945661625</v>
      </c>
      <c r="H272" s="14" t="n">
        <f aca="false">(parametros_manuales!$D$37*(datos_base!$K$2+IF(parametros_manuales!$H$37="Todos",datos_base!$K$9,0))*parametros_manuales!$H$97+parametros_manuales!$E$37*(datos_base!$K$3+IF(parametros_manuales!$H$37="Todos",datos_base!$K$10,0))*parametros_manuales!$H$102+parametros_manuales!$F$37*(datos_base!$K$4+IF(parametros_manuales!$H$37="Todos",datos_base!$K$11,0))*parametros_manuales!$H$107+parametros_manuales!$G$37*(datos_base!$K$5+IF(parametros_manuales!$H$37="Todos",datos_base!$K$12,0))*parametros_manuales!$H$112)*parametros_manuales!$I$37*parametros_manuales!$J$37</f>
        <v>1087.1950977095</v>
      </c>
      <c r="I272" s="14" t="n">
        <f aca="false">(parametros_manuales!$D$37*(datos_base!$K$2+IF(parametros_manuales!$H$37="Todos",datos_base!$K$9,0))*parametros_manuales!$I$97+parametros_manuales!$E$37*(datos_base!$K$3+IF(parametros_manuales!$H$37="Todos",datos_base!$K$10,0))*parametros_manuales!$I$102+parametros_manuales!$F$37*(datos_base!$K$4+IF(parametros_manuales!$H$37="Todos",datos_base!$K$11,0))*parametros_manuales!$I$107+parametros_manuales!$G$37*(datos_base!$K$5+IF(parametros_manuales!$H$37="Todos",datos_base!$K$12,0))*parametros_manuales!$I$112)*parametros_manuales!$I$37*parametros_manuales!$J$37</f>
        <v>1239.160577057</v>
      </c>
      <c r="J272" s="14" t="n">
        <f aca="false">(parametros_manuales!$D$37*(datos_base!$K$2+IF(parametros_manuales!$H$37="Todos",datos_base!$K$9,0))*parametros_manuales!$J$97+parametros_manuales!$E$37*(datos_base!$K$3+IF(parametros_manuales!$H$37="Todos",datos_base!$K$10,0))*parametros_manuales!$J$102+parametros_manuales!$F$37*(datos_base!$K$4+IF(parametros_manuales!$H$37="Todos",datos_base!$K$11,0))*parametros_manuales!$J$107+parametros_manuales!$G$37*(datos_base!$K$5+IF(parametros_manuales!$H$37="Todos",datos_base!$K$12,0))*parametros_manuales!$J$112)*parametros_manuales!$I$37*parametros_manuales!$J$37</f>
        <v>1239.160577057</v>
      </c>
      <c r="K272" s="14" t="n">
        <f aca="false">(parametros_manuales!$D$37*(datos_base!$K$2+IF(parametros_manuales!$H$37="Todos",datos_base!$K$9,0))*parametros_manuales!$K$97+parametros_manuales!$E$37*(datos_base!$K$3+IF(parametros_manuales!$H$37="Todos",datos_base!$K$10,0))*parametros_manuales!$K$102+parametros_manuales!$F$37*(datos_base!$K$4+IF(parametros_manuales!$H$37="Todos",datos_base!$K$11,0))*parametros_manuales!$K$107+parametros_manuales!$G$37*(datos_base!$K$5+IF(parametros_manuales!$H$37="Todos",datos_base!$K$12,0))*parametros_manuales!$K$112)*parametros_manuales!$I$37*parametros_manuales!$J$37</f>
        <v>1259.62105836775</v>
      </c>
      <c r="L272" s="14" t="n">
        <f aca="false">(parametros_manuales!$D$37*(datos_base!$K$2+IF(parametros_manuales!$H$37="Todos",datos_base!$K$9,0))*parametros_manuales!$L$97+parametros_manuales!$E$37*(datos_base!$K$3+IF(parametros_manuales!$H$37="Todos",datos_base!$K$10,0))*parametros_manuales!$L$102+parametros_manuales!$F$37*(datos_base!$K$4+IF(parametros_manuales!$H$37="Todos",datos_base!$K$11,0))*parametros_manuales!$L$107+parametros_manuales!$G$37*(datos_base!$K$5+IF(parametros_manuales!$H$37="Todos",datos_base!$K$12,0))*parametros_manuales!$L$112)*parametros_manuales!$I$37*parametros_manuales!$J$37</f>
        <v>1280.0815396785</v>
      </c>
      <c r="M272" s="14" t="n">
        <f aca="false">(parametros_manuales!$D$37*(datos_base!$K$2+IF(parametros_manuales!$H$37="Todos",datos_base!$K$9,0))*parametros_manuales!$M$97+parametros_manuales!$E$37*(datos_base!$K$3+IF(parametros_manuales!$H$37="Todos",datos_base!$K$10,0))*parametros_manuales!$M$102+parametros_manuales!$F$37*(datos_base!$K$4+IF(parametros_manuales!$H$37="Todos",datos_base!$K$11,0))*parametros_manuales!$M$107+parametros_manuales!$G$37*(datos_base!$K$5+IF(parametros_manuales!$H$37="Todos",datos_base!$K$12,0))*parametros_manuales!$M$112)*parametros_manuales!$I$37*parametros_manuales!$J$37</f>
        <v>1280.0815396785</v>
      </c>
      <c r="N272" s="14" t="n">
        <f aca="false">SUM(B272:M272)</f>
        <v>14223.12821865</v>
      </c>
      <c r="O272" s="14" t="n">
        <f aca="false">MAX(B272:M272)</f>
        <v>1280.0815396785</v>
      </c>
      <c r="P272" s="57" t="n">
        <f aca="false">O272/(parametros_manuales!$B$7)</f>
        <v>8.53387693119</v>
      </c>
      <c r="Q272" s="13" t="str">
        <f aca="false">IF(O272=0,"-",INDEX($B$253:$M$253,MATCH(O272,B272:M272,0)))</f>
        <v>Ene</v>
      </c>
    </row>
    <row r="273" customFormat="false" ht="14.25" hidden="false" customHeight="true" outlineLevel="0" collapsed="false">
      <c r="A273" s="13" t="str">
        <f aca="false">parametros_manuales!$B$38</f>
        <v>Pintura en polvo + horno</v>
      </c>
      <c r="B273" s="14" t="n">
        <f aca="false">(parametros_manuales!$D$38*(datos_base!$K$2+IF(parametros_manuales!$H$38="Todos",datos_base!$K$9,0))*parametros_manuales!$B$97+parametros_manuales!$E$38*(datos_base!$K$3+IF(parametros_manuales!$H$38="Todos",datos_base!$K$10,0))*parametros_manuales!$B$102+parametros_manuales!$F$38*(datos_base!$K$4+IF(parametros_manuales!$H$38="Todos",datos_base!$K$11,0))*parametros_manuales!$B$107+parametros_manuales!$G$38*(datos_base!$K$5+IF(parametros_manuales!$H$38="Todos",datos_base!$K$12,0))*parametros_manuales!$B$112)*parametros_manuales!$I$38*parametros_manuales!$J$38</f>
        <v>25601.63079357</v>
      </c>
      <c r="C273" s="14" t="n">
        <f aca="false">(parametros_manuales!$D$38*(datos_base!$K$2+IF(parametros_manuales!$H$38="Todos",datos_base!$K$9,0))*parametros_manuales!$C$97+parametros_manuales!$E$38*(datos_base!$K$3+IF(parametros_manuales!$H$38="Todos",datos_base!$K$10,0))*parametros_manuales!$C$102+parametros_manuales!$F$38*(datos_base!$K$4+IF(parametros_manuales!$H$38="Todos",datos_base!$K$11,0))*parametros_manuales!$C$107+parametros_manuales!$G$38*(datos_base!$K$5+IF(parametros_manuales!$H$38="Todos",datos_base!$K$12,0))*parametros_manuales!$C$112)*parametros_manuales!$I$38*parametros_manuales!$J$38</f>
        <v>24783.21154114</v>
      </c>
      <c r="D273" s="14" t="n">
        <f aca="false">(parametros_manuales!$D$38*(datos_base!$K$2+IF(parametros_manuales!$H$38="Todos",datos_base!$K$9,0))*parametros_manuales!$D$97+parametros_manuales!$E$38*(datos_base!$K$3+IF(parametros_manuales!$H$38="Todos",datos_base!$K$10,0))*parametros_manuales!$D$102+parametros_manuales!$F$38*(datos_base!$K$4+IF(parametros_manuales!$H$38="Todos",datos_base!$K$11,0))*parametros_manuales!$D$107+parametros_manuales!$G$38*(datos_base!$K$5+IF(parametros_manuales!$H$38="Todos",datos_base!$K$12,0))*parametros_manuales!$D$112)*parametros_manuales!$I$38*parametros_manuales!$J$38</f>
        <v>23166.214776055</v>
      </c>
      <c r="E273" s="14" t="n">
        <f aca="false">(parametros_manuales!$D$38*(datos_base!$K$2+IF(parametros_manuales!$H$38="Todos",datos_base!$K$9,0))*parametros_manuales!$E$97+parametros_manuales!$E$38*(datos_base!$K$3+IF(parametros_manuales!$H$38="Todos",datos_base!$K$10,0))*parametros_manuales!$E$102+parametros_manuales!$F$38*(datos_base!$K$4+IF(parametros_manuales!$H$38="Todos",datos_base!$K$11,0))*parametros_manuales!$E$107+parametros_manuales!$G$38*(datos_base!$K$5+IF(parametros_manuales!$H$38="Todos",datos_base!$K$12,0))*parametros_manuales!$E$112)*parametros_manuales!$I$38*parametros_manuales!$J$38</f>
        <v>22153.111580405</v>
      </c>
      <c r="F273" s="14" t="n">
        <f aca="false">(parametros_manuales!$D$38*(datos_base!$K$2+IF(parametros_manuales!$H$38="Todos",datos_base!$K$9,0))*parametros_manuales!$F$97+parametros_manuales!$E$38*(datos_base!$K$3+IF(parametros_manuales!$H$38="Todos",datos_base!$K$10,0))*parametros_manuales!$F$102+parametros_manuales!$F$38*(datos_base!$K$4+IF(parametros_manuales!$H$38="Todos",datos_base!$K$11,0))*parametros_manuales!$F$107+parametros_manuales!$G$38*(datos_base!$K$5+IF(parametros_manuales!$H$38="Todos",datos_base!$K$12,0))*parametros_manuales!$F$112)*parametros_manuales!$I$38*parametros_manuales!$J$38</f>
        <v>20730.79875854</v>
      </c>
      <c r="G273" s="14" t="n">
        <f aca="false">(parametros_manuales!$D$38*(datos_base!$K$2+IF(parametros_manuales!$H$38="Todos",datos_base!$K$9,0))*parametros_manuales!$G$97+parametros_manuales!$E$38*(datos_base!$K$3+IF(parametros_manuales!$H$38="Todos",datos_base!$K$10,0))*parametros_manuales!$G$102+parametros_manuales!$F$38*(datos_base!$K$4+IF(parametros_manuales!$H$38="Todos",datos_base!$K$11,0))*parametros_manuales!$G$107+parametros_manuales!$G$38*(datos_base!$K$5+IF(parametros_manuales!$H$38="Todos",datos_base!$K$12,0))*parametros_manuales!$G$112)*parametros_manuales!$I$38*parametros_manuales!$J$38</f>
        <v>20321.589132325</v>
      </c>
      <c r="H273" s="14" t="n">
        <f aca="false">(parametros_manuales!$D$38*(datos_base!$K$2+IF(parametros_manuales!$H$38="Todos",datos_base!$K$9,0))*parametros_manuales!$H$97+parametros_manuales!$E$38*(datos_base!$K$3+IF(parametros_manuales!$H$38="Todos",datos_base!$K$10,0))*parametros_manuales!$H$102+parametros_manuales!$F$38*(datos_base!$K$4+IF(parametros_manuales!$H$38="Todos",datos_base!$K$11,0))*parametros_manuales!$H$107+parametros_manuales!$G$38*(datos_base!$K$5+IF(parametros_manuales!$H$38="Todos",datos_base!$K$12,0))*parametros_manuales!$H$112)*parametros_manuales!$I$38*parametros_manuales!$J$38</f>
        <v>21743.90195419</v>
      </c>
      <c r="I273" s="14" t="n">
        <f aca="false">(parametros_manuales!$D$38*(datos_base!$K$2+IF(parametros_manuales!$H$38="Todos",datos_base!$K$9,0))*parametros_manuales!$I$97+parametros_manuales!$E$38*(datos_base!$K$3+IF(parametros_manuales!$H$38="Todos",datos_base!$K$10,0))*parametros_manuales!$I$102+parametros_manuales!$F$38*(datos_base!$K$4+IF(parametros_manuales!$H$38="Todos",datos_base!$K$11,0))*parametros_manuales!$I$107+parametros_manuales!$G$38*(datos_base!$K$5+IF(parametros_manuales!$H$38="Todos",datos_base!$K$12,0))*parametros_manuales!$I$112)*parametros_manuales!$I$38*parametros_manuales!$J$38</f>
        <v>24783.21154114</v>
      </c>
      <c r="J273" s="14" t="n">
        <f aca="false">(parametros_manuales!$D$38*(datos_base!$K$2+IF(parametros_manuales!$H$38="Todos",datos_base!$K$9,0))*parametros_manuales!$J$97+parametros_manuales!$E$38*(datos_base!$K$3+IF(parametros_manuales!$H$38="Todos",datos_base!$K$10,0))*parametros_manuales!$J$102+parametros_manuales!$F$38*(datos_base!$K$4+IF(parametros_manuales!$H$38="Todos",datos_base!$K$11,0))*parametros_manuales!$J$107+parametros_manuales!$G$38*(datos_base!$K$5+IF(parametros_manuales!$H$38="Todos",datos_base!$K$12,0))*parametros_manuales!$J$112)*parametros_manuales!$I$38*parametros_manuales!$J$38</f>
        <v>24783.21154114</v>
      </c>
      <c r="K273" s="14" t="n">
        <f aca="false">(parametros_manuales!$D$38*(datos_base!$K$2+IF(parametros_manuales!$H$38="Todos",datos_base!$K$9,0))*parametros_manuales!$K$97+parametros_manuales!$E$38*(datos_base!$K$3+IF(parametros_manuales!$H$38="Todos",datos_base!$K$10,0))*parametros_manuales!$K$102+parametros_manuales!$F$38*(datos_base!$K$4+IF(parametros_manuales!$H$38="Todos",datos_base!$K$11,0))*parametros_manuales!$K$107+parametros_manuales!$G$38*(datos_base!$K$5+IF(parametros_manuales!$H$38="Todos",datos_base!$K$12,0))*parametros_manuales!$K$112)*parametros_manuales!$I$38*parametros_manuales!$J$38</f>
        <v>25192.421167355</v>
      </c>
      <c r="L273" s="14" t="n">
        <f aca="false">(parametros_manuales!$D$38*(datos_base!$K$2+IF(parametros_manuales!$H$38="Todos",datos_base!$K$9,0))*parametros_manuales!$L$97+parametros_manuales!$E$38*(datos_base!$K$3+IF(parametros_manuales!$H$38="Todos",datos_base!$K$10,0))*parametros_manuales!$L$102+parametros_manuales!$F$38*(datos_base!$K$4+IF(parametros_manuales!$H$38="Todos",datos_base!$K$11,0))*parametros_manuales!$L$107+parametros_manuales!$G$38*(datos_base!$K$5+IF(parametros_manuales!$H$38="Todos",datos_base!$K$12,0))*parametros_manuales!$L$112)*parametros_manuales!$I$38*parametros_manuales!$J$38</f>
        <v>25601.63079357</v>
      </c>
      <c r="M273" s="14" t="n">
        <f aca="false">(parametros_manuales!$D$38*(datos_base!$K$2+IF(parametros_manuales!$H$38="Todos",datos_base!$K$9,0))*parametros_manuales!$M$97+parametros_manuales!$E$38*(datos_base!$K$3+IF(parametros_manuales!$H$38="Todos",datos_base!$K$10,0))*parametros_manuales!$M$102+parametros_manuales!$F$38*(datos_base!$K$4+IF(parametros_manuales!$H$38="Todos",datos_base!$K$11,0))*parametros_manuales!$M$107+parametros_manuales!$G$38*(datos_base!$K$5+IF(parametros_manuales!$H$38="Todos",datos_base!$K$12,0))*parametros_manuales!$M$112)*parametros_manuales!$I$38*parametros_manuales!$J$38</f>
        <v>25601.63079357</v>
      </c>
      <c r="N273" s="14" t="n">
        <f aca="false">SUM(B273:M273)</f>
        <v>284462.564373</v>
      </c>
      <c r="O273" s="14" t="n">
        <f aca="false">MAX(B273:M273)</f>
        <v>25601.63079357</v>
      </c>
      <c r="P273" s="57" t="n">
        <f aca="false">O273/(parametros_manuales!$B$7)</f>
        <v>170.6775386238</v>
      </c>
      <c r="Q273" s="13" t="str">
        <f aca="false">IF(O273=0,"-",INDEX($B$253:$M$253,MATCH(O273,B273:M273,0)))</f>
        <v>Ene</v>
      </c>
    </row>
    <row r="274" customFormat="false" ht="14.25" hidden="false" customHeight="true" outlineLevel="0" collapsed="false">
      <c r="A274" s="13" t="str">
        <f aca="false">parametros_manuales!$B$39</f>
        <v>Carga de polvo</v>
      </c>
      <c r="B274" s="14" t="n">
        <f aca="false">(parametros_manuales!$D$39*(datos_base!$K$2+IF(parametros_manuales!$H$39="Todos",datos_base!$K$9,0))*parametros_manuales!$B$97+parametros_manuales!$E$39*(datos_base!$K$3+IF(parametros_manuales!$H$39="Todos",datos_base!$K$10,0))*parametros_manuales!$B$102+parametros_manuales!$F$39*(datos_base!$K$4+IF(parametros_manuales!$H$39="Todos",datos_base!$K$11,0))*parametros_manuales!$B$107+parametros_manuales!$G$39*(datos_base!$K$5+IF(parametros_manuales!$H$39="Todos",datos_base!$K$12,0))*parametros_manuales!$B$112)*parametros_manuales!$I$39*parametros_manuales!$J$39</f>
        <v>6495.21039357</v>
      </c>
      <c r="C274" s="14" t="n">
        <f aca="false">(parametros_manuales!$D$39*(datos_base!$K$2+IF(parametros_manuales!$H$39="Todos",datos_base!$K$9,0))*parametros_manuales!$C$97+parametros_manuales!$E$39*(datos_base!$K$3+IF(parametros_manuales!$H$39="Todos",datos_base!$K$10,0))*parametros_manuales!$C$102+parametros_manuales!$F$39*(datos_base!$K$4+IF(parametros_manuales!$H$39="Todos",datos_base!$K$11,0))*parametros_manuales!$C$107+parametros_manuales!$G$39*(datos_base!$K$5+IF(parametros_manuales!$H$39="Todos",datos_base!$K$12,0))*parametros_manuales!$C$112)*parametros_manuales!$I$39*parametros_manuales!$J$39</f>
        <v>6094.24674114</v>
      </c>
      <c r="D274" s="14" t="n">
        <f aca="false">(parametros_manuales!$D$39*(datos_base!$K$2+IF(parametros_manuales!$H$39="Todos",datos_base!$K$9,0))*parametros_manuales!$D$97+parametros_manuales!$E$39*(datos_base!$K$3+IF(parametros_manuales!$H$39="Todos",datos_base!$K$10,0))*parametros_manuales!$D$102+parametros_manuales!$F$39*(datos_base!$K$4+IF(parametros_manuales!$H$39="Todos",datos_base!$K$11,0))*parametros_manuales!$D$107+parametros_manuales!$G$39*(datos_base!$K$5+IF(parametros_manuales!$H$39="Todos",datos_base!$K$12,0))*parametros_manuales!$D$112)*parametros_manuales!$I$39*parametros_manuales!$J$39</f>
        <v>5974.002176055</v>
      </c>
      <c r="E274" s="14" t="n">
        <f aca="false">(parametros_manuales!$D$39*(datos_base!$K$2+IF(parametros_manuales!$H$39="Todos",datos_base!$K$9,0))*parametros_manuales!$E$97+parametros_manuales!$E$39*(datos_base!$K$3+IF(parametros_manuales!$H$39="Todos",datos_base!$K$10,0))*parametros_manuales!$E$102+parametros_manuales!$F$39*(datos_base!$K$4+IF(parametros_manuales!$H$39="Todos",datos_base!$K$11,0))*parametros_manuales!$E$107+parametros_manuales!$G$39*(datos_base!$K$5+IF(parametros_manuales!$H$39="Todos",datos_base!$K$12,0))*parametros_manuales!$E$112)*parametros_manuales!$I$39*parametros_manuales!$J$39</f>
        <v>5813.638980405</v>
      </c>
      <c r="F274" s="14" t="n">
        <f aca="false">(parametros_manuales!$D$39*(datos_base!$K$2+IF(parametros_manuales!$H$39="Todos",datos_base!$K$9,0))*parametros_manuales!$F$97+parametros_manuales!$E$39*(datos_base!$K$3+IF(parametros_manuales!$H$39="Todos",datos_base!$K$10,0))*parametros_manuales!$F$102+parametros_manuales!$F$39*(datos_base!$K$4+IF(parametros_manuales!$H$39="Todos",datos_base!$K$11,0))*parametros_manuales!$F$107+parametros_manuales!$G$39*(datos_base!$K$5+IF(parametros_manuales!$H$39="Todos",datos_base!$K$12,0))*parametros_manuales!$F$112)*parametros_manuales!$I$39*parametros_manuales!$J$39</f>
        <v>5452.79395854</v>
      </c>
      <c r="G274" s="14" t="n">
        <f aca="false">(parametros_manuales!$D$39*(datos_base!$K$2+IF(parametros_manuales!$H$39="Todos",datos_base!$K$9,0))*parametros_manuales!$G$97+parametros_manuales!$E$39*(datos_base!$K$3+IF(parametros_manuales!$H$39="Todos",datos_base!$K$10,0))*parametros_manuales!$G$102+parametros_manuales!$F$39*(datos_base!$K$4+IF(parametros_manuales!$H$39="Todos",datos_base!$K$11,0))*parametros_manuales!$G$107+parametros_manuales!$G$39*(datos_base!$K$5+IF(parametros_manuales!$H$39="Todos",datos_base!$K$12,0))*parametros_manuales!$G$112)*parametros_manuales!$I$39*parametros_manuales!$J$39</f>
        <v>5252.312132325</v>
      </c>
      <c r="H274" s="14" t="n">
        <f aca="false">(parametros_manuales!$D$39*(datos_base!$K$2+IF(parametros_manuales!$H$39="Todos",datos_base!$K$9,0))*parametros_manuales!$H$97+parametros_manuales!$E$39*(datos_base!$K$3+IF(parametros_manuales!$H$39="Todos",datos_base!$K$10,0))*parametros_manuales!$H$102+parametros_manuales!$F$39*(datos_base!$K$4+IF(parametros_manuales!$H$39="Todos",datos_base!$K$11,0))*parametros_manuales!$H$107+parametros_manuales!$G$39*(datos_base!$K$5+IF(parametros_manuales!$H$39="Todos",datos_base!$K$12,0))*parametros_manuales!$H$112)*parametros_manuales!$I$39*parametros_manuales!$J$39</f>
        <v>5613.15715419</v>
      </c>
      <c r="I274" s="14" t="n">
        <f aca="false">(parametros_manuales!$D$39*(datos_base!$K$2+IF(parametros_manuales!$H$39="Todos",datos_base!$K$9,0))*parametros_manuales!$I$97+parametros_manuales!$E$39*(datos_base!$K$3+IF(parametros_manuales!$H$39="Todos",datos_base!$K$10,0))*parametros_manuales!$I$102+parametros_manuales!$F$39*(datos_base!$K$4+IF(parametros_manuales!$H$39="Todos",datos_base!$K$11,0))*parametros_manuales!$I$107+parametros_manuales!$G$39*(datos_base!$K$5+IF(parametros_manuales!$H$39="Todos",datos_base!$K$12,0))*parametros_manuales!$I$112)*parametros_manuales!$I$39*parametros_manuales!$J$39</f>
        <v>6094.24674114</v>
      </c>
      <c r="J274" s="14" t="n">
        <f aca="false">(parametros_manuales!$D$39*(datos_base!$K$2+IF(parametros_manuales!$H$39="Todos",datos_base!$K$9,0))*parametros_manuales!$J$97+parametros_manuales!$E$39*(datos_base!$K$3+IF(parametros_manuales!$H$39="Todos",datos_base!$K$10,0))*parametros_manuales!$J$102+parametros_manuales!$F$39*(datos_base!$K$4+IF(parametros_manuales!$H$39="Todos",datos_base!$K$11,0))*parametros_manuales!$J$107+parametros_manuales!$G$39*(datos_base!$K$5+IF(parametros_manuales!$H$39="Todos",datos_base!$K$12,0))*parametros_manuales!$J$112)*parametros_manuales!$I$39*parametros_manuales!$J$39</f>
        <v>6094.24674114</v>
      </c>
      <c r="K274" s="14" t="n">
        <f aca="false">(parametros_manuales!$D$39*(datos_base!$K$2+IF(parametros_manuales!$H$39="Todos",datos_base!$K$9,0))*parametros_manuales!$K$97+parametros_manuales!$E$39*(datos_base!$K$3+IF(parametros_manuales!$H$39="Todos",datos_base!$K$10,0))*parametros_manuales!$K$102+parametros_manuales!$F$39*(datos_base!$K$4+IF(parametros_manuales!$H$39="Todos",datos_base!$K$11,0))*parametros_manuales!$K$107+parametros_manuales!$G$39*(datos_base!$K$5+IF(parametros_manuales!$H$39="Todos",datos_base!$K$12,0))*parametros_manuales!$K$112)*parametros_manuales!$I$39*parametros_manuales!$J$39</f>
        <v>6294.728567355</v>
      </c>
      <c r="L274" s="14" t="n">
        <f aca="false">(parametros_manuales!$D$39*(datos_base!$K$2+IF(parametros_manuales!$H$39="Todos",datos_base!$K$9,0))*parametros_manuales!$L$97+parametros_manuales!$E$39*(datos_base!$K$3+IF(parametros_manuales!$H$39="Todos",datos_base!$K$10,0))*parametros_manuales!$L$102+parametros_manuales!$F$39*(datos_base!$K$4+IF(parametros_manuales!$H$39="Todos",datos_base!$K$11,0))*parametros_manuales!$L$107+parametros_manuales!$G$39*(datos_base!$K$5+IF(parametros_manuales!$H$39="Todos",datos_base!$K$12,0))*parametros_manuales!$L$112)*parametros_manuales!$I$39*parametros_manuales!$J$39</f>
        <v>6495.21039357</v>
      </c>
      <c r="M274" s="14" t="n">
        <f aca="false">(parametros_manuales!$D$39*(datos_base!$K$2+IF(parametros_manuales!$H$39="Todos",datos_base!$K$9,0))*parametros_manuales!$M$97+parametros_manuales!$E$39*(datos_base!$K$3+IF(parametros_manuales!$H$39="Todos",datos_base!$K$10,0))*parametros_manuales!$M$102+parametros_manuales!$F$39*(datos_base!$K$4+IF(parametros_manuales!$H$39="Todos",datos_base!$K$11,0))*parametros_manuales!$M$107+parametros_manuales!$G$39*(datos_base!$K$5+IF(parametros_manuales!$H$39="Todos",datos_base!$K$12,0))*parametros_manuales!$M$112)*parametros_manuales!$I$39*parametros_manuales!$J$39</f>
        <v>6495.21039357</v>
      </c>
      <c r="N274" s="14" t="n">
        <f aca="false">SUM(B274:M274)</f>
        <v>72169.004373</v>
      </c>
      <c r="O274" s="14" t="n">
        <f aca="false">MAX(B274:M274)</f>
        <v>6495.21039357</v>
      </c>
      <c r="P274" s="57" t="n">
        <f aca="false">O274/(parametros_manuales!$B$7)</f>
        <v>43.3014026238</v>
      </c>
      <c r="Q274" s="13" t="str">
        <f aca="false">IF(O274=0,"-",INDEX($B$253:$M$253,MATCH(O274,B274:M274,0)))</f>
        <v>Ene</v>
      </c>
    </row>
    <row r="275" customFormat="false" ht="14.25" hidden="false" customHeight="true" outlineLevel="0" collapsed="false">
      <c r="A275" s="13" t="str">
        <f aca="false">parametros_manuales!$B$40</f>
        <v>Ensamblaje</v>
      </c>
      <c r="B275" s="14" t="n">
        <f aca="false">(parametros_manuales!$D$40*(datos_base!$K$2+IF(parametros_manuales!$H$40="Todos",datos_base!$K$9,0))*parametros_manuales!$B$97+parametros_manuales!$E$40*(datos_base!$K$3+IF(parametros_manuales!$H$40="Todos",datos_base!$K$10,0))*parametros_manuales!$B$102+parametros_manuales!$F$40*(datos_base!$K$4+IF(parametros_manuales!$H$40="Todos",datos_base!$K$11,0))*parametros_manuales!$B$107+parametros_manuales!$G$40*(datos_base!$K$5+IF(parametros_manuales!$H$40="Todos",datos_base!$K$12,0))*parametros_manuales!$B$112)*parametros_manuales!$I$40*parametros_manuales!$J$40</f>
        <v>6495.21039357</v>
      </c>
      <c r="C275" s="14" t="n">
        <f aca="false">(parametros_manuales!$D$40*(datos_base!$K$2+IF(parametros_manuales!$H$40="Todos",datos_base!$K$9,0))*parametros_manuales!$C$97+parametros_manuales!$E$40*(datos_base!$K$3+IF(parametros_manuales!$H$40="Todos",datos_base!$K$10,0))*parametros_manuales!$C$102+parametros_manuales!$F$40*(datos_base!$K$4+IF(parametros_manuales!$H$40="Todos",datos_base!$K$11,0))*parametros_manuales!$C$107+parametros_manuales!$G$40*(datos_base!$K$5+IF(parametros_manuales!$H$40="Todos",datos_base!$K$12,0))*parametros_manuales!$C$112)*parametros_manuales!$I$40*parametros_manuales!$J$40</f>
        <v>6094.24674114</v>
      </c>
      <c r="D275" s="14" t="n">
        <f aca="false">(parametros_manuales!$D$40*(datos_base!$K$2+IF(parametros_manuales!$H$40="Todos",datos_base!$K$9,0))*parametros_manuales!$D$97+parametros_manuales!$E$40*(datos_base!$K$3+IF(parametros_manuales!$H$40="Todos",datos_base!$K$10,0))*parametros_manuales!$D$102+parametros_manuales!$F$40*(datos_base!$K$4+IF(parametros_manuales!$H$40="Todos",datos_base!$K$11,0))*parametros_manuales!$D$107+parametros_manuales!$G$40*(datos_base!$K$5+IF(parametros_manuales!$H$40="Todos",datos_base!$K$12,0))*parametros_manuales!$D$112)*parametros_manuales!$I$40*parametros_manuales!$J$40</f>
        <v>5974.002176055</v>
      </c>
      <c r="E275" s="14" t="n">
        <f aca="false">(parametros_manuales!$D$40*(datos_base!$K$2+IF(parametros_manuales!$H$40="Todos",datos_base!$K$9,0))*parametros_manuales!$E$97+parametros_manuales!$E$40*(datos_base!$K$3+IF(parametros_manuales!$H$40="Todos",datos_base!$K$10,0))*parametros_manuales!$E$102+parametros_manuales!$F$40*(datos_base!$K$4+IF(parametros_manuales!$H$40="Todos",datos_base!$K$11,0))*parametros_manuales!$E$107+parametros_manuales!$G$40*(datos_base!$K$5+IF(parametros_manuales!$H$40="Todos",datos_base!$K$12,0))*parametros_manuales!$E$112)*parametros_manuales!$I$40*parametros_manuales!$J$40</f>
        <v>5813.638980405</v>
      </c>
      <c r="F275" s="14" t="n">
        <f aca="false">(parametros_manuales!$D$40*(datos_base!$K$2+IF(parametros_manuales!$H$40="Todos",datos_base!$K$9,0))*parametros_manuales!$F$97+parametros_manuales!$E$40*(datos_base!$K$3+IF(parametros_manuales!$H$40="Todos",datos_base!$K$10,0))*parametros_manuales!$F$102+parametros_manuales!$F$40*(datos_base!$K$4+IF(parametros_manuales!$H$40="Todos",datos_base!$K$11,0))*parametros_manuales!$F$107+parametros_manuales!$G$40*(datos_base!$K$5+IF(parametros_manuales!$H$40="Todos",datos_base!$K$12,0))*parametros_manuales!$F$112)*parametros_manuales!$I$40*parametros_manuales!$J$40</f>
        <v>5452.79395854</v>
      </c>
      <c r="G275" s="14" t="n">
        <f aca="false">(parametros_manuales!$D$40*(datos_base!$K$2+IF(parametros_manuales!$H$40="Todos",datos_base!$K$9,0))*parametros_manuales!$G$97+parametros_manuales!$E$40*(datos_base!$K$3+IF(parametros_manuales!$H$40="Todos",datos_base!$K$10,0))*parametros_manuales!$G$102+parametros_manuales!$F$40*(datos_base!$K$4+IF(parametros_manuales!$H$40="Todos",datos_base!$K$11,0))*parametros_manuales!$G$107+parametros_manuales!$G$40*(datos_base!$K$5+IF(parametros_manuales!$H$40="Todos",datos_base!$K$12,0))*parametros_manuales!$G$112)*parametros_manuales!$I$40*parametros_manuales!$J$40</f>
        <v>5252.312132325</v>
      </c>
      <c r="H275" s="14" t="n">
        <f aca="false">(parametros_manuales!$D$40*(datos_base!$K$2+IF(parametros_manuales!$H$40="Todos",datos_base!$K$9,0))*parametros_manuales!$H$97+parametros_manuales!$E$40*(datos_base!$K$3+IF(parametros_manuales!$H$40="Todos",datos_base!$K$10,0))*parametros_manuales!$H$102+parametros_manuales!$F$40*(datos_base!$K$4+IF(parametros_manuales!$H$40="Todos",datos_base!$K$11,0))*parametros_manuales!$H$107+parametros_manuales!$G$40*(datos_base!$K$5+IF(parametros_manuales!$H$40="Todos",datos_base!$K$12,0))*parametros_manuales!$H$112)*parametros_manuales!$I$40*parametros_manuales!$J$40</f>
        <v>5613.15715419</v>
      </c>
      <c r="I275" s="14" t="n">
        <f aca="false">(parametros_manuales!$D$40*(datos_base!$K$2+IF(parametros_manuales!$H$40="Todos",datos_base!$K$9,0))*parametros_manuales!$I$97+parametros_manuales!$E$40*(datos_base!$K$3+IF(parametros_manuales!$H$40="Todos",datos_base!$K$10,0))*parametros_manuales!$I$102+parametros_manuales!$F$40*(datos_base!$K$4+IF(parametros_manuales!$H$40="Todos",datos_base!$K$11,0))*parametros_manuales!$I$107+parametros_manuales!$G$40*(datos_base!$K$5+IF(parametros_manuales!$H$40="Todos",datos_base!$K$12,0))*parametros_manuales!$I$112)*parametros_manuales!$I$40*parametros_manuales!$J$40</f>
        <v>6094.24674114</v>
      </c>
      <c r="J275" s="14" t="n">
        <f aca="false">(parametros_manuales!$D$40*(datos_base!$K$2+IF(parametros_manuales!$H$40="Todos",datos_base!$K$9,0))*parametros_manuales!$J$97+parametros_manuales!$E$40*(datos_base!$K$3+IF(parametros_manuales!$H$40="Todos",datos_base!$K$10,0))*parametros_manuales!$J$102+parametros_manuales!$F$40*(datos_base!$K$4+IF(parametros_manuales!$H$40="Todos",datos_base!$K$11,0))*parametros_manuales!$J$107+parametros_manuales!$G$40*(datos_base!$K$5+IF(parametros_manuales!$H$40="Todos",datos_base!$K$12,0))*parametros_manuales!$J$112)*parametros_manuales!$I$40*parametros_manuales!$J$40</f>
        <v>6094.24674114</v>
      </c>
      <c r="K275" s="14" t="n">
        <f aca="false">(parametros_manuales!$D$40*(datos_base!$K$2+IF(parametros_manuales!$H$40="Todos",datos_base!$K$9,0))*parametros_manuales!$K$97+parametros_manuales!$E$40*(datos_base!$K$3+IF(parametros_manuales!$H$40="Todos",datos_base!$K$10,0))*parametros_manuales!$K$102+parametros_manuales!$F$40*(datos_base!$K$4+IF(parametros_manuales!$H$40="Todos",datos_base!$K$11,0))*parametros_manuales!$K$107+parametros_manuales!$G$40*(datos_base!$K$5+IF(parametros_manuales!$H$40="Todos",datos_base!$K$12,0))*parametros_manuales!$K$112)*parametros_manuales!$I$40*parametros_manuales!$J$40</f>
        <v>6294.728567355</v>
      </c>
      <c r="L275" s="14" t="n">
        <f aca="false">(parametros_manuales!$D$40*(datos_base!$K$2+IF(parametros_manuales!$H$40="Todos",datos_base!$K$9,0))*parametros_manuales!$L$97+parametros_manuales!$E$40*(datos_base!$K$3+IF(parametros_manuales!$H$40="Todos",datos_base!$K$10,0))*parametros_manuales!$L$102+parametros_manuales!$F$40*(datos_base!$K$4+IF(parametros_manuales!$H$40="Todos",datos_base!$K$11,0))*parametros_manuales!$L$107+parametros_manuales!$G$40*(datos_base!$K$5+IF(parametros_manuales!$H$40="Todos",datos_base!$K$12,0))*parametros_manuales!$L$112)*parametros_manuales!$I$40*parametros_manuales!$J$40</f>
        <v>6495.21039357</v>
      </c>
      <c r="M275" s="14" t="n">
        <f aca="false">(parametros_manuales!$D$40*(datos_base!$K$2+IF(parametros_manuales!$H$40="Todos",datos_base!$K$9,0))*parametros_manuales!$M$97+parametros_manuales!$E$40*(datos_base!$K$3+IF(parametros_manuales!$H$40="Todos",datos_base!$K$10,0))*parametros_manuales!$M$102+parametros_manuales!$F$40*(datos_base!$K$4+IF(parametros_manuales!$H$40="Todos",datos_base!$K$11,0))*parametros_manuales!$M$107+parametros_manuales!$G$40*(datos_base!$K$5+IF(parametros_manuales!$H$40="Todos",datos_base!$K$12,0))*parametros_manuales!$M$112)*parametros_manuales!$I$40*parametros_manuales!$J$40</f>
        <v>6495.21039357</v>
      </c>
      <c r="N275" s="14" t="n">
        <f aca="false">SUM(B275:M275)</f>
        <v>72169.004373</v>
      </c>
      <c r="O275" s="14" t="n">
        <f aca="false">MAX(B275:M275)</f>
        <v>6495.21039357</v>
      </c>
      <c r="P275" s="57" t="n">
        <f aca="false">O275/(parametros_manuales!$B$7)</f>
        <v>43.3014026238</v>
      </c>
      <c r="Q275" s="13" t="str">
        <f aca="false">IF(O275=0,"-",INDEX($B$253:$M$253,MATCH(O275,B275:M275,0)))</f>
        <v>Ene</v>
      </c>
    </row>
    <row r="276" customFormat="false" ht="14.25" hidden="false" customHeight="true" outlineLevel="0" collapsed="false">
      <c r="A276" s="13" t="str">
        <f aca="false">parametros_manuales!$B$41</f>
        <v>Presurización</v>
      </c>
      <c r="B276" s="14" t="n">
        <f aca="false">(parametros_manuales!$D$41*(datos_base!$K$2+IF(parametros_manuales!$H$41="Todos",datos_base!$K$9,0))*parametros_manuales!$B$97+parametros_manuales!$E$41*(datos_base!$K$3+IF(parametros_manuales!$H$41="Todos",datos_base!$K$10,0))*parametros_manuales!$B$102+parametros_manuales!$F$41*(datos_base!$K$4+IF(parametros_manuales!$H$41="Todos",datos_base!$K$11,0))*parametros_manuales!$B$107+parametros_manuales!$G$41*(datos_base!$K$5+IF(parametros_manuales!$H$41="Todos",datos_base!$K$12,0))*parametros_manuales!$B$112)*parametros_manuales!$I$41*parametros_manuales!$J$41</f>
        <v>6495.21039357</v>
      </c>
      <c r="C276" s="14" t="n">
        <f aca="false">(parametros_manuales!$D$41*(datos_base!$K$2+IF(parametros_manuales!$H$41="Todos",datos_base!$K$9,0))*parametros_manuales!$C$97+parametros_manuales!$E$41*(datos_base!$K$3+IF(parametros_manuales!$H$41="Todos",datos_base!$K$10,0))*parametros_manuales!$C$102+parametros_manuales!$F$41*(datos_base!$K$4+IF(parametros_manuales!$H$41="Todos",datos_base!$K$11,0))*parametros_manuales!$C$107+parametros_manuales!$G$41*(datos_base!$K$5+IF(parametros_manuales!$H$41="Todos",datos_base!$K$12,0))*parametros_manuales!$C$112)*parametros_manuales!$I$41*parametros_manuales!$J$41</f>
        <v>6094.24674114</v>
      </c>
      <c r="D276" s="14" t="n">
        <f aca="false">(parametros_manuales!$D$41*(datos_base!$K$2+IF(parametros_manuales!$H$41="Todos",datos_base!$K$9,0))*parametros_manuales!$D$97+parametros_manuales!$E$41*(datos_base!$K$3+IF(parametros_manuales!$H$41="Todos",datos_base!$K$10,0))*parametros_manuales!$D$102+parametros_manuales!$F$41*(datos_base!$K$4+IF(parametros_manuales!$H$41="Todos",datos_base!$K$11,0))*parametros_manuales!$D$107+parametros_manuales!$G$41*(datos_base!$K$5+IF(parametros_manuales!$H$41="Todos",datos_base!$K$12,0))*parametros_manuales!$D$112)*parametros_manuales!$I$41*parametros_manuales!$J$41</f>
        <v>5974.002176055</v>
      </c>
      <c r="E276" s="14" t="n">
        <f aca="false">(parametros_manuales!$D$41*(datos_base!$K$2+IF(parametros_manuales!$H$41="Todos",datos_base!$K$9,0))*parametros_manuales!$E$97+parametros_manuales!$E$41*(datos_base!$K$3+IF(parametros_manuales!$H$41="Todos",datos_base!$K$10,0))*parametros_manuales!$E$102+parametros_manuales!$F$41*(datos_base!$K$4+IF(parametros_manuales!$H$41="Todos",datos_base!$K$11,0))*parametros_manuales!$E$107+parametros_manuales!$G$41*(datos_base!$K$5+IF(parametros_manuales!$H$41="Todos",datos_base!$K$12,0))*parametros_manuales!$E$112)*parametros_manuales!$I$41*parametros_manuales!$J$41</f>
        <v>5813.638980405</v>
      </c>
      <c r="F276" s="14" t="n">
        <f aca="false">(parametros_manuales!$D$41*(datos_base!$K$2+IF(parametros_manuales!$H$41="Todos",datos_base!$K$9,0))*parametros_manuales!$F$97+parametros_manuales!$E$41*(datos_base!$K$3+IF(parametros_manuales!$H$41="Todos",datos_base!$K$10,0))*parametros_manuales!$F$102+parametros_manuales!$F$41*(datos_base!$K$4+IF(parametros_manuales!$H$41="Todos",datos_base!$K$11,0))*parametros_manuales!$F$107+parametros_manuales!$G$41*(datos_base!$K$5+IF(parametros_manuales!$H$41="Todos",datos_base!$K$12,0))*parametros_manuales!$F$112)*parametros_manuales!$I$41*parametros_manuales!$J$41</f>
        <v>5452.79395854</v>
      </c>
      <c r="G276" s="14" t="n">
        <f aca="false">(parametros_manuales!$D$41*(datos_base!$K$2+IF(parametros_manuales!$H$41="Todos",datos_base!$K$9,0))*parametros_manuales!$G$97+parametros_manuales!$E$41*(datos_base!$K$3+IF(parametros_manuales!$H$41="Todos",datos_base!$K$10,0))*parametros_manuales!$G$102+parametros_manuales!$F$41*(datos_base!$K$4+IF(parametros_manuales!$H$41="Todos",datos_base!$K$11,0))*parametros_manuales!$G$107+parametros_manuales!$G$41*(datos_base!$K$5+IF(parametros_manuales!$H$41="Todos",datos_base!$K$12,0))*parametros_manuales!$G$112)*parametros_manuales!$I$41*parametros_manuales!$J$41</f>
        <v>5252.312132325</v>
      </c>
      <c r="H276" s="14" t="n">
        <f aca="false">(parametros_manuales!$D$41*(datos_base!$K$2+IF(parametros_manuales!$H$41="Todos",datos_base!$K$9,0))*parametros_manuales!$H$97+parametros_manuales!$E$41*(datos_base!$K$3+IF(parametros_manuales!$H$41="Todos",datos_base!$K$10,0))*parametros_manuales!$H$102+parametros_manuales!$F$41*(datos_base!$K$4+IF(parametros_manuales!$H$41="Todos",datos_base!$K$11,0))*parametros_manuales!$H$107+parametros_manuales!$G$41*(datos_base!$K$5+IF(parametros_manuales!$H$41="Todos",datos_base!$K$12,0))*parametros_manuales!$H$112)*parametros_manuales!$I$41*parametros_manuales!$J$41</f>
        <v>5613.15715419</v>
      </c>
      <c r="I276" s="14" t="n">
        <f aca="false">(parametros_manuales!$D$41*(datos_base!$K$2+IF(parametros_manuales!$H$41="Todos",datos_base!$K$9,0))*parametros_manuales!$I$97+parametros_manuales!$E$41*(datos_base!$K$3+IF(parametros_manuales!$H$41="Todos",datos_base!$K$10,0))*parametros_manuales!$I$102+parametros_manuales!$F$41*(datos_base!$K$4+IF(parametros_manuales!$H$41="Todos",datos_base!$K$11,0))*parametros_manuales!$I$107+parametros_manuales!$G$41*(datos_base!$K$5+IF(parametros_manuales!$H$41="Todos",datos_base!$K$12,0))*parametros_manuales!$I$112)*parametros_manuales!$I$41*parametros_manuales!$J$41</f>
        <v>6094.24674114</v>
      </c>
      <c r="J276" s="14" t="n">
        <f aca="false">(parametros_manuales!$D$41*(datos_base!$K$2+IF(parametros_manuales!$H$41="Todos",datos_base!$K$9,0))*parametros_manuales!$J$97+parametros_manuales!$E$41*(datos_base!$K$3+IF(parametros_manuales!$H$41="Todos",datos_base!$K$10,0))*parametros_manuales!$J$102+parametros_manuales!$F$41*(datos_base!$K$4+IF(parametros_manuales!$H$41="Todos",datos_base!$K$11,0))*parametros_manuales!$J$107+parametros_manuales!$G$41*(datos_base!$K$5+IF(parametros_manuales!$H$41="Todos",datos_base!$K$12,0))*parametros_manuales!$J$112)*parametros_manuales!$I$41*parametros_manuales!$J$41</f>
        <v>6094.24674114</v>
      </c>
      <c r="K276" s="14" t="n">
        <f aca="false">(parametros_manuales!$D$41*(datos_base!$K$2+IF(parametros_manuales!$H$41="Todos",datos_base!$K$9,0))*parametros_manuales!$K$97+parametros_manuales!$E$41*(datos_base!$K$3+IF(parametros_manuales!$H$41="Todos",datos_base!$K$10,0))*parametros_manuales!$K$102+parametros_manuales!$F$41*(datos_base!$K$4+IF(parametros_manuales!$H$41="Todos",datos_base!$K$11,0))*parametros_manuales!$K$107+parametros_manuales!$G$41*(datos_base!$K$5+IF(parametros_manuales!$H$41="Todos",datos_base!$K$12,0))*parametros_manuales!$K$112)*parametros_manuales!$I$41*parametros_manuales!$J$41</f>
        <v>6294.728567355</v>
      </c>
      <c r="L276" s="14" t="n">
        <f aca="false">(parametros_manuales!$D$41*(datos_base!$K$2+IF(parametros_manuales!$H$41="Todos",datos_base!$K$9,0))*parametros_manuales!$L$97+parametros_manuales!$E$41*(datos_base!$K$3+IF(parametros_manuales!$H$41="Todos",datos_base!$K$10,0))*parametros_manuales!$L$102+parametros_manuales!$F$41*(datos_base!$K$4+IF(parametros_manuales!$H$41="Todos",datos_base!$K$11,0))*parametros_manuales!$L$107+parametros_manuales!$G$41*(datos_base!$K$5+IF(parametros_manuales!$H$41="Todos",datos_base!$K$12,0))*parametros_manuales!$L$112)*parametros_manuales!$I$41*parametros_manuales!$J$41</f>
        <v>6495.21039357</v>
      </c>
      <c r="M276" s="14" t="n">
        <f aca="false">(parametros_manuales!$D$41*(datos_base!$K$2+IF(parametros_manuales!$H$41="Todos",datos_base!$K$9,0))*parametros_manuales!$M$97+parametros_manuales!$E$41*(datos_base!$K$3+IF(parametros_manuales!$H$41="Todos",datos_base!$K$10,0))*parametros_manuales!$M$102+parametros_manuales!$F$41*(datos_base!$K$4+IF(parametros_manuales!$H$41="Todos",datos_base!$K$11,0))*parametros_manuales!$M$107+parametros_manuales!$G$41*(datos_base!$K$5+IF(parametros_manuales!$H$41="Todos",datos_base!$K$12,0))*parametros_manuales!$M$112)*parametros_manuales!$I$41*parametros_manuales!$J$41</f>
        <v>6495.21039357</v>
      </c>
      <c r="N276" s="14" t="n">
        <f aca="false">SUM(B276:M276)</f>
        <v>72169.004373</v>
      </c>
      <c r="O276" s="14" t="n">
        <f aca="false">MAX(B276:M276)</f>
        <v>6495.21039357</v>
      </c>
      <c r="P276" s="57" t="n">
        <f aca="false">O276/(parametros_manuales!$B$7)</f>
        <v>43.3014026238</v>
      </c>
      <c r="Q276" s="13" t="str">
        <f aca="false">IF(O276=0,"-",INDEX($B$253:$M$253,MATCH(O276,B276:M276,0)))</f>
        <v>Ene</v>
      </c>
    </row>
    <row r="277" customFormat="false" ht="14.25" hidden="false" customHeight="true" outlineLevel="0" collapsed="false">
      <c r="A277" s="13" t="str">
        <f aca="false">parametros_manuales!$B$42</f>
        <v>Control de calidad — Ensayo de pérdidas</v>
      </c>
      <c r="B277" s="14" t="n">
        <f aca="false">(parametros_manuales!$D$42*(datos_base!$K$2+IF(parametros_manuales!$H$42="Todos",datos_base!$K$9,0))*parametros_manuales!$B$97+parametros_manuales!$E$42*(datos_base!$K$3+IF(parametros_manuales!$H$42="Todos",datos_base!$K$10,0))*parametros_manuales!$B$102+parametros_manuales!$F$42*(datos_base!$K$4+IF(parametros_manuales!$H$42="Todos",datos_base!$K$11,0))*parametros_manuales!$B$107+parametros_manuales!$G$42*(datos_base!$K$5+IF(parametros_manuales!$H$42="Todos",datos_base!$K$12,0))*parametros_manuales!$B$112)*parametros_manuales!$I$42*parametros_manuales!$J$42</f>
        <v>6495.21039357</v>
      </c>
      <c r="C277" s="14" t="n">
        <f aca="false">(parametros_manuales!$D$42*(datos_base!$K$2+IF(parametros_manuales!$H$42="Todos",datos_base!$K$9,0))*parametros_manuales!$C$97+parametros_manuales!$E$42*(datos_base!$K$3+IF(parametros_manuales!$H$42="Todos",datos_base!$K$10,0))*parametros_manuales!$C$102+parametros_manuales!$F$42*(datos_base!$K$4+IF(parametros_manuales!$H$42="Todos",datos_base!$K$11,0))*parametros_manuales!$C$107+parametros_manuales!$G$42*(datos_base!$K$5+IF(parametros_manuales!$H$42="Todos",datos_base!$K$12,0))*parametros_manuales!$C$112)*parametros_manuales!$I$42*parametros_manuales!$J$42</f>
        <v>6094.24674114</v>
      </c>
      <c r="D277" s="14" t="n">
        <f aca="false">(parametros_manuales!$D$42*(datos_base!$K$2+IF(parametros_manuales!$H$42="Todos",datos_base!$K$9,0))*parametros_manuales!$D$97+parametros_manuales!$E$42*(datos_base!$K$3+IF(parametros_manuales!$H$42="Todos",datos_base!$K$10,0))*parametros_manuales!$D$102+parametros_manuales!$F$42*(datos_base!$K$4+IF(parametros_manuales!$H$42="Todos",datos_base!$K$11,0))*parametros_manuales!$D$107+parametros_manuales!$G$42*(datos_base!$K$5+IF(parametros_manuales!$H$42="Todos",datos_base!$K$12,0))*parametros_manuales!$D$112)*parametros_manuales!$I$42*parametros_manuales!$J$42</f>
        <v>5974.002176055</v>
      </c>
      <c r="E277" s="14" t="n">
        <f aca="false">(parametros_manuales!$D$42*(datos_base!$K$2+IF(parametros_manuales!$H$42="Todos",datos_base!$K$9,0))*parametros_manuales!$E$97+parametros_manuales!$E$42*(datos_base!$K$3+IF(parametros_manuales!$H$42="Todos",datos_base!$K$10,0))*parametros_manuales!$E$102+parametros_manuales!$F$42*(datos_base!$K$4+IF(parametros_manuales!$H$42="Todos",datos_base!$K$11,0))*parametros_manuales!$E$107+parametros_manuales!$G$42*(datos_base!$K$5+IF(parametros_manuales!$H$42="Todos",datos_base!$K$12,0))*parametros_manuales!$E$112)*parametros_manuales!$I$42*parametros_manuales!$J$42</f>
        <v>5813.638980405</v>
      </c>
      <c r="F277" s="14" t="n">
        <f aca="false">(parametros_manuales!$D$42*(datos_base!$K$2+IF(parametros_manuales!$H$42="Todos",datos_base!$K$9,0))*parametros_manuales!$F$97+parametros_manuales!$E$42*(datos_base!$K$3+IF(parametros_manuales!$H$42="Todos",datos_base!$K$10,0))*parametros_manuales!$F$102+parametros_manuales!$F$42*(datos_base!$K$4+IF(parametros_manuales!$H$42="Todos",datos_base!$K$11,0))*parametros_manuales!$F$107+parametros_manuales!$G$42*(datos_base!$K$5+IF(parametros_manuales!$H$42="Todos",datos_base!$K$12,0))*parametros_manuales!$F$112)*parametros_manuales!$I$42*parametros_manuales!$J$42</f>
        <v>5452.79395854</v>
      </c>
      <c r="G277" s="14" t="n">
        <f aca="false">(parametros_manuales!$D$42*(datos_base!$K$2+IF(parametros_manuales!$H$42="Todos",datos_base!$K$9,0))*parametros_manuales!$G$97+parametros_manuales!$E$42*(datos_base!$K$3+IF(parametros_manuales!$H$42="Todos",datos_base!$K$10,0))*parametros_manuales!$G$102+parametros_manuales!$F$42*(datos_base!$K$4+IF(parametros_manuales!$H$42="Todos",datos_base!$K$11,0))*parametros_manuales!$G$107+parametros_manuales!$G$42*(datos_base!$K$5+IF(parametros_manuales!$H$42="Todos",datos_base!$K$12,0))*parametros_manuales!$G$112)*parametros_manuales!$I$42*parametros_manuales!$J$42</f>
        <v>5252.312132325</v>
      </c>
      <c r="H277" s="14" t="n">
        <f aca="false">(parametros_manuales!$D$42*(datos_base!$K$2+IF(parametros_manuales!$H$42="Todos",datos_base!$K$9,0))*parametros_manuales!$H$97+parametros_manuales!$E$42*(datos_base!$K$3+IF(parametros_manuales!$H$42="Todos",datos_base!$K$10,0))*parametros_manuales!$H$102+parametros_manuales!$F$42*(datos_base!$K$4+IF(parametros_manuales!$H$42="Todos",datos_base!$K$11,0))*parametros_manuales!$H$107+parametros_manuales!$G$42*(datos_base!$K$5+IF(parametros_manuales!$H$42="Todos",datos_base!$K$12,0))*parametros_manuales!$H$112)*parametros_manuales!$I$42*parametros_manuales!$J$42</f>
        <v>5613.15715419</v>
      </c>
      <c r="I277" s="14" t="n">
        <f aca="false">(parametros_manuales!$D$42*(datos_base!$K$2+IF(parametros_manuales!$H$42="Todos",datos_base!$K$9,0))*parametros_manuales!$I$97+parametros_manuales!$E$42*(datos_base!$K$3+IF(parametros_manuales!$H$42="Todos",datos_base!$K$10,0))*parametros_manuales!$I$102+parametros_manuales!$F$42*(datos_base!$K$4+IF(parametros_manuales!$H$42="Todos",datos_base!$K$11,0))*parametros_manuales!$I$107+parametros_manuales!$G$42*(datos_base!$K$5+IF(parametros_manuales!$H$42="Todos",datos_base!$K$12,0))*parametros_manuales!$I$112)*parametros_manuales!$I$42*parametros_manuales!$J$42</f>
        <v>6094.24674114</v>
      </c>
      <c r="J277" s="14" t="n">
        <f aca="false">(parametros_manuales!$D$42*(datos_base!$K$2+IF(parametros_manuales!$H$42="Todos",datos_base!$K$9,0))*parametros_manuales!$J$97+parametros_manuales!$E$42*(datos_base!$K$3+IF(parametros_manuales!$H$42="Todos",datos_base!$K$10,0))*parametros_manuales!$J$102+parametros_manuales!$F$42*(datos_base!$K$4+IF(parametros_manuales!$H$42="Todos",datos_base!$K$11,0))*parametros_manuales!$J$107+parametros_manuales!$G$42*(datos_base!$K$5+IF(parametros_manuales!$H$42="Todos",datos_base!$K$12,0))*parametros_manuales!$J$112)*parametros_manuales!$I$42*parametros_manuales!$J$42</f>
        <v>6094.24674114</v>
      </c>
      <c r="K277" s="14" t="n">
        <f aca="false">(parametros_manuales!$D$42*(datos_base!$K$2+IF(parametros_manuales!$H$42="Todos",datos_base!$K$9,0))*parametros_manuales!$K$97+parametros_manuales!$E$42*(datos_base!$K$3+IF(parametros_manuales!$H$42="Todos",datos_base!$K$10,0))*parametros_manuales!$K$102+parametros_manuales!$F$42*(datos_base!$K$4+IF(parametros_manuales!$H$42="Todos",datos_base!$K$11,0))*parametros_manuales!$K$107+parametros_manuales!$G$42*(datos_base!$K$5+IF(parametros_manuales!$H$42="Todos",datos_base!$K$12,0))*parametros_manuales!$K$112)*parametros_manuales!$I$42*parametros_manuales!$J$42</f>
        <v>6294.728567355</v>
      </c>
      <c r="L277" s="14" t="n">
        <f aca="false">(parametros_manuales!$D$42*(datos_base!$K$2+IF(parametros_manuales!$H$42="Todos",datos_base!$K$9,0))*parametros_manuales!$L$97+parametros_manuales!$E$42*(datos_base!$K$3+IF(parametros_manuales!$H$42="Todos",datos_base!$K$10,0))*parametros_manuales!$L$102+parametros_manuales!$F$42*(datos_base!$K$4+IF(parametros_manuales!$H$42="Todos",datos_base!$K$11,0))*parametros_manuales!$L$107+parametros_manuales!$G$42*(datos_base!$K$5+IF(parametros_manuales!$H$42="Todos",datos_base!$K$12,0))*parametros_manuales!$L$112)*parametros_manuales!$I$42*parametros_manuales!$J$42</f>
        <v>6495.21039357</v>
      </c>
      <c r="M277" s="14" t="n">
        <f aca="false">(parametros_manuales!$D$42*(datos_base!$K$2+IF(parametros_manuales!$H$42="Todos",datos_base!$K$9,0))*parametros_manuales!$M$97+parametros_manuales!$E$42*(datos_base!$K$3+IF(parametros_manuales!$H$42="Todos",datos_base!$K$10,0))*parametros_manuales!$M$102+parametros_manuales!$F$42*(datos_base!$K$4+IF(parametros_manuales!$H$42="Todos",datos_base!$K$11,0))*parametros_manuales!$M$107+parametros_manuales!$G$42*(datos_base!$K$5+IF(parametros_manuales!$H$42="Todos",datos_base!$K$12,0))*parametros_manuales!$M$112)*parametros_manuales!$I$42*parametros_manuales!$J$42</f>
        <v>6495.21039357</v>
      </c>
      <c r="N277" s="14" t="n">
        <f aca="false">SUM(B277:M277)</f>
        <v>72169.004373</v>
      </c>
      <c r="O277" s="14" t="n">
        <f aca="false">MAX(B277:M277)</f>
        <v>6495.21039357</v>
      </c>
      <c r="P277" s="57" t="n">
        <f aca="false">O277/(parametros_manuales!$B$7)</f>
        <v>43.3014026238</v>
      </c>
      <c r="Q277" s="13" t="str">
        <f aca="false">IF(O277=0,"-",INDEX($B$253:$M$253,MATCH(O277,B277:M277,0)))</f>
        <v>Ene</v>
      </c>
    </row>
    <row r="278" customFormat="false" ht="14.25" hidden="false" customHeight="true" outlineLevel="0" collapsed="false">
      <c r="A278" s="13" t="str">
        <f aca="false">parametros_manuales!$B$43</f>
        <v>Etiquetado</v>
      </c>
      <c r="B278" s="14" t="n">
        <f aca="false">(parametros_manuales!$D$43*(datos_base!$K$2+IF(parametros_manuales!$H$43="Todos",datos_base!$K$9,0))*parametros_manuales!$B$97+parametros_manuales!$E$43*(datos_base!$K$3+IF(parametros_manuales!$H$43="Todos",datos_base!$K$10,0))*parametros_manuales!$B$102+parametros_manuales!$F$43*(datos_base!$K$4+IF(parametros_manuales!$H$43="Todos",datos_base!$K$11,0))*parametros_manuales!$B$107+parametros_manuales!$G$43*(datos_base!$K$5+IF(parametros_manuales!$H$43="Todos",datos_base!$K$12,0))*parametros_manuales!$B$112)*parametros_manuales!$I$43*parametros_manuales!$J$43</f>
        <v>6495.21039357</v>
      </c>
      <c r="C278" s="14" t="n">
        <f aca="false">(parametros_manuales!$D$43*(datos_base!$K$2+IF(parametros_manuales!$H$43="Todos",datos_base!$K$9,0))*parametros_manuales!$C$97+parametros_manuales!$E$43*(datos_base!$K$3+IF(parametros_manuales!$H$43="Todos",datos_base!$K$10,0))*parametros_manuales!$C$102+parametros_manuales!$F$43*(datos_base!$K$4+IF(parametros_manuales!$H$43="Todos",datos_base!$K$11,0))*parametros_manuales!$C$107+parametros_manuales!$G$43*(datos_base!$K$5+IF(parametros_manuales!$H$43="Todos",datos_base!$K$12,0))*parametros_manuales!$C$112)*parametros_manuales!$I$43*parametros_manuales!$J$43</f>
        <v>6094.24674114</v>
      </c>
      <c r="D278" s="14" t="n">
        <f aca="false">(parametros_manuales!$D$43*(datos_base!$K$2+IF(parametros_manuales!$H$43="Todos",datos_base!$K$9,0))*parametros_manuales!$D$97+parametros_manuales!$E$43*(datos_base!$K$3+IF(parametros_manuales!$H$43="Todos",datos_base!$K$10,0))*parametros_manuales!$D$102+parametros_manuales!$F$43*(datos_base!$K$4+IF(parametros_manuales!$H$43="Todos",datos_base!$K$11,0))*parametros_manuales!$D$107+parametros_manuales!$G$43*(datos_base!$K$5+IF(parametros_manuales!$H$43="Todos",datos_base!$K$12,0))*parametros_manuales!$D$112)*parametros_manuales!$I$43*parametros_manuales!$J$43</f>
        <v>5974.002176055</v>
      </c>
      <c r="E278" s="14" t="n">
        <f aca="false">(parametros_manuales!$D$43*(datos_base!$K$2+IF(parametros_manuales!$H$43="Todos",datos_base!$K$9,0))*parametros_manuales!$E$97+parametros_manuales!$E$43*(datos_base!$K$3+IF(parametros_manuales!$H$43="Todos",datos_base!$K$10,0))*parametros_manuales!$E$102+parametros_manuales!$F$43*(datos_base!$K$4+IF(parametros_manuales!$H$43="Todos",datos_base!$K$11,0))*parametros_manuales!$E$107+parametros_manuales!$G$43*(datos_base!$K$5+IF(parametros_manuales!$H$43="Todos",datos_base!$K$12,0))*parametros_manuales!$E$112)*parametros_manuales!$I$43*parametros_manuales!$J$43</f>
        <v>5813.638980405</v>
      </c>
      <c r="F278" s="14" t="n">
        <f aca="false">(parametros_manuales!$D$43*(datos_base!$K$2+IF(parametros_manuales!$H$43="Todos",datos_base!$K$9,0))*parametros_manuales!$F$97+parametros_manuales!$E$43*(datos_base!$K$3+IF(parametros_manuales!$H$43="Todos",datos_base!$K$10,0))*parametros_manuales!$F$102+parametros_manuales!$F$43*(datos_base!$K$4+IF(parametros_manuales!$H$43="Todos",datos_base!$K$11,0))*parametros_manuales!$F$107+parametros_manuales!$G$43*(datos_base!$K$5+IF(parametros_manuales!$H$43="Todos",datos_base!$K$12,0))*parametros_manuales!$F$112)*parametros_manuales!$I$43*parametros_manuales!$J$43</f>
        <v>5452.79395854</v>
      </c>
      <c r="G278" s="14" t="n">
        <f aca="false">(parametros_manuales!$D$43*(datos_base!$K$2+IF(parametros_manuales!$H$43="Todos",datos_base!$K$9,0))*parametros_manuales!$G$97+parametros_manuales!$E$43*(datos_base!$K$3+IF(parametros_manuales!$H$43="Todos",datos_base!$K$10,0))*parametros_manuales!$G$102+parametros_manuales!$F$43*(datos_base!$K$4+IF(parametros_manuales!$H$43="Todos",datos_base!$K$11,0))*parametros_manuales!$G$107+parametros_manuales!$G$43*(datos_base!$K$5+IF(parametros_manuales!$H$43="Todos",datos_base!$K$12,0))*parametros_manuales!$G$112)*parametros_manuales!$I$43*parametros_manuales!$J$43</f>
        <v>5252.312132325</v>
      </c>
      <c r="H278" s="14" t="n">
        <f aca="false">(parametros_manuales!$D$43*(datos_base!$K$2+IF(parametros_manuales!$H$43="Todos",datos_base!$K$9,0))*parametros_manuales!$H$97+parametros_manuales!$E$43*(datos_base!$K$3+IF(parametros_manuales!$H$43="Todos",datos_base!$K$10,0))*parametros_manuales!$H$102+parametros_manuales!$F$43*(datos_base!$K$4+IF(parametros_manuales!$H$43="Todos",datos_base!$K$11,0))*parametros_manuales!$H$107+parametros_manuales!$G$43*(datos_base!$K$5+IF(parametros_manuales!$H$43="Todos",datos_base!$K$12,0))*parametros_manuales!$H$112)*parametros_manuales!$I$43*parametros_manuales!$J$43</f>
        <v>5613.15715419</v>
      </c>
      <c r="I278" s="14" t="n">
        <f aca="false">(parametros_manuales!$D$43*(datos_base!$K$2+IF(parametros_manuales!$H$43="Todos",datos_base!$K$9,0))*parametros_manuales!$I$97+parametros_manuales!$E$43*(datos_base!$K$3+IF(parametros_manuales!$H$43="Todos",datos_base!$K$10,0))*parametros_manuales!$I$102+parametros_manuales!$F$43*(datos_base!$K$4+IF(parametros_manuales!$H$43="Todos",datos_base!$K$11,0))*parametros_manuales!$I$107+parametros_manuales!$G$43*(datos_base!$K$5+IF(parametros_manuales!$H$43="Todos",datos_base!$K$12,0))*parametros_manuales!$I$112)*parametros_manuales!$I$43*parametros_manuales!$J$43</f>
        <v>6094.24674114</v>
      </c>
      <c r="J278" s="14" t="n">
        <f aca="false">(parametros_manuales!$D$43*(datos_base!$K$2+IF(parametros_manuales!$H$43="Todos",datos_base!$K$9,0))*parametros_manuales!$J$97+parametros_manuales!$E$43*(datos_base!$K$3+IF(parametros_manuales!$H$43="Todos",datos_base!$K$10,0))*parametros_manuales!$J$102+parametros_manuales!$F$43*(datos_base!$K$4+IF(parametros_manuales!$H$43="Todos",datos_base!$K$11,0))*parametros_manuales!$J$107+parametros_manuales!$G$43*(datos_base!$K$5+IF(parametros_manuales!$H$43="Todos",datos_base!$K$12,0))*parametros_manuales!$J$112)*parametros_manuales!$I$43*parametros_manuales!$J$43</f>
        <v>6094.24674114</v>
      </c>
      <c r="K278" s="14" t="n">
        <f aca="false">(parametros_manuales!$D$43*(datos_base!$K$2+IF(parametros_manuales!$H$43="Todos",datos_base!$K$9,0))*parametros_manuales!$K$97+parametros_manuales!$E$43*(datos_base!$K$3+IF(parametros_manuales!$H$43="Todos",datos_base!$K$10,0))*parametros_manuales!$K$102+parametros_manuales!$F$43*(datos_base!$K$4+IF(parametros_manuales!$H$43="Todos",datos_base!$K$11,0))*parametros_manuales!$K$107+parametros_manuales!$G$43*(datos_base!$K$5+IF(parametros_manuales!$H$43="Todos",datos_base!$K$12,0))*parametros_manuales!$K$112)*parametros_manuales!$I$43*parametros_manuales!$J$43</f>
        <v>6294.728567355</v>
      </c>
      <c r="L278" s="14" t="n">
        <f aca="false">(parametros_manuales!$D$43*(datos_base!$K$2+IF(parametros_manuales!$H$43="Todos",datos_base!$K$9,0))*parametros_manuales!$L$97+parametros_manuales!$E$43*(datos_base!$K$3+IF(parametros_manuales!$H$43="Todos",datos_base!$K$10,0))*parametros_manuales!$L$102+parametros_manuales!$F$43*(datos_base!$K$4+IF(parametros_manuales!$H$43="Todos",datos_base!$K$11,0))*parametros_manuales!$L$107+parametros_manuales!$G$43*(datos_base!$K$5+IF(parametros_manuales!$H$43="Todos",datos_base!$K$12,0))*parametros_manuales!$L$112)*parametros_manuales!$I$43*parametros_manuales!$J$43</f>
        <v>6495.21039357</v>
      </c>
      <c r="M278" s="14" t="n">
        <f aca="false">(parametros_manuales!$D$43*(datos_base!$K$2+IF(parametros_manuales!$H$43="Todos",datos_base!$K$9,0))*parametros_manuales!$M$97+parametros_manuales!$E$43*(datos_base!$K$3+IF(parametros_manuales!$H$43="Todos",datos_base!$K$10,0))*parametros_manuales!$M$102+parametros_manuales!$F$43*(datos_base!$K$4+IF(parametros_manuales!$H$43="Todos",datos_base!$K$11,0))*parametros_manuales!$M$107+parametros_manuales!$G$43*(datos_base!$K$5+IF(parametros_manuales!$H$43="Todos",datos_base!$K$12,0))*parametros_manuales!$M$112)*parametros_manuales!$I$43*parametros_manuales!$J$43</f>
        <v>6495.21039357</v>
      </c>
      <c r="N278" s="14" t="n">
        <f aca="false">SUM(B278:M278)</f>
        <v>72169.004373</v>
      </c>
      <c r="O278" s="14" t="n">
        <f aca="false">MAX(B278:M278)</f>
        <v>6495.21039357</v>
      </c>
      <c r="P278" s="57" t="n">
        <f aca="false">O278/(parametros_manuales!$B$7)</f>
        <v>43.3014026238</v>
      </c>
      <c r="Q278" s="13" t="str">
        <f aca="false">IF(O278=0,"-",INDEX($B$253:$M$253,MATCH(O278,B278:M278,0)))</f>
        <v>Ene</v>
      </c>
    </row>
    <row r="279" customFormat="false" ht="14.25" hidden="false" customHeight="true" outlineLevel="0" collapsed="false">
      <c r="A279" s="13" t="str">
        <f aca="false">parametros_manuales!$B$44</f>
        <v>Embalaje y paletizado</v>
      </c>
      <c r="B279" s="14" t="n">
        <f aca="false">(parametros_manuales!$D$44*(datos_base!$K$2+IF(parametros_manuales!$H$44="Todos",datos_base!$K$9,0))*parametros_manuales!$B$97+parametros_manuales!$E$44*(datos_base!$K$3+IF(parametros_manuales!$H$44="Todos",datos_base!$K$10,0))*parametros_manuales!$B$102+parametros_manuales!$F$44*(datos_base!$K$4+IF(parametros_manuales!$H$44="Todos",datos_base!$K$11,0))*parametros_manuales!$B$107+parametros_manuales!$G$44*(datos_base!$K$5+IF(parametros_manuales!$H$44="Todos",datos_base!$K$12,0))*parametros_manuales!$B$112)*parametros_manuales!$I$44*parametros_manuales!$J$44</f>
        <v>25601.63079357</v>
      </c>
      <c r="C279" s="14" t="n">
        <f aca="false">(parametros_manuales!$D$44*(datos_base!$K$2+IF(parametros_manuales!$H$44="Todos",datos_base!$K$9,0))*parametros_manuales!$C$97+parametros_manuales!$E$44*(datos_base!$K$3+IF(parametros_manuales!$H$44="Todos",datos_base!$K$10,0))*parametros_manuales!$C$102+parametros_manuales!$F$44*(datos_base!$K$4+IF(parametros_manuales!$H$44="Todos",datos_base!$K$11,0))*parametros_manuales!$C$107+parametros_manuales!$G$44*(datos_base!$K$5+IF(parametros_manuales!$H$44="Todos",datos_base!$K$12,0))*parametros_manuales!$C$112)*parametros_manuales!$I$44*parametros_manuales!$J$44</f>
        <v>24783.21154114</v>
      </c>
      <c r="D279" s="14" t="n">
        <f aca="false">(parametros_manuales!$D$44*(datos_base!$K$2+IF(parametros_manuales!$H$44="Todos",datos_base!$K$9,0))*parametros_manuales!$D$97+parametros_manuales!$E$44*(datos_base!$K$3+IF(parametros_manuales!$H$44="Todos",datos_base!$K$10,0))*parametros_manuales!$D$102+parametros_manuales!$F$44*(datos_base!$K$4+IF(parametros_manuales!$H$44="Todos",datos_base!$K$11,0))*parametros_manuales!$D$107+parametros_manuales!$G$44*(datos_base!$K$5+IF(parametros_manuales!$H$44="Todos",datos_base!$K$12,0))*parametros_manuales!$D$112)*parametros_manuales!$I$44*parametros_manuales!$J$44</f>
        <v>23166.214776055</v>
      </c>
      <c r="E279" s="14" t="n">
        <f aca="false">(parametros_manuales!$D$44*(datos_base!$K$2+IF(parametros_manuales!$H$44="Todos",datos_base!$K$9,0))*parametros_manuales!$E$97+parametros_manuales!$E$44*(datos_base!$K$3+IF(parametros_manuales!$H$44="Todos",datos_base!$K$10,0))*parametros_manuales!$E$102+parametros_manuales!$F$44*(datos_base!$K$4+IF(parametros_manuales!$H$44="Todos",datos_base!$K$11,0))*parametros_manuales!$E$107+parametros_manuales!$G$44*(datos_base!$K$5+IF(parametros_manuales!$H$44="Todos",datos_base!$K$12,0))*parametros_manuales!$E$112)*parametros_manuales!$I$44*parametros_manuales!$J$44</f>
        <v>22153.111580405</v>
      </c>
      <c r="F279" s="14" t="n">
        <f aca="false">(parametros_manuales!$D$44*(datos_base!$K$2+IF(parametros_manuales!$H$44="Todos",datos_base!$K$9,0))*parametros_manuales!$F$97+parametros_manuales!$E$44*(datos_base!$K$3+IF(parametros_manuales!$H$44="Todos",datos_base!$K$10,0))*parametros_manuales!$F$102+parametros_manuales!$F$44*(datos_base!$K$4+IF(parametros_manuales!$H$44="Todos",datos_base!$K$11,0))*parametros_manuales!$F$107+parametros_manuales!$G$44*(datos_base!$K$5+IF(parametros_manuales!$H$44="Todos",datos_base!$K$12,0))*parametros_manuales!$F$112)*parametros_manuales!$I$44*parametros_manuales!$J$44</f>
        <v>20730.79875854</v>
      </c>
      <c r="G279" s="14" t="n">
        <f aca="false">(parametros_manuales!$D$44*(datos_base!$K$2+IF(parametros_manuales!$H$44="Todos",datos_base!$K$9,0))*parametros_manuales!$G$97+parametros_manuales!$E$44*(datos_base!$K$3+IF(parametros_manuales!$H$44="Todos",datos_base!$K$10,0))*parametros_manuales!$G$102+parametros_manuales!$F$44*(datos_base!$K$4+IF(parametros_manuales!$H$44="Todos",datos_base!$K$11,0))*parametros_manuales!$G$107+parametros_manuales!$G$44*(datos_base!$K$5+IF(parametros_manuales!$H$44="Todos",datos_base!$K$12,0))*parametros_manuales!$G$112)*parametros_manuales!$I$44*parametros_manuales!$J$44</f>
        <v>20321.589132325</v>
      </c>
      <c r="H279" s="14" t="n">
        <f aca="false">(parametros_manuales!$D$44*(datos_base!$K$2+IF(parametros_manuales!$H$44="Todos",datos_base!$K$9,0))*parametros_manuales!$H$97+parametros_manuales!$E$44*(datos_base!$K$3+IF(parametros_manuales!$H$44="Todos",datos_base!$K$10,0))*parametros_manuales!$H$102+parametros_manuales!$F$44*(datos_base!$K$4+IF(parametros_manuales!$H$44="Todos",datos_base!$K$11,0))*parametros_manuales!$H$107+parametros_manuales!$G$44*(datos_base!$K$5+IF(parametros_manuales!$H$44="Todos",datos_base!$K$12,0))*parametros_manuales!$H$112)*parametros_manuales!$I$44*parametros_manuales!$J$44</f>
        <v>21743.90195419</v>
      </c>
      <c r="I279" s="14" t="n">
        <f aca="false">(parametros_manuales!$D$44*(datos_base!$K$2+IF(parametros_manuales!$H$44="Todos",datos_base!$K$9,0))*parametros_manuales!$I$97+parametros_manuales!$E$44*(datos_base!$K$3+IF(parametros_manuales!$H$44="Todos",datos_base!$K$10,0))*parametros_manuales!$I$102+parametros_manuales!$F$44*(datos_base!$K$4+IF(parametros_manuales!$H$44="Todos",datos_base!$K$11,0))*parametros_manuales!$I$107+parametros_manuales!$G$44*(datos_base!$K$5+IF(parametros_manuales!$H$44="Todos",datos_base!$K$12,0))*parametros_manuales!$I$112)*parametros_manuales!$I$44*parametros_manuales!$J$44</f>
        <v>24783.21154114</v>
      </c>
      <c r="J279" s="14" t="n">
        <f aca="false">(parametros_manuales!$D$44*(datos_base!$K$2+IF(parametros_manuales!$H$44="Todos",datos_base!$K$9,0))*parametros_manuales!$J$97+parametros_manuales!$E$44*(datos_base!$K$3+IF(parametros_manuales!$H$44="Todos",datos_base!$K$10,0))*parametros_manuales!$J$102+parametros_manuales!$F$44*(datos_base!$K$4+IF(parametros_manuales!$H$44="Todos",datos_base!$K$11,0))*parametros_manuales!$J$107+parametros_manuales!$G$44*(datos_base!$K$5+IF(parametros_manuales!$H$44="Todos",datos_base!$K$12,0))*parametros_manuales!$J$112)*parametros_manuales!$I$44*parametros_manuales!$J$44</f>
        <v>24783.21154114</v>
      </c>
      <c r="K279" s="14" t="n">
        <f aca="false">(parametros_manuales!$D$44*(datos_base!$K$2+IF(parametros_manuales!$H$44="Todos",datos_base!$K$9,0))*parametros_manuales!$K$97+parametros_manuales!$E$44*(datos_base!$K$3+IF(parametros_manuales!$H$44="Todos",datos_base!$K$10,0))*parametros_manuales!$K$102+parametros_manuales!$F$44*(datos_base!$K$4+IF(parametros_manuales!$H$44="Todos",datos_base!$K$11,0))*parametros_manuales!$K$107+parametros_manuales!$G$44*(datos_base!$K$5+IF(parametros_manuales!$H$44="Todos",datos_base!$K$12,0))*parametros_manuales!$K$112)*parametros_manuales!$I$44*parametros_manuales!$J$44</f>
        <v>25192.421167355</v>
      </c>
      <c r="L279" s="14" t="n">
        <f aca="false">(parametros_manuales!$D$44*(datos_base!$K$2+IF(parametros_manuales!$H$44="Todos",datos_base!$K$9,0))*parametros_manuales!$L$97+parametros_manuales!$E$44*(datos_base!$K$3+IF(parametros_manuales!$H$44="Todos",datos_base!$K$10,0))*parametros_manuales!$L$102+parametros_manuales!$F$44*(datos_base!$K$4+IF(parametros_manuales!$H$44="Todos",datos_base!$K$11,0))*parametros_manuales!$L$107+parametros_manuales!$G$44*(datos_base!$K$5+IF(parametros_manuales!$H$44="Todos",datos_base!$K$12,0))*parametros_manuales!$L$112)*parametros_manuales!$I$44*parametros_manuales!$J$44</f>
        <v>25601.63079357</v>
      </c>
      <c r="M279" s="14" t="n">
        <f aca="false">(parametros_manuales!$D$44*(datos_base!$K$2+IF(parametros_manuales!$H$44="Todos",datos_base!$K$9,0))*parametros_manuales!$M$97+parametros_manuales!$E$44*(datos_base!$K$3+IF(parametros_manuales!$H$44="Todos",datos_base!$K$10,0))*parametros_manuales!$M$102+parametros_manuales!$F$44*(datos_base!$K$4+IF(parametros_manuales!$H$44="Todos",datos_base!$K$11,0))*parametros_manuales!$M$107+parametros_manuales!$G$44*(datos_base!$K$5+IF(parametros_manuales!$H$44="Todos",datos_base!$K$12,0))*parametros_manuales!$M$112)*parametros_manuales!$I$44*parametros_manuales!$J$44</f>
        <v>25601.63079357</v>
      </c>
      <c r="N279" s="14" t="n">
        <f aca="false">SUM(B279:M279)</f>
        <v>284462.564373</v>
      </c>
      <c r="O279" s="14" t="n">
        <f aca="false">MAX(B279:M279)</f>
        <v>25601.63079357</v>
      </c>
      <c r="P279" s="57" t="n">
        <f aca="false">O279/(parametros_manuales!$B$7)</f>
        <v>170.6775386238</v>
      </c>
      <c r="Q279" s="13" t="str">
        <f aca="false">IF(O279=0,"-",INDEX($B$253:$M$253,MATCH(O279,B279:M279,0)))</f>
        <v>Ene</v>
      </c>
    </row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1" min="2" style="1" width="10"/>
    <col collapsed="false" customWidth="true" hidden="false" outlineLevel="0" max="12" min="12" style="1" width="8.57"/>
    <col collapsed="false" customWidth="true" hidden="false" outlineLevel="0" max="13" min="13" style="1" width="34.71"/>
    <col collapsed="false" customWidth="true" hidden="false" outlineLevel="0" max="15" min="14" style="1" width="8.57"/>
  </cols>
  <sheetData>
    <row r="1" customFormat="false" ht="14.25" hidden="false" customHeight="true" outlineLevel="0" collapsed="false">
      <c r="A1" s="71" t="s">
        <v>278</v>
      </c>
      <c r="B1" s="71" t="n">
        <v>2026</v>
      </c>
      <c r="C1" s="71" t="n">
        <v>2027</v>
      </c>
      <c r="D1" s="71" t="n">
        <v>2028</v>
      </c>
      <c r="E1" s="71" t="n">
        <v>2029</v>
      </c>
      <c r="F1" s="71" t="n">
        <v>2030</v>
      </c>
      <c r="G1" s="71" t="n">
        <v>2031</v>
      </c>
      <c r="H1" s="71" t="n">
        <v>2032</v>
      </c>
      <c r="I1" s="71" t="n">
        <v>2033</v>
      </c>
      <c r="J1" s="71" t="n">
        <v>2034</v>
      </c>
      <c r="K1" s="71" t="n">
        <v>2035</v>
      </c>
      <c r="L1" s="71" t="s">
        <v>279</v>
      </c>
      <c r="O1" s="70" t="s">
        <v>293</v>
      </c>
    </row>
    <row r="2" customFormat="false" ht="14.25" hidden="false" customHeight="true" outlineLevel="0" collapsed="false">
      <c r="A2" s="13" t="str">
        <f aca="false">parametros_manuales!$B$19</f>
        <v>Recepción de materia prima</v>
      </c>
      <c r="B2" s="59" t="n">
        <f aca="false">IF(B31*B60*parametros_manuales!$M$19*parametros_manuales!$B$6=0,0,'Demanda puesto con sobrestock'!$P$2/(parametros_manuales!$M$19*B31*B60*parametros_manuales!$B$6))</f>
        <v>0.0685537310673</v>
      </c>
      <c r="C2" s="59" t="n">
        <f aca="false">IF(C31*C60*parametros_manuales!$M$19*parametros_manuales!$B$6=0,0,'Demanda puesto con sobrestock'!$P$30/(parametros_manuales!$M$19*C31*C60*parametros_manuales!$B$6))</f>
        <v>0.10831977605</v>
      </c>
      <c r="D2" s="59" t="n">
        <f aca="false">IF(D31*D60*parametros_manuales!$M$19*parametros_manuales!$B$6=0,0,'Demanda puesto con sobrestock'!$P$58/(parametros_manuales!$M$19*D31*D60*parametros_manuales!$B$6))</f>
        <v>0.228878921864</v>
      </c>
      <c r="E2" s="59" t="n">
        <f aca="false">IF(E31*E60*parametros_manuales!$M$19*parametros_manuales!$B$6=0,0,'Demanda puesto con sobrestock'!$P$86/(parametros_manuales!$M$19*E31*E60*parametros_manuales!$B$6))</f>
        <v>0.506349495301</v>
      </c>
      <c r="F2" s="60" t="n">
        <f aca="false">IF(F31*F60*parametros_manuales!$M$19*parametros_manuales!$B$6=0,0,'Demanda puesto con sobrestock'!$P$114/(parametros_manuales!$M$19*F31*F60*parametros_manuales!$B$6))</f>
        <v>0.881932855279</v>
      </c>
      <c r="G2" s="72" t="n">
        <f aca="false">IF(G31*G60*parametros_manuales!$M$19*parametros_manuales!$B$6=0,0,'Demanda puesto con sobrestock'!$P$142/(parametros_manuales!$M$19*G31*G60*parametros_manuales!$B$6))</f>
        <v>0.619186260495</v>
      </c>
      <c r="H2" s="60" t="n">
        <f aca="false">IF(H31*H60*parametros_manuales!$M$19*parametros_manuales!$B$6=0,0,'Demanda puesto con sobrestock'!$P$170/(parametros_manuales!$M$19*H31*H60*parametros_manuales!$B$6))</f>
        <v>0.4269486729225</v>
      </c>
      <c r="I2" s="72" t="n">
        <f aca="false">IF(I31*I60*parametros_manuales!$M$19*parametros_manuales!$B$6=0,0,'Demanda puesto con sobrestock'!$P$198/(parametros_manuales!$M$19*I31*I60*parametros_manuales!$B$6))</f>
        <v>0.5454648406225</v>
      </c>
      <c r="J2" s="59" t="n">
        <f aca="false">IF(J31*J60*parametros_manuales!$M$19*parametros_manuales!$B$6=0,0,'Demanda puesto con sobrestock'!$P$226/(parametros_manuales!$M$19*J31*J60*parametros_manuales!$B$6))</f>
        <v>0.6154940924675</v>
      </c>
      <c r="K2" s="59" t="n">
        <f aca="false">IF(K31*K60*parametros_manuales!$M$19*parametros_manuales!$B$6=0,0,'Demanda puesto con sobrestock'!$P$254/(parametros_manuales!$M$19*K31*K60*parametros_manuales!$B$6))</f>
        <v>0.7111564109325</v>
      </c>
      <c r="L2" s="13" t="s">
        <v>280</v>
      </c>
    </row>
    <row r="3" customFormat="false" ht="14.25" hidden="false" customHeight="true" outlineLevel="0" collapsed="false">
      <c r="A3" s="13" t="str">
        <f aca="false">parametros_manuales!$B$20</f>
        <v>Corte de chapa — 1.er corte en franjas (guillotina 1, manuales + carros)</v>
      </c>
      <c r="B3" s="59" t="n">
        <f aca="false">IF(B32*B61*parametros_manuales!$M$20*parametros_manuales!$B$6=0,0,'Demanda puesto con sobrestock'!$P$3/(parametros_manuales!$M$20*B32*B61*parametros_manuales!$B$6))</f>
        <v>0.00886762987385819</v>
      </c>
      <c r="C3" s="59" t="n">
        <f aca="false">IF(C32*C61*parametros_manuales!$M$20*parametros_manuales!$B$6=0,0,'Demanda puesto con sobrestock'!$P$31/(parametros_manuales!$M$20*C32*C61*parametros_manuales!$B$6))</f>
        <v>0.0140235140999023</v>
      </c>
      <c r="D3" s="59" t="n">
        <f aca="false">IF(D32*D61*parametros_manuales!$M$20*parametros_manuales!$B$6=0,0,'Demanda puesto con sobrestock'!$P$59/(parametros_manuales!$M$20*D32*D61*parametros_manuales!$B$6))</f>
        <v>0.0285830754939067</v>
      </c>
      <c r="E3" s="59" t="n">
        <f aca="false">IF(E32*E61*parametros_manuales!$M$20*parametros_manuales!$B$6=0,0,'Demanda puesto con sobrestock'!$P$87/(parametros_manuales!$M$20*E32*E61*parametros_manuales!$B$6))</f>
        <v>0.0617614035880548</v>
      </c>
      <c r="F3" s="59" t="n">
        <f aca="false">IF(F32*F61*parametros_manuales!$M$20*parametros_manuales!$B$6=0,0,'Demanda puesto con sobrestock'!$P$115/(parametros_manuales!$M$20*F32*F61*parametros_manuales!$B$6))</f>
        <v>0.107145921496052</v>
      </c>
      <c r="G3" s="59" t="n">
        <f aca="false">IF(G32*G61*parametros_manuales!$M$20*parametros_manuales!$B$6=0,0,'Demanda puesto con sobrestock'!$P$143/(parametros_manuales!$M$20*G32*G61*parametros_manuales!$B$6))</f>
        <v>0.150263711515204</v>
      </c>
      <c r="H3" s="59" t="n">
        <f aca="false">IF(H32*H61*parametros_manuales!$M$20*parametros_manuales!$B$6=0,0,'Demanda puesto con sobrestock'!$P$171/(parametros_manuales!$M$20*H32*H61*parametros_manuales!$B$6))</f>
        <v>0.206779298187497</v>
      </c>
      <c r="I3" s="60" t="n">
        <f aca="false">IF(I32*I61*parametros_manuales!$M$20*parametros_manuales!$B$6=0,0,'Demanda puesto con sobrestock'!$P$199/(parametros_manuales!$M$20*I32*I61*parametros_manuales!$B$6))</f>
        <v>0.263864334872876</v>
      </c>
      <c r="J3" s="59" t="n">
        <f aca="false">IF(J32*J61*parametros_manuales!$M$20*parametros_manuales!$B$6=0,0,'Demanda puesto con sobrestock'!$P$227/(parametros_manuales!$M$20*J32*J61*parametros_manuales!$B$6))</f>
        <v>0.298078775514166</v>
      </c>
      <c r="K3" s="59" t="n">
        <f aca="false">IF(K32*K61*parametros_manuales!$M$20*parametros_manuales!$B$6=0,0,'Demanda puesto con sobrestock'!$P$255/(parametros_manuales!$M$20*K32*K61*parametros_manuales!$B$6))</f>
        <v>0.344405789299173</v>
      </c>
      <c r="L3" s="13" t="s">
        <v>120</v>
      </c>
    </row>
    <row r="4" customFormat="false" ht="14.25" hidden="false" customHeight="true" outlineLevel="0" collapsed="false">
      <c r="A4" s="13" t="str">
        <f aca="false">parametros_manuales!$B$21</f>
        <v>Corte de chapa — 2.º corte en piezas (guillotina 2, manuales + carros)</v>
      </c>
      <c r="B4" s="59" t="n">
        <f aca="false">IF(B33*B62*parametros_manuales!$M$21*parametros_manuales!$B$6=0,0,'Demanda puesto con sobrestock'!$P$4/(parametros_manuales!$M$21*B33*B62*parametros_manuales!$B$6))</f>
        <v>0.00668749417793931</v>
      </c>
      <c r="C4" s="59" t="n">
        <f aca="false">IF(C33*C62*parametros_manuales!$M$21*parametros_manuales!$B$6=0,0,'Demanda puesto con sobrestock'!$P$32/(parametros_manuales!$M$21*C33*C62*parametros_manuales!$B$6))</f>
        <v>0.0105930511115032</v>
      </c>
      <c r="D4" s="59" t="n">
        <f aca="false">IF(D33*D62*parametros_manuales!$M$21*parametros_manuales!$B$6=0,0,'Demanda puesto con sobrestock'!$P$60/(parametros_manuales!$M$21*D33*D62*parametros_manuales!$B$6))</f>
        <v>0.0213954432916086</v>
      </c>
      <c r="E4" s="59" t="n">
        <f aca="false">IF(E33*E62*parametros_manuales!$M$21*parametros_manuales!$B$6=0,0,'Demanda puesto con sobrestock'!$P$88/(parametros_manuales!$M$21*E33*E62*parametros_manuales!$B$6))</f>
        <v>0.0459389629989486</v>
      </c>
      <c r="F4" s="59" t="n">
        <f aca="false">IF(F33*F62*parametros_manuales!$M$21*parametros_manuales!$B$6=0,0,'Demanda puesto con sobrestock'!$P$116/(parametros_manuales!$M$21*F33*F62*parametros_manuales!$B$6))</f>
        <v>0.079604393849793</v>
      </c>
      <c r="G4" s="59" t="n">
        <f aca="false">IF(G33*G62*parametros_manuales!$M$21*parametros_manuales!$B$6=0,0,'Demanda puesto con sobrestock'!$P$144/(parametros_manuales!$M$21*G33*G62*parametros_manuales!$B$6))</f>
        <v>0.111611445902505</v>
      </c>
      <c r="H4" s="59" t="n">
        <f aca="false">IF(H33*H62*parametros_manuales!$M$21*parametros_manuales!$B$6=0,0,'Demanda puesto con sobrestock'!$P$172/(parametros_manuales!$M$21*H33*H62*parametros_manuales!$B$6))</f>
        <v>0.153489238873134</v>
      </c>
      <c r="I4" s="60" t="n">
        <f aca="false">IF(I33*I62*parametros_manuales!$M$21*parametros_manuales!$B$6=0,0,'Demanda puesto con sobrestock'!$P$200/(parametros_manuales!$M$21*I33*I62*parametros_manuales!$B$6))</f>
        <v>0.195810869145853</v>
      </c>
      <c r="J4" s="59" t="n">
        <f aca="false">IF(J33*J62*parametros_manuales!$M$21*parametros_manuales!$B$6=0,0,'Demanda puesto con sobrestock'!$P$228/(parametros_manuales!$M$21*J33*J62*parametros_manuales!$B$6))</f>
        <v>0.221264733270179</v>
      </c>
      <c r="K4" s="59" t="n">
        <f aca="false">IF(K33*K62*parametros_manuales!$M$21*parametros_manuales!$B$6=0,0,'Demanda puesto con sobrestock'!$P$256/(parametros_manuales!$M$21*K33*K62*parametros_manuales!$B$6))</f>
        <v>0.255651656622165</v>
      </c>
      <c r="L4" s="13" t="s">
        <v>120</v>
      </c>
    </row>
    <row r="5" customFormat="false" ht="14.25" hidden="false" customHeight="true" outlineLevel="0" collapsed="false">
      <c r="A5" s="13" t="str">
        <f aca="false">parametros_manuales!$B$22</f>
        <v>Corte de disco y embutido (cúpula y fondo)</v>
      </c>
      <c r="B5" s="59" t="n">
        <f aca="false">IF(B34*B63*parametros_manuales!$M$22*parametros_manuales!$B$6=0,0,'Demanda puesto con sobrestock'!$P$5/(parametros_manuales!$M$22*B34*B63*parametros_manuales!$B$6))</f>
        <v>0.0268838161048235</v>
      </c>
      <c r="C5" s="59" t="n">
        <f aca="false">IF(C34*C63*parametros_manuales!$M$22*parametros_manuales!$B$6=0,0,'Demanda puesto con sobrestock'!$P$33/(parametros_manuales!$M$22*C34*C63*parametros_manuales!$B$6))</f>
        <v>0.0424783435490196</v>
      </c>
      <c r="D5" s="59" t="n">
        <f aca="false">IF(D34*D63*parametros_manuales!$M$22*parametros_manuales!$B$6=0,0,'Demanda puesto con sobrestock'!$P$61/(parametros_manuales!$M$22*D34*D63*parametros_manuales!$B$6))</f>
        <v>0.0897564399466667</v>
      </c>
      <c r="E5" s="59" t="n">
        <f aca="false">IF(E34*E63*parametros_manuales!$M$22*parametros_manuales!$B$6=0,0,'Demanda puesto con sobrestock'!$P$89/(parametros_manuales!$M$22*E34*E63*parametros_manuales!$B$6))</f>
        <v>0.198568429529804</v>
      </c>
      <c r="F5" s="59" t="n">
        <f aca="false">IF(F34*F63*parametros_manuales!$M$22*parametros_manuales!$B$6=0,0,'Demanda puesto con sobrestock'!$P$117/(parametros_manuales!$M$22*F34*F63*parametros_manuales!$B$6))</f>
        <v>0.345856021678039</v>
      </c>
      <c r="G5" s="59" t="n">
        <f aca="false">IF(G34*G63*parametros_manuales!$M$22*parametros_manuales!$B$6=0,0,'Demanda puesto con sobrestock'!$P$145/(parametros_manuales!$M$22*G34*G63*parametros_manuales!$B$6))</f>
        <v>0.485636282741177</v>
      </c>
      <c r="H5" s="59" t="n">
        <f aca="false">IF(H34*H63*parametros_manuales!$M$22*parametros_manuales!$B$6=0,0,'Demanda puesto con sobrestock'!$P$173/(parametros_manuales!$M$22*H34*H63*parametros_manuales!$B$6))</f>
        <v>0.334861704252941</v>
      </c>
      <c r="I5" s="60" t="n">
        <f aca="false">IF(I34*I63*parametros_manuales!$M$22*parametros_manuales!$B$6=0,0,'Demanda puesto con sobrestock'!$P$201/(parametros_manuales!$M$22*I34*I63*parametros_manuales!$B$6))</f>
        <v>0.427815561272549</v>
      </c>
      <c r="J5" s="59" t="n">
        <f aca="false">IF(J34*J63*parametros_manuales!$M$22*parametros_manuales!$B$6=0,0,'Demanda puesto con sobrestock'!$P$229/(parametros_manuales!$M$22*J34*J63*parametros_manuales!$B$6))</f>
        <v>0.482740464680392</v>
      </c>
      <c r="K5" s="59" t="n">
        <f aca="false">IF(K34*K63*parametros_manuales!$M$22*parametros_manuales!$B$6=0,0,'Demanda puesto con sobrestock'!$P$257/(parametros_manuales!$M$22*K34*K63*parametros_manuales!$B$6))</f>
        <v>0.557769734064706</v>
      </c>
      <c r="L5" s="13" t="s">
        <v>120</v>
      </c>
    </row>
    <row r="6" customFormat="false" ht="14.25" hidden="false" customHeight="true" outlineLevel="0" collapsed="false">
      <c r="A6" s="13" t="str">
        <f aca="false">parametros_manuales!$B$23</f>
        <v>Preparación de cuello</v>
      </c>
      <c r="B6" s="59" t="n">
        <f aca="false">IF(B35*B64*parametros_manuales!$M$23*parametros_manuales!$B$6=0,0,'Demanda puesto con sobrestock'!$P$6/(parametros_manuales!$M$23*B35*B64*parametros_manuales!$B$6))</f>
        <v>0.0685537310673</v>
      </c>
      <c r="C6" s="59" t="n">
        <f aca="false">IF(C35*C64*parametros_manuales!$M$23*parametros_manuales!$B$6=0,0,'Demanda puesto con sobrestock'!$P$34/(parametros_manuales!$M$23*C35*C64*parametros_manuales!$B$6))</f>
        <v>0.10831977605</v>
      </c>
      <c r="D6" s="59" t="n">
        <f aca="false">IF(D35*D64*parametros_manuales!$M$23*parametros_manuales!$B$6=0,0,'Demanda puesto con sobrestock'!$P$62/(parametros_manuales!$M$23*D35*D64*parametros_manuales!$B$6))</f>
        <v>0.228878921864</v>
      </c>
      <c r="E6" s="59" t="n">
        <f aca="false">IF(E35*E64*parametros_manuales!$M$23*parametros_manuales!$B$6=0,0,'Demanda puesto con sobrestock'!$P$90/(parametros_manuales!$M$23*E35*E64*parametros_manuales!$B$6))</f>
        <v>0.506349495301</v>
      </c>
      <c r="F6" s="72" t="n">
        <f aca="false">IF(F35*F64*parametros_manuales!$M$23*parametros_manuales!$B$6=0,0,'Demanda puesto con sobrestock'!$P$118/(parametros_manuales!$M$23*F35*F64*parametros_manuales!$B$6))</f>
        <v>0.881932855279</v>
      </c>
      <c r="G6" s="60" t="n">
        <f aca="false">IF(G35*G64*parametros_manuales!$M$23*parametros_manuales!$B$6=0,0,'Demanda puesto con sobrestock'!$P$146/(parametros_manuales!$M$23*G35*G64*parametros_manuales!$B$6))</f>
        <v>0.619186260495</v>
      </c>
      <c r="H6" s="72" t="n">
        <f aca="false">IF(H35*H64*parametros_manuales!$M$23*parametros_manuales!$B$6=0,0,'Demanda puesto con sobrestock'!$P$174/(parametros_manuales!$M$23*H35*H64*parametros_manuales!$B$6))</f>
        <v>0.4269486729225</v>
      </c>
      <c r="I6" s="60" t="n">
        <f aca="false">IF(I35*I64*parametros_manuales!$M$23*parametros_manuales!$B$6=0,0,'Demanda puesto con sobrestock'!$P$202/(parametros_manuales!$M$23*I35*I64*parametros_manuales!$B$6))</f>
        <v>0.5454648406225</v>
      </c>
      <c r="J6" s="59" t="n">
        <f aca="false">IF(J35*J64*parametros_manuales!$M$23*parametros_manuales!$B$6=0,0,'Demanda puesto con sobrestock'!$P$230/(parametros_manuales!$M$23*J35*J64*parametros_manuales!$B$6))</f>
        <v>0.6154940924675</v>
      </c>
      <c r="K6" s="59" t="n">
        <f aca="false">IF(K35*K64*parametros_manuales!$M$23*parametros_manuales!$B$6=0,0,'Demanda puesto con sobrestock'!$P$258/(parametros_manuales!$M$23*K35*K64*parametros_manuales!$B$6))</f>
        <v>0.7111564109325</v>
      </c>
      <c r="L6" s="13" t="s">
        <v>120</v>
      </c>
    </row>
    <row r="7" customFormat="false" ht="14.25" hidden="false" customHeight="true" outlineLevel="0" collapsed="false">
      <c r="A7" s="13" t="str">
        <f aca="false">parametros_manuales!$B$24</f>
        <v>Numerado de cúpula</v>
      </c>
      <c r="B7" s="59" t="n">
        <f aca="false">IF(B36*B65*parametros_manuales!$M$24*parametros_manuales!$B$6=0,0,'Demanda puesto con sobrestock'!$P$7/(parametros_manuales!$M$24*B36*B65*parametros_manuales!$B$6))</f>
        <v>0.0228512436891</v>
      </c>
      <c r="C7" s="59" t="n">
        <f aca="false">IF(C36*C65*parametros_manuales!$M$24*parametros_manuales!$B$6=0,0,'Demanda puesto con sobrestock'!$P$35/(parametros_manuales!$M$24*C36*C65*parametros_manuales!$B$6))</f>
        <v>0.0361065920166667</v>
      </c>
      <c r="D7" s="59" t="n">
        <f aca="false">IF(D36*D65*parametros_manuales!$M$24*parametros_manuales!$B$6=0,0,'Demanda puesto con sobrestock'!$P$63/(parametros_manuales!$M$24*D36*D65*parametros_manuales!$B$6))</f>
        <v>0.0762929739546667</v>
      </c>
      <c r="E7" s="59" t="n">
        <f aca="false">IF(E36*E65*parametros_manuales!$M$24*parametros_manuales!$B$6=0,0,'Demanda puesto con sobrestock'!$P$91/(parametros_manuales!$M$24*E36*E65*parametros_manuales!$B$6))</f>
        <v>0.168783165100333</v>
      </c>
      <c r="F7" s="59" t="n">
        <f aca="false">IF(F36*F65*parametros_manuales!$M$24*parametros_manuales!$B$6=0,0,'Demanda puesto con sobrestock'!$P$119/(parametros_manuales!$M$24*F36*F65*parametros_manuales!$B$6))</f>
        <v>0.293977618426333</v>
      </c>
      <c r="G7" s="59" t="n">
        <f aca="false">IF(G36*G65*parametros_manuales!$M$24*parametros_manuales!$B$6=0,0,'Demanda puesto con sobrestock'!$P$147/(parametros_manuales!$M$24*G36*G65*parametros_manuales!$B$6))</f>
        <v>0.41279084033</v>
      </c>
      <c r="H7" s="59" t="n">
        <f aca="false">IF(H36*H65*parametros_manuales!$M$24*parametros_manuales!$B$6=0,0,'Demanda puesto con sobrestock'!$P$175/(parametros_manuales!$M$24*H36*H65*parametros_manuales!$B$6))</f>
        <v>0.284632448615</v>
      </c>
      <c r="I7" s="73" t="n">
        <f aca="false">IF(I36*I65*parametros_manuales!$M$24*parametros_manuales!$B$6=0,0,'Demanda puesto con sobrestock'!$P$203/(parametros_manuales!$M$24*I36*I65*parametros_manuales!$B$6))</f>
        <v>0.363643227081667</v>
      </c>
      <c r="J7" s="59" t="n">
        <f aca="false">IF(J36*J65*parametros_manuales!$M$24*parametros_manuales!$B$6=0,0,'Demanda puesto con sobrestock'!$P$231/(parametros_manuales!$M$24*J36*J65*parametros_manuales!$B$6))</f>
        <v>0.410329394978333</v>
      </c>
      <c r="K7" s="59" t="n">
        <f aca="false">IF(K36*K65*parametros_manuales!$M$24*parametros_manuales!$B$6=0,0,'Demanda puesto con sobrestock'!$P$259/(parametros_manuales!$M$24*K36*K65*parametros_manuales!$B$6))</f>
        <v>0.474104273955</v>
      </c>
      <c r="L7" s="13" t="s">
        <v>120</v>
      </c>
      <c r="M7" s="61" t="s">
        <v>281</v>
      </c>
    </row>
    <row r="8" customFormat="false" ht="14.25" hidden="false" customHeight="true" outlineLevel="0" collapsed="false">
      <c r="A8" s="13" t="str">
        <f aca="false">parametros_manuales!$B$25</f>
        <v>Soldadura del cuello a la cúpula</v>
      </c>
      <c r="B8" s="59" t="n">
        <f aca="false">IF(B37*B66*parametros_manuales!$M$25*parametros_manuales!$B$6=0,0,'Demanda puesto con sobrestock'!$P$8/(parametros_manuales!$M$25*B37*B66*parametros_manuales!$B$6))</f>
        <v>0.0293466314500428</v>
      </c>
      <c r="C8" s="59" t="n">
        <f aca="false">IF(C37*C66*parametros_manuales!$M$25*parametros_manuales!$B$6=0,0,'Demanda puesto con sobrestock'!$P$36/(parametros_manuales!$M$25*C37*C66*parametros_manuales!$B$6))</f>
        <v>0.0463697671446918</v>
      </c>
      <c r="D8" s="59" t="n">
        <f aca="false">IF(D37*D66*parametros_manuales!$M$25*parametros_manuales!$B$6=0,0,'Demanda puesto con sobrestock'!$P$64/(parametros_manuales!$M$25*D37*D66*parametros_manuales!$B$6))</f>
        <v>0.0979789905239726</v>
      </c>
      <c r="E8" s="59" t="n">
        <f aca="false">IF(E37*E66*parametros_manuales!$M$25*parametros_manuales!$B$6=0,0,'Demanda puesto con sobrestock'!$P$92/(parametros_manuales!$M$25*E37*E66*parametros_manuales!$B$6))</f>
        <v>0.216759201755565</v>
      </c>
      <c r="F8" s="59" t="n">
        <f aca="false">IF(F37*F66*parametros_manuales!$M$25*parametros_manuales!$B$6=0,0,'Demanda puesto con sobrestock'!$P$120/(parametros_manuales!$M$25*F37*F66*parametros_manuales!$B$6))</f>
        <v>0.377539749691353</v>
      </c>
      <c r="G8" s="59" t="n">
        <f aca="false">IF(G37*G66*parametros_manuales!$M$25*parametros_manuales!$B$6=0,0,'Demanda puesto con sobrestock'!$P$148/(parametros_manuales!$M$25*G37*G66*parametros_manuales!$B$6))</f>
        <v>0.530125223026541</v>
      </c>
      <c r="H8" s="72" t="n">
        <f aca="false">IF(H37*H66*parametros_manuales!$M$25*parametros_manuales!$B$6=0,0,'Demanda puesto con sobrestock'!$P$176/(parametros_manuales!$M$25*H37*H66*parametros_manuales!$B$6))</f>
        <v>0.365538247365154</v>
      </c>
      <c r="I8" s="60" t="n">
        <f aca="false">IF(I37*I66*parametros_manuales!$M$25*parametros_manuales!$B$6=0,0,'Demanda puesto con sobrestock'!$P$204/(parametros_manuales!$M$25*I37*I66*parametros_manuales!$B$6))</f>
        <v>0.467007569026113</v>
      </c>
      <c r="J8" s="59" t="n">
        <f aca="false">IF(J37*J66*parametros_manuales!$M$25*parametros_manuales!$B$6=0,0,'Demanda puesto con sobrestock'!$P$232/(parametros_manuales!$M$25*J37*J66*parametros_manuales!$B$6))</f>
        <v>0.526964120263271</v>
      </c>
      <c r="K8" s="59" t="n">
        <f aca="false">IF(K37*K66*parametros_manuales!$M$25*parametros_manuales!$B$6=0,0,'Demanda puesto con sobrestock'!$P$260/(parametros_manuales!$M$25*K37*K66*parametros_manuales!$B$6))</f>
        <v>0.608866790181935</v>
      </c>
      <c r="L8" s="13" t="s">
        <v>120</v>
      </c>
      <c r="M8" s="62" t="s">
        <v>282</v>
      </c>
    </row>
    <row r="9" customFormat="false" ht="14.25" hidden="false" customHeight="true" outlineLevel="0" collapsed="false">
      <c r="A9" s="13" t="str">
        <f aca="false">parametros_manuales!$B$26</f>
        <v>Cilindrado</v>
      </c>
      <c r="B9" s="59" t="n">
        <f aca="false">IF(B38*B67*parametros_manuales!$M$26*parametros_manuales!$B$6=0,0,'Demanda puesto con sobrestock'!$P$9/(parametros_manuales!$M$26*B38*B67*parametros_manuales!$B$6))</f>
        <v>0.0173700332096199</v>
      </c>
      <c r="C9" s="59" t="n">
        <f aca="false">IF(C38*C67*parametros_manuales!$M$26*parametros_manuales!$B$6=0,0,'Demanda puesto con sobrestock'!$P$37/(parametros_manuales!$M$26*C38*C67*parametros_manuales!$B$6))</f>
        <v>0.0274458892018581</v>
      </c>
      <c r="D9" s="59" t="n">
        <f aca="false">IF(D38*D67*parametros_manuales!$M$26*parametros_manuales!$B$6=0,0,'Demanda puesto con sobrestock'!$P$65/(parametros_manuales!$M$26*D38*D67*parametros_manuales!$B$6))</f>
        <v>0.0579929700668919</v>
      </c>
      <c r="E9" s="59" t="n">
        <f aca="false">IF(E38*E67*parametros_manuales!$M$26*parametros_manuales!$B$6=0,0,'Demanda puesto con sobrestock'!$P$93/(parametros_manuales!$M$26*E38*E67*parametros_manuales!$B$6))</f>
        <v>0.128298014012078</v>
      </c>
      <c r="F9" s="59" t="n">
        <f aca="false">IF(F38*F67*parametros_manuales!$M$26*parametros_manuales!$B$6=0,0,'Demanda puesto con sobrestock'!$P$121/(parametros_manuales!$M$26*F38*F67*parametros_manuales!$B$6))</f>
        <v>0.223462716709206</v>
      </c>
      <c r="G9" s="59" t="n">
        <f aca="false">IF(G38*G67*parametros_manuales!$M$26*parametros_manuales!$B$6=0,0,'Demanda puesto con sobrestock'!$P$149/(parametros_manuales!$M$26*G38*G67*parametros_manuales!$B$6))</f>
        <v>0.313776821196791</v>
      </c>
      <c r="H9" s="59" t="n">
        <f aca="false">IF(H38*H67*parametros_manuales!$M$26*parametros_manuales!$B$6=0,0,'Demanda puesto con sobrestock'!$P$177/(parametros_manuales!$M$26*H38*H67*parametros_manuales!$B$6))</f>
        <v>0.432718249583615</v>
      </c>
      <c r="I9" s="60" t="n">
        <f aca="false">IF(I38*I67*parametros_manuales!$M$26*parametros_manuales!$B$6=0,0,'Demanda puesto con sobrestock'!$P$205/(parametros_manuales!$M$26*I38*I67*parametros_manuales!$B$6))</f>
        <v>0.552835987117399</v>
      </c>
      <c r="J9" s="59" t="n">
        <f aca="false">IF(J38*J67*parametros_manuales!$M$26*parametros_manuales!$B$6=0,0,'Demanda puesto con sobrestock'!$P$233/(parametros_manuales!$M$26*J38*J67*parametros_manuales!$B$6))</f>
        <v>0.623811580203547</v>
      </c>
      <c r="K9" s="59" t="n">
        <f aca="false">IF(K38*K67*parametros_manuales!$M$26*parametros_manuales!$B$6=0,0,'Demanda puesto con sobrestock'!$P$261/(parametros_manuales!$M$26*K38*K67*parametros_manuales!$B$6))</f>
        <v>0.720766632701858</v>
      </c>
      <c r="L9" s="13" t="s">
        <v>120</v>
      </c>
      <c r="M9" s="63" t="s">
        <v>283</v>
      </c>
    </row>
    <row r="10" customFormat="false" ht="14.25" hidden="false" customHeight="true" outlineLevel="0" collapsed="false">
      <c r="A10" s="13" t="str">
        <f aca="false">parametros_manuales!$B$27</f>
        <v>Soldadura longitudinal — 2,5 a 10 kg</v>
      </c>
      <c r="B10" s="59" t="n">
        <f aca="false">IF(B39*B68*parametros_manuales!$M$27*parametros_manuales!$B$6=0,0,'Demanda puesto con sobrestock'!$P$10/(parametros_manuales!$M$27*B39*B68*parametros_manuales!$B$6))</f>
        <v>0.051995473788674</v>
      </c>
      <c r="C10" s="59" t="n">
        <f aca="false">IF(C39*C68*parametros_manuales!$M$27*parametros_manuales!$B$6=0,0,'Demanda puesto con sobrestock'!$P$38/(parametros_manuales!$M$27*C39*C68*parametros_manuales!$B$6))</f>
        <v>0.0939168018952703</v>
      </c>
      <c r="D10" s="59" t="n">
        <f aca="false">IF(D39*D68*parametros_manuales!$M$27*parametros_manuales!$B$6=0,0,'Demanda puesto con sobrestock'!$P$66/(parametros_manuales!$M$27*D39*D68*parametros_manuales!$B$6))</f>
        <v>0.162665643457095</v>
      </c>
      <c r="E10" s="59" t="n">
        <f aca="false">IF(E39*E68*parametros_manuales!$M$27*parametros_manuales!$B$6=0,0,'Demanda puesto con sobrestock'!$P$94/(parametros_manuales!$M$27*E39*E68*parametros_manuales!$B$6))</f>
        <v>0.300573751322044</v>
      </c>
      <c r="F10" s="59" t="n">
        <f aca="false">IF(F39*F68*parametros_manuales!$M$27*parametros_manuales!$B$6=0,0,'Demanda puesto con sobrestock'!$P$122/(parametros_manuales!$M$27*F39*F68*parametros_manuales!$B$6))</f>
        <v>0.506579911158531</v>
      </c>
      <c r="G10" s="59" t="n">
        <f aca="false">IF(G39*G68*parametros_manuales!$M$27*parametros_manuales!$B$6=0,0,'Demanda puesto con sobrestock'!$P$150/(parametros_manuales!$M$27*G39*G68*parametros_manuales!$B$6))</f>
        <v>0.709752008164696</v>
      </c>
      <c r="H10" s="72" t="n">
        <f aca="false">IF(H39*H68*parametros_manuales!$M$27*parametros_manuales!$B$6=0,0,'Demanda puesto con sobrestock'!$P$178/(parametros_manuales!$M$27*H39*H68*parametros_manuales!$B$6))</f>
        <v>0.476961683237753</v>
      </c>
      <c r="I10" s="60" t="n">
        <f aca="false">IF(I39*I68*parametros_manuales!$M$27*parametros_manuales!$B$6=0,0,'Demanda puesto con sobrestock'!$P$206/(parametros_manuales!$M$27*I39*I68*parametros_manuales!$B$6))</f>
        <v>0.602709344884713</v>
      </c>
      <c r="J10" s="59" t="n">
        <f aca="false">IF(J39*J68*parametros_manuales!$M$27*parametros_manuales!$B$6=0,0,'Demanda puesto con sobrestock'!$P$234/(parametros_manuales!$M$27*J39*J68*parametros_manuales!$B$6))</f>
        <v>0.687712634915963</v>
      </c>
      <c r="K10" s="59" t="n">
        <f aca="false">IF(K39*K68*parametros_manuales!$M$27*parametros_manuales!$B$6=0,0,'Demanda puesto con sobrestock'!$P$262/(parametros_manuales!$M$27*K39*K68*parametros_manuales!$B$6))</f>
        <v>0.794917348221706</v>
      </c>
      <c r="L10" s="13" t="s">
        <v>120</v>
      </c>
      <c r="M10" s="64" t="s">
        <v>284</v>
      </c>
    </row>
    <row r="11" customFormat="false" ht="14.25" hidden="false" customHeight="true" outlineLevel="0" collapsed="false">
      <c r="A11" s="13" t="str">
        <f aca="false">parametros_manuales!$B$28</f>
        <v>Soldadura longitudinal TIG — 1 kg</v>
      </c>
      <c r="B11" s="59" t="n">
        <f aca="false">IF(B40*B69*parametros_manuales!$M$28*parametros_manuales!$B$6=0,0,'Demanda puesto con sobrestock'!$P$11/(parametros_manuales!$M$28*B40*B69*parametros_manuales!$B$6))</f>
        <v>0.020893682715</v>
      </c>
      <c r="C11" s="59" t="n">
        <f aca="false">IF(C40*C69*parametros_manuales!$M$28*parametros_manuales!$B$6=0,0,'Demanda puesto con sobrestock'!$P$39/(parametros_manuales!$M$28*C40*C69*parametros_manuales!$B$6))</f>
        <v>0.029986519885</v>
      </c>
      <c r="D11" s="59" t="n">
        <f aca="false">IF(D40*D69*parametros_manuales!$M$28*parametros_manuales!$B$6=0,0,'Demanda puesto con sobrestock'!$P$67/(parametros_manuales!$M$28*D40*D69*parametros_manuales!$B$6))</f>
        <v>0.07257073879</v>
      </c>
      <c r="E11" s="59" t="n">
        <f aca="false">IF(E40*E69*parametros_manuales!$M$28*parametros_manuales!$B$6=0,0,'Demanda puesto con sobrestock'!$P$95/(parametros_manuales!$M$28*E40*E69*parametros_manuales!$B$6))</f>
        <v>0.175809677745</v>
      </c>
      <c r="F11" s="59" t="n">
        <f aca="false">IF(F40*F69*parametros_manuales!$M$28*parametros_manuales!$B$6=0,0,'Demanda puesto con sobrestock'!$P$123/(parametros_manuales!$M$28*F40*F69*parametros_manuales!$B$6))</f>
        <v>0.31057716355</v>
      </c>
      <c r="G11" s="59" t="n">
        <f aca="false">IF(G40*G69*parametros_manuales!$M$28*parametros_manuales!$B$6=0,0,'Demanda puesto con sobrestock'!$P$151/(parametros_manuales!$M$28*G40*G69*parametros_manuales!$B$6))</f>
        <v>0.43650226535</v>
      </c>
      <c r="H11" s="72" t="n">
        <f aca="false">IF(H40*H69*parametros_manuales!$M$28*parametros_manuales!$B$6=0,0,'Demanda puesto con sobrestock'!$P$179/(parametros_manuales!$M$28*H40*H69*parametros_manuales!$B$6))</f>
        <v>0.30418288315</v>
      </c>
      <c r="I11" s="60" t="n">
        <f aca="false">IF(I40*I69*parametros_manuales!$M$28*parametros_manuales!$B$6=0,0,'Demanda puesto con sobrestock'!$P$207/(parametros_manuales!$M$28*I40*I69*parametros_manuales!$B$6))</f>
        <v>0.3903326962</v>
      </c>
      <c r="J11" s="59" t="n">
        <f aca="false">IF(J40*J69*parametros_manuales!$M$28*parametros_manuales!$B$6=0,0,'Demanda puesto con sobrestock'!$P$235/(parametros_manuales!$M$28*J40*J69*parametros_manuales!$B$6))</f>
        <v>0.43848284035</v>
      </c>
      <c r="K11" s="59" t="n">
        <f aca="false">IF(K40*K69*parametros_manuales!$M$28*parametros_manuales!$B$6=0,0,'Demanda puesto con sobrestock'!$P$263/(parametros_manuales!$M$28*K40*K69*parametros_manuales!$B$6))</f>
        <v>0.506551597825</v>
      </c>
      <c r="L11" s="13" t="s">
        <v>120</v>
      </c>
      <c r="M11" s="65" t="s">
        <v>285</v>
      </c>
    </row>
    <row r="12" customFormat="false" ht="14.25" hidden="false" customHeight="true" outlineLevel="0" collapsed="false">
      <c r="A12" s="13" t="str">
        <f aca="false">parametros_manuales!$B$29</f>
        <v>Encastre de fondo</v>
      </c>
      <c r="B12" s="59" t="n">
        <f aca="false">IF(B41*B70*parametros_manuales!$M$29*parametros_manuales!$B$6=0,0,'Demanda puesto con sobrestock'!$P$12/(parametros_manuales!$M$29*B41*B70*parametros_manuales!$B$6))</f>
        <v>0.0348972612899152</v>
      </c>
      <c r="C12" s="59" t="n">
        <f aca="false">IF(C41*C70*parametros_manuales!$M$29*parametros_manuales!$B$6=0,0,'Demanda puesto con sobrestock'!$P$40/(parametros_manuales!$M$29*C41*C70*parametros_manuales!$B$6))</f>
        <v>0.0551401574915158</v>
      </c>
      <c r="D12" s="59" t="n">
        <f aca="false">IF(D41*D70*parametros_manuales!$M$29*parametros_manuales!$B$6=0,0,'Demanda puesto con sobrestock'!$P$68/(parametros_manuales!$M$29*D41*D70*parametros_manuales!$B$6))</f>
        <v>0.116510763392308</v>
      </c>
      <c r="E12" s="59" t="n">
        <f aca="false">IF(E41*E70*parametros_manuales!$M$29*parametros_manuales!$B$6=0,0,'Demanda puesto con sobrestock'!$P$96/(parametros_manuales!$M$29*E41*E70*parametros_manuales!$B$6))</f>
        <v>0.257757096024265</v>
      </c>
      <c r="F12" s="59" t="n">
        <f aca="false">IF(F41*F70*parametros_manuales!$M$29*parametros_manuales!$B$6=0,0,'Demanda puesto con sobrestock'!$P$124/(parametros_manuales!$M$29*F41*F70*parametros_manuales!$B$6))</f>
        <v>0.448947720447455</v>
      </c>
      <c r="G12" s="59" t="n">
        <f aca="false">IF(G41*G70*parametros_manuales!$M$29*parametros_manuales!$B$6=0,0,'Demanda puesto con sobrestock'!$P$152/(parametros_manuales!$M$29*G41*G70*parametros_manuales!$B$6))</f>
        <v>0.630393251635181</v>
      </c>
      <c r="H12" s="72" t="n">
        <f aca="false">IF(H41*H70*parametros_manuales!$M$29*parametros_manuales!$B$6=0,0,'Demanda puesto con sobrestock'!$P$180/(parametros_manuales!$M$29*H41*H70*parametros_manuales!$B$6))</f>
        <v>0.434676250712953</v>
      </c>
      <c r="I12" s="60" t="n">
        <f aca="false">IF(I41*I70*parametros_manuales!$M$29*parametros_manuales!$B$6=0,0,'Demanda puesto con sobrestock'!$P$208/(parametros_manuales!$M$29*I41*I70*parametros_manuales!$B$6))</f>
        <v>0.555337507421097</v>
      </c>
      <c r="J12" s="59" t="n">
        <f aca="false">IF(J41*J70*parametros_manuales!$M$29*parametros_manuales!$B$6=0,0,'Demanda puesto con sobrestock'!$P$236/(parametros_manuales!$M$29*J41*J70*parametros_manuales!$B$6))</f>
        <v>0.626634257037047</v>
      </c>
      <c r="K12" s="59" t="n">
        <f aca="false">IF(K41*K70*parametros_manuales!$M$29*parametros_manuales!$B$6=0,0,'Demanda puesto con sobrestock'!$P$264/(parametros_manuales!$M$29*K41*K70*parametros_manuales!$B$6))</f>
        <v>0.724028020180147</v>
      </c>
      <c r="L12" s="13" t="s">
        <v>120</v>
      </c>
    </row>
    <row r="13" customFormat="false" ht="14.25" hidden="false" customHeight="true" outlineLevel="0" collapsed="false">
      <c r="A13" s="13" t="str">
        <f aca="false">parametros_manuales!$B$30</f>
        <v>Bordoneado</v>
      </c>
      <c r="B13" s="59" t="n">
        <f aca="false">IF(B42*B71*parametros_manuales!$M$30*parametros_manuales!$B$6=0,0,'Demanda puesto con sobrestock'!$P$13/(parametros_manuales!$M$30*B42*B71*parametros_manuales!$B$6))</f>
        <v>0.0232648408599434</v>
      </c>
      <c r="C13" s="59" t="n">
        <f aca="false">IF(C42*C71*parametros_manuales!$M$30*parametros_manuales!$B$6=0,0,'Demanda puesto con sobrestock'!$P$41/(parametros_manuales!$M$30*C42*C71*parametros_manuales!$B$6))</f>
        <v>0.0367601049943439</v>
      </c>
      <c r="D13" s="59" t="n">
        <f aca="false">IF(D42*D71*parametros_manuales!$M$30*parametros_manuales!$B$6=0,0,'Demanda puesto con sobrestock'!$P$69/(parametros_manuales!$M$30*D42*D71*parametros_manuales!$B$6))</f>
        <v>0.0776738422615385</v>
      </c>
      <c r="E13" s="59" t="n">
        <f aca="false">IF(E42*E71*parametros_manuales!$M$30*parametros_manuales!$B$6=0,0,'Demanda puesto con sobrestock'!$P$97/(parametros_manuales!$M$30*E42*E71*parametros_manuales!$B$6))</f>
        <v>0.171838064016177</v>
      </c>
      <c r="F13" s="59" t="n">
        <f aca="false">IF(F42*F71*parametros_manuales!$M$30*parametros_manuales!$B$6=0,0,'Demanda puesto con sobrestock'!$P$125/(parametros_manuales!$M$30*F42*F71*parametros_manuales!$B$6))</f>
        <v>0.299298480298303</v>
      </c>
      <c r="G13" s="59" t="n">
        <f aca="false">IF(G42*G71*parametros_manuales!$M$30*parametros_manuales!$B$6=0,0,'Demanda puesto con sobrestock'!$P$153/(parametros_manuales!$M$30*G42*G71*parametros_manuales!$B$6))</f>
        <v>0.420262167756787</v>
      </c>
      <c r="H13" s="59" t="n">
        <f aca="false">IF(H42*H71*parametros_manuales!$M$30*parametros_manuales!$B$6=0,0,'Demanda puesto con sobrestock'!$P$181/(parametros_manuales!$M$30*H42*H71*parametros_manuales!$B$6))</f>
        <v>0.289784167141968</v>
      </c>
      <c r="I13" s="60" t="n">
        <f aca="false">IF(I42*I71*parametros_manuales!$M$30*parametros_manuales!$B$6=0,0,'Demanda puesto con sobrestock'!$P$209/(parametros_manuales!$M$30*I42*I71*parametros_manuales!$B$6))</f>
        <v>0.370225004947398</v>
      </c>
      <c r="J13" s="72" t="n">
        <f aca="false">IF(J42*J71*parametros_manuales!$M$30*parametros_manuales!$B$6=0,0,'Demanda puesto con sobrestock'!$P$237/(parametros_manuales!$M$30*J42*J71*parametros_manuales!$B$6))</f>
        <v>0.417756171358032</v>
      </c>
      <c r="K13" s="59" t="n">
        <f aca="false">IF(K42*K71*parametros_manuales!$M$30*parametros_manuales!$B$6=0,0,'Demanda puesto con sobrestock'!$P$265/(parametros_manuales!$M$30*K42*K71*parametros_manuales!$B$6))</f>
        <v>0.482685346786765</v>
      </c>
      <c r="L13" s="13" t="s">
        <v>120</v>
      </c>
      <c r="M13" s="8" t="s">
        <v>104</v>
      </c>
      <c r="N13" s="66" t="n">
        <f aca="false">parametros_manuales!$B$8</f>
        <v>0.9</v>
      </c>
    </row>
    <row r="14" customFormat="false" ht="14.25" hidden="false" customHeight="true" outlineLevel="0" collapsed="false">
      <c r="A14" s="13" t="str">
        <f aca="false">parametros_manuales!$B$31</f>
        <v>Soldadura circunferencial de cúpula y fondo</v>
      </c>
      <c r="B14" s="59" t="n">
        <f aca="false">IF(B43*B72*parametros_manuales!$M$31*parametros_manuales!$B$6=0,0,'Demanda puesto con sobrestock'!$P$14/(parametros_manuales!$M$31*B43*B72*parametros_manuales!$B$6))</f>
        <v>0.0697945225798303</v>
      </c>
      <c r="C14" s="59" t="n">
        <f aca="false">IF(C43*C72*parametros_manuales!$M$31*parametros_manuales!$B$6=0,0,'Demanda puesto con sobrestock'!$P$42/(parametros_manuales!$M$31*C43*C72*parametros_manuales!$B$6))</f>
        <v>0.110280314983032</v>
      </c>
      <c r="D14" s="59" t="n">
        <f aca="false">IF(D43*D72*parametros_manuales!$M$31*parametros_manuales!$B$6=0,0,'Demanda puesto con sobrestock'!$P$70/(parametros_manuales!$M$31*D43*D72*parametros_manuales!$B$6))</f>
        <v>0.233021526784615</v>
      </c>
      <c r="E14" s="59" t="n">
        <f aca="false">IF(E43*E72*parametros_manuales!$M$31*parametros_manuales!$B$6=0,0,'Demanda puesto con sobrestock'!$P$98/(parametros_manuales!$M$31*E43*E72*parametros_manuales!$B$6))</f>
        <v>0.51551419204853</v>
      </c>
      <c r="F14" s="72" t="n">
        <f aca="false">IF(F43*F72*parametros_manuales!$M$31*parametros_manuales!$B$6=0,0,'Demanda puesto con sobrestock'!$P$126/(parametros_manuales!$M$31*F43*F72*parametros_manuales!$B$6))</f>
        <v>0.89789544089491</v>
      </c>
      <c r="G14" s="60" t="n">
        <f aca="false">IF(G43*G72*parametros_manuales!$M$31*parametros_manuales!$B$6=0,0,'Demanda puesto con sobrestock'!$P$154/(parametros_manuales!$M$31*G43*G72*parametros_manuales!$B$6))</f>
        <v>0.630393251635181</v>
      </c>
      <c r="H14" s="72" t="n">
        <f aca="false">IF(H43*H72*parametros_manuales!$M$31*parametros_manuales!$B$6=0,0,'Demanda puesto con sobrestock'!$P$182/(parametros_manuales!$M$31*H43*H72*parametros_manuales!$B$6))</f>
        <v>0.434676250712953</v>
      </c>
      <c r="I14" s="60" t="n">
        <f aca="false">IF(I43*I72*parametros_manuales!$M$31*parametros_manuales!$B$6=0,0,'Demanda puesto con sobrestock'!$P$210/(parametros_manuales!$M$31*I43*I72*parametros_manuales!$B$6))</f>
        <v>0.555337507421097</v>
      </c>
      <c r="J14" s="59" t="n">
        <f aca="false">IF(J43*J72*parametros_manuales!$M$31*parametros_manuales!$B$6=0,0,'Demanda puesto con sobrestock'!$P$238/(parametros_manuales!$M$31*J43*J72*parametros_manuales!$B$6))</f>
        <v>0.626634257037047</v>
      </c>
      <c r="K14" s="59" t="n">
        <f aca="false">IF(K43*K72*parametros_manuales!$M$31*parametros_manuales!$B$6=0,0,'Demanda puesto con sobrestock'!$P$266/(parametros_manuales!$M$31*K43*K72*parametros_manuales!$B$6))</f>
        <v>0.724028020180147</v>
      </c>
      <c r="L14" s="13" t="s">
        <v>120</v>
      </c>
      <c r="M14" s="67" t="s">
        <v>286</v>
      </c>
    </row>
    <row r="15" customFormat="false" ht="14.25" hidden="false" customHeight="true" outlineLevel="0" collapsed="false">
      <c r="A15" s="13" t="str">
        <f aca="false">parametros_manuales!$B$32</f>
        <v>Control de calidad — Espesor</v>
      </c>
      <c r="B15" s="59" t="n">
        <f aca="false">IF(B44*B73*parametros_manuales!$M$32*parametros_manuales!$B$6=0,0,'Demanda puesto con sobrestock'!$P$15/(parametros_manuales!$M$32*B44*B73*parametros_manuales!$B$6))</f>
        <v>0.002742149242692</v>
      </c>
      <c r="C15" s="59" t="n">
        <f aca="false">IF(C44*C73*parametros_manuales!$M$32*parametros_manuales!$B$6=0,0,'Demanda puesto con sobrestock'!$P$43/(parametros_manuales!$M$32*C44*C73*parametros_manuales!$B$6))</f>
        <v>0.004332791042</v>
      </c>
      <c r="D15" s="59" t="n">
        <f aca="false">IF(D44*D73*parametros_manuales!$M$32*parametros_manuales!$B$6=0,0,'Demanda puesto con sobrestock'!$P$71/(parametros_manuales!$M$32*D44*D73*parametros_manuales!$B$6))</f>
        <v>0.00915515687456</v>
      </c>
      <c r="E15" s="59" t="n">
        <f aca="false">IF(E44*E73*parametros_manuales!$M$32*parametros_manuales!$B$6=0,0,'Demanda puesto con sobrestock'!$P$99/(parametros_manuales!$M$32*E44*E73*parametros_manuales!$B$6))</f>
        <v>0.02025397981204</v>
      </c>
      <c r="F15" s="59" t="n">
        <f aca="false">IF(F44*F73*parametros_manuales!$M$32*parametros_manuales!$B$6=0,0,'Demanda puesto con sobrestock'!$P$127/(parametros_manuales!$M$32*F44*F73*parametros_manuales!$B$6))</f>
        <v>0.03527731421116</v>
      </c>
      <c r="G15" s="59" t="n">
        <f aca="false">IF(G44*G73*parametros_manuales!$M$32*parametros_manuales!$B$6=0,0,'Demanda puesto con sobrestock'!$P$155/(parametros_manuales!$M$32*G44*G73*parametros_manuales!$B$6))</f>
        <v>0.0495349008396</v>
      </c>
      <c r="H15" s="59" t="n">
        <f aca="false">IF(H44*H73*parametros_manuales!$M$32*parametros_manuales!$B$6=0,0,'Demanda puesto con sobrestock'!$P$183/(parametros_manuales!$M$32*H44*H73*parametros_manuales!$B$6))</f>
        <v>0.0683117876676</v>
      </c>
      <c r="I15" s="59" t="n">
        <f aca="false">IF(I44*I73*parametros_manuales!$M$32*parametros_manuales!$B$6=0,0,'Demanda puesto con sobrestock'!$P$211/(parametros_manuales!$M$32*I44*I73*parametros_manuales!$B$6))</f>
        <v>0.0872743744996</v>
      </c>
      <c r="J15" s="59" t="n">
        <f aca="false">IF(J44*J73*parametros_manuales!$M$32*parametros_manuales!$B$6=0,0,'Demanda puesto con sobrestock'!$P$239/(parametros_manuales!$M$32*J44*J73*parametros_manuales!$B$6))</f>
        <v>0.0984790547948</v>
      </c>
      <c r="K15" s="59" t="n">
        <f aca="false">IF(K44*K73*parametros_manuales!$M$32*parametros_manuales!$B$6=0,0,'Demanda puesto con sobrestock'!$P$267/(parametros_manuales!$M$32*K44*K73*parametros_manuales!$B$6))</f>
        <v>0.1137850257492</v>
      </c>
      <c r="L15" s="13" t="s">
        <v>280</v>
      </c>
    </row>
    <row r="16" customFormat="false" ht="14.25" hidden="false" customHeight="true" outlineLevel="0" collapsed="false">
      <c r="A16" s="13" t="str">
        <f aca="false">parametros_manuales!$B$33</f>
        <v>Prueba hidráulica</v>
      </c>
      <c r="B16" s="59" t="n">
        <f aca="false">IF(B45*B74*parametros_manuales!$M$33*parametros_manuales!$B$6=0,0,'Demanda puesto con sobrestock'!$P$16/(parametros_manuales!$M$33*B45*B74*parametros_manuales!$B$6))</f>
        <v>0.0697945225798303</v>
      </c>
      <c r="C16" s="59" t="n">
        <f aca="false">IF(C45*C74*parametros_manuales!$M$33*parametros_manuales!$B$6=0,0,'Demanda puesto con sobrestock'!$P$44/(parametros_manuales!$M$33*C45*C74*parametros_manuales!$B$6))</f>
        <v>0.110280314983032</v>
      </c>
      <c r="D16" s="59" t="n">
        <f aca="false">IF(D45*D74*parametros_manuales!$M$33*parametros_manuales!$B$6=0,0,'Demanda puesto con sobrestock'!$P$72/(parametros_manuales!$M$33*D45*D74*parametros_manuales!$B$6))</f>
        <v>0.233021526784615</v>
      </c>
      <c r="E16" s="59" t="n">
        <f aca="false">IF(E45*E74*parametros_manuales!$M$33*parametros_manuales!$B$6=0,0,'Demanda puesto con sobrestock'!$P$100/(parametros_manuales!$M$33*E45*E74*parametros_manuales!$B$6))</f>
        <v>0.51551419204853</v>
      </c>
      <c r="F16" s="72" t="n">
        <f aca="false">IF(F45*F74*parametros_manuales!$M$33*parametros_manuales!$B$6=0,0,'Demanda puesto con sobrestock'!$P$128/(parametros_manuales!$M$33*F45*F74*parametros_manuales!$B$6))</f>
        <v>0.89789544089491</v>
      </c>
      <c r="G16" s="60" t="n">
        <f aca="false">IF(G45*G74*parametros_manuales!$M$33*parametros_manuales!$B$6=0,0,'Demanda puesto con sobrestock'!$P$156/(parametros_manuales!$M$33*G45*G74*parametros_manuales!$B$6))</f>
        <v>0.630393251635181</v>
      </c>
      <c r="H16" s="72" t="n">
        <f aca="false">IF(H45*H74*parametros_manuales!$M$33*parametros_manuales!$B$6=0,0,'Demanda puesto con sobrestock'!$P$184/(parametros_manuales!$M$33*H45*H74*parametros_manuales!$B$6))</f>
        <v>0.434676250712953</v>
      </c>
      <c r="I16" s="60" t="n">
        <f aca="false">IF(I45*I74*parametros_manuales!$M$33*parametros_manuales!$B$6=0,0,'Demanda puesto con sobrestock'!$P$212/(parametros_manuales!$M$33*I45*I74*parametros_manuales!$B$6))</f>
        <v>0.555337507421097</v>
      </c>
      <c r="J16" s="59" t="n">
        <f aca="false">IF(J45*J74*parametros_manuales!$M$33*parametros_manuales!$B$6=0,0,'Demanda puesto con sobrestock'!$P$240/(parametros_manuales!$M$33*J45*J74*parametros_manuales!$B$6))</f>
        <v>0.626634257037047</v>
      </c>
      <c r="K16" s="59" t="n">
        <f aca="false">IF(K45*K74*parametros_manuales!$M$33*parametros_manuales!$B$6=0,0,'Demanda puesto con sobrestock'!$P$268/(parametros_manuales!$M$33*K45*K74*parametros_manuales!$B$6))</f>
        <v>0.724028020180147</v>
      </c>
      <c r="L16" s="13" t="s">
        <v>120</v>
      </c>
    </row>
    <row r="17" customFormat="false" ht="14.25" hidden="false" customHeight="true" outlineLevel="0" collapsed="false">
      <c r="A17" s="13" t="str">
        <f aca="false">parametros_manuales!$B$34</f>
        <v>Secado</v>
      </c>
      <c r="B17" s="59" t="n">
        <f aca="false">IF(B46*B75*parametros_manuales!$M$34*parametros_manuales!$B$6=0,0,'Demanda puesto con sobrestock'!$P$17/(parametros_manuales!$M$34*B46*B75*parametros_manuales!$B$6))</f>
        <v>0.1371074621346</v>
      </c>
      <c r="C17" s="59" t="n">
        <f aca="false">IF(C46*C75*parametros_manuales!$M$34*parametros_manuales!$B$6=0,0,'Demanda puesto con sobrestock'!$P$45/(parametros_manuales!$M$34*C46*C75*parametros_manuales!$B$6))</f>
        <v>0.2166395521</v>
      </c>
      <c r="D17" s="59" t="n">
        <f aca="false">IF(D46*D75*parametros_manuales!$M$34*parametros_manuales!$B$6=0,0,'Demanda puesto con sobrestock'!$P$73/(parametros_manuales!$M$34*D46*D75*parametros_manuales!$B$6))</f>
        <v>0.457757843728</v>
      </c>
      <c r="E17" s="60" t="n">
        <f aca="false">IF(E46*E75*parametros_manuales!$M$34*parametros_manuales!$B$6=0,0,'Demanda puesto con sobrestock'!$P$101/(parametros_manuales!$M$34*E46*E75*parametros_manuales!$B$6))</f>
        <v>0.506349495301</v>
      </c>
      <c r="F17" s="72" t="n">
        <f aca="false">IF(F46*F75*parametros_manuales!$M$34*parametros_manuales!$B$6=0,0,'Demanda puesto con sobrestock'!$P$129/(parametros_manuales!$M$34*F46*F75*parametros_manuales!$B$6))</f>
        <v>0.881932855279</v>
      </c>
      <c r="G17" s="60" t="n">
        <f aca="false">IF(G46*G75*parametros_manuales!$M$34*parametros_manuales!$B$6=0,0,'Demanda puesto con sobrestock'!$P$157/(parametros_manuales!$M$34*G46*G75*parametros_manuales!$B$6))</f>
        <v>0.82558168066</v>
      </c>
      <c r="H17" s="60" t="n">
        <f aca="false">IF(H46*H75*parametros_manuales!$M$34*parametros_manuales!$B$6=0,0,'Demanda puesto con sobrestock'!$P$185/(parametros_manuales!$M$34*H46*H75*parametros_manuales!$B$6))</f>
        <v>0.4269486729225</v>
      </c>
      <c r="I17" s="60" t="n">
        <f aca="false">IF(I46*I75*parametros_manuales!$M$34*parametros_manuales!$B$6=0,0,'Demanda puesto con sobrestock'!$P$213/(parametros_manuales!$M$34*I46*I75*parametros_manuales!$B$6))</f>
        <v>0.5454648406225</v>
      </c>
      <c r="J17" s="59" t="n">
        <f aca="false">IF(J46*J75*parametros_manuales!$M$34*parametros_manuales!$B$6=0,0,'Demanda puesto con sobrestock'!$P$241/(parametros_manuales!$M$34*J46*J75*parametros_manuales!$B$6))</f>
        <v>0.6154940924675</v>
      </c>
      <c r="K17" s="59" t="n">
        <f aca="false">IF(K46*K75*parametros_manuales!$M$34*parametros_manuales!$B$6=0,0,'Demanda puesto con sobrestock'!$P$269/(parametros_manuales!$M$34*K46*K75*parametros_manuales!$B$6))</f>
        <v>0.7111564109325</v>
      </c>
      <c r="L17" s="13" t="s">
        <v>120</v>
      </c>
    </row>
    <row r="18" customFormat="false" ht="14.25" hidden="false" customHeight="true" outlineLevel="0" collapsed="false">
      <c r="A18" s="13" t="str">
        <f aca="false">parametros_manuales!$B$35</f>
        <v>Granallado</v>
      </c>
      <c r="B18" s="59" t="n">
        <f aca="false">IF(B47*B76*parametros_manuales!$M$35*parametros_manuales!$B$6=0,0,'Demanda puesto con sobrestock'!$P$18/(parametros_manuales!$M$35*B47*B76*parametros_manuales!$B$6))</f>
        <v>0.03427686553365</v>
      </c>
      <c r="C18" s="59" t="n">
        <f aca="false">IF(C47*C76*parametros_manuales!$M$35*parametros_manuales!$B$6=0,0,'Demanda puesto con sobrestock'!$P$46/(parametros_manuales!$M$35*C47*C76*parametros_manuales!$B$6))</f>
        <v>0.054159888025</v>
      </c>
      <c r="D18" s="59" t="n">
        <f aca="false">IF(D47*D76*parametros_manuales!$M$35*parametros_manuales!$B$6=0,0,'Demanda puesto con sobrestock'!$P$74/(parametros_manuales!$M$35*D47*D76*parametros_manuales!$B$6))</f>
        <v>0.114439460932</v>
      </c>
      <c r="E18" s="59" t="n">
        <f aca="false">IF(E47*E76*parametros_manuales!$M$35*parametros_manuales!$B$6=0,0,'Demanda puesto con sobrestock'!$P$102/(parametros_manuales!$M$35*E47*E76*parametros_manuales!$B$6))</f>
        <v>0.2531747476505</v>
      </c>
      <c r="F18" s="59" t="n">
        <f aca="false">IF(F47*F76*parametros_manuales!$M$35*parametros_manuales!$B$6=0,0,'Demanda puesto con sobrestock'!$P$130/(parametros_manuales!$M$35*F47*F76*parametros_manuales!$B$6))</f>
        <v>0.4409664276395</v>
      </c>
      <c r="G18" s="59" t="n">
        <f aca="false">IF(G47*G76*parametros_manuales!$M$35*parametros_manuales!$B$6=0,0,'Demanda puesto con sobrestock'!$P$158/(parametros_manuales!$M$35*G47*G76*parametros_manuales!$B$6))</f>
        <v>0.619186260495</v>
      </c>
      <c r="H18" s="72" t="n">
        <f aca="false">IF(H47*H76*parametros_manuales!$M$35*parametros_manuales!$B$6=0,0,'Demanda puesto con sobrestock'!$P$186/(parametros_manuales!$M$35*H47*H76*parametros_manuales!$B$6))</f>
        <v>0.4269486729225</v>
      </c>
      <c r="I18" s="60" t="n">
        <f aca="false">IF(I47*I76*parametros_manuales!$M$35*parametros_manuales!$B$6=0,0,'Demanda puesto con sobrestock'!$P$214/(parametros_manuales!$M$35*I47*I76*parametros_manuales!$B$6))</f>
        <v>0.5454648406225</v>
      </c>
      <c r="J18" s="59" t="n">
        <f aca="false">IF(J47*J76*parametros_manuales!$M$35*parametros_manuales!$B$6=0,0,'Demanda puesto con sobrestock'!$P$242/(parametros_manuales!$M$35*J47*J76*parametros_manuales!$B$6))</f>
        <v>0.6154940924675</v>
      </c>
      <c r="K18" s="59" t="n">
        <f aca="false">IF(K47*K76*parametros_manuales!$M$35*parametros_manuales!$B$6=0,0,'Demanda puesto con sobrestock'!$P$270/(parametros_manuales!$M$35*K47*K76*parametros_manuales!$B$6))</f>
        <v>0.7111564109325</v>
      </c>
      <c r="L18" s="13" t="s">
        <v>120</v>
      </c>
    </row>
    <row r="19" customFormat="false" ht="14.25" hidden="false" customHeight="true" outlineLevel="0" collapsed="false">
      <c r="A19" s="13" t="str">
        <f aca="false">parametros_manuales!$B$36</f>
        <v>Detección de defectos</v>
      </c>
      <c r="B19" s="59" t="n">
        <f aca="false">IF(B48*B77*parametros_manuales!$M$36*parametros_manuales!$B$6=0,0,'Demanda puesto con sobrestock'!$P$19/(parametros_manuales!$M$36*B48*B77*parametros_manuales!$B$6))</f>
        <v>0.0228512436891</v>
      </c>
      <c r="C19" s="59" t="n">
        <f aca="false">IF(C48*C77*parametros_manuales!$M$36*parametros_manuales!$B$6=0,0,'Demanda puesto con sobrestock'!$P$47/(parametros_manuales!$M$36*C48*C77*parametros_manuales!$B$6))</f>
        <v>0.0361065920166667</v>
      </c>
      <c r="D19" s="59" t="n">
        <f aca="false">IF(D48*D77*parametros_manuales!$M$36*parametros_manuales!$B$6=0,0,'Demanda puesto con sobrestock'!$P$75/(parametros_manuales!$M$36*D48*D77*parametros_manuales!$B$6))</f>
        <v>0.0762929739546667</v>
      </c>
      <c r="E19" s="59" t="n">
        <f aca="false">IF(E48*E77*parametros_manuales!$M$36*parametros_manuales!$B$6=0,0,'Demanda puesto con sobrestock'!$P$103/(parametros_manuales!$M$36*E48*E77*parametros_manuales!$B$6))</f>
        <v>0.168783165100333</v>
      </c>
      <c r="F19" s="59" t="n">
        <f aca="false">IF(F48*F77*parametros_manuales!$M$36*parametros_manuales!$B$6=0,0,'Demanda puesto con sobrestock'!$P$131/(parametros_manuales!$M$36*F48*F77*parametros_manuales!$B$6))</f>
        <v>0.293977618426333</v>
      </c>
      <c r="G19" s="59" t="n">
        <f aca="false">IF(G48*G77*parametros_manuales!$M$36*parametros_manuales!$B$6=0,0,'Demanda puesto con sobrestock'!$P$159/(parametros_manuales!$M$36*G48*G77*parametros_manuales!$B$6))</f>
        <v>0.41279084033</v>
      </c>
      <c r="H19" s="59" t="n">
        <f aca="false">IF(H48*H77*parametros_manuales!$M$36*parametros_manuales!$B$6=0,0,'Demanda puesto con sobrestock'!$P$187/(parametros_manuales!$M$36*H48*H77*parametros_manuales!$B$6))</f>
        <v>0.284632448615</v>
      </c>
      <c r="I19" s="60" t="n">
        <f aca="false">IF(I48*I77*parametros_manuales!$M$36*parametros_manuales!$B$6=0,0,'Demanda puesto con sobrestock'!$P$215/(parametros_manuales!$M$36*I48*I77*parametros_manuales!$B$6))</f>
        <v>0.363643227081667</v>
      </c>
      <c r="J19" s="59" t="n">
        <f aca="false">IF(J48*J77*parametros_manuales!$M$36*parametros_manuales!$B$6=0,0,'Demanda puesto con sobrestock'!$P$243/(parametros_manuales!$M$36*J48*J77*parametros_manuales!$B$6))</f>
        <v>0.410329394978333</v>
      </c>
      <c r="K19" s="59" t="n">
        <f aca="false">IF(K48*K77*parametros_manuales!$M$36*parametros_manuales!$B$6=0,0,'Demanda puesto con sobrestock'!$P$271/(parametros_manuales!$M$36*K48*K77*parametros_manuales!$B$6))</f>
        <v>0.474104273955</v>
      </c>
      <c r="L19" s="13" t="s">
        <v>280</v>
      </c>
    </row>
    <row r="20" customFormat="false" ht="14.25" hidden="false" customHeight="true" outlineLevel="0" collapsed="false">
      <c r="A20" s="13" t="str">
        <f aca="false">parametros_manuales!$B$37</f>
        <v>Corrección de defectos</v>
      </c>
      <c r="B20" s="59" t="n">
        <f aca="false">IF(B49*B78*parametros_manuales!$M$37*parametros_manuales!$B$6=0,0,'Demanda puesto con sobrestock'!$P$20/(parametros_manuales!$M$37*B49*B78*parametros_manuales!$B$6))</f>
        <v>0.010283059660095</v>
      </c>
      <c r="C20" s="59" t="n">
        <f aca="false">IF(C49*C78*parametros_manuales!$M$37*parametros_manuales!$B$6=0,0,'Demanda puesto con sobrestock'!$P$48/(parametros_manuales!$M$37*C49*C78*parametros_manuales!$B$6))</f>
        <v>0.0162479664075</v>
      </c>
      <c r="D20" s="59" t="n">
        <f aca="false">IF(D49*D78*parametros_manuales!$M$37*parametros_manuales!$B$6=0,0,'Demanda puesto con sobrestock'!$P$76/(parametros_manuales!$M$37*D49*D78*parametros_manuales!$B$6))</f>
        <v>0.0343318382796</v>
      </c>
      <c r="E20" s="59" t="n">
        <f aca="false">IF(E49*E78*parametros_manuales!$M$37*parametros_manuales!$B$6=0,0,'Demanda puesto con sobrestock'!$P$104/(parametros_manuales!$M$37*E49*E78*parametros_manuales!$B$6))</f>
        <v>0.07595242429515</v>
      </c>
      <c r="F20" s="59" t="n">
        <f aca="false">IF(F49*F78*parametros_manuales!$M$37*parametros_manuales!$B$6=0,0,'Demanda puesto con sobrestock'!$P$132/(parametros_manuales!$M$37*F49*F78*parametros_manuales!$B$6))</f>
        <v>0.13228992829185</v>
      </c>
      <c r="G20" s="59" t="n">
        <f aca="false">IF(G49*G78*parametros_manuales!$M$37*parametros_manuales!$B$6=0,0,'Demanda puesto con sobrestock'!$P$160/(parametros_manuales!$M$37*G49*G78*parametros_manuales!$B$6))</f>
        <v>0.1857558781485</v>
      </c>
      <c r="H20" s="59" t="n">
        <f aca="false">IF(H49*H78*parametros_manuales!$M$37*parametros_manuales!$B$6=0,0,'Demanda puesto con sobrestock'!$P$188/(parametros_manuales!$M$37*H49*H78*parametros_manuales!$B$6))</f>
        <v>0.2561692037535</v>
      </c>
      <c r="I20" s="59" t="n">
        <f aca="false">IF(I49*I78*parametros_manuales!$M$37*parametros_manuales!$B$6=0,0,'Demanda puesto con sobrestock'!$P$216/(parametros_manuales!$M$37*I49*I78*parametros_manuales!$B$6))</f>
        <v>0.3272789043735</v>
      </c>
      <c r="J20" s="59" t="n">
        <f aca="false">IF(J49*J78*parametros_manuales!$M$37*parametros_manuales!$B$6=0,0,'Demanda puesto con sobrestock'!$P$244/(parametros_manuales!$M$37*J49*J78*parametros_manuales!$B$6))</f>
        <v>0.3692964554805</v>
      </c>
      <c r="K20" s="59" t="n">
        <f aca="false">IF(K49*K78*parametros_manuales!$M$37*parametros_manuales!$B$6=0,0,'Demanda puesto con sobrestock'!$P$272/(parametros_manuales!$M$37*K49*K78*parametros_manuales!$B$6))</f>
        <v>0.4266938465595</v>
      </c>
      <c r="L20" s="13" t="s">
        <v>280</v>
      </c>
    </row>
    <row r="21" customFormat="false" ht="14.25" hidden="false" customHeight="true" outlineLevel="0" collapsed="false">
      <c r="A21" s="13" t="str">
        <f aca="false">parametros_manuales!$B$38</f>
        <v>Pintura en polvo + horno</v>
      </c>
      <c r="B21" s="72" t="n">
        <f aca="false">IF(B50*B79*parametros_manuales!$M$38*parametros_manuales!$B$6=0,0,'Demanda puesto con sobrestock'!$P$21/(parametros_manuales!$M$38*B50*B79*parametros_manuales!$B$6))</f>
        <v>0.0301732971246919</v>
      </c>
      <c r="C21" s="72" t="n">
        <f aca="false">IF(C50*C79*parametros_manuales!$M$38*parametros_manuales!$B$6=0,0,'Demanda puesto con sobrestock'!$P$49/(parametros_manuales!$M$38*C50*C79*parametros_manuales!$B$6))</f>
        <v>0.0476759577684859</v>
      </c>
      <c r="D21" s="72" t="n">
        <f aca="false">IF(D50*D79*parametros_manuales!$M$38*parametros_manuales!$B$6=0,0,'Demanda puesto con sobrestock'!$P$77/(parametros_manuales!$M$38*D50*D79*parametros_manuales!$B$6))</f>
        <v>0.100738962088028</v>
      </c>
      <c r="E21" s="72" t="n">
        <f aca="false">IF(E50*E79*parametros_manuales!$M$38*parametros_manuales!$B$6=0,0,'Demanda puesto con sobrestock'!$P$105/(parametros_manuales!$M$38*E50*E79*parametros_manuales!$B$6))</f>
        <v>0.222865094762764</v>
      </c>
      <c r="F21" s="59" t="n">
        <f aca="false">IF(F50*F79*parametros_manuales!$M$38*parametros_manuales!$B$6=0,0,'Demanda puesto con sobrestock'!$P$133/(parametros_manuales!$M$38*F50*F79*parametros_manuales!$B$6))</f>
        <v>0.38817467221787</v>
      </c>
      <c r="G21" s="59" t="n">
        <f aca="false">IF(G50*G79*parametros_manuales!$M$38*parametros_manuales!$B$6=0,0,'Demanda puesto con sobrestock'!$P$161/(parametros_manuales!$M$38*G50*G79*parametros_manuales!$B$6))</f>
        <v>0.545058327900528</v>
      </c>
      <c r="H21" s="72" t="n">
        <f aca="false">IF(H50*H79*parametros_manuales!$M$38*parametros_manuales!$B$6=0,0,'Demanda puesto con sobrestock'!$P$189/(parametros_manuales!$M$38*H50*H79*parametros_manuales!$B$6))</f>
        <v>0.375835099403609</v>
      </c>
      <c r="I21" s="60" t="n">
        <f aca="false">IF(I50*I79*parametros_manuales!$M$38*parametros_manuales!$B$6=0,0,'Demanda puesto con sobrestock'!$P$217/(parametros_manuales!$M$38*I50*I79*parametros_manuales!$B$6))</f>
        <v>0.480162711815581</v>
      </c>
      <c r="J21" s="59" t="n">
        <f aca="false">IF(J50*J79*parametros_manuales!$M$38*parametros_manuales!$B$6=0,0,'Demanda puesto con sobrestock'!$P$245/(parametros_manuales!$M$38*J50*J79*parametros_manuales!$B$6))</f>
        <v>0.541808179988996</v>
      </c>
      <c r="K21" s="59" t="n">
        <f aca="false">IF(K50*K79*parametros_manuales!$M$38*parametros_manuales!$B$6=0,0,'Demanda puesto con sobrestock'!$P$273/(parametros_manuales!$M$38*K50*K79*parametros_manuales!$B$6))</f>
        <v>0.626017967370159</v>
      </c>
      <c r="L21" s="13" t="s">
        <v>120</v>
      </c>
    </row>
    <row r="22" customFormat="false" ht="14.25" hidden="false" customHeight="true" outlineLevel="0" collapsed="false">
      <c r="A22" s="13" t="str">
        <f aca="false">parametros_manuales!$B$39</f>
        <v>Carga de polvo</v>
      </c>
      <c r="B22" s="59" t="n">
        <f aca="false">IF(B51*B80*parametros_manuales!$M$39*parametros_manuales!$B$6=0,0,'Demanda puesto con sobrestock'!$P$22/(parametros_manuales!$M$39*B51*B80*parametros_manuales!$B$6))</f>
        <v>0.051250298300475</v>
      </c>
      <c r="C22" s="59" t="n">
        <f aca="false">IF(C51*C80*parametros_manuales!$M$39*parametros_manuales!$B$6=0,0,'Demanda puesto con sobrestock'!$P$50/(parametros_manuales!$M$39*C51*C80*parametros_manuales!$B$6))</f>
        <v>0.0807466320375</v>
      </c>
      <c r="D22" s="59" t="n">
        <f aca="false">IF(D51*D80*parametros_manuales!$M$39*parametros_manuales!$B$6=0,0,'Demanda puesto con sobrestock'!$P$78/(parametros_manuales!$M$39*D51*D80*parametros_manuales!$B$6))</f>
        <v>0.099328591398</v>
      </c>
      <c r="E22" s="59" t="n">
        <f aca="false">IF(E51*E80*parametros_manuales!$M$39*parametros_manuales!$B$6=0,0,'Demanda puesto con sobrestock'!$P$106/(parametros_manuales!$M$39*E51*E80*parametros_manuales!$B$6))</f>
        <v>0.12933742147575</v>
      </c>
      <c r="F22" s="59" t="n">
        <f aca="false">IF(F51*F80*parametros_manuales!$M$39*parametros_manuales!$B$6=0,0,'Demanda puesto con sobrestock'!$P$134/(parametros_manuales!$M$39*F51*F80*parametros_manuales!$B$6))</f>
        <v>0.19885054145925</v>
      </c>
      <c r="G22" s="59" t="n">
        <f aca="false">IF(G51*G80*parametros_manuales!$M$39*parametros_manuales!$B$6=0,0,'Demanda puesto con sobrestock'!$P$162/(parametros_manuales!$M$39*G51*G80*parametros_manuales!$B$6))</f>
        <v>0.2584683907425</v>
      </c>
      <c r="H22" s="59" t="n">
        <f aca="false">IF(H51*H80*parametros_manuales!$M$39*parametros_manuales!$B$6=0,0,'Demanda puesto con sobrestock'!$P$190/(parametros_manuales!$M$39*H51*H80*parametros_manuales!$B$6))</f>
        <v>0.3340175187675</v>
      </c>
      <c r="I22" s="59" t="n">
        <f aca="false">IF(I51*I80*parametros_manuales!$M$39*parametros_manuales!$B$6=0,0,'Demanda puesto con sobrestock'!$P$218/(parametros_manuales!$M$39*I51*I80*parametros_manuales!$B$6))</f>
        <v>0.4131019218675</v>
      </c>
      <c r="J22" s="59" t="n">
        <f aca="false">IF(J51*J80*parametros_manuales!$M$39*parametros_manuales!$B$6=0,0,'Demanda puesto con sobrestock'!$P$246/(parametros_manuales!$M$39*J51*J80*parametros_manuales!$B$6))</f>
        <v>0.4756763774025</v>
      </c>
      <c r="K22" s="59" t="n">
        <f aca="false">IF(K51*K80*parametros_manuales!$M$39*parametros_manuales!$B$6=0,0,'Demanda puesto con sobrestock'!$P$274/(parametros_manuales!$M$39*K51*K80*parametros_manuales!$B$6))</f>
        <v>0.5412675327975</v>
      </c>
      <c r="L22" s="13" t="s">
        <v>120</v>
      </c>
    </row>
    <row r="23" customFormat="false" ht="14.25" hidden="false" customHeight="true" outlineLevel="0" collapsed="false">
      <c r="A23" s="13" t="str">
        <f aca="false">parametros_manuales!$B$40</f>
        <v>Ensamblaje</v>
      </c>
      <c r="B23" s="59" t="n">
        <f aca="false">IF(B52*B81*parametros_manuales!$M$40*parametros_manuales!$B$6=0,0,'Demanda puesto con sobrestock'!$P$23/(parametros_manuales!$M$40*B52*B81*parametros_manuales!$B$6))</f>
        <v>0.115950901132296</v>
      </c>
      <c r="C23" s="59" t="n">
        <f aca="false">IF(C52*C81*parametros_manuales!$M$40*parametros_manuales!$B$6=0,0,'Demanda puesto con sobrestock'!$P$51/(parametros_manuales!$M$40*C52*C81*parametros_manuales!$B$6))</f>
        <v>0.182684687867647</v>
      </c>
      <c r="D23" s="59" t="n">
        <f aca="false">IF(D52*D81*parametros_manuales!$M$40*parametros_manuales!$B$6=0,0,'Demanda puesto con sobrestock'!$P$79/(parametros_manuales!$M$40*D52*D81*parametros_manuales!$B$6))</f>
        <v>0.224725319904977</v>
      </c>
      <c r="E23" s="59" t="n">
        <f aca="false">IF(E52*E81*parametros_manuales!$M$40*parametros_manuales!$B$6=0,0,'Demanda puesto con sobrestock'!$P$107/(parametros_manuales!$M$40*E52*E81*parametros_manuales!$B$6))</f>
        <v>0.292618600623869</v>
      </c>
      <c r="F23" s="59" t="n">
        <f aca="false">IF(F52*F81*parametros_manuales!$M$40*parametros_manuales!$B$6=0,0,'Demanda puesto con sobrestock'!$P$135/(parametros_manuales!$M$40*F52*F81*parametros_manuales!$B$6))</f>
        <v>0.449888102848982</v>
      </c>
      <c r="G23" s="59" t="n">
        <f aca="false">IF(G52*G81*parametros_manuales!$M$40*parametros_manuales!$B$6=0,0,'Demanda puesto con sobrestock'!$P$163/(parametros_manuales!$M$40*G52*G81*parametros_manuales!$B$6))</f>
        <v>0.584770114802036</v>
      </c>
      <c r="H23" s="72" t="n">
        <f aca="false">IF(H52*H81*parametros_manuales!$M$40*parametros_manuales!$B$6=0,0,'Demanda puesto con sobrestock'!$P$191/(parametros_manuales!$M$40*H52*H81*parametros_manuales!$B$6))</f>
        <v>0.377847871908937</v>
      </c>
      <c r="I23" s="60" t="n">
        <f aca="false">IF(I52*I81*parametros_manuales!$M$40*parametros_manuales!$B$6=0,0,'Demanda puesto con sobrestock'!$P$219/(parametros_manuales!$M$40*I52*I81*parametros_manuales!$B$6))</f>
        <v>0.46730986636595</v>
      </c>
      <c r="J23" s="59" t="n">
        <f aca="false">IF(J52*J81*parametros_manuales!$M$40*parametros_manuales!$B$6=0,0,'Demanda puesto con sobrestock'!$P$247/(parametros_manuales!$M$40*J52*J81*parametros_manuales!$B$6))</f>
        <v>0.53809544955034</v>
      </c>
      <c r="K23" s="59" t="n">
        <f aca="false">IF(K52*K81*parametros_manuales!$M$40*parametros_manuales!$B$6=0,0,'Demanda puesto con sobrestock'!$P$275/(parametros_manuales!$M$40*K52*K81*parametros_manuales!$B$6))</f>
        <v>0.612293589137444</v>
      </c>
      <c r="L23" s="13" t="s">
        <v>280</v>
      </c>
    </row>
    <row r="24" customFormat="false" ht="14.25" hidden="false" customHeight="true" outlineLevel="0" collapsed="false">
      <c r="A24" s="13" t="str">
        <f aca="false">parametros_manuales!$B$41</f>
        <v>Presurización</v>
      </c>
      <c r="B24" s="59" t="n">
        <f aca="false">IF(B53*B82*parametros_manuales!$M$41*parametros_manuales!$B$6=0,0,'Demanda puesto con sobrestock'!$P$24/(parametros_manuales!$M$41*B53*B82*parametros_manuales!$B$6))</f>
        <v>0.03416686553365</v>
      </c>
      <c r="C24" s="59" t="n">
        <f aca="false">IF(C53*C82*parametros_manuales!$M$41*parametros_manuales!$B$6=0,0,'Demanda puesto con sobrestock'!$P$52/(parametros_manuales!$M$41*C53*C82*parametros_manuales!$B$6))</f>
        <v>0.053831088025</v>
      </c>
      <c r="D24" s="59" t="n">
        <f aca="false">IF(D53*D82*parametros_manuales!$M$41*parametros_manuales!$B$6=0,0,'Demanda puesto con sobrestock'!$P$80/(parametros_manuales!$M$41*D53*D82*parametros_manuales!$B$6))</f>
        <v>0.066219060932</v>
      </c>
      <c r="E24" s="59" t="n">
        <f aca="false">IF(E53*E82*parametros_manuales!$M$41*parametros_manuales!$B$6=0,0,'Demanda puesto con sobrestock'!$P$108/(parametros_manuales!$M$41*E53*E82*parametros_manuales!$B$6))</f>
        <v>0.0862249476505</v>
      </c>
      <c r="F24" s="59" t="n">
        <f aca="false">IF(F53*F82*parametros_manuales!$M$41*parametros_manuales!$B$6=0,0,'Demanda puesto con sobrestock'!$P$136/(parametros_manuales!$M$41*F53*F82*parametros_manuales!$B$6))</f>
        <v>0.1325670276395</v>
      </c>
      <c r="G24" s="59" t="n">
        <f aca="false">IF(G53*G82*parametros_manuales!$M$41*parametros_manuales!$B$6=0,0,'Demanda puesto con sobrestock'!$P$164/(parametros_manuales!$M$41*G53*G82*parametros_manuales!$B$6))</f>
        <v>0.172312260495</v>
      </c>
      <c r="H24" s="59" t="n">
        <f aca="false">IF(H53*H82*parametros_manuales!$M$41*parametros_manuales!$B$6=0,0,'Demanda puesto con sobrestock'!$P$192/(parametros_manuales!$M$41*H53*H82*parametros_manuales!$B$6))</f>
        <v>0.222678345845</v>
      </c>
      <c r="I24" s="59" t="n">
        <f aca="false">IF(I53*I82*parametros_manuales!$M$41*parametros_manuales!$B$6=0,0,'Demanda puesto con sobrestock'!$P$220/(parametros_manuales!$M$41*I53*I82*parametros_manuales!$B$6))</f>
        <v>0.275401281245</v>
      </c>
      <c r="J24" s="59" t="n">
        <f aca="false">IF(J53*J82*parametros_manuales!$M$41*parametros_manuales!$B$6=0,0,'Demanda puesto con sobrestock'!$P$248/(parametros_manuales!$M$41*J53*J82*parametros_manuales!$B$6))</f>
        <v>0.317117584935</v>
      </c>
      <c r="K24" s="59" t="n">
        <f aca="false">IF(K53*K82*parametros_manuales!$M$41*parametros_manuales!$B$6=0,0,'Demanda puesto con sobrestock'!$P$276/(parametros_manuales!$M$41*K53*K82*parametros_manuales!$B$6))</f>
        <v>0.360845021865</v>
      </c>
      <c r="L24" s="13" t="s">
        <v>120</v>
      </c>
    </row>
    <row r="25" customFormat="false" ht="14.25" hidden="false" customHeight="true" outlineLevel="0" collapsed="false">
      <c r="A25" s="13" t="str">
        <f aca="false">parametros_manuales!$B$42</f>
        <v>Control de calidad — Ensayo de pérdidas</v>
      </c>
      <c r="B25" s="59" t="n">
        <f aca="false">IF(B54*B83*parametros_manuales!$M$42*parametros_manuales!$B$6=0,0,'Demanda puesto con sobrestock'!$P$25/(parametros_manuales!$M$42*B54*B83*parametros_manuales!$B$6))</f>
        <v>0.0455558207115333</v>
      </c>
      <c r="C25" s="59" t="n">
        <f aca="false">IF(C54*C83*parametros_manuales!$M$42*parametros_manuales!$B$6=0,0,'Demanda puesto con sobrestock'!$P$53/(parametros_manuales!$M$42*C54*C83*parametros_manuales!$B$6))</f>
        <v>0.0717747840333333</v>
      </c>
      <c r="D25" s="59" t="n">
        <f aca="false">IF(D54*D83*parametros_manuales!$M$42*parametros_manuales!$B$6=0,0,'Demanda puesto con sobrestock'!$P$81/(parametros_manuales!$M$42*D54*D83*parametros_manuales!$B$6))</f>
        <v>0.0882920812426667</v>
      </c>
      <c r="E25" s="59" t="n">
        <f aca="false">IF(E54*E83*parametros_manuales!$M$42*parametros_manuales!$B$6=0,0,'Demanda puesto con sobrestock'!$P$109/(parametros_manuales!$M$42*E54*E83*parametros_manuales!$B$6))</f>
        <v>0.114966596867333</v>
      </c>
      <c r="F25" s="59" t="n">
        <f aca="false">IF(F54*F83*parametros_manuales!$M$42*parametros_manuales!$B$6=0,0,'Demanda puesto con sobrestock'!$P$137/(parametros_manuales!$M$42*F54*F83*parametros_manuales!$B$6))</f>
        <v>0.176756036852667</v>
      </c>
      <c r="G25" s="59" t="n">
        <f aca="false">IF(G54*G83*parametros_manuales!$M$42*parametros_manuales!$B$6=0,0,'Demanda puesto con sobrestock'!$P$165/(parametros_manuales!$M$42*G54*G83*parametros_manuales!$B$6))</f>
        <v>0.22974968066</v>
      </c>
      <c r="H25" s="59" t="n">
        <f aca="false">IF(H54*H83*parametros_manuales!$M$42*parametros_manuales!$B$6=0,0,'Demanda puesto con sobrestock'!$P$193/(parametros_manuales!$M$42*H54*H83*parametros_manuales!$B$6))</f>
        <v>0.296904461126667</v>
      </c>
      <c r="I25" s="59" t="n">
        <f aca="false">IF(I54*I83*parametros_manuales!$M$42*parametros_manuales!$B$6=0,0,'Demanda puesto con sobrestock'!$P$221/(parametros_manuales!$M$42*I54*I83*parametros_manuales!$B$6))</f>
        <v>0.367201708326667</v>
      </c>
      <c r="J25" s="72" t="n">
        <f aca="false">IF(J54*J83*parametros_manuales!$M$42*parametros_manuales!$B$6=0,0,'Demanda puesto con sobrestock'!$P$249/(parametros_manuales!$M$42*J54*J83*parametros_manuales!$B$6))</f>
        <v>0.42282344658</v>
      </c>
      <c r="K25" s="59" t="n">
        <f aca="false">IF(K54*K83*parametros_manuales!$M$42*parametros_manuales!$B$6=0,0,'Demanda puesto con sobrestock'!$P$277/(parametros_manuales!$M$42*K54*K83*parametros_manuales!$B$6))</f>
        <v>0.48112669582</v>
      </c>
      <c r="L25" s="13" t="s">
        <v>120</v>
      </c>
    </row>
    <row r="26" customFormat="false" ht="14.25" hidden="false" customHeight="true" outlineLevel="0" collapsed="false">
      <c r="A26" s="13" t="str">
        <f aca="false">parametros_manuales!$B$43</f>
        <v>Etiquetado</v>
      </c>
      <c r="B26" s="59" t="n">
        <f aca="false">IF(B55*B84*parametros_manuales!$M$43*parametros_manuales!$B$6=0,0,'Demanda puesto con sobrestock'!$P$26/(parametros_manuales!$M$43*B55*B84*parametros_manuales!$B$6))</f>
        <v>0.0683337310673</v>
      </c>
      <c r="C26" s="59" t="n">
        <f aca="false">IF(C55*C84*parametros_manuales!$M$43*parametros_manuales!$B$6=0,0,'Demanda puesto con sobrestock'!$P$54/(parametros_manuales!$M$43*C55*C84*parametros_manuales!$B$6))</f>
        <v>0.10766217605</v>
      </c>
      <c r="D26" s="59" t="n">
        <f aca="false">IF(D55*D84*parametros_manuales!$M$43*parametros_manuales!$B$6=0,0,'Demanda puesto con sobrestock'!$P$82/(parametros_manuales!$M$43*D55*D84*parametros_manuales!$B$6))</f>
        <v>0.132438121864</v>
      </c>
      <c r="E26" s="59" t="n">
        <f aca="false">IF(E55*E84*parametros_manuales!$M$43*parametros_manuales!$B$6=0,0,'Demanda puesto con sobrestock'!$P$110/(parametros_manuales!$M$43*E55*E84*parametros_manuales!$B$6))</f>
        <v>0.172449895301</v>
      </c>
      <c r="F26" s="59" t="n">
        <f aca="false">IF(F55*F84*parametros_manuales!$M$43*parametros_manuales!$B$6=0,0,'Demanda puesto con sobrestock'!$P$138/(parametros_manuales!$M$43*F55*F84*parametros_manuales!$B$6))</f>
        <v>0.265134055279</v>
      </c>
      <c r="G26" s="59" t="n">
        <f aca="false">IF(G55*G84*parametros_manuales!$M$43*parametros_manuales!$B$6=0,0,'Demanda puesto con sobrestock'!$P$166/(parametros_manuales!$M$43*G55*G84*parametros_manuales!$B$6))</f>
        <v>0.34462452099</v>
      </c>
      <c r="H26" s="59" t="n">
        <f aca="false">IF(H55*H84*parametros_manuales!$M$43*parametros_manuales!$B$6=0,0,'Demanda puesto con sobrestock'!$P$194/(parametros_manuales!$M$43*H55*H84*parametros_manuales!$B$6))</f>
        <v>0.44535669169</v>
      </c>
      <c r="I26" s="59" t="n">
        <f aca="false">IF(I55*I84*parametros_manuales!$M$43*parametros_manuales!$B$6=0,0,'Demanda puesto con sobrestock'!$P$222/(parametros_manuales!$M$43*I55*I84*parametros_manuales!$B$6))</f>
        <v>0.55080256249</v>
      </c>
      <c r="J26" s="59" t="n">
        <f aca="false">IF(J55*J84*parametros_manuales!$M$43*parametros_manuales!$B$6=0,0,'Demanda puesto con sobrestock'!$P$250/(parametros_manuales!$M$43*J55*J84*parametros_manuales!$B$6))</f>
        <v>0.63423516987</v>
      </c>
      <c r="K26" s="59" t="n">
        <f aca="false">IF(K55*K84*parametros_manuales!$M$43*parametros_manuales!$B$6=0,0,'Demanda puesto con sobrestock'!$P$278/(parametros_manuales!$M$43*K55*K84*parametros_manuales!$B$6))</f>
        <v>0.72169004373</v>
      </c>
      <c r="L26" s="13" t="s">
        <v>120</v>
      </c>
    </row>
    <row r="27" customFormat="false" ht="14.25" hidden="false" customHeight="true" outlineLevel="0" collapsed="false">
      <c r="A27" s="13" t="str">
        <f aca="false">parametros_manuales!$B$44</f>
        <v>Embalaje y paletizado</v>
      </c>
      <c r="B27" s="59" t="n">
        <f aca="false">IF(B56*B85*parametros_manuales!$M$44*parametros_manuales!$B$6=0,0,'Demanda puesto con sobrestock'!$P$27/(parametros_manuales!$M$44*B56*B85*parametros_manuales!$B$6))</f>
        <v>0.0518764220520488</v>
      </c>
      <c r="C27" s="59" t="n">
        <f aca="false">IF(C56*C85*parametros_manuales!$M$44*parametros_manuales!$B$6=0,0,'Demanda puesto con sobrestock'!$P$55/(parametros_manuales!$M$44*C56*C85*parametros_manuales!$B$6))</f>
        <v>0.0819684403965807</v>
      </c>
      <c r="D27" s="59" t="n">
        <f aca="false">IF(D56*D85*parametros_manuales!$M$44*parametros_manuales!$B$6=0,0,'Demanda puesto con sobrestock'!$P$83/(parametros_manuales!$M$44*D56*D85*parametros_manuales!$B$6))</f>
        <v>0.173198735715471</v>
      </c>
      <c r="E27" s="59" t="n">
        <f aca="false">IF(E56*E85*parametros_manuales!$M$44*parametros_manuales!$B$6=0,0,'Demanda puesto con sobrestock'!$P$111/(parametros_manuales!$M$44*E56*E85*parametros_manuales!$B$6))</f>
        <v>0.38316805978495</v>
      </c>
      <c r="F27" s="59" t="n">
        <f aca="false">IF(F56*F85*parametros_manuales!$M$44*parametros_manuales!$B$6=0,0,'Demanda puesto con sobrestock'!$P$139/(parametros_manuales!$M$44*F56*F85*parametros_manuales!$B$6))</f>
        <v>0.667381925239154</v>
      </c>
      <c r="G27" s="72" t="n">
        <f aca="false">IF(G56*G85*parametros_manuales!$M$44*parametros_manuales!$B$6=0,0,'Demanda puesto con sobrestock'!$P$167/(parametros_manuales!$M$44*G56*G85*parametros_manuales!$B$6))</f>
        <v>0.46855462537458</v>
      </c>
      <c r="H27" s="60" t="n">
        <f aca="false">IF(H56*H85*parametros_manuales!$M$44*parametros_manuales!$B$6=0,0,'Demanda puesto con sobrestock'!$P$195/(parametros_manuales!$M$44*H56*H85*parametros_manuales!$B$6))</f>
        <v>0.323083356751892</v>
      </c>
      <c r="I27" s="60" t="n">
        <f aca="false">IF(I56*I85*parametros_manuales!$M$44*parametros_manuales!$B$6=0,0,'Demanda puesto con sobrestock'!$P$223/(parametros_manuales!$M$44*I56*I85*parametros_manuales!$B$6))</f>
        <v>0.412767676480031</v>
      </c>
      <c r="J27" s="59" t="n">
        <f aca="false">IF(J56*J85*parametros_manuales!$M$44*parametros_manuales!$B$6=0,0,'Demanda puesto con sobrestock'!$P$251/(parametros_manuales!$M$44*J56*J85*parametros_manuales!$B$6))</f>
        <v>0.465760664143007</v>
      </c>
      <c r="K27" s="59" t="n">
        <f aca="false">IF(K56*K85*parametros_manuales!$M$44*parametros_manuales!$B$6=0,0,'Demanda puesto con sobrestock'!$P$279/(parametros_manuales!$M$44*K56*K85*parametros_manuales!$B$6))</f>
        <v>0.538150871501612</v>
      </c>
      <c r="L27" s="13" t="s">
        <v>280</v>
      </c>
    </row>
    <row r="28" customFormat="false" ht="14.25" hidden="false" customHeight="true" outlineLevel="0" collapsed="false">
      <c r="A28" s="15" t="s">
        <v>287</v>
      </c>
      <c r="B28" s="74" t="n">
        <f aca="false">MAX(B2:B27)</f>
        <v>0.1371074621346</v>
      </c>
      <c r="C28" s="74" t="n">
        <f aca="false">MAX(C2:C27)</f>
        <v>0.2166395521</v>
      </c>
      <c r="D28" s="74" t="n">
        <f aca="false">MAX(D2:D27)</f>
        <v>0.457757843728</v>
      </c>
      <c r="E28" s="74" t="n">
        <f aca="false">MAX(E2:E27)</f>
        <v>0.51551419204853</v>
      </c>
      <c r="F28" s="74" t="n">
        <f aca="false">MAX(F2:F27)</f>
        <v>0.89789544089491</v>
      </c>
      <c r="G28" s="74" t="n">
        <f aca="false">MAX(G2:G27)</f>
        <v>0.82558168066</v>
      </c>
      <c r="H28" s="74" t="n">
        <f aca="false">MAX(H2:H27)</f>
        <v>0.476961683237753</v>
      </c>
      <c r="I28" s="74" t="n">
        <f aca="false">MAX(I2:I27)</f>
        <v>0.602709344884713</v>
      </c>
      <c r="J28" s="74" t="n">
        <f aca="false">MAX(J2:J27)</f>
        <v>0.687712634915963</v>
      </c>
      <c r="K28" s="74" t="n">
        <f aca="false">MAX(K2:K27)</f>
        <v>0.794917348221706</v>
      </c>
    </row>
    <row r="29" customFormat="false" ht="14.25" hidden="false" customHeight="true" outlineLevel="0" collapsed="false"/>
    <row r="30" customFormat="false" ht="14.25" hidden="false" customHeight="true" outlineLevel="0" collapsed="false">
      <c r="A30" s="71" t="s">
        <v>288</v>
      </c>
      <c r="B30" s="71" t="n">
        <v>2026</v>
      </c>
      <c r="C30" s="71" t="n">
        <v>2027</v>
      </c>
      <c r="D30" s="71" t="n">
        <v>2028</v>
      </c>
      <c r="E30" s="71" t="n">
        <v>2029</v>
      </c>
      <c r="F30" s="71" t="n">
        <v>2030</v>
      </c>
      <c r="G30" s="71" t="n">
        <v>2031</v>
      </c>
      <c r="H30" s="71" t="n">
        <v>2032</v>
      </c>
      <c r="I30" s="71" t="n">
        <v>2033</v>
      </c>
      <c r="J30" s="71" t="n">
        <v>2034</v>
      </c>
      <c r="K30" s="71" t="n">
        <v>2035</v>
      </c>
    </row>
    <row r="31" customFormat="false" ht="14.25" hidden="false" customHeight="true" outlineLevel="0" collapsed="false">
      <c r="A31" s="13" t="str">
        <f aca="false">parametros_manuales!$B$19</f>
        <v>Recepción de materia prima</v>
      </c>
      <c r="B31" s="55" t="n">
        <v>1</v>
      </c>
      <c r="C31" s="55" t="n">
        <v>1</v>
      </c>
      <c r="D31" s="55" t="n">
        <v>1</v>
      </c>
      <c r="E31" s="55" t="n">
        <v>1</v>
      </c>
      <c r="F31" s="55" t="n">
        <v>1</v>
      </c>
      <c r="G31" s="55" t="n">
        <v>2</v>
      </c>
      <c r="H31" s="55" t="n">
        <v>2</v>
      </c>
      <c r="I31" s="55" t="n">
        <v>2</v>
      </c>
      <c r="J31" s="55" t="n">
        <v>2</v>
      </c>
      <c r="K31" s="55" t="n">
        <v>2</v>
      </c>
    </row>
    <row r="32" customFormat="false" ht="14.25" hidden="false" customHeight="true" outlineLevel="0" collapsed="false">
      <c r="A32" s="13" t="str">
        <f aca="false">parametros_manuales!$B$20</f>
        <v>Corte de chapa — 1.er corte en franjas (guillotina 1, manuales + carros)</v>
      </c>
      <c r="B32" s="55" t="n">
        <v>1</v>
      </c>
      <c r="C32" s="55" t="n">
        <v>1</v>
      </c>
      <c r="D32" s="55" t="n">
        <v>1</v>
      </c>
      <c r="E32" s="55" t="n">
        <v>1</v>
      </c>
      <c r="F32" s="55" t="n">
        <v>1</v>
      </c>
      <c r="G32" s="55" t="n">
        <v>1</v>
      </c>
      <c r="H32" s="55" t="n">
        <v>1</v>
      </c>
      <c r="I32" s="55" t="n">
        <v>1</v>
      </c>
      <c r="J32" s="55" t="n">
        <v>1</v>
      </c>
      <c r="K32" s="55" t="n">
        <v>1</v>
      </c>
    </row>
    <row r="33" customFormat="false" ht="14.25" hidden="false" customHeight="true" outlineLevel="0" collapsed="false">
      <c r="A33" s="13" t="str">
        <f aca="false">parametros_manuales!$B$21</f>
        <v>Corte de chapa — 2.º corte en piezas (guillotina 2, manuales + carros)</v>
      </c>
      <c r="B33" s="55" t="n">
        <v>1</v>
      </c>
      <c r="C33" s="55" t="n">
        <v>1</v>
      </c>
      <c r="D33" s="55" t="n">
        <v>1</v>
      </c>
      <c r="E33" s="55" t="n">
        <v>1</v>
      </c>
      <c r="F33" s="55" t="n">
        <v>1</v>
      </c>
      <c r="G33" s="55" t="n">
        <v>1</v>
      </c>
      <c r="H33" s="55" t="n">
        <v>1</v>
      </c>
      <c r="I33" s="55" t="n">
        <v>1</v>
      </c>
      <c r="J33" s="55" t="n">
        <v>1</v>
      </c>
      <c r="K33" s="55" t="n">
        <v>1</v>
      </c>
    </row>
    <row r="34" customFormat="false" ht="14.25" hidden="false" customHeight="true" outlineLevel="0" collapsed="false">
      <c r="A34" s="13" t="str">
        <f aca="false">parametros_manuales!$B$22</f>
        <v>Corte de disco y embutido (cúpula y fondo)</v>
      </c>
      <c r="B34" s="55" t="n">
        <v>1</v>
      </c>
      <c r="C34" s="55" t="n">
        <v>1</v>
      </c>
      <c r="D34" s="55" t="n">
        <v>1</v>
      </c>
      <c r="E34" s="55" t="n">
        <v>1</v>
      </c>
      <c r="F34" s="55" t="n">
        <v>1</v>
      </c>
      <c r="G34" s="55" t="n">
        <v>1</v>
      </c>
      <c r="H34" s="55" t="n">
        <v>1</v>
      </c>
      <c r="I34" s="55" t="n">
        <v>1</v>
      </c>
      <c r="J34" s="55" t="n">
        <v>1</v>
      </c>
      <c r="K34" s="55" t="n">
        <v>1</v>
      </c>
    </row>
    <row r="35" customFormat="false" ht="14.25" hidden="false" customHeight="true" outlineLevel="0" collapsed="false">
      <c r="A35" s="13" t="str">
        <f aca="false">parametros_manuales!$B$23</f>
        <v>Preparación de cuello</v>
      </c>
      <c r="B35" s="55" t="n">
        <v>1</v>
      </c>
      <c r="C35" s="55" t="n">
        <v>1</v>
      </c>
      <c r="D35" s="55" t="n">
        <v>1</v>
      </c>
      <c r="E35" s="55" t="n">
        <v>1</v>
      </c>
      <c r="F35" s="55" t="n">
        <v>1</v>
      </c>
      <c r="G35" s="55" t="n">
        <v>2</v>
      </c>
      <c r="H35" s="55" t="n">
        <v>2</v>
      </c>
      <c r="I35" s="55" t="n">
        <v>2</v>
      </c>
      <c r="J35" s="55" t="n">
        <v>2</v>
      </c>
      <c r="K35" s="55" t="n">
        <v>2</v>
      </c>
    </row>
    <row r="36" customFormat="false" ht="14.25" hidden="false" customHeight="true" outlineLevel="0" collapsed="false">
      <c r="A36" s="13" t="str">
        <f aca="false">parametros_manuales!$B$24</f>
        <v>Numerado de cúpula</v>
      </c>
      <c r="B36" s="55" t="n">
        <v>1</v>
      </c>
      <c r="C36" s="55" t="n">
        <v>1</v>
      </c>
      <c r="D36" s="55" t="n">
        <v>1</v>
      </c>
      <c r="E36" s="55" t="n">
        <v>1</v>
      </c>
      <c r="F36" s="55" t="n">
        <v>1</v>
      </c>
      <c r="G36" s="55" t="n">
        <v>1</v>
      </c>
      <c r="H36" s="55" t="n">
        <v>1</v>
      </c>
      <c r="I36" s="55" t="n">
        <v>1</v>
      </c>
      <c r="J36" s="55" t="n">
        <v>1</v>
      </c>
      <c r="K36" s="55" t="n">
        <v>1</v>
      </c>
    </row>
    <row r="37" customFormat="false" ht="14.25" hidden="false" customHeight="true" outlineLevel="0" collapsed="false">
      <c r="A37" s="13" t="str">
        <f aca="false">parametros_manuales!$B$25</f>
        <v>Soldadura del cuello a la cúpula</v>
      </c>
      <c r="B37" s="55" t="n">
        <v>1</v>
      </c>
      <c r="C37" s="55" t="n">
        <v>1</v>
      </c>
      <c r="D37" s="55" t="n">
        <v>1</v>
      </c>
      <c r="E37" s="55" t="n">
        <v>1</v>
      </c>
      <c r="F37" s="55" t="n">
        <v>1</v>
      </c>
      <c r="G37" s="55" t="n">
        <v>1</v>
      </c>
      <c r="H37" s="55" t="n">
        <v>1</v>
      </c>
      <c r="I37" s="55" t="n">
        <v>1</v>
      </c>
      <c r="J37" s="55" t="n">
        <v>1</v>
      </c>
      <c r="K37" s="55" t="n">
        <v>1</v>
      </c>
    </row>
    <row r="38" customFormat="false" ht="14.25" hidden="false" customHeight="true" outlineLevel="0" collapsed="false">
      <c r="A38" s="13" t="str">
        <f aca="false">parametros_manuales!$B$26</f>
        <v>Cilindrado</v>
      </c>
      <c r="B38" s="55" t="n">
        <v>1</v>
      </c>
      <c r="C38" s="55" t="n">
        <v>1</v>
      </c>
      <c r="D38" s="55" t="n">
        <v>1</v>
      </c>
      <c r="E38" s="55" t="n">
        <v>1</v>
      </c>
      <c r="F38" s="55" t="n">
        <v>1</v>
      </c>
      <c r="G38" s="55" t="n">
        <v>1</v>
      </c>
      <c r="H38" s="55" t="n">
        <v>1</v>
      </c>
      <c r="I38" s="55" t="n">
        <v>1</v>
      </c>
      <c r="J38" s="55" t="n">
        <v>1</v>
      </c>
      <c r="K38" s="55" t="n">
        <v>1</v>
      </c>
    </row>
    <row r="39" customFormat="false" ht="14.25" hidden="false" customHeight="true" outlineLevel="0" collapsed="false">
      <c r="A39" s="13" t="str">
        <f aca="false">parametros_manuales!$B$27</f>
        <v>Soldadura longitudinal — 2,5 a 10 kg</v>
      </c>
      <c r="B39" s="55" t="n">
        <v>1</v>
      </c>
      <c r="C39" s="55" t="n">
        <v>1</v>
      </c>
      <c r="D39" s="55" t="n">
        <v>1</v>
      </c>
      <c r="E39" s="55" t="n">
        <v>1</v>
      </c>
      <c r="F39" s="55" t="n">
        <v>1</v>
      </c>
      <c r="G39" s="55" t="n">
        <v>1</v>
      </c>
      <c r="H39" s="55" t="n">
        <v>1</v>
      </c>
      <c r="I39" s="55" t="n">
        <v>1</v>
      </c>
      <c r="J39" s="55" t="n">
        <v>1</v>
      </c>
      <c r="K39" s="55" t="n">
        <v>1</v>
      </c>
    </row>
    <row r="40" customFormat="false" ht="14.25" hidden="false" customHeight="true" outlineLevel="0" collapsed="false">
      <c r="A40" s="13" t="str">
        <f aca="false">parametros_manuales!$B$28</f>
        <v>Soldadura longitudinal TIG — 1 kg</v>
      </c>
      <c r="B40" s="55" t="n">
        <v>1</v>
      </c>
      <c r="C40" s="55" t="n">
        <v>1</v>
      </c>
      <c r="D40" s="55" t="n">
        <v>1</v>
      </c>
      <c r="E40" s="55" t="n">
        <v>1</v>
      </c>
      <c r="F40" s="55" t="n">
        <v>1</v>
      </c>
      <c r="G40" s="55" t="n">
        <v>1</v>
      </c>
      <c r="H40" s="55" t="n">
        <v>1</v>
      </c>
      <c r="I40" s="55" t="n">
        <v>1</v>
      </c>
      <c r="J40" s="55" t="n">
        <v>1</v>
      </c>
      <c r="K40" s="55" t="n">
        <v>1</v>
      </c>
    </row>
    <row r="41" customFormat="false" ht="14.25" hidden="false" customHeight="true" outlineLevel="0" collapsed="false">
      <c r="A41" s="13" t="str">
        <f aca="false">parametros_manuales!$B$29</f>
        <v>Encastre de fondo</v>
      </c>
      <c r="B41" s="55" t="n">
        <v>1</v>
      </c>
      <c r="C41" s="55" t="n">
        <v>1</v>
      </c>
      <c r="D41" s="55" t="n">
        <v>1</v>
      </c>
      <c r="E41" s="55" t="n">
        <v>1</v>
      </c>
      <c r="F41" s="55" t="n">
        <v>1</v>
      </c>
      <c r="G41" s="55" t="n">
        <v>1</v>
      </c>
      <c r="H41" s="55" t="n">
        <v>1</v>
      </c>
      <c r="I41" s="55" t="n">
        <v>1</v>
      </c>
      <c r="J41" s="55" t="n">
        <v>1</v>
      </c>
      <c r="K41" s="55" t="n">
        <v>1</v>
      </c>
    </row>
    <row r="42" customFormat="false" ht="14.25" hidden="false" customHeight="true" outlineLevel="0" collapsed="false">
      <c r="A42" s="13" t="str">
        <f aca="false">parametros_manuales!$B$30</f>
        <v>Bordoneado</v>
      </c>
      <c r="B42" s="55" t="n">
        <v>1</v>
      </c>
      <c r="C42" s="55" t="n">
        <v>1</v>
      </c>
      <c r="D42" s="55" t="n">
        <v>1</v>
      </c>
      <c r="E42" s="55" t="n">
        <v>1</v>
      </c>
      <c r="F42" s="55" t="n">
        <v>1</v>
      </c>
      <c r="G42" s="55" t="n">
        <v>1</v>
      </c>
      <c r="H42" s="55" t="n">
        <v>1</v>
      </c>
      <c r="I42" s="55" t="n">
        <v>1</v>
      </c>
      <c r="J42" s="55" t="n">
        <v>1</v>
      </c>
      <c r="K42" s="55" t="n">
        <v>1</v>
      </c>
    </row>
    <row r="43" customFormat="false" ht="14.25" hidden="false" customHeight="true" outlineLevel="0" collapsed="false">
      <c r="A43" s="13" t="str">
        <f aca="false">parametros_manuales!$B$31</f>
        <v>Soldadura circunferencial de cúpula y fondo</v>
      </c>
      <c r="B43" s="55" t="n">
        <v>1</v>
      </c>
      <c r="C43" s="55" t="n">
        <v>1</v>
      </c>
      <c r="D43" s="55" t="n">
        <v>1</v>
      </c>
      <c r="E43" s="55" t="n">
        <v>1</v>
      </c>
      <c r="F43" s="55" t="n">
        <v>1</v>
      </c>
      <c r="G43" s="55" t="n">
        <v>2</v>
      </c>
      <c r="H43" s="55" t="n">
        <v>2</v>
      </c>
      <c r="I43" s="55" t="n">
        <v>2</v>
      </c>
      <c r="J43" s="55" t="n">
        <v>2</v>
      </c>
      <c r="K43" s="55" t="n">
        <v>2</v>
      </c>
    </row>
    <row r="44" customFormat="false" ht="14.25" hidden="false" customHeight="true" outlineLevel="0" collapsed="false">
      <c r="A44" s="13" t="str">
        <f aca="false">parametros_manuales!$B$32</f>
        <v>Control de calidad — Espesor</v>
      </c>
      <c r="B44" s="55" t="n">
        <v>1</v>
      </c>
      <c r="C44" s="55" t="n">
        <v>1</v>
      </c>
      <c r="D44" s="55" t="n">
        <v>1</v>
      </c>
      <c r="E44" s="55" t="n">
        <v>1</v>
      </c>
      <c r="F44" s="55" t="n">
        <v>1</v>
      </c>
      <c r="G44" s="55" t="n">
        <v>1</v>
      </c>
      <c r="H44" s="55" t="n">
        <v>1</v>
      </c>
      <c r="I44" s="55" t="n">
        <v>1</v>
      </c>
      <c r="J44" s="55" t="n">
        <v>1</v>
      </c>
      <c r="K44" s="55" t="n">
        <v>1</v>
      </c>
    </row>
    <row r="45" customFormat="false" ht="14.25" hidden="false" customHeight="true" outlineLevel="0" collapsed="false">
      <c r="A45" s="13" t="str">
        <f aca="false">parametros_manuales!$B$33</f>
        <v>Prueba hidráulica</v>
      </c>
      <c r="B45" s="55" t="n">
        <v>1</v>
      </c>
      <c r="C45" s="55" t="n">
        <v>1</v>
      </c>
      <c r="D45" s="55" t="n">
        <v>1</v>
      </c>
      <c r="E45" s="55" t="n">
        <v>1</v>
      </c>
      <c r="F45" s="55" t="n">
        <v>1</v>
      </c>
      <c r="G45" s="55" t="n">
        <v>2</v>
      </c>
      <c r="H45" s="55" t="n">
        <v>2</v>
      </c>
      <c r="I45" s="55" t="n">
        <v>2</v>
      </c>
      <c r="J45" s="55" t="n">
        <v>2</v>
      </c>
      <c r="K45" s="55" t="n">
        <v>2</v>
      </c>
    </row>
    <row r="46" customFormat="false" ht="14.25" hidden="false" customHeight="true" outlineLevel="0" collapsed="false">
      <c r="A46" s="13" t="str">
        <f aca="false">parametros_manuales!$B$34</f>
        <v>Secado</v>
      </c>
      <c r="B46" s="55" t="n">
        <v>1</v>
      </c>
      <c r="C46" s="55" t="n">
        <v>1</v>
      </c>
      <c r="D46" s="55" t="n">
        <v>1</v>
      </c>
      <c r="E46" s="55" t="n">
        <v>2</v>
      </c>
      <c r="F46" s="55" t="n">
        <v>2</v>
      </c>
      <c r="G46" s="55" t="n">
        <v>3</v>
      </c>
      <c r="H46" s="55" t="n">
        <v>4</v>
      </c>
      <c r="I46" s="55" t="n">
        <v>4</v>
      </c>
      <c r="J46" s="55" t="n">
        <v>4</v>
      </c>
      <c r="K46" s="55" t="n">
        <v>4</v>
      </c>
    </row>
    <row r="47" customFormat="false" ht="14.25" hidden="false" customHeight="true" outlineLevel="0" collapsed="false">
      <c r="A47" s="13" t="str">
        <f aca="false">parametros_manuales!$B$35</f>
        <v>Granallado</v>
      </c>
      <c r="B47" s="55" t="n">
        <v>1</v>
      </c>
      <c r="C47" s="55" t="n">
        <v>1</v>
      </c>
      <c r="D47" s="55" t="n">
        <v>1</v>
      </c>
      <c r="E47" s="55" t="n">
        <v>1</v>
      </c>
      <c r="F47" s="55" t="n">
        <v>1</v>
      </c>
      <c r="G47" s="55" t="n">
        <v>1</v>
      </c>
      <c r="H47" s="55" t="n">
        <v>1</v>
      </c>
      <c r="I47" s="55" t="n">
        <v>1</v>
      </c>
      <c r="J47" s="55" t="n">
        <v>1</v>
      </c>
      <c r="K47" s="55" t="n">
        <v>1</v>
      </c>
    </row>
    <row r="48" customFormat="false" ht="14.25" hidden="false" customHeight="true" outlineLevel="0" collapsed="false">
      <c r="A48" s="13" t="str">
        <f aca="false">parametros_manuales!$B$36</f>
        <v>Detección de defectos</v>
      </c>
      <c r="B48" s="55" t="n">
        <v>1</v>
      </c>
      <c r="C48" s="55" t="n">
        <v>1</v>
      </c>
      <c r="D48" s="55" t="n">
        <v>1</v>
      </c>
      <c r="E48" s="55" t="n">
        <v>1</v>
      </c>
      <c r="F48" s="55" t="n">
        <v>1</v>
      </c>
      <c r="G48" s="55" t="n">
        <v>1</v>
      </c>
      <c r="H48" s="55" t="n">
        <v>1</v>
      </c>
      <c r="I48" s="55" t="n">
        <v>1</v>
      </c>
      <c r="J48" s="55" t="n">
        <v>1</v>
      </c>
      <c r="K48" s="55" t="n">
        <v>1</v>
      </c>
    </row>
    <row r="49" customFormat="false" ht="14.25" hidden="false" customHeight="true" outlineLevel="0" collapsed="false">
      <c r="A49" s="13" t="str">
        <f aca="false">parametros_manuales!$B$37</f>
        <v>Corrección de defectos</v>
      </c>
      <c r="B49" s="55" t="n">
        <v>1</v>
      </c>
      <c r="C49" s="55" t="n">
        <v>1</v>
      </c>
      <c r="D49" s="55" t="n">
        <v>1</v>
      </c>
      <c r="E49" s="55" t="n">
        <v>1</v>
      </c>
      <c r="F49" s="55" t="n">
        <v>1</v>
      </c>
      <c r="G49" s="55" t="n">
        <v>1</v>
      </c>
      <c r="H49" s="55" t="n">
        <v>1</v>
      </c>
      <c r="I49" s="55" t="n">
        <v>1</v>
      </c>
      <c r="J49" s="55" t="n">
        <v>1</v>
      </c>
      <c r="K49" s="55" t="n">
        <v>1</v>
      </c>
    </row>
    <row r="50" customFormat="false" ht="14.25" hidden="false" customHeight="true" outlineLevel="0" collapsed="false">
      <c r="A50" s="13" t="str">
        <f aca="false">parametros_manuales!$B$38</f>
        <v>Pintura en polvo + horno</v>
      </c>
      <c r="B50" s="55" t="n">
        <v>1</v>
      </c>
      <c r="C50" s="55" t="n">
        <v>1</v>
      </c>
      <c r="D50" s="55" t="n">
        <v>1</v>
      </c>
      <c r="E50" s="55" t="n">
        <v>1</v>
      </c>
      <c r="F50" s="55" t="n">
        <v>1</v>
      </c>
      <c r="G50" s="55" t="n">
        <v>1</v>
      </c>
      <c r="H50" s="55" t="n">
        <v>1</v>
      </c>
      <c r="I50" s="55" t="n">
        <v>1</v>
      </c>
      <c r="J50" s="55" t="n">
        <v>1</v>
      </c>
      <c r="K50" s="55" t="n">
        <v>1</v>
      </c>
    </row>
    <row r="51" customFormat="false" ht="14.25" hidden="false" customHeight="true" outlineLevel="0" collapsed="false">
      <c r="A51" s="13" t="str">
        <f aca="false">parametros_manuales!$B$39</f>
        <v>Carga de polvo</v>
      </c>
      <c r="B51" s="55" t="n">
        <v>1</v>
      </c>
      <c r="C51" s="55" t="n">
        <v>1</v>
      </c>
      <c r="D51" s="55" t="n">
        <v>1</v>
      </c>
      <c r="E51" s="55" t="n">
        <v>1</v>
      </c>
      <c r="F51" s="55" t="n">
        <v>1</v>
      </c>
      <c r="G51" s="55" t="n">
        <v>1</v>
      </c>
      <c r="H51" s="55" t="n">
        <v>1</v>
      </c>
      <c r="I51" s="55" t="n">
        <v>1</v>
      </c>
      <c r="J51" s="55" t="n">
        <v>1</v>
      </c>
      <c r="K51" s="55" t="n">
        <v>1</v>
      </c>
    </row>
    <row r="52" customFormat="false" ht="14.25" hidden="false" customHeight="true" outlineLevel="0" collapsed="false">
      <c r="A52" s="13" t="str">
        <f aca="false">parametros_manuales!$B$40</f>
        <v>Ensamblaje</v>
      </c>
      <c r="B52" s="55" t="n">
        <v>1</v>
      </c>
      <c r="C52" s="55" t="n">
        <v>1</v>
      </c>
      <c r="D52" s="55" t="n">
        <v>1</v>
      </c>
      <c r="E52" s="55" t="n">
        <v>1</v>
      </c>
      <c r="F52" s="55" t="n">
        <v>1</v>
      </c>
      <c r="G52" s="55" t="n">
        <v>1</v>
      </c>
      <c r="H52" s="55" t="n">
        <v>1</v>
      </c>
      <c r="I52" s="55" t="n">
        <v>1</v>
      </c>
      <c r="J52" s="55" t="n">
        <v>1</v>
      </c>
      <c r="K52" s="55" t="n">
        <v>1</v>
      </c>
    </row>
    <row r="53" customFormat="false" ht="14.25" hidden="false" customHeight="true" outlineLevel="0" collapsed="false">
      <c r="A53" s="13" t="str">
        <f aca="false">parametros_manuales!$B$41</f>
        <v>Presurización</v>
      </c>
      <c r="B53" s="55" t="n">
        <v>1</v>
      </c>
      <c r="C53" s="55" t="n">
        <v>1</v>
      </c>
      <c r="D53" s="55" t="n">
        <v>1</v>
      </c>
      <c r="E53" s="55" t="n">
        <v>1</v>
      </c>
      <c r="F53" s="55" t="n">
        <v>1</v>
      </c>
      <c r="G53" s="55" t="n">
        <v>1</v>
      </c>
      <c r="H53" s="55" t="n">
        <v>1</v>
      </c>
      <c r="I53" s="55" t="n">
        <v>1</v>
      </c>
      <c r="J53" s="55" t="n">
        <v>1</v>
      </c>
      <c r="K53" s="55" t="n">
        <v>1</v>
      </c>
    </row>
    <row r="54" customFormat="false" ht="14.25" hidden="false" customHeight="true" outlineLevel="0" collapsed="false">
      <c r="A54" s="13" t="str">
        <f aca="false">parametros_manuales!$B$42</f>
        <v>Control de calidad — Ensayo de pérdidas</v>
      </c>
      <c r="B54" s="55" t="n">
        <v>1</v>
      </c>
      <c r="C54" s="55" t="n">
        <v>1</v>
      </c>
      <c r="D54" s="55" t="n">
        <v>1</v>
      </c>
      <c r="E54" s="55" t="n">
        <v>1</v>
      </c>
      <c r="F54" s="55" t="n">
        <v>1</v>
      </c>
      <c r="G54" s="55" t="n">
        <v>1</v>
      </c>
      <c r="H54" s="55" t="n">
        <v>1</v>
      </c>
      <c r="I54" s="55" t="n">
        <v>1</v>
      </c>
      <c r="J54" s="55" t="n">
        <v>1</v>
      </c>
      <c r="K54" s="55" t="n">
        <v>1</v>
      </c>
    </row>
    <row r="55" customFormat="false" ht="14.25" hidden="false" customHeight="true" outlineLevel="0" collapsed="false">
      <c r="A55" s="13" t="str">
        <f aca="false">parametros_manuales!$B$43</f>
        <v>Etiquetado</v>
      </c>
      <c r="B55" s="55" t="n">
        <v>1</v>
      </c>
      <c r="C55" s="55" t="n">
        <v>1</v>
      </c>
      <c r="D55" s="55" t="n">
        <v>1</v>
      </c>
      <c r="E55" s="55" t="n">
        <v>1</v>
      </c>
      <c r="F55" s="55" t="n">
        <v>1</v>
      </c>
      <c r="G55" s="55" t="n">
        <v>1</v>
      </c>
      <c r="H55" s="55" t="n">
        <v>1</v>
      </c>
      <c r="I55" s="55" t="n">
        <v>1</v>
      </c>
      <c r="J55" s="55" t="n">
        <v>1</v>
      </c>
      <c r="K55" s="55" t="n">
        <v>1</v>
      </c>
    </row>
    <row r="56" customFormat="false" ht="14.25" hidden="false" customHeight="true" outlineLevel="0" collapsed="false">
      <c r="A56" s="13" t="str">
        <f aca="false">parametros_manuales!$B$44</f>
        <v>Embalaje y paletizado</v>
      </c>
      <c r="B56" s="55" t="n">
        <v>1</v>
      </c>
      <c r="C56" s="55" t="n">
        <v>1</v>
      </c>
      <c r="D56" s="55" t="n">
        <v>1</v>
      </c>
      <c r="E56" s="55" t="n">
        <v>1</v>
      </c>
      <c r="F56" s="55" t="n">
        <v>1</v>
      </c>
      <c r="G56" s="55" t="n">
        <v>2</v>
      </c>
      <c r="H56" s="55" t="n">
        <v>2</v>
      </c>
      <c r="I56" s="55" t="n">
        <v>2</v>
      </c>
      <c r="J56" s="55" t="n">
        <v>2</v>
      </c>
      <c r="K56" s="55" t="n">
        <v>2</v>
      </c>
    </row>
    <row r="57" customFormat="false" ht="14.25" hidden="false" customHeight="true" outlineLevel="0" collapsed="false">
      <c r="A57" s="15" t="s">
        <v>289</v>
      </c>
      <c r="B57" s="69" t="n">
        <f aca="false">SUM(B31:B56)</f>
        <v>26</v>
      </c>
      <c r="C57" s="69" t="n">
        <f aca="false">SUM(C31:C56)</f>
        <v>26</v>
      </c>
      <c r="D57" s="69" t="n">
        <f aca="false">SUM(D31:D56)</f>
        <v>26</v>
      </c>
      <c r="E57" s="69" t="n">
        <f aca="false">SUM(E31:E56)</f>
        <v>27</v>
      </c>
      <c r="F57" s="69" t="n">
        <f aca="false">SUM(F31:F56)</f>
        <v>27</v>
      </c>
      <c r="G57" s="69" t="n">
        <f aca="false">SUM(G31:G56)</f>
        <v>33</v>
      </c>
      <c r="H57" s="69" t="n">
        <f aca="false">SUM(H31:H56)</f>
        <v>34</v>
      </c>
      <c r="I57" s="69" t="n">
        <f aca="false">SUM(I31:I56)</f>
        <v>34</v>
      </c>
      <c r="J57" s="69" t="n">
        <f aca="false">SUM(J31:J56)</f>
        <v>34</v>
      </c>
      <c r="K57" s="69" t="n">
        <f aca="false">SUM(K31:K56)</f>
        <v>34</v>
      </c>
    </row>
    <row r="58" customFormat="false" ht="14.25" hidden="false" customHeight="true" outlineLevel="0" collapsed="false"/>
    <row r="59" customFormat="false" ht="14.25" hidden="false" customHeight="true" outlineLevel="0" collapsed="false">
      <c r="A59" s="71" t="s">
        <v>290</v>
      </c>
      <c r="B59" s="71" t="n">
        <v>2026</v>
      </c>
      <c r="C59" s="71" t="n">
        <v>2027</v>
      </c>
      <c r="D59" s="71" t="n">
        <v>2028</v>
      </c>
      <c r="E59" s="71" t="n">
        <v>2029</v>
      </c>
      <c r="F59" s="71" t="n">
        <v>2030</v>
      </c>
      <c r="G59" s="71" t="n">
        <v>2031</v>
      </c>
      <c r="H59" s="71" t="n">
        <v>2032</v>
      </c>
      <c r="I59" s="71" t="n">
        <v>2033</v>
      </c>
      <c r="J59" s="71" t="n">
        <v>2034</v>
      </c>
      <c r="K59" s="71" t="n">
        <v>2035</v>
      </c>
    </row>
    <row r="60" customFormat="false" ht="14.25" hidden="false" customHeight="true" outlineLevel="0" collapsed="false">
      <c r="A60" s="13" t="str">
        <f aca="false">parametros_manuales!$B$19</f>
        <v>Recepción de materia prima</v>
      </c>
      <c r="B60" s="55" t="n">
        <v>1</v>
      </c>
      <c r="C60" s="55" t="n">
        <v>1</v>
      </c>
      <c r="D60" s="55" t="n">
        <v>1</v>
      </c>
      <c r="E60" s="55" t="n">
        <v>1</v>
      </c>
      <c r="F60" s="55" t="n">
        <v>1</v>
      </c>
      <c r="G60" s="55" t="n">
        <v>1</v>
      </c>
      <c r="H60" s="55" t="n">
        <v>2</v>
      </c>
      <c r="I60" s="55" t="n">
        <v>2</v>
      </c>
      <c r="J60" s="55" t="n">
        <v>2</v>
      </c>
      <c r="K60" s="55" t="n">
        <v>2</v>
      </c>
    </row>
    <row r="61" customFormat="false" ht="14.25" hidden="false" customHeight="true" outlineLevel="0" collapsed="false">
      <c r="A61" s="13" t="str">
        <f aca="false">parametros_manuales!$B$20</f>
        <v>Corte de chapa — 1.er corte en franjas (guillotina 1, manuales + carros)</v>
      </c>
      <c r="B61" s="55" t="n">
        <v>1</v>
      </c>
      <c r="C61" s="55" t="n">
        <v>1</v>
      </c>
      <c r="D61" s="55" t="n">
        <v>1</v>
      </c>
      <c r="E61" s="55" t="n">
        <v>1</v>
      </c>
      <c r="F61" s="55" t="n">
        <v>1</v>
      </c>
      <c r="G61" s="55" t="n">
        <v>1</v>
      </c>
      <c r="H61" s="55" t="n">
        <v>1</v>
      </c>
      <c r="I61" s="55" t="n">
        <v>1</v>
      </c>
      <c r="J61" s="55" t="n">
        <v>1</v>
      </c>
      <c r="K61" s="55" t="n">
        <v>1</v>
      </c>
    </row>
    <row r="62" customFormat="false" ht="14.25" hidden="false" customHeight="true" outlineLevel="0" collapsed="false">
      <c r="A62" s="13" t="str">
        <f aca="false">parametros_manuales!$B$21</f>
        <v>Corte de chapa — 2.º corte en piezas (guillotina 2, manuales + carros)</v>
      </c>
      <c r="B62" s="55" t="n">
        <v>1</v>
      </c>
      <c r="C62" s="55" t="n">
        <v>1</v>
      </c>
      <c r="D62" s="55" t="n">
        <v>1</v>
      </c>
      <c r="E62" s="55" t="n">
        <v>1</v>
      </c>
      <c r="F62" s="55" t="n">
        <v>1</v>
      </c>
      <c r="G62" s="55" t="n">
        <v>1</v>
      </c>
      <c r="H62" s="55" t="n">
        <v>1</v>
      </c>
      <c r="I62" s="55" t="n">
        <v>1</v>
      </c>
      <c r="J62" s="55" t="n">
        <v>1</v>
      </c>
      <c r="K62" s="55" t="n">
        <v>1</v>
      </c>
    </row>
    <row r="63" customFormat="false" ht="14.25" hidden="false" customHeight="true" outlineLevel="0" collapsed="false">
      <c r="A63" s="13" t="str">
        <f aca="false">parametros_manuales!$B$22</f>
        <v>Corte de disco y embutido (cúpula y fondo)</v>
      </c>
      <c r="B63" s="55" t="n">
        <v>1</v>
      </c>
      <c r="C63" s="55" t="n">
        <v>1</v>
      </c>
      <c r="D63" s="55" t="n">
        <v>1</v>
      </c>
      <c r="E63" s="55" t="n">
        <v>1</v>
      </c>
      <c r="F63" s="55" t="n">
        <v>1</v>
      </c>
      <c r="G63" s="55" t="n">
        <v>1</v>
      </c>
      <c r="H63" s="55" t="n">
        <v>2</v>
      </c>
      <c r="I63" s="55" t="n">
        <v>2</v>
      </c>
      <c r="J63" s="55" t="n">
        <v>2</v>
      </c>
      <c r="K63" s="55" t="n">
        <v>2</v>
      </c>
    </row>
    <row r="64" customFormat="false" ht="14.25" hidden="false" customHeight="true" outlineLevel="0" collapsed="false">
      <c r="A64" s="13" t="str">
        <f aca="false">parametros_manuales!$B$23</f>
        <v>Preparación de cuello</v>
      </c>
      <c r="B64" s="55" t="n">
        <v>1</v>
      </c>
      <c r="C64" s="55" t="n">
        <v>1</v>
      </c>
      <c r="D64" s="55" t="n">
        <v>1</v>
      </c>
      <c r="E64" s="55" t="n">
        <v>1</v>
      </c>
      <c r="F64" s="55" t="n">
        <v>1</v>
      </c>
      <c r="G64" s="55" t="n">
        <v>1</v>
      </c>
      <c r="H64" s="55" t="n">
        <v>2</v>
      </c>
      <c r="I64" s="55" t="n">
        <v>2</v>
      </c>
      <c r="J64" s="55" t="n">
        <v>2</v>
      </c>
      <c r="K64" s="55" t="n">
        <v>2</v>
      </c>
    </row>
    <row r="65" customFormat="false" ht="14.25" hidden="false" customHeight="true" outlineLevel="0" collapsed="false">
      <c r="A65" s="13" t="str">
        <f aca="false">parametros_manuales!$B$24</f>
        <v>Numerado de cúpula</v>
      </c>
      <c r="B65" s="55" t="n">
        <v>1</v>
      </c>
      <c r="C65" s="55" t="n">
        <v>1</v>
      </c>
      <c r="D65" s="55" t="n">
        <v>1</v>
      </c>
      <c r="E65" s="55" t="n">
        <v>1</v>
      </c>
      <c r="F65" s="55" t="n">
        <v>1</v>
      </c>
      <c r="G65" s="55" t="n">
        <v>1</v>
      </c>
      <c r="H65" s="55" t="n">
        <v>2</v>
      </c>
      <c r="I65" s="55" t="n">
        <v>2</v>
      </c>
      <c r="J65" s="55" t="n">
        <v>2</v>
      </c>
      <c r="K65" s="55" t="n">
        <v>2</v>
      </c>
    </row>
    <row r="66" customFormat="false" ht="14.25" hidden="false" customHeight="true" outlineLevel="0" collapsed="false">
      <c r="A66" s="13" t="str">
        <f aca="false">parametros_manuales!$B$25</f>
        <v>Soldadura del cuello a la cúpula</v>
      </c>
      <c r="B66" s="55" t="n">
        <v>1</v>
      </c>
      <c r="C66" s="55" t="n">
        <v>1</v>
      </c>
      <c r="D66" s="55" t="n">
        <v>1</v>
      </c>
      <c r="E66" s="55" t="n">
        <v>1</v>
      </c>
      <c r="F66" s="55" t="n">
        <v>1</v>
      </c>
      <c r="G66" s="55" t="n">
        <v>1</v>
      </c>
      <c r="H66" s="55" t="n">
        <v>2</v>
      </c>
      <c r="I66" s="55" t="n">
        <v>2</v>
      </c>
      <c r="J66" s="55" t="n">
        <v>2</v>
      </c>
      <c r="K66" s="55" t="n">
        <v>2</v>
      </c>
    </row>
    <row r="67" customFormat="false" ht="14.25" hidden="false" customHeight="true" outlineLevel="0" collapsed="false">
      <c r="A67" s="13" t="str">
        <f aca="false">parametros_manuales!$B$26</f>
        <v>Cilindrado</v>
      </c>
      <c r="B67" s="55" t="n">
        <v>1</v>
      </c>
      <c r="C67" s="55" t="n">
        <v>1</v>
      </c>
      <c r="D67" s="55" t="n">
        <v>1</v>
      </c>
      <c r="E67" s="55" t="n">
        <v>1</v>
      </c>
      <c r="F67" s="55" t="n">
        <v>1</v>
      </c>
      <c r="G67" s="55" t="n">
        <v>1</v>
      </c>
      <c r="H67" s="55" t="n">
        <v>1</v>
      </c>
      <c r="I67" s="55" t="n">
        <v>1</v>
      </c>
      <c r="J67" s="55" t="n">
        <v>1</v>
      </c>
      <c r="K67" s="55" t="n">
        <v>1</v>
      </c>
    </row>
    <row r="68" customFormat="false" ht="14.25" hidden="false" customHeight="true" outlineLevel="0" collapsed="false">
      <c r="A68" s="13" t="str">
        <f aca="false">parametros_manuales!$B$27</f>
        <v>Soldadura longitudinal — 2,5 a 10 kg</v>
      </c>
      <c r="B68" s="55" t="n">
        <v>1</v>
      </c>
      <c r="C68" s="55" t="n">
        <v>1</v>
      </c>
      <c r="D68" s="55" t="n">
        <v>1</v>
      </c>
      <c r="E68" s="55" t="n">
        <v>1</v>
      </c>
      <c r="F68" s="55" t="n">
        <v>1</v>
      </c>
      <c r="G68" s="55" t="n">
        <v>1</v>
      </c>
      <c r="H68" s="55" t="n">
        <v>2</v>
      </c>
      <c r="I68" s="55" t="n">
        <v>2</v>
      </c>
      <c r="J68" s="55" t="n">
        <v>2</v>
      </c>
      <c r="K68" s="55" t="n">
        <v>2</v>
      </c>
    </row>
    <row r="69" customFormat="false" ht="14.25" hidden="false" customHeight="true" outlineLevel="0" collapsed="false">
      <c r="A69" s="13" t="str">
        <f aca="false">parametros_manuales!$B$28</f>
        <v>Soldadura longitudinal TIG — 1 kg</v>
      </c>
      <c r="B69" s="55" t="n">
        <v>1</v>
      </c>
      <c r="C69" s="55" t="n">
        <v>1</v>
      </c>
      <c r="D69" s="55" t="n">
        <v>1</v>
      </c>
      <c r="E69" s="55" t="n">
        <v>1</v>
      </c>
      <c r="F69" s="55" t="n">
        <v>1</v>
      </c>
      <c r="G69" s="55" t="n">
        <v>1</v>
      </c>
      <c r="H69" s="55" t="n">
        <v>2</v>
      </c>
      <c r="I69" s="55" t="n">
        <v>2</v>
      </c>
      <c r="J69" s="55" t="n">
        <v>2</v>
      </c>
      <c r="K69" s="55" t="n">
        <v>2</v>
      </c>
    </row>
    <row r="70" customFormat="false" ht="14.25" hidden="false" customHeight="true" outlineLevel="0" collapsed="false">
      <c r="A70" s="13" t="str">
        <f aca="false">parametros_manuales!$B$29</f>
        <v>Encastre de fondo</v>
      </c>
      <c r="B70" s="55" t="n">
        <v>1</v>
      </c>
      <c r="C70" s="55" t="n">
        <v>1</v>
      </c>
      <c r="D70" s="55" t="n">
        <v>1</v>
      </c>
      <c r="E70" s="55" t="n">
        <v>1</v>
      </c>
      <c r="F70" s="55" t="n">
        <v>1</v>
      </c>
      <c r="G70" s="55" t="n">
        <v>1</v>
      </c>
      <c r="H70" s="55" t="n">
        <v>2</v>
      </c>
      <c r="I70" s="55" t="n">
        <v>2</v>
      </c>
      <c r="J70" s="55" t="n">
        <v>2</v>
      </c>
      <c r="K70" s="55" t="n">
        <v>2</v>
      </c>
    </row>
    <row r="71" customFormat="false" ht="14.25" hidden="false" customHeight="true" outlineLevel="0" collapsed="false">
      <c r="A71" s="13" t="str">
        <f aca="false">parametros_manuales!$B$30</f>
        <v>Bordoneado</v>
      </c>
      <c r="B71" s="55" t="n">
        <v>1</v>
      </c>
      <c r="C71" s="55" t="n">
        <v>1</v>
      </c>
      <c r="D71" s="55" t="n">
        <v>1</v>
      </c>
      <c r="E71" s="55" t="n">
        <v>1</v>
      </c>
      <c r="F71" s="55" t="n">
        <v>1</v>
      </c>
      <c r="G71" s="55" t="n">
        <v>1</v>
      </c>
      <c r="H71" s="55" t="n">
        <v>2</v>
      </c>
      <c r="I71" s="55" t="n">
        <v>2</v>
      </c>
      <c r="J71" s="55" t="n">
        <v>2</v>
      </c>
      <c r="K71" s="55" t="n">
        <v>2</v>
      </c>
    </row>
    <row r="72" customFormat="false" ht="14.25" hidden="false" customHeight="true" outlineLevel="0" collapsed="false">
      <c r="A72" s="13" t="str">
        <f aca="false">parametros_manuales!$B$31</f>
        <v>Soldadura circunferencial de cúpula y fondo</v>
      </c>
      <c r="B72" s="55" t="n">
        <v>1</v>
      </c>
      <c r="C72" s="55" t="n">
        <v>1</v>
      </c>
      <c r="D72" s="55" t="n">
        <v>1</v>
      </c>
      <c r="E72" s="55" t="n">
        <v>1</v>
      </c>
      <c r="F72" s="55" t="n">
        <v>1</v>
      </c>
      <c r="G72" s="55" t="n">
        <v>1</v>
      </c>
      <c r="H72" s="55" t="n">
        <v>2</v>
      </c>
      <c r="I72" s="55" t="n">
        <v>2</v>
      </c>
      <c r="J72" s="55" t="n">
        <v>2</v>
      </c>
      <c r="K72" s="55" t="n">
        <v>2</v>
      </c>
    </row>
    <row r="73" customFormat="false" ht="14.25" hidden="false" customHeight="true" outlineLevel="0" collapsed="false">
      <c r="A73" s="13" t="str">
        <f aca="false">parametros_manuales!$B$32</f>
        <v>Control de calidad — Espesor</v>
      </c>
      <c r="B73" s="55" t="n">
        <v>1</v>
      </c>
      <c r="C73" s="55" t="n">
        <v>1</v>
      </c>
      <c r="D73" s="55" t="n">
        <v>1</v>
      </c>
      <c r="E73" s="55" t="n">
        <v>1</v>
      </c>
      <c r="F73" s="55" t="n">
        <v>1</v>
      </c>
      <c r="G73" s="55" t="n">
        <v>1</v>
      </c>
      <c r="H73" s="55" t="n">
        <v>1</v>
      </c>
      <c r="I73" s="55" t="n">
        <v>1</v>
      </c>
      <c r="J73" s="55" t="n">
        <v>1</v>
      </c>
      <c r="K73" s="55" t="n">
        <v>1</v>
      </c>
    </row>
    <row r="74" customFormat="false" ht="14.25" hidden="false" customHeight="true" outlineLevel="0" collapsed="false">
      <c r="A74" s="13" t="str">
        <f aca="false">parametros_manuales!$B$33</f>
        <v>Prueba hidráulica</v>
      </c>
      <c r="B74" s="55" t="n">
        <v>1</v>
      </c>
      <c r="C74" s="55" t="n">
        <v>1</v>
      </c>
      <c r="D74" s="55" t="n">
        <v>1</v>
      </c>
      <c r="E74" s="55" t="n">
        <v>1</v>
      </c>
      <c r="F74" s="55" t="n">
        <v>1</v>
      </c>
      <c r="G74" s="55" t="n">
        <v>1</v>
      </c>
      <c r="H74" s="55" t="n">
        <v>2</v>
      </c>
      <c r="I74" s="55" t="n">
        <v>2</v>
      </c>
      <c r="J74" s="55" t="n">
        <v>2</v>
      </c>
      <c r="K74" s="55" t="n">
        <v>2</v>
      </c>
    </row>
    <row r="75" customFormat="false" ht="14.25" hidden="false" customHeight="true" outlineLevel="0" collapsed="false">
      <c r="A75" s="13" t="str">
        <f aca="false">parametros_manuales!$B$34</f>
        <v>Secado</v>
      </c>
      <c r="B75" s="55" t="n">
        <v>1</v>
      </c>
      <c r="C75" s="55" t="n">
        <v>1</v>
      </c>
      <c r="D75" s="55" t="n">
        <v>1</v>
      </c>
      <c r="E75" s="55" t="n">
        <v>1</v>
      </c>
      <c r="F75" s="55" t="n">
        <v>1</v>
      </c>
      <c r="G75" s="55" t="n">
        <v>1</v>
      </c>
      <c r="H75" s="55" t="n">
        <v>2</v>
      </c>
      <c r="I75" s="55" t="n">
        <v>2</v>
      </c>
      <c r="J75" s="55" t="n">
        <v>2</v>
      </c>
      <c r="K75" s="55" t="n">
        <v>2</v>
      </c>
    </row>
    <row r="76" customFormat="false" ht="14.25" hidden="false" customHeight="true" outlineLevel="0" collapsed="false">
      <c r="A76" s="13" t="str">
        <f aca="false">parametros_manuales!$B$35</f>
        <v>Granallado</v>
      </c>
      <c r="B76" s="55" t="n">
        <v>1</v>
      </c>
      <c r="C76" s="55" t="n">
        <v>1</v>
      </c>
      <c r="D76" s="55" t="n">
        <v>1</v>
      </c>
      <c r="E76" s="55" t="n">
        <v>1</v>
      </c>
      <c r="F76" s="55" t="n">
        <v>1</v>
      </c>
      <c r="G76" s="55" t="n">
        <v>1</v>
      </c>
      <c r="H76" s="55" t="n">
        <v>2</v>
      </c>
      <c r="I76" s="55" t="n">
        <v>2</v>
      </c>
      <c r="J76" s="55" t="n">
        <v>2</v>
      </c>
      <c r="K76" s="55" t="n">
        <v>2</v>
      </c>
    </row>
    <row r="77" customFormat="false" ht="14.25" hidden="false" customHeight="true" outlineLevel="0" collapsed="false">
      <c r="A77" s="13" t="str">
        <f aca="false">parametros_manuales!$B$36</f>
        <v>Detección de defectos</v>
      </c>
      <c r="B77" s="55" t="n">
        <v>1</v>
      </c>
      <c r="C77" s="55" t="n">
        <v>1</v>
      </c>
      <c r="D77" s="55" t="n">
        <v>1</v>
      </c>
      <c r="E77" s="55" t="n">
        <v>1</v>
      </c>
      <c r="F77" s="55" t="n">
        <v>1</v>
      </c>
      <c r="G77" s="55" t="n">
        <v>1</v>
      </c>
      <c r="H77" s="55" t="n">
        <v>2</v>
      </c>
      <c r="I77" s="55" t="n">
        <v>2</v>
      </c>
      <c r="J77" s="55" t="n">
        <v>2</v>
      </c>
      <c r="K77" s="55" t="n">
        <v>2</v>
      </c>
    </row>
    <row r="78" customFormat="false" ht="14.25" hidden="false" customHeight="true" outlineLevel="0" collapsed="false">
      <c r="A78" s="13" t="str">
        <f aca="false">parametros_manuales!$B$37</f>
        <v>Corrección de defectos</v>
      </c>
      <c r="B78" s="55" t="n">
        <v>1</v>
      </c>
      <c r="C78" s="55" t="n">
        <v>1</v>
      </c>
      <c r="D78" s="55" t="n">
        <v>1</v>
      </c>
      <c r="E78" s="55" t="n">
        <v>1</v>
      </c>
      <c r="F78" s="55" t="n">
        <v>1</v>
      </c>
      <c r="G78" s="55" t="n">
        <v>1</v>
      </c>
      <c r="H78" s="55" t="n">
        <v>1</v>
      </c>
      <c r="I78" s="55" t="n">
        <v>1</v>
      </c>
      <c r="J78" s="55" t="n">
        <v>1</v>
      </c>
      <c r="K78" s="55" t="n">
        <v>1</v>
      </c>
    </row>
    <row r="79" customFormat="false" ht="14.25" hidden="false" customHeight="true" outlineLevel="0" collapsed="false">
      <c r="A79" s="13" t="str">
        <f aca="false">parametros_manuales!$B$38</f>
        <v>Pintura en polvo + horno</v>
      </c>
      <c r="B79" s="55" t="n">
        <v>1</v>
      </c>
      <c r="C79" s="55" t="n">
        <v>1</v>
      </c>
      <c r="D79" s="55" t="n">
        <v>1</v>
      </c>
      <c r="E79" s="55" t="n">
        <v>1</v>
      </c>
      <c r="F79" s="55" t="n">
        <v>1</v>
      </c>
      <c r="G79" s="55" t="n">
        <v>1</v>
      </c>
      <c r="H79" s="55" t="n">
        <v>2</v>
      </c>
      <c r="I79" s="55" t="n">
        <v>2</v>
      </c>
      <c r="J79" s="55" t="n">
        <v>2</v>
      </c>
      <c r="K79" s="55" t="n">
        <v>2</v>
      </c>
    </row>
    <row r="80" customFormat="false" ht="14.25" hidden="false" customHeight="true" outlineLevel="0" collapsed="false">
      <c r="A80" s="13" t="str">
        <f aca="false">parametros_manuales!$B$39</f>
        <v>Carga de polvo</v>
      </c>
      <c r="B80" s="55" t="n">
        <v>1</v>
      </c>
      <c r="C80" s="55" t="n">
        <v>1</v>
      </c>
      <c r="D80" s="55" t="n">
        <v>1</v>
      </c>
      <c r="E80" s="55" t="n">
        <v>1</v>
      </c>
      <c r="F80" s="55" t="n">
        <v>1</v>
      </c>
      <c r="G80" s="55" t="n">
        <v>1</v>
      </c>
      <c r="H80" s="55" t="n">
        <v>1</v>
      </c>
      <c r="I80" s="55" t="n">
        <v>1</v>
      </c>
      <c r="J80" s="55" t="n">
        <v>1</v>
      </c>
      <c r="K80" s="55" t="n">
        <v>1</v>
      </c>
    </row>
    <row r="81" customFormat="false" ht="14.25" hidden="false" customHeight="true" outlineLevel="0" collapsed="false">
      <c r="A81" s="13" t="str">
        <f aca="false">parametros_manuales!$B$40</f>
        <v>Ensamblaje</v>
      </c>
      <c r="B81" s="55" t="n">
        <v>1</v>
      </c>
      <c r="C81" s="55" t="n">
        <v>1</v>
      </c>
      <c r="D81" s="55" t="n">
        <v>1</v>
      </c>
      <c r="E81" s="55" t="n">
        <v>1</v>
      </c>
      <c r="F81" s="55" t="n">
        <v>1</v>
      </c>
      <c r="G81" s="55" t="n">
        <v>1</v>
      </c>
      <c r="H81" s="55" t="n">
        <v>2</v>
      </c>
      <c r="I81" s="55" t="n">
        <v>2</v>
      </c>
      <c r="J81" s="55" t="n">
        <v>2</v>
      </c>
      <c r="K81" s="55" t="n">
        <v>2</v>
      </c>
    </row>
    <row r="82" customFormat="false" ht="14.25" hidden="false" customHeight="true" outlineLevel="0" collapsed="false">
      <c r="A82" s="13" t="str">
        <f aca="false">parametros_manuales!$B$41</f>
        <v>Presurización</v>
      </c>
      <c r="B82" s="55" t="n">
        <v>1</v>
      </c>
      <c r="C82" s="55" t="n">
        <v>1</v>
      </c>
      <c r="D82" s="55" t="n">
        <v>1</v>
      </c>
      <c r="E82" s="55" t="n">
        <v>1</v>
      </c>
      <c r="F82" s="55" t="n">
        <v>1</v>
      </c>
      <c r="G82" s="55" t="n">
        <v>1</v>
      </c>
      <c r="H82" s="55" t="n">
        <v>1</v>
      </c>
      <c r="I82" s="55" t="n">
        <v>1</v>
      </c>
      <c r="J82" s="55" t="n">
        <v>1</v>
      </c>
      <c r="K82" s="55" t="n">
        <v>1</v>
      </c>
    </row>
    <row r="83" customFormat="false" ht="14.25" hidden="false" customHeight="true" outlineLevel="0" collapsed="false">
      <c r="A83" s="13" t="str">
        <f aca="false">parametros_manuales!$B$42</f>
        <v>Control de calidad — Ensayo de pérdidas</v>
      </c>
      <c r="B83" s="55" t="n">
        <v>1</v>
      </c>
      <c r="C83" s="55" t="n">
        <v>1</v>
      </c>
      <c r="D83" s="55" t="n">
        <v>1</v>
      </c>
      <c r="E83" s="55" t="n">
        <v>1</v>
      </c>
      <c r="F83" s="55" t="n">
        <v>1</v>
      </c>
      <c r="G83" s="55" t="n">
        <v>1</v>
      </c>
      <c r="H83" s="55" t="n">
        <v>1</v>
      </c>
      <c r="I83" s="55" t="n">
        <v>1</v>
      </c>
      <c r="J83" s="55" t="n">
        <v>1</v>
      </c>
      <c r="K83" s="55" t="n">
        <v>1</v>
      </c>
    </row>
    <row r="84" customFormat="false" ht="14.25" hidden="false" customHeight="true" outlineLevel="0" collapsed="false">
      <c r="A84" s="13" t="str">
        <f aca="false">parametros_manuales!$B$43</f>
        <v>Etiquetado</v>
      </c>
      <c r="B84" s="55" t="n">
        <v>1</v>
      </c>
      <c r="C84" s="55" t="n">
        <v>1</v>
      </c>
      <c r="D84" s="55" t="n">
        <v>1</v>
      </c>
      <c r="E84" s="55" t="n">
        <v>1</v>
      </c>
      <c r="F84" s="55" t="n">
        <v>1</v>
      </c>
      <c r="G84" s="55" t="n">
        <v>1</v>
      </c>
      <c r="H84" s="55" t="n">
        <v>1</v>
      </c>
      <c r="I84" s="55" t="n">
        <v>1</v>
      </c>
      <c r="J84" s="55" t="n">
        <v>1</v>
      </c>
      <c r="K84" s="55" t="n">
        <v>1</v>
      </c>
    </row>
    <row r="85" customFormat="false" ht="14.25" hidden="false" customHeight="true" outlineLevel="0" collapsed="false">
      <c r="A85" s="13" t="str">
        <f aca="false">parametros_manuales!$B$44</f>
        <v>Embalaje y paletizado</v>
      </c>
      <c r="B85" s="55" t="n">
        <v>1</v>
      </c>
      <c r="C85" s="55" t="n">
        <v>1</v>
      </c>
      <c r="D85" s="55" t="n">
        <v>1</v>
      </c>
      <c r="E85" s="55" t="n">
        <v>1</v>
      </c>
      <c r="F85" s="55" t="n">
        <v>1</v>
      </c>
      <c r="G85" s="55" t="n">
        <v>1</v>
      </c>
      <c r="H85" s="55" t="n">
        <v>2</v>
      </c>
      <c r="I85" s="55" t="n">
        <v>2</v>
      </c>
      <c r="J85" s="55" t="n">
        <v>2</v>
      </c>
      <c r="K85" s="55" t="n">
        <v>2</v>
      </c>
    </row>
    <row r="86" customFormat="false" ht="14.25" hidden="false" customHeight="true" outlineLevel="0" collapsed="false">
      <c r="A86" s="15" t="s">
        <v>291</v>
      </c>
      <c r="B86" s="69" t="n">
        <f aca="false">MAX(B60:B85)</f>
        <v>1</v>
      </c>
      <c r="C86" s="69" t="n">
        <f aca="false">MAX(C60:C85)</f>
        <v>1</v>
      </c>
      <c r="D86" s="69" t="n">
        <f aca="false">MAX(D60:D85)</f>
        <v>1</v>
      </c>
      <c r="E86" s="69" t="n">
        <f aca="false">MAX(E60:E85)</f>
        <v>1</v>
      </c>
      <c r="F86" s="69" t="n">
        <f aca="false">MAX(F60:F85)</f>
        <v>1</v>
      </c>
      <c r="G86" s="69" t="n">
        <f aca="false">MAX(G60:G85)</f>
        <v>1</v>
      </c>
      <c r="H86" s="69" t="n">
        <f aca="false">MAX(H60:H85)</f>
        <v>2</v>
      </c>
      <c r="I86" s="69" t="n">
        <f aca="false">MAX(I60:I85)</f>
        <v>2</v>
      </c>
      <c r="J86" s="69" t="n">
        <f aca="false">MAX(J60:J85)</f>
        <v>2</v>
      </c>
      <c r="K86" s="69" t="n">
        <f aca="false">MAX(K60:K85)</f>
        <v>2</v>
      </c>
    </row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>
      <c r="A89" s="75" t="s">
        <v>294</v>
      </c>
    </row>
    <row r="90" customFormat="false" ht="14.25" hidden="false" customHeight="true" outlineLevel="0" collapsed="false">
      <c r="A90" s="71" t="s">
        <v>287</v>
      </c>
      <c r="B90" s="71" t="n">
        <v>2026</v>
      </c>
      <c r="C90" s="71" t="n">
        <v>2027</v>
      </c>
      <c r="D90" s="71" t="n">
        <v>2028</v>
      </c>
      <c r="E90" s="71" t="n">
        <v>2029</v>
      </c>
      <c r="F90" s="71" t="n">
        <v>2030</v>
      </c>
      <c r="G90" s="71" t="n">
        <v>2031</v>
      </c>
      <c r="H90" s="71" t="n">
        <v>2032</v>
      </c>
      <c r="I90" s="71" t="n">
        <v>2033</v>
      </c>
      <c r="J90" s="71" t="n">
        <v>2034</v>
      </c>
      <c r="K90" s="71" t="n">
        <v>2035</v>
      </c>
    </row>
    <row r="91" customFormat="false" ht="14.25" hidden="false" customHeight="true" outlineLevel="0" collapsed="false">
      <c r="A91" s="13" t="s">
        <v>295</v>
      </c>
      <c r="B91" s="76" t="n">
        <f aca="false">'Resumen cap. sin sobrestock'!B28</f>
        <v>0.176861868260067</v>
      </c>
      <c r="C91" s="76" t="n">
        <f aca="false">'Resumen cap. sin sobrestock'!C28</f>
        <v>0.27810901696</v>
      </c>
      <c r="D91" s="76" t="n">
        <f aca="false">'Resumen cap. sin sobrestock'!D28</f>
        <v>0.591735470685333</v>
      </c>
      <c r="E91" s="76" t="n">
        <f aca="false">'Resumen cap. sin sobrestock'!E28</f>
        <v>0.669848846583823</v>
      </c>
      <c r="F91" s="76" t="n">
        <f aca="false">'Resumen cap. sin sobrestock'!F28</f>
        <v>0.867916121230578</v>
      </c>
      <c r="G91" s="76" t="n">
        <f aca="false">'Resumen cap. sin sobrestock'!G28</f>
        <v>0.867474676645739</v>
      </c>
      <c r="H91" s="76" t="n">
        <f aca="false">'Resumen cap. sin sobrestock'!H28</f>
        <v>0.489105857325655</v>
      </c>
      <c r="I91" s="76" t="n">
        <f aca="false">'Resumen cap. sin sobrestock'!I28</f>
        <v>0.625043617277729</v>
      </c>
      <c r="J91" s="76" t="n">
        <f aca="false">'Resumen cap. sin sobrestock'!J28</f>
        <v>0.705097599520002</v>
      </c>
      <c r="K91" s="76" t="n">
        <f aca="false">'Resumen cap. sin sobrestock'!K28</f>
        <v>0.814678415305409</v>
      </c>
    </row>
    <row r="92" customFormat="false" ht="14.25" hidden="false" customHeight="true" outlineLevel="0" collapsed="false">
      <c r="A92" s="13" t="s">
        <v>296</v>
      </c>
      <c r="B92" s="73" t="n">
        <f aca="false">B28</f>
        <v>0.1371074621346</v>
      </c>
      <c r="C92" s="73" t="n">
        <f aca="false">C28</f>
        <v>0.2166395521</v>
      </c>
      <c r="D92" s="73" t="n">
        <f aca="false">D28</f>
        <v>0.457757843728</v>
      </c>
      <c r="E92" s="73" t="n">
        <f aca="false">E28</f>
        <v>0.51551419204853</v>
      </c>
      <c r="F92" s="73" t="n">
        <f aca="false">F28</f>
        <v>0.89789544089491</v>
      </c>
      <c r="G92" s="73" t="n">
        <f aca="false">G28</f>
        <v>0.82558168066</v>
      </c>
      <c r="H92" s="73" t="n">
        <f aca="false">H28</f>
        <v>0.476961683237753</v>
      </c>
      <c r="I92" s="73" t="n">
        <f aca="false">I28</f>
        <v>0.602709344884713</v>
      </c>
      <c r="J92" s="73" t="n">
        <f aca="false">J28</f>
        <v>0.687712634915963</v>
      </c>
      <c r="K92" s="73" t="n">
        <f aca="false">K28</f>
        <v>0.794917348221706</v>
      </c>
    </row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B2:B27">
    <cfRule type="expression" priority="2" aboveAverage="0" equalAverage="0" bottom="0" percent="0" rank="0" text="" dxfId="0">
      <formula>B2&gt;$N$13</formula>
    </cfRule>
    <cfRule type="expression" priority="3" aboveAverage="0" equalAverage="0" bottom="0" percent="0" rank="0" text="" dxfId="1">
      <formula>B31=0</formula>
    </cfRule>
    <cfRule type="expression" priority="4" aboveAverage="0" equalAverage="0" bottom="0" percent="0" rank="0" text="" dxfId="2">
      <formula>B60&gt;1</formula>
    </cfRule>
    <cfRule type="expression" priority="5" aboveAverage="0" equalAverage="0" bottom="0" percent="0" rank="0" text="" dxfId="3">
      <formula>AND(B31&gt;1,$L2&lt;&gt;"Manual")</formula>
    </cfRule>
    <cfRule type="expression" priority="6" aboveAverage="0" equalAverage="0" bottom="0" percent="0" rank="0" text="" dxfId="4">
      <formula>AND(B31&gt;1,$L2="Manual")</formula>
    </cfRule>
  </conditionalFormatting>
  <conditionalFormatting sqref="C2:K27">
    <cfRule type="expression" priority="7" aboveAverage="0" equalAverage="0" bottom="0" percent="0" rank="0" text="" dxfId="0">
      <formula>C2&gt;$N$13</formula>
    </cfRule>
    <cfRule type="expression" priority="8" aboveAverage="0" equalAverage="0" bottom="0" percent="0" rank="0" text="" dxfId="1">
      <formula>C31=0</formula>
    </cfRule>
    <cfRule type="expression" priority="9" aboveAverage="0" equalAverage="0" bottom="0" percent="0" rank="0" text="" dxfId="2">
      <formula>C60&gt;B60</formula>
    </cfRule>
    <cfRule type="expression" priority="10" aboveAverage="0" equalAverage="0" bottom="0" percent="0" rank="0" text="" dxfId="3">
      <formula>AND(C31&gt;B31,$L2&lt;&gt;"Manual")</formula>
    </cfRule>
    <cfRule type="expression" priority="11" aboveAverage="0" equalAverage="0" bottom="0" percent="0" rank="0" text="" dxfId="4">
      <formula>AND(C31&gt;B31,$L2="Manual")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2026-10-13T18:29:11Z</dcterms:created>
  <dc:creator>openpyxl</dc:creator>
  <dc:description/>
  <dc:language>en-US</dc:language>
  <cp:lastModifiedBy/>
  <dcterms:modified xsi:type="dcterms:W3CDTF">2026-10-21T05:57:58Z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